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ratega\Documents\LomasBayas APP\"/>
    </mc:Choice>
  </mc:AlternateContent>
  <xr:revisionPtr revIDLastSave="0" documentId="13_ncr:1_{72CE9405-FB74-4DC8-9214-89E6DAE1B718}" xr6:coauthVersionLast="36" xr6:coauthVersionMax="36" xr10:uidLastSave="{00000000-0000-0000-0000-000000000000}"/>
  <bookViews>
    <workbookView xWindow="0" yWindow="0" windowWidth="19200" windowHeight="8130" firstSheet="4" activeTab="4" xr2:uid="{00000000-000D-0000-FFFF-FFFF00000000}"/>
  </bookViews>
  <sheets>
    <sheet name="Tabla Stock Inventario LB" sheetId="14" state="hidden" r:id="rId1"/>
    <sheet name="Data" sheetId="20" state="hidden" r:id="rId2"/>
    <sheet name="BLANCO" sheetId="18" state="hidden" r:id="rId3"/>
    <sheet name="INVENTARIO LOMAS BAYAS." sheetId="3" r:id="rId4"/>
    <sheet name="Hoja1" sheetId="24" r:id="rId5"/>
    <sheet name="Resumen stock2023" sheetId="9" state="hidden" r:id="rId6"/>
    <sheet name="Resumen stock2022" sheetId="2" state="hidden" r:id="rId7"/>
    <sheet name="Consumo EDP" sheetId="5" state="hidden" r:id="rId8"/>
    <sheet name="CONSUMO 2023" sheetId="7" state="hidden" r:id="rId9"/>
    <sheet name="CONSUMO 2022" sheetId="6" state="hidden" r:id="rId10"/>
    <sheet name="CONSUMO 2024" sheetId="15" state="hidden" r:id="rId11"/>
    <sheet name="CTTO" sheetId="8" state="hidden" r:id="rId12"/>
  </sheets>
  <definedNames>
    <definedName name="_xlnm._FilterDatabase" localSheetId="1" hidden="1">Data!$B$1:$K$30</definedName>
    <definedName name="_xlnm._FilterDatabase" localSheetId="3" hidden="1">'INVENTARIO LOMAS BAYAS.'!$B$2836:$K$2845</definedName>
    <definedName name="NativeTimeline_Fecha">#N/A</definedName>
  </definedNames>
  <calcPr calcId="191029" calcCompleted="0"/>
  <pivotCaches>
    <pivotCache cacheId="0" r:id="rId13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4"/>
      </x15:timelineCacheRefs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3" l="1"/>
  <c r="L37" i="3"/>
  <c r="AK34" i="3" l="1"/>
  <c r="F34" i="3" s="1"/>
  <c r="J34" i="3"/>
  <c r="AK33" i="3"/>
  <c r="F33" i="3" s="1"/>
  <c r="J33" i="3"/>
  <c r="AK32" i="3"/>
  <c r="F32" i="3" s="1"/>
  <c r="J32" i="3"/>
  <c r="AK31" i="3"/>
  <c r="F31" i="3" s="1"/>
  <c r="J31" i="3"/>
  <c r="AK30" i="3"/>
  <c r="F30" i="3" s="1"/>
  <c r="J30" i="3"/>
  <c r="J29" i="3"/>
  <c r="AK28" i="3"/>
  <c r="F28" i="3" s="1"/>
  <c r="J28" i="3"/>
  <c r="AK27" i="3"/>
  <c r="F27" i="3" s="1"/>
  <c r="J27" i="3"/>
  <c r="AK26" i="3"/>
  <c r="F26" i="3" s="1"/>
  <c r="J26" i="3"/>
  <c r="AK25" i="3"/>
  <c r="F25" i="3" s="1"/>
  <c r="J25" i="3"/>
  <c r="AK24" i="3"/>
  <c r="F24" i="3" s="1"/>
  <c r="J24" i="3"/>
  <c r="J23" i="3"/>
  <c r="AK22" i="3"/>
  <c r="F22" i="3" s="1"/>
  <c r="J22" i="3"/>
  <c r="AK21" i="3"/>
  <c r="F21" i="3" s="1"/>
  <c r="J21" i="3"/>
  <c r="AK20" i="3"/>
  <c r="F20" i="3" s="1"/>
  <c r="J20" i="3"/>
  <c r="AK19" i="3"/>
  <c r="F19" i="3" s="1"/>
  <c r="J19" i="3"/>
  <c r="AK18" i="3"/>
  <c r="F18" i="3" s="1"/>
  <c r="J18" i="3"/>
  <c r="J17" i="3"/>
  <c r="AK16" i="3"/>
  <c r="F16" i="3" s="1"/>
  <c r="J16" i="3"/>
  <c r="AK15" i="3"/>
  <c r="J15" i="3"/>
  <c r="AK14" i="3"/>
  <c r="F14" i="3" s="1"/>
  <c r="J14" i="3"/>
  <c r="AK13" i="3"/>
  <c r="F13" i="3" s="1"/>
  <c r="J13" i="3"/>
  <c r="AK12" i="3"/>
  <c r="F12" i="3" s="1"/>
  <c r="J12" i="3"/>
  <c r="J11" i="3"/>
  <c r="AK10" i="3"/>
  <c r="AJ10" i="3"/>
  <c r="M10" i="3"/>
  <c r="L10" i="3"/>
  <c r="J10" i="3"/>
  <c r="AK9" i="3"/>
  <c r="F9" i="3" s="1"/>
  <c r="AJ9" i="3"/>
  <c r="AB9" i="3"/>
  <c r="L9" i="3"/>
  <c r="J9" i="3"/>
  <c r="J8" i="3"/>
  <c r="AS7" i="3"/>
  <c r="AR7" i="3"/>
  <c r="AQ7" i="3"/>
  <c r="AM7" i="3"/>
  <c r="AN7" i="3" s="1"/>
  <c r="AO7" i="3" s="1"/>
  <c r="AK7" i="3"/>
  <c r="M7" i="3" s="1"/>
  <c r="AJ7" i="3"/>
  <c r="O7" i="3"/>
  <c r="L7" i="3"/>
  <c r="J7" i="3"/>
  <c r="AS6" i="3"/>
  <c r="AR6" i="3"/>
  <c r="AQ6" i="3"/>
  <c r="AP6" i="3"/>
  <c r="AO6" i="3"/>
  <c r="AM6" i="3"/>
  <c r="AK6" i="3"/>
  <c r="M6" i="3" s="1"/>
  <c r="AJ6" i="3"/>
  <c r="O6" i="3"/>
  <c r="L6" i="3"/>
  <c r="J6" i="3"/>
  <c r="AS5" i="3"/>
  <c r="AR5" i="3"/>
  <c r="AQ5" i="3"/>
  <c r="AP5" i="3"/>
  <c r="AO5" i="3"/>
  <c r="AM5" i="3"/>
  <c r="AK5" i="3"/>
  <c r="F5" i="3" s="1"/>
  <c r="AJ5" i="3"/>
  <c r="O5" i="3"/>
  <c r="L5" i="3"/>
  <c r="J5" i="3"/>
  <c r="AS4" i="3"/>
  <c r="AR4" i="3"/>
  <c r="AQ4" i="3"/>
  <c r="AP4" i="3"/>
  <c r="AO4" i="3"/>
  <c r="AK4" i="3"/>
  <c r="M4" i="3" s="1"/>
  <c r="AJ4" i="3"/>
  <c r="O4" i="3"/>
  <c r="L4" i="3"/>
  <c r="J4" i="3"/>
  <c r="AS3" i="3"/>
  <c r="AR3" i="3"/>
  <c r="AQ3" i="3"/>
  <c r="AP3" i="3"/>
  <c r="AO3" i="3"/>
  <c r="AK3" i="3"/>
  <c r="F3" i="3" s="1"/>
  <c r="AJ3" i="3"/>
  <c r="W3" i="3"/>
  <c r="O3" i="3"/>
  <c r="M3" i="3"/>
  <c r="J3" i="3"/>
  <c r="F7" i="3" l="1"/>
  <c r="M5" i="3"/>
  <c r="F4" i="3"/>
  <c r="AP7" i="3"/>
  <c r="M9" i="3"/>
  <c r="F6" i="3"/>
  <c r="AK68" i="3" l="1"/>
  <c r="F68" i="3" s="1"/>
  <c r="J68" i="3"/>
  <c r="AK67" i="3"/>
  <c r="F67" i="3" s="1"/>
  <c r="J67" i="3"/>
  <c r="AK66" i="3"/>
  <c r="F66" i="3" s="1"/>
  <c r="J66" i="3"/>
  <c r="AK65" i="3"/>
  <c r="F65" i="3" s="1"/>
  <c r="J65" i="3"/>
  <c r="AK64" i="3"/>
  <c r="F64" i="3" s="1"/>
  <c r="J64" i="3"/>
  <c r="J63" i="3"/>
  <c r="AK62" i="3"/>
  <c r="F62" i="3" s="1"/>
  <c r="J62" i="3"/>
  <c r="AK61" i="3"/>
  <c r="F61" i="3" s="1"/>
  <c r="J61" i="3"/>
  <c r="AK60" i="3"/>
  <c r="F60" i="3" s="1"/>
  <c r="J60" i="3"/>
  <c r="AK59" i="3"/>
  <c r="F59" i="3" s="1"/>
  <c r="J59" i="3"/>
  <c r="AK58" i="3"/>
  <c r="F58" i="3" s="1"/>
  <c r="J58" i="3"/>
  <c r="J57" i="3"/>
  <c r="AK56" i="3"/>
  <c r="F56" i="3" s="1"/>
  <c r="J56" i="3"/>
  <c r="AK55" i="3"/>
  <c r="F55" i="3" s="1"/>
  <c r="J55" i="3"/>
  <c r="AK54" i="3"/>
  <c r="F54" i="3" s="1"/>
  <c r="J54" i="3"/>
  <c r="AK53" i="3"/>
  <c r="F53" i="3" s="1"/>
  <c r="J53" i="3"/>
  <c r="AK52" i="3"/>
  <c r="F52" i="3" s="1"/>
  <c r="J52" i="3"/>
  <c r="J51" i="3"/>
  <c r="AK50" i="3"/>
  <c r="F50" i="3" s="1"/>
  <c r="J50" i="3"/>
  <c r="AK49" i="3"/>
  <c r="J49" i="3"/>
  <c r="AK48" i="3"/>
  <c r="F48" i="3" s="1"/>
  <c r="J48" i="3"/>
  <c r="AK47" i="3"/>
  <c r="F47" i="3" s="1"/>
  <c r="J47" i="3"/>
  <c r="AK46" i="3"/>
  <c r="F46" i="3" s="1"/>
  <c r="J46" i="3"/>
  <c r="J45" i="3"/>
  <c r="AK44" i="3"/>
  <c r="M44" i="3" s="1"/>
  <c r="AJ44" i="3"/>
  <c r="L44" i="3"/>
  <c r="J44" i="3"/>
  <c r="AK43" i="3"/>
  <c r="F43" i="3" s="1"/>
  <c r="AJ43" i="3"/>
  <c r="AB43" i="3"/>
  <c r="L43" i="3"/>
  <c r="J43" i="3"/>
  <c r="J42" i="3"/>
  <c r="AS41" i="3"/>
  <c r="AR41" i="3"/>
  <c r="AQ41" i="3"/>
  <c r="AM41" i="3"/>
  <c r="AN41" i="3" s="1"/>
  <c r="AK41" i="3"/>
  <c r="F41" i="3" s="1"/>
  <c r="AJ41" i="3"/>
  <c r="O41" i="3"/>
  <c r="L41" i="3"/>
  <c r="J41" i="3"/>
  <c r="AS40" i="3"/>
  <c r="AR40" i="3"/>
  <c r="AQ40" i="3"/>
  <c r="AP40" i="3"/>
  <c r="AO40" i="3"/>
  <c r="AM40" i="3"/>
  <c r="AK40" i="3"/>
  <c r="F40" i="3" s="1"/>
  <c r="AJ40" i="3"/>
  <c r="O40" i="3"/>
  <c r="L40" i="3"/>
  <c r="J40" i="3"/>
  <c r="AS39" i="3"/>
  <c r="AR39" i="3"/>
  <c r="AQ39" i="3"/>
  <c r="AP39" i="3"/>
  <c r="AO39" i="3"/>
  <c r="AM39" i="3"/>
  <c r="AK39" i="3"/>
  <c r="F39" i="3" s="1"/>
  <c r="AJ39" i="3"/>
  <c r="O39" i="3"/>
  <c r="L39" i="3"/>
  <c r="J39" i="3"/>
  <c r="AS38" i="3"/>
  <c r="AR38" i="3"/>
  <c r="AQ38" i="3"/>
  <c r="AP38" i="3"/>
  <c r="AO38" i="3"/>
  <c r="AK38" i="3"/>
  <c r="F38" i="3" s="1"/>
  <c r="AJ38" i="3"/>
  <c r="O38" i="3"/>
  <c r="L38" i="3"/>
  <c r="J38" i="3"/>
  <c r="AS37" i="3"/>
  <c r="AR37" i="3"/>
  <c r="AQ37" i="3"/>
  <c r="AP37" i="3"/>
  <c r="AO37" i="3"/>
  <c r="AK37" i="3"/>
  <c r="F37" i="3" s="1"/>
  <c r="AJ37" i="3"/>
  <c r="W37" i="3"/>
  <c r="O37" i="3"/>
  <c r="J37" i="3"/>
  <c r="O71" i="3"/>
  <c r="AO41" i="3" l="1"/>
  <c r="AP41" i="3"/>
  <c r="M41" i="3"/>
  <c r="J78" i="3"/>
  <c r="J76" i="3"/>
  <c r="J77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72" i="3"/>
  <c r="J73" i="3"/>
  <c r="J74" i="3"/>
  <c r="J75" i="3"/>
  <c r="J71" i="3"/>
  <c r="L77" i="3" l="1"/>
  <c r="AK102" i="3"/>
  <c r="F102" i="3" s="1"/>
  <c r="AK101" i="3"/>
  <c r="F101" i="3" s="1"/>
  <c r="AK100" i="3"/>
  <c r="F100" i="3" s="1"/>
  <c r="AK99" i="3"/>
  <c r="F99" i="3" s="1"/>
  <c r="AK98" i="3"/>
  <c r="F98" i="3" s="1"/>
  <c r="AK96" i="3"/>
  <c r="F96" i="3" s="1"/>
  <c r="AK95" i="3"/>
  <c r="F95" i="3" s="1"/>
  <c r="AK94" i="3"/>
  <c r="F94" i="3" s="1"/>
  <c r="AK93" i="3"/>
  <c r="F93" i="3" s="1"/>
  <c r="AK92" i="3"/>
  <c r="F92" i="3" s="1"/>
  <c r="AK90" i="3"/>
  <c r="F90" i="3" s="1"/>
  <c r="AK89" i="3"/>
  <c r="F89" i="3" s="1"/>
  <c r="AK88" i="3"/>
  <c r="F88" i="3" s="1"/>
  <c r="AK87" i="3"/>
  <c r="F87" i="3" s="1"/>
  <c r="AK86" i="3"/>
  <c r="F86" i="3" s="1"/>
  <c r="AK84" i="3"/>
  <c r="F84" i="3" s="1"/>
  <c r="AK83" i="3"/>
  <c r="AK82" i="3"/>
  <c r="F82" i="3" s="1"/>
  <c r="AK81" i="3"/>
  <c r="F81" i="3" s="1"/>
  <c r="AK80" i="3"/>
  <c r="F80" i="3" s="1"/>
  <c r="AK78" i="3"/>
  <c r="AJ78" i="3"/>
  <c r="L78" i="3"/>
  <c r="M43" i="3" s="1"/>
  <c r="AK77" i="3"/>
  <c r="F77" i="3" s="1"/>
  <c r="AJ77" i="3"/>
  <c r="AB77" i="3"/>
  <c r="AS75" i="3"/>
  <c r="AR75" i="3"/>
  <c r="AQ75" i="3"/>
  <c r="AM75" i="3"/>
  <c r="AN75" i="3" s="1"/>
  <c r="AK75" i="3"/>
  <c r="F75" i="3" s="1"/>
  <c r="AJ75" i="3"/>
  <c r="O75" i="3"/>
  <c r="L75" i="3"/>
  <c r="M40" i="3" s="1"/>
  <c r="AS74" i="3"/>
  <c r="AR74" i="3"/>
  <c r="AQ74" i="3"/>
  <c r="AP74" i="3"/>
  <c r="AO74" i="3"/>
  <c r="AM74" i="3"/>
  <c r="AK74" i="3"/>
  <c r="AJ74" i="3"/>
  <c r="O74" i="3"/>
  <c r="AS73" i="3"/>
  <c r="AR73" i="3"/>
  <c r="AQ73" i="3"/>
  <c r="AP73" i="3"/>
  <c r="AO73" i="3"/>
  <c r="AM73" i="3"/>
  <c r="AK73" i="3"/>
  <c r="F73" i="3" s="1"/>
  <c r="AJ73" i="3"/>
  <c r="O73" i="3"/>
  <c r="L73" i="3"/>
  <c r="M38" i="3" s="1"/>
  <c r="AS72" i="3"/>
  <c r="AR72" i="3"/>
  <c r="AQ72" i="3"/>
  <c r="AP72" i="3"/>
  <c r="AO72" i="3"/>
  <c r="AK72" i="3"/>
  <c r="AJ72" i="3"/>
  <c r="O72" i="3"/>
  <c r="AS71" i="3"/>
  <c r="AR71" i="3"/>
  <c r="AQ71" i="3"/>
  <c r="AP71" i="3"/>
  <c r="AO71" i="3"/>
  <c r="AK71" i="3"/>
  <c r="F71" i="3" s="1"/>
  <c r="AJ71" i="3"/>
  <c r="W71" i="3"/>
  <c r="L71" i="3"/>
  <c r="L72" i="3" l="1"/>
  <c r="M37" i="3" s="1"/>
  <c r="F72" i="3"/>
  <c r="L74" i="3"/>
  <c r="M39" i="3" s="1"/>
  <c r="F74" i="3"/>
  <c r="AP75" i="3"/>
  <c r="AO75" i="3"/>
  <c r="I113" i="3"/>
  <c r="I107" i="3"/>
  <c r="I106" i="3"/>
  <c r="AK137" i="3"/>
  <c r="F137" i="3" s="1"/>
  <c r="AK136" i="3"/>
  <c r="F136" i="3" s="1"/>
  <c r="AK135" i="3"/>
  <c r="F135" i="3" s="1"/>
  <c r="AK134" i="3"/>
  <c r="F134" i="3" s="1"/>
  <c r="AK133" i="3"/>
  <c r="F133" i="3" s="1"/>
  <c r="AK131" i="3"/>
  <c r="F131" i="3" s="1"/>
  <c r="AK130" i="3"/>
  <c r="F130" i="3" s="1"/>
  <c r="AK129" i="3"/>
  <c r="F129" i="3" s="1"/>
  <c r="AK128" i="3"/>
  <c r="F128" i="3" s="1"/>
  <c r="AK127" i="3"/>
  <c r="F127" i="3" s="1"/>
  <c r="AK125" i="3"/>
  <c r="F125" i="3" s="1"/>
  <c r="AK124" i="3"/>
  <c r="F124" i="3" s="1"/>
  <c r="AK123" i="3"/>
  <c r="F123" i="3" s="1"/>
  <c r="AK122" i="3"/>
  <c r="F122" i="3" s="1"/>
  <c r="AK121" i="3"/>
  <c r="F121" i="3" s="1"/>
  <c r="AK119" i="3"/>
  <c r="F119" i="3" s="1"/>
  <c r="AK118" i="3"/>
  <c r="AK117" i="3"/>
  <c r="F117" i="3" s="1"/>
  <c r="AK116" i="3"/>
  <c r="F116" i="3" s="1"/>
  <c r="AK115" i="3"/>
  <c r="F115" i="3" s="1"/>
  <c r="AK113" i="3"/>
  <c r="L113" i="3" s="1"/>
  <c r="M78" i="3" s="1"/>
  <c r="AJ113" i="3"/>
  <c r="AK112" i="3"/>
  <c r="F112" i="3" s="1"/>
  <c r="AJ112" i="3"/>
  <c r="AB112" i="3"/>
  <c r="L112" i="3"/>
  <c r="M77" i="3" s="1"/>
  <c r="AS110" i="3"/>
  <c r="AR110" i="3"/>
  <c r="AQ110" i="3"/>
  <c r="AM110" i="3"/>
  <c r="AN110" i="3" s="1"/>
  <c r="AP110" i="3" s="1"/>
  <c r="AK110" i="3"/>
  <c r="F110" i="3" s="1"/>
  <c r="AJ110" i="3"/>
  <c r="O110" i="3"/>
  <c r="L110" i="3"/>
  <c r="M75" i="3" s="1"/>
  <c r="AS109" i="3"/>
  <c r="AR109" i="3"/>
  <c r="AQ109" i="3"/>
  <c r="AP109" i="3"/>
  <c r="AO109" i="3"/>
  <c r="AM109" i="3"/>
  <c r="AK109" i="3"/>
  <c r="L109" i="3" s="1"/>
  <c r="M74" i="3" s="1"/>
  <c r="AJ109" i="3"/>
  <c r="O109" i="3"/>
  <c r="AS108" i="3"/>
  <c r="AR108" i="3"/>
  <c r="AQ108" i="3"/>
  <c r="AP108" i="3"/>
  <c r="AO108" i="3"/>
  <c r="AM108" i="3"/>
  <c r="AK108" i="3"/>
  <c r="F108" i="3" s="1"/>
  <c r="AJ108" i="3"/>
  <c r="O108" i="3"/>
  <c r="L108" i="3"/>
  <c r="M73" i="3" s="1"/>
  <c r="AS107" i="3"/>
  <c r="AR107" i="3"/>
  <c r="AQ107" i="3"/>
  <c r="AP107" i="3"/>
  <c r="AO107" i="3"/>
  <c r="AK107" i="3"/>
  <c r="L107" i="3" s="1"/>
  <c r="M72" i="3" s="1"/>
  <c r="AJ107" i="3"/>
  <c r="O107" i="3"/>
  <c r="AS106" i="3"/>
  <c r="AR106" i="3"/>
  <c r="AQ106" i="3"/>
  <c r="AP106" i="3"/>
  <c r="AO106" i="3"/>
  <c r="AK106" i="3"/>
  <c r="F106" i="3" s="1"/>
  <c r="AJ106" i="3"/>
  <c r="W106" i="3"/>
  <c r="O106" i="3"/>
  <c r="L106" i="3"/>
  <c r="M71" i="3" s="1"/>
  <c r="F109" i="3" l="1"/>
  <c r="F107" i="3"/>
  <c r="AO110" i="3"/>
  <c r="I148" i="3"/>
  <c r="I147" i="3"/>
  <c r="I142" i="3"/>
  <c r="AK172" i="3"/>
  <c r="F172" i="3" s="1"/>
  <c r="AK171" i="3"/>
  <c r="F171" i="3" s="1"/>
  <c r="AK170" i="3"/>
  <c r="F170" i="3" s="1"/>
  <c r="AK169" i="3"/>
  <c r="F169" i="3" s="1"/>
  <c r="AK168" i="3"/>
  <c r="F168" i="3" s="1"/>
  <c r="AK166" i="3"/>
  <c r="F166" i="3" s="1"/>
  <c r="AK165" i="3"/>
  <c r="F165" i="3" s="1"/>
  <c r="AK164" i="3"/>
  <c r="F164" i="3" s="1"/>
  <c r="AK163" i="3"/>
  <c r="F163" i="3" s="1"/>
  <c r="AK162" i="3"/>
  <c r="F162" i="3" s="1"/>
  <c r="AK160" i="3"/>
  <c r="F160" i="3" s="1"/>
  <c r="AK159" i="3"/>
  <c r="F159" i="3" s="1"/>
  <c r="AK158" i="3"/>
  <c r="F158" i="3" s="1"/>
  <c r="AK157" i="3"/>
  <c r="F157" i="3" s="1"/>
  <c r="AK156" i="3"/>
  <c r="F156" i="3" s="1"/>
  <c r="AK154" i="3"/>
  <c r="F154" i="3" s="1"/>
  <c r="AK153" i="3"/>
  <c r="AK152" i="3"/>
  <c r="F152" i="3" s="1"/>
  <c r="AK151" i="3"/>
  <c r="F151" i="3" s="1"/>
  <c r="AK150" i="3"/>
  <c r="F150" i="3" s="1"/>
  <c r="AK148" i="3"/>
  <c r="F148" i="3" s="1"/>
  <c r="AJ148" i="3"/>
  <c r="L148" i="3"/>
  <c r="M113" i="3" s="1"/>
  <c r="AK147" i="3"/>
  <c r="AJ147" i="3"/>
  <c r="AB147" i="3"/>
  <c r="L147" i="3"/>
  <c r="M112" i="3" s="1"/>
  <c r="AS145" i="3"/>
  <c r="AR145" i="3"/>
  <c r="AQ145" i="3"/>
  <c r="AM145" i="3"/>
  <c r="AN145" i="3" s="1"/>
  <c r="AK145" i="3"/>
  <c r="L145" i="3" s="1"/>
  <c r="M110" i="3" s="1"/>
  <c r="AJ145" i="3"/>
  <c r="O145" i="3"/>
  <c r="AS144" i="3"/>
  <c r="AR144" i="3"/>
  <c r="AQ144" i="3"/>
  <c r="AP144" i="3"/>
  <c r="AO144" i="3"/>
  <c r="AM144" i="3"/>
  <c r="AK144" i="3"/>
  <c r="AJ144" i="3"/>
  <c r="O144" i="3"/>
  <c r="L144" i="3"/>
  <c r="M109" i="3" s="1"/>
  <c r="AS143" i="3"/>
  <c r="AR143" i="3"/>
  <c r="AQ143" i="3"/>
  <c r="AP143" i="3"/>
  <c r="AO143" i="3"/>
  <c r="AM143" i="3"/>
  <c r="AK143" i="3"/>
  <c r="L143" i="3" s="1"/>
  <c r="M108" i="3" s="1"/>
  <c r="AJ143" i="3"/>
  <c r="O143" i="3"/>
  <c r="AS142" i="3"/>
  <c r="AR142" i="3"/>
  <c r="AQ142" i="3"/>
  <c r="AP142" i="3"/>
  <c r="AO142" i="3"/>
  <c r="AK142" i="3"/>
  <c r="L142" i="3" s="1"/>
  <c r="M107" i="3" s="1"/>
  <c r="AJ142" i="3"/>
  <c r="O142" i="3"/>
  <c r="AS141" i="3"/>
  <c r="AR141" i="3"/>
  <c r="AQ141" i="3"/>
  <c r="AP141" i="3"/>
  <c r="AO141" i="3"/>
  <c r="AK141" i="3"/>
  <c r="F141" i="3" s="1"/>
  <c r="AJ141" i="3"/>
  <c r="W141" i="3"/>
  <c r="O141" i="3"/>
  <c r="L141" i="3"/>
  <c r="M106" i="3" s="1"/>
  <c r="F147" i="3" l="1"/>
  <c r="F144" i="3"/>
  <c r="AP145" i="3"/>
  <c r="AO145" i="3"/>
  <c r="F142" i="3"/>
  <c r="F143" i="3"/>
  <c r="F145" i="3"/>
  <c r="AK207" i="3" l="1"/>
  <c r="F207" i="3" s="1"/>
  <c r="AK206" i="3"/>
  <c r="F206" i="3" s="1"/>
  <c r="AK205" i="3"/>
  <c r="F205" i="3" s="1"/>
  <c r="AK204" i="3"/>
  <c r="F204" i="3" s="1"/>
  <c r="AK203" i="3"/>
  <c r="F203" i="3" s="1"/>
  <c r="AK201" i="3"/>
  <c r="F201" i="3" s="1"/>
  <c r="AK200" i="3"/>
  <c r="F200" i="3" s="1"/>
  <c r="AK199" i="3"/>
  <c r="F199" i="3" s="1"/>
  <c r="AK198" i="3"/>
  <c r="F198" i="3" s="1"/>
  <c r="AK197" i="3"/>
  <c r="F197" i="3" s="1"/>
  <c r="AK195" i="3"/>
  <c r="F195" i="3" s="1"/>
  <c r="AK194" i="3"/>
  <c r="F194" i="3" s="1"/>
  <c r="AK193" i="3"/>
  <c r="F193" i="3" s="1"/>
  <c r="AK192" i="3"/>
  <c r="F192" i="3" s="1"/>
  <c r="AK191" i="3"/>
  <c r="F191" i="3" s="1"/>
  <c r="AK189" i="3"/>
  <c r="F189" i="3" s="1"/>
  <c r="AK188" i="3"/>
  <c r="AK187" i="3"/>
  <c r="F187" i="3" s="1"/>
  <c r="AK186" i="3"/>
  <c r="F186" i="3" s="1"/>
  <c r="AK185" i="3"/>
  <c r="F185" i="3" s="1"/>
  <c r="AK183" i="3"/>
  <c r="F183" i="3" s="1"/>
  <c r="AJ183" i="3"/>
  <c r="L183" i="3"/>
  <c r="M148" i="3" s="1"/>
  <c r="AK182" i="3"/>
  <c r="F182" i="3" s="1"/>
  <c r="AJ182" i="3"/>
  <c r="AB182" i="3"/>
  <c r="L182" i="3"/>
  <c r="M147" i="3" s="1"/>
  <c r="AS180" i="3"/>
  <c r="AR180" i="3"/>
  <c r="AQ180" i="3"/>
  <c r="AM180" i="3"/>
  <c r="AN180" i="3" s="1"/>
  <c r="AK180" i="3"/>
  <c r="L180" i="3" s="1"/>
  <c r="M145" i="3" s="1"/>
  <c r="AJ180" i="3"/>
  <c r="O180" i="3"/>
  <c r="AS179" i="3"/>
  <c r="AR179" i="3"/>
  <c r="AQ179" i="3"/>
  <c r="AP179" i="3"/>
  <c r="AO179" i="3"/>
  <c r="AM179" i="3"/>
  <c r="AK179" i="3"/>
  <c r="F179" i="3" s="1"/>
  <c r="AJ179" i="3"/>
  <c r="O179" i="3"/>
  <c r="L179" i="3"/>
  <c r="M144" i="3" s="1"/>
  <c r="AS178" i="3"/>
  <c r="AR178" i="3"/>
  <c r="AQ178" i="3"/>
  <c r="AP178" i="3"/>
  <c r="AO178" i="3"/>
  <c r="AM178" i="3"/>
  <c r="AK178" i="3"/>
  <c r="L178" i="3" s="1"/>
  <c r="M143" i="3" s="1"/>
  <c r="AJ178" i="3"/>
  <c r="O178" i="3"/>
  <c r="AS177" i="3"/>
  <c r="AR177" i="3"/>
  <c r="AQ177" i="3"/>
  <c r="AP177" i="3"/>
  <c r="AO177" i="3"/>
  <c r="AK177" i="3"/>
  <c r="F177" i="3" s="1"/>
  <c r="AJ177" i="3"/>
  <c r="O177" i="3"/>
  <c r="L177" i="3"/>
  <c r="M142" i="3" s="1"/>
  <c r="AS176" i="3"/>
  <c r="AR176" i="3"/>
  <c r="AQ176" i="3"/>
  <c r="AP176" i="3"/>
  <c r="AO176" i="3"/>
  <c r="AK176" i="3"/>
  <c r="F176" i="3" s="1"/>
  <c r="AJ176" i="3"/>
  <c r="W176" i="3"/>
  <c r="O176" i="3"/>
  <c r="L176" i="3"/>
  <c r="M141" i="3" s="1"/>
  <c r="F180" i="3" l="1"/>
  <c r="F178" i="3"/>
  <c r="AO180" i="3"/>
  <c r="AP180" i="3"/>
  <c r="AK242" i="3" l="1"/>
  <c r="F242" i="3" s="1"/>
  <c r="AK241" i="3"/>
  <c r="F241" i="3" s="1"/>
  <c r="AK240" i="3"/>
  <c r="F240" i="3" s="1"/>
  <c r="AK239" i="3"/>
  <c r="F239" i="3" s="1"/>
  <c r="AK238" i="3"/>
  <c r="F238" i="3" s="1"/>
  <c r="AK236" i="3"/>
  <c r="F236" i="3" s="1"/>
  <c r="AK235" i="3"/>
  <c r="F235" i="3" s="1"/>
  <c r="AK234" i="3"/>
  <c r="F234" i="3" s="1"/>
  <c r="AK233" i="3"/>
  <c r="F233" i="3"/>
  <c r="AK232" i="3"/>
  <c r="F232" i="3" s="1"/>
  <c r="AK230" i="3"/>
  <c r="F230" i="3" s="1"/>
  <c r="AK229" i="3"/>
  <c r="F229" i="3" s="1"/>
  <c r="AK228" i="3"/>
  <c r="F228" i="3" s="1"/>
  <c r="AK227" i="3"/>
  <c r="F227" i="3" s="1"/>
  <c r="AK226" i="3"/>
  <c r="F226" i="3" s="1"/>
  <c r="AK224" i="3"/>
  <c r="F224" i="3" s="1"/>
  <c r="AK223" i="3"/>
  <c r="AK222" i="3"/>
  <c r="F222" i="3" s="1"/>
  <c r="AK221" i="3"/>
  <c r="F221" i="3" s="1"/>
  <c r="AK220" i="3"/>
  <c r="F220" i="3" s="1"/>
  <c r="AK218" i="3"/>
  <c r="F218" i="3" s="1"/>
  <c r="AJ218" i="3"/>
  <c r="L218" i="3"/>
  <c r="M183" i="3" s="1"/>
  <c r="AK217" i="3"/>
  <c r="F217" i="3" s="1"/>
  <c r="AJ217" i="3"/>
  <c r="AB217" i="3"/>
  <c r="L217" i="3"/>
  <c r="M182" i="3" s="1"/>
  <c r="AS215" i="3"/>
  <c r="AR215" i="3"/>
  <c r="AQ215" i="3"/>
  <c r="AM215" i="3"/>
  <c r="AN215" i="3" s="1"/>
  <c r="AK215" i="3"/>
  <c r="AJ215" i="3"/>
  <c r="O215" i="3"/>
  <c r="L215" i="3"/>
  <c r="M180" i="3" s="1"/>
  <c r="AS214" i="3"/>
  <c r="AR214" i="3"/>
  <c r="AQ214" i="3"/>
  <c r="AP214" i="3"/>
  <c r="AO214" i="3"/>
  <c r="AM214" i="3"/>
  <c r="AK214" i="3"/>
  <c r="AJ214" i="3"/>
  <c r="O214" i="3"/>
  <c r="L214" i="3"/>
  <c r="M179" i="3" s="1"/>
  <c r="AS213" i="3"/>
  <c r="AR213" i="3"/>
  <c r="AQ213" i="3"/>
  <c r="AP213" i="3"/>
  <c r="AO213" i="3"/>
  <c r="AM213" i="3"/>
  <c r="AK213" i="3"/>
  <c r="F213" i="3" s="1"/>
  <c r="AJ213" i="3"/>
  <c r="O213" i="3"/>
  <c r="L213" i="3"/>
  <c r="M178" i="3" s="1"/>
  <c r="AS212" i="3"/>
  <c r="AR212" i="3"/>
  <c r="AQ212" i="3"/>
  <c r="AP212" i="3"/>
  <c r="AO212" i="3"/>
  <c r="AK212" i="3"/>
  <c r="F212" i="3" s="1"/>
  <c r="AJ212" i="3"/>
  <c r="O212" i="3"/>
  <c r="L212" i="3"/>
  <c r="M177" i="3" s="1"/>
  <c r="AS211" i="3"/>
  <c r="AR211" i="3"/>
  <c r="AQ211" i="3"/>
  <c r="AP211" i="3"/>
  <c r="AO211" i="3"/>
  <c r="AK211" i="3"/>
  <c r="AJ211" i="3"/>
  <c r="W211" i="3"/>
  <c r="O211" i="3"/>
  <c r="L211" i="3"/>
  <c r="M176" i="3" s="1"/>
  <c r="F211" i="3" l="1"/>
  <c r="F215" i="3"/>
  <c r="AO215" i="3"/>
  <c r="AP215" i="3"/>
  <c r="F214" i="3"/>
  <c r="AK277" i="3" l="1"/>
  <c r="F277" i="3" s="1"/>
  <c r="AK276" i="3"/>
  <c r="F276" i="3"/>
  <c r="AK275" i="3"/>
  <c r="F275" i="3" s="1"/>
  <c r="AK274" i="3"/>
  <c r="F274" i="3" s="1"/>
  <c r="AK273" i="3"/>
  <c r="F273" i="3" s="1"/>
  <c r="AK271" i="3"/>
  <c r="F271" i="3" s="1"/>
  <c r="AK270" i="3"/>
  <c r="F270" i="3" s="1"/>
  <c r="AK269" i="3"/>
  <c r="F269" i="3"/>
  <c r="AK268" i="3"/>
  <c r="F268" i="3" s="1"/>
  <c r="AK267" i="3"/>
  <c r="F267" i="3" s="1"/>
  <c r="AK265" i="3"/>
  <c r="F265" i="3"/>
  <c r="AK264" i="3"/>
  <c r="F264" i="3" s="1"/>
  <c r="AK263" i="3"/>
  <c r="F263" i="3" s="1"/>
  <c r="AK262" i="3"/>
  <c r="F262" i="3" s="1"/>
  <c r="AK261" i="3"/>
  <c r="F261" i="3" s="1"/>
  <c r="AK259" i="3"/>
  <c r="F259" i="3" s="1"/>
  <c r="AK258" i="3"/>
  <c r="AK257" i="3"/>
  <c r="F257" i="3" s="1"/>
  <c r="AK256" i="3"/>
  <c r="F256" i="3" s="1"/>
  <c r="AK255" i="3"/>
  <c r="F255" i="3" s="1"/>
  <c r="AK253" i="3"/>
  <c r="AJ253" i="3"/>
  <c r="M253" i="3"/>
  <c r="AK252" i="3"/>
  <c r="AJ252" i="3"/>
  <c r="AB252" i="3"/>
  <c r="M252" i="3"/>
  <c r="AS250" i="3"/>
  <c r="AR250" i="3"/>
  <c r="AQ250" i="3"/>
  <c r="AM250" i="3"/>
  <c r="AN250" i="3" s="1"/>
  <c r="AP250" i="3" s="1"/>
  <c r="AK250" i="3"/>
  <c r="F250" i="3" s="1"/>
  <c r="AJ250" i="3"/>
  <c r="O250" i="3"/>
  <c r="M250" i="3"/>
  <c r="AS249" i="3"/>
  <c r="AR249" i="3"/>
  <c r="AQ249" i="3"/>
  <c r="AP249" i="3"/>
  <c r="AO249" i="3"/>
  <c r="AM249" i="3"/>
  <c r="AK249" i="3"/>
  <c r="F249" i="3" s="1"/>
  <c r="AJ249" i="3"/>
  <c r="O249" i="3"/>
  <c r="M249" i="3"/>
  <c r="AS248" i="3"/>
  <c r="AR248" i="3"/>
  <c r="AQ248" i="3"/>
  <c r="AP248" i="3"/>
  <c r="AO248" i="3"/>
  <c r="AM248" i="3"/>
  <c r="AK248" i="3"/>
  <c r="AJ248" i="3"/>
  <c r="O248" i="3"/>
  <c r="M248" i="3"/>
  <c r="AS247" i="3"/>
  <c r="AR247" i="3"/>
  <c r="AQ247" i="3"/>
  <c r="AP247" i="3"/>
  <c r="AO247" i="3"/>
  <c r="AK247" i="3"/>
  <c r="AJ247" i="3"/>
  <c r="O247" i="3"/>
  <c r="M247" i="3"/>
  <c r="AS246" i="3"/>
  <c r="AR246" i="3"/>
  <c r="AQ246" i="3"/>
  <c r="AP246" i="3"/>
  <c r="AO246" i="3"/>
  <c r="AK246" i="3"/>
  <c r="AJ246" i="3"/>
  <c r="W246" i="3"/>
  <c r="O246" i="3"/>
  <c r="M246" i="3"/>
  <c r="F248" i="3" l="1"/>
  <c r="F246" i="3"/>
  <c r="F253" i="3"/>
  <c r="F247" i="3"/>
  <c r="F252" i="3"/>
  <c r="AO250" i="3"/>
  <c r="AK312" i="3"/>
  <c r="F312" i="3" s="1"/>
  <c r="AK311" i="3"/>
  <c r="F311" i="3" s="1"/>
  <c r="AK310" i="3"/>
  <c r="F310" i="3" s="1"/>
  <c r="AK309" i="3"/>
  <c r="F309" i="3" s="1"/>
  <c r="AK308" i="3"/>
  <c r="F308" i="3" s="1"/>
  <c r="AK306" i="3"/>
  <c r="F306" i="3" s="1"/>
  <c r="AK305" i="3"/>
  <c r="F305" i="3" s="1"/>
  <c r="AK304" i="3"/>
  <c r="F304" i="3" s="1"/>
  <c r="AK303" i="3"/>
  <c r="F303" i="3" s="1"/>
  <c r="AK302" i="3"/>
  <c r="F302" i="3" s="1"/>
  <c r="AK300" i="3"/>
  <c r="F300" i="3" s="1"/>
  <c r="AK299" i="3"/>
  <c r="F299" i="3" s="1"/>
  <c r="AK298" i="3"/>
  <c r="F298" i="3" s="1"/>
  <c r="AK297" i="3"/>
  <c r="F297" i="3" s="1"/>
  <c r="AK296" i="3"/>
  <c r="F296" i="3" s="1"/>
  <c r="AK294" i="3"/>
  <c r="F294" i="3" s="1"/>
  <c r="AK293" i="3"/>
  <c r="AK292" i="3"/>
  <c r="F292" i="3" s="1"/>
  <c r="AK291" i="3"/>
  <c r="F291" i="3" s="1"/>
  <c r="AK290" i="3"/>
  <c r="F290" i="3" s="1"/>
  <c r="AK288" i="3"/>
  <c r="F288" i="3" s="1"/>
  <c r="AJ288" i="3"/>
  <c r="L288" i="3"/>
  <c r="L253" i="3" s="1"/>
  <c r="M218" i="3" s="1"/>
  <c r="AK287" i="3"/>
  <c r="F287" i="3" s="1"/>
  <c r="AJ287" i="3"/>
  <c r="AB287" i="3"/>
  <c r="L287" i="3"/>
  <c r="L252" i="3" s="1"/>
  <c r="M217" i="3" s="1"/>
  <c r="AS285" i="3"/>
  <c r="AR285" i="3"/>
  <c r="AQ285" i="3"/>
  <c r="AM285" i="3"/>
  <c r="AN285" i="3" s="1"/>
  <c r="AK285" i="3"/>
  <c r="F285" i="3" s="1"/>
  <c r="AJ285" i="3"/>
  <c r="O285" i="3"/>
  <c r="L285" i="3"/>
  <c r="L250" i="3" s="1"/>
  <c r="M215" i="3" s="1"/>
  <c r="AS284" i="3"/>
  <c r="AR284" i="3"/>
  <c r="AQ284" i="3"/>
  <c r="AP284" i="3"/>
  <c r="AO284" i="3"/>
  <c r="AM284" i="3"/>
  <c r="AK284" i="3"/>
  <c r="F284" i="3" s="1"/>
  <c r="AJ284" i="3"/>
  <c r="O284" i="3"/>
  <c r="L284" i="3"/>
  <c r="L249" i="3" s="1"/>
  <c r="M214" i="3" s="1"/>
  <c r="AS283" i="3"/>
  <c r="AR283" i="3"/>
  <c r="AQ283" i="3"/>
  <c r="AP283" i="3"/>
  <c r="AO283" i="3"/>
  <c r="AM283" i="3"/>
  <c r="AK283" i="3"/>
  <c r="F283" i="3" s="1"/>
  <c r="AJ283" i="3"/>
  <c r="O283" i="3"/>
  <c r="L283" i="3"/>
  <c r="L248" i="3" s="1"/>
  <c r="M213" i="3" s="1"/>
  <c r="AS282" i="3"/>
  <c r="AR282" i="3"/>
  <c r="AQ282" i="3"/>
  <c r="AP282" i="3"/>
  <c r="AO282" i="3"/>
  <c r="AK282" i="3"/>
  <c r="F282" i="3" s="1"/>
  <c r="AJ282" i="3"/>
  <c r="O282" i="3"/>
  <c r="L282" i="3"/>
  <c r="L247" i="3" s="1"/>
  <c r="M212" i="3" s="1"/>
  <c r="AS281" i="3"/>
  <c r="AR281" i="3"/>
  <c r="AQ281" i="3"/>
  <c r="AP281" i="3"/>
  <c r="AO281" i="3"/>
  <c r="AK281" i="3"/>
  <c r="F281" i="3" s="1"/>
  <c r="AJ281" i="3"/>
  <c r="W281" i="3"/>
  <c r="O281" i="3"/>
  <c r="L281" i="3"/>
  <c r="L246" i="3" s="1"/>
  <c r="M211" i="3" s="1"/>
  <c r="AP285" i="3" l="1"/>
  <c r="AO285" i="3"/>
  <c r="C8" i="8" l="1"/>
  <c r="O4" i="8"/>
  <c r="C1" i="8"/>
  <c r="C6" i="8" s="1"/>
  <c r="C7" i="8" s="1"/>
  <c r="D122" i="15"/>
  <c r="E113" i="15"/>
  <c r="D113" i="15"/>
  <c r="E112" i="15"/>
  <c r="D112" i="15"/>
  <c r="E111" i="15"/>
  <c r="D111" i="15"/>
  <c r="E110" i="15"/>
  <c r="E121" i="15" s="1"/>
  <c r="D110" i="15"/>
  <c r="D121" i="15" s="1"/>
  <c r="F121" i="15" s="1"/>
  <c r="E109" i="15"/>
  <c r="E122" i="15" s="1"/>
  <c r="D109" i="15"/>
  <c r="G102" i="15"/>
  <c r="G101" i="15"/>
  <c r="G99" i="15"/>
  <c r="D98" i="15"/>
  <c r="G98" i="15" s="1"/>
  <c r="O90" i="15"/>
  <c r="N90" i="15"/>
  <c r="M90" i="15"/>
  <c r="L90" i="15"/>
  <c r="K90" i="15"/>
  <c r="P90" i="15" s="1"/>
  <c r="P89" i="15"/>
  <c r="P88" i="15"/>
  <c r="P87" i="15"/>
  <c r="P86" i="15"/>
  <c r="P85" i="15"/>
  <c r="O82" i="15"/>
  <c r="N82" i="15"/>
  <c r="M82" i="15"/>
  <c r="L82" i="15"/>
  <c r="P82" i="15" s="1"/>
  <c r="K82" i="15"/>
  <c r="P81" i="15"/>
  <c r="P80" i="15"/>
  <c r="P77" i="15"/>
  <c r="P76" i="15"/>
  <c r="P75" i="15"/>
  <c r="P74" i="15"/>
  <c r="P73" i="15"/>
  <c r="P71" i="15"/>
  <c r="P70" i="15"/>
  <c r="P69" i="15"/>
  <c r="P68" i="15"/>
  <c r="P67" i="15"/>
  <c r="P65" i="15"/>
  <c r="P64" i="15"/>
  <c r="P63" i="15"/>
  <c r="P62" i="15"/>
  <c r="P61" i="15"/>
  <c r="P59" i="15"/>
  <c r="P58" i="15"/>
  <c r="P57" i="15"/>
  <c r="P56" i="15"/>
  <c r="P55" i="15"/>
  <c r="P53" i="15"/>
  <c r="P52" i="15"/>
  <c r="P50" i="15"/>
  <c r="P49" i="15"/>
  <c r="P48" i="15"/>
  <c r="Q47" i="15"/>
  <c r="P47" i="15"/>
  <c r="D100" i="15" s="1"/>
  <c r="G100" i="15" s="1"/>
  <c r="Q46" i="15"/>
  <c r="P46" i="15"/>
  <c r="P34" i="15"/>
  <c r="P33" i="15"/>
  <c r="P32" i="15"/>
  <c r="P31" i="15"/>
  <c r="P30" i="15"/>
  <c r="P28" i="15"/>
  <c r="P27" i="15"/>
  <c r="P26" i="15"/>
  <c r="P25" i="15"/>
  <c r="P24" i="15"/>
  <c r="P22" i="15"/>
  <c r="P21" i="15"/>
  <c r="P20" i="15"/>
  <c r="P19" i="15"/>
  <c r="P18" i="15"/>
  <c r="P16" i="15"/>
  <c r="P15" i="15"/>
  <c r="P14" i="15"/>
  <c r="P13" i="15"/>
  <c r="P12" i="15"/>
  <c r="P10" i="15"/>
  <c r="P9" i="15"/>
  <c r="P7" i="15"/>
  <c r="P6" i="15"/>
  <c r="P5" i="15"/>
  <c r="P4" i="15"/>
  <c r="P3" i="15"/>
  <c r="E49" i="6"/>
  <c r="D49" i="6"/>
  <c r="F49" i="6" s="1"/>
  <c r="H30" i="6"/>
  <c r="J30" i="6" s="1"/>
  <c r="D29" i="6"/>
  <c r="G29" i="6" s="1"/>
  <c r="H29" i="6" s="1"/>
  <c r="J29" i="6" s="1"/>
  <c r="D28" i="6"/>
  <c r="G28" i="6" s="1"/>
  <c r="H28" i="6" s="1"/>
  <c r="J28" i="6" s="1"/>
  <c r="D27" i="6"/>
  <c r="G27" i="6" s="1"/>
  <c r="H27" i="6" s="1"/>
  <c r="J27" i="6" s="1"/>
  <c r="C22" i="6"/>
  <c r="F20" i="6"/>
  <c r="F19" i="6"/>
  <c r="H19" i="6" s="1"/>
  <c r="F18" i="6"/>
  <c r="H18" i="6" s="1"/>
  <c r="F17" i="6"/>
  <c r="H17" i="6" s="1"/>
  <c r="G16" i="6"/>
  <c r="F16" i="6"/>
  <c r="H16" i="6" s="1"/>
  <c r="H15" i="6"/>
  <c r="F15" i="6"/>
  <c r="H14" i="6"/>
  <c r="F14" i="6"/>
  <c r="H13" i="6"/>
  <c r="F13" i="6"/>
  <c r="H12" i="6"/>
  <c r="F12" i="6"/>
  <c r="H11" i="6"/>
  <c r="F11" i="6"/>
  <c r="H10" i="6"/>
  <c r="F10" i="6"/>
  <c r="H9" i="6"/>
  <c r="F9" i="6"/>
  <c r="H8" i="6"/>
  <c r="F8" i="6"/>
  <c r="P6" i="6"/>
  <c r="D30" i="6" s="1"/>
  <c r="G30" i="6" s="1"/>
  <c r="P5" i="6"/>
  <c r="P4" i="6"/>
  <c r="P3" i="6"/>
  <c r="P2" i="6"/>
  <c r="D26" i="6" s="1"/>
  <c r="G26" i="6" s="1"/>
  <c r="H26" i="6" s="1"/>
  <c r="J26" i="6" s="1"/>
  <c r="D52" i="7"/>
  <c r="E43" i="7"/>
  <c r="D43" i="7"/>
  <c r="E42" i="7"/>
  <c r="D42" i="7"/>
  <c r="E41" i="7"/>
  <c r="D41" i="7"/>
  <c r="E40" i="7"/>
  <c r="E51" i="7" s="1"/>
  <c r="D40" i="7"/>
  <c r="E39" i="7"/>
  <c r="E52" i="7" s="1"/>
  <c r="D39" i="7"/>
  <c r="D51" i="7" s="1"/>
  <c r="F51" i="7" s="1"/>
  <c r="G32" i="7"/>
  <c r="G31" i="7"/>
  <c r="G29" i="7"/>
  <c r="D28" i="7"/>
  <c r="G28" i="7" s="1"/>
  <c r="S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T23" i="7" s="1"/>
  <c r="T22" i="7"/>
  <c r="T21" i="7"/>
  <c r="R21" i="7"/>
  <c r="R23" i="7" s="1"/>
  <c r="P15" i="7"/>
  <c r="P14" i="7"/>
  <c r="Q13" i="7"/>
  <c r="P13" i="7"/>
  <c r="D30" i="7" s="1"/>
  <c r="G30" i="7" s="1"/>
  <c r="P12" i="7"/>
  <c r="Q11" i="7"/>
  <c r="P11" i="7"/>
  <c r="P6" i="7"/>
  <c r="P5" i="7"/>
  <c r="P4" i="7"/>
  <c r="P3" i="7"/>
  <c r="P2" i="7"/>
  <c r="S29" i="5"/>
  <c r="R29" i="5"/>
  <c r="Q29" i="5"/>
  <c r="P29" i="5"/>
  <c r="O29" i="5"/>
  <c r="N29" i="5"/>
  <c r="M29" i="5"/>
  <c r="L29" i="5"/>
  <c r="K29" i="5"/>
  <c r="J29" i="5"/>
  <c r="I29" i="5"/>
  <c r="H29" i="5"/>
  <c r="F29" i="5"/>
  <c r="T28" i="5"/>
  <c r="U28" i="5" s="1"/>
  <c r="G28" i="5"/>
  <c r="T27" i="5"/>
  <c r="U27" i="5" s="1"/>
  <c r="G27" i="5"/>
  <c r="U26" i="5"/>
  <c r="T26" i="5"/>
  <c r="G26" i="5"/>
  <c r="T25" i="5"/>
  <c r="U25" i="5" s="1"/>
  <c r="G25" i="5"/>
  <c r="T24" i="5"/>
  <c r="T29" i="5" s="1"/>
  <c r="G24" i="5"/>
  <c r="G29" i="5" s="1"/>
  <c r="S18" i="5"/>
  <c r="R18" i="5"/>
  <c r="Q18" i="5"/>
  <c r="P18" i="5"/>
  <c r="O18" i="5"/>
  <c r="N18" i="5"/>
  <c r="M18" i="5"/>
  <c r="L18" i="5"/>
  <c r="K18" i="5"/>
  <c r="J18" i="5"/>
  <c r="I18" i="5"/>
  <c r="H18" i="5"/>
  <c r="F18" i="5"/>
  <c r="U17" i="5"/>
  <c r="T17" i="5"/>
  <c r="G17" i="5"/>
  <c r="T16" i="5"/>
  <c r="U16" i="5" s="1"/>
  <c r="G16" i="5"/>
  <c r="U15" i="5"/>
  <c r="T15" i="5"/>
  <c r="G15" i="5"/>
  <c r="T14" i="5"/>
  <c r="U14" i="5" s="1"/>
  <c r="G14" i="5"/>
  <c r="U13" i="5"/>
  <c r="T13" i="5"/>
  <c r="T18" i="5" s="1"/>
  <c r="G13" i="5"/>
  <c r="G18" i="5" s="1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U8" i="5"/>
  <c r="T8" i="5"/>
  <c r="H48" i="5" s="1"/>
  <c r="G8" i="5"/>
  <c r="T7" i="5"/>
  <c r="H47" i="5" s="1"/>
  <c r="G7" i="5"/>
  <c r="U6" i="5"/>
  <c r="T6" i="5"/>
  <c r="G6" i="5"/>
  <c r="T5" i="5"/>
  <c r="U5" i="5" s="1"/>
  <c r="G5" i="5"/>
  <c r="U4" i="5"/>
  <c r="T4" i="5"/>
  <c r="T9" i="5" s="1"/>
  <c r="G4" i="5"/>
  <c r="Q2844" i="3"/>
  <c r="P2836" i="3"/>
  <c r="P2837" i="3" s="1"/>
  <c r="P2838" i="3" s="1"/>
  <c r="P2839" i="3" s="1"/>
  <c r="P2840" i="3" s="1"/>
  <c r="P2841" i="3" s="1"/>
  <c r="P2842" i="3" s="1"/>
  <c r="P2843" i="3" s="1"/>
  <c r="Q2831" i="3"/>
  <c r="AF2828" i="3"/>
  <c r="AE2828" i="3"/>
  <c r="V2828" i="3"/>
  <c r="U2828" i="3"/>
  <c r="S2828" i="3"/>
  <c r="P2823" i="3"/>
  <c r="P2824" i="3" s="1"/>
  <c r="P2825" i="3" s="1"/>
  <c r="P2826" i="3" s="1"/>
  <c r="P2827" i="3" s="1"/>
  <c r="P2828" i="3" s="1"/>
  <c r="P2829" i="3" s="1"/>
  <c r="P2830" i="3" s="1"/>
  <c r="Q2818" i="3"/>
  <c r="AE2815" i="3"/>
  <c r="V2815" i="3"/>
  <c r="U2815" i="3"/>
  <c r="S2815" i="3"/>
  <c r="P2809" i="3"/>
  <c r="P2810" i="3" s="1"/>
  <c r="P2811" i="3" s="1"/>
  <c r="P2812" i="3" s="1"/>
  <c r="P2813" i="3" s="1"/>
  <c r="P2814" i="3" s="1"/>
  <c r="P2815" i="3" s="1"/>
  <c r="P2816" i="3" s="1"/>
  <c r="Q2804" i="3"/>
  <c r="AE2802" i="3"/>
  <c r="V2802" i="3"/>
  <c r="U2802" i="3"/>
  <c r="S2802" i="3"/>
  <c r="P2795" i="3"/>
  <c r="P2796" i="3" s="1"/>
  <c r="P2797" i="3" s="1"/>
  <c r="P2798" i="3" s="1"/>
  <c r="P2799" i="3" s="1"/>
  <c r="P2800" i="3" s="1"/>
  <c r="P2801" i="3" s="1"/>
  <c r="P2802" i="3" s="1"/>
  <c r="Q2790" i="3"/>
  <c r="AE2788" i="3"/>
  <c r="V2788" i="3"/>
  <c r="U2788" i="3"/>
  <c r="S2788" i="3"/>
  <c r="P2781" i="3"/>
  <c r="P2782" i="3" s="1"/>
  <c r="P2783" i="3" s="1"/>
  <c r="P2784" i="3" s="1"/>
  <c r="P2785" i="3" s="1"/>
  <c r="P2786" i="3" s="1"/>
  <c r="P2787" i="3" s="1"/>
  <c r="P2788" i="3" s="1"/>
  <c r="AE2774" i="3"/>
  <c r="V2774" i="3"/>
  <c r="U2774" i="3"/>
  <c r="S2774" i="3"/>
  <c r="P2768" i="3"/>
  <c r="P2769" i="3" s="1"/>
  <c r="P2770" i="3" s="1"/>
  <c r="P2771" i="3" s="1"/>
  <c r="P2772" i="3" s="1"/>
  <c r="P2773" i="3" s="1"/>
  <c r="P2774" i="3" s="1"/>
  <c r="P2775" i="3" s="1"/>
  <c r="P2755" i="3"/>
  <c r="P2756" i="3" s="1"/>
  <c r="P2757" i="3" s="1"/>
  <c r="P2758" i="3" s="1"/>
  <c r="P2759" i="3" s="1"/>
  <c r="P2760" i="3" s="1"/>
  <c r="P2761" i="3" s="1"/>
  <c r="P2762" i="3" s="1"/>
  <c r="P2742" i="3"/>
  <c r="P2743" i="3" s="1"/>
  <c r="P2744" i="3" s="1"/>
  <c r="P2745" i="3" s="1"/>
  <c r="P2746" i="3" s="1"/>
  <c r="P2747" i="3" s="1"/>
  <c r="P2748" i="3" s="1"/>
  <c r="P2749" i="3" s="1"/>
  <c r="P2729" i="3"/>
  <c r="P2730" i="3" s="1"/>
  <c r="P2731" i="3" s="1"/>
  <c r="P2732" i="3" s="1"/>
  <c r="P2733" i="3" s="1"/>
  <c r="P2734" i="3" s="1"/>
  <c r="P2735" i="3" s="1"/>
  <c r="P2736" i="3" s="1"/>
  <c r="I2722" i="3"/>
  <c r="P2715" i="3"/>
  <c r="P2716" i="3" s="1"/>
  <c r="P2717" i="3" s="1"/>
  <c r="P2718" i="3" s="1"/>
  <c r="P2719" i="3" s="1"/>
  <c r="P2720" i="3" s="1"/>
  <c r="P2721" i="3" s="1"/>
  <c r="P2722" i="3" s="1"/>
  <c r="I2709" i="3"/>
  <c r="P2702" i="3"/>
  <c r="P2703" i="3" s="1"/>
  <c r="P2704" i="3" s="1"/>
  <c r="P2705" i="3" s="1"/>
  <c r="P2706" i="3" s="1"/>
  <c r="P2707" i="3" s="1"/>
  <c r="P2708" i="3" s="1"/>
  <c r="P2709" i="3" s="1"/>
  <c r="I2695" i="3"/>
  <c r="P2689" i="3"/>
  <c r="P2690" i="3" s="1"/>
  <c r="P2691" i="3" s="1"/>
  <c r="P2692" i="3" s="1"/>
  <c r="P2693" i="3" s="1"/>
  <c r="P2694" i="3" s="1"/>
  <c r="P2695" i="3" s="1"/>
  <c r="P2696" i="3" s="1"/>
  <c r="P2675" i="3"/>
  <c r="P2676" i="3" s="1"/>
  <c r="P2677" i="3" s="1"/>
  <c r="P2678" i="3" s="1"/>
  <c r="P2679" i="3" s="1"/>
  <c r="P2680" i="3" s="1"/>
  <c r="P2681" i="3" s="1"/>
  <c r="P2682" i="3" s="1"/>
  <c r="P2663" i="3"/>
  <c r="P2664" i="3" s="1"/>
  <c r="P2665" i="3" s="1"/>
  <c r="P2666" i="3" s="1"/>
  <c r="P2667" i="3" s="1"/>
  <c r="P2668" i="3" s="1"/>
  <c r="P2669" i="3" s="1"/>
  <c r="P2670" i="3" s="1"/>
  <c r="P2650" i="3"/>
  <c r="P2651" i="3" s="1"/>
  <c r="P2652" i="3" s="1"/>
  <c r="P2653" i="3" s="1"/>
  <c r="P2654" i="3" s="1"/>
  <c r="P2655" i="3" s="1"/>
  <c r="P2656" i="3" s="1"/>
  <c r="P2657" i="3" s="1"/>
  <c r="P2638" i="3"/>
  <c r="P2639" i="3" s="1"/>
  <c r="P2640" i="3" s="1"/>
  <c r="P2641" i="3" s="1"/>
  <c r="P2642" i="3" s="1"/>
  <c r="P2643" i="3" s="1"/>
  <c r="P2644" i="3" s="1"/>
  <c r="P2645" i="3" s="1"/>
  <c r="P2627" i="3"/>
  <c r="P2628" i="3" s="1"/>
  <c r="P2629" i="3" s="1"/>
  <c r="P2630" i="3" s="1"/>
  <c r="P2631" i="3" s="1"/>
  <c r="P2632" i="3" s="1"/>
  <c r="P2633" i="3" s="1"/>
  <c r="P2634" i="3" s="1"/>
  <c r="L2525" i="3"/>
  <c r="L2524" i="3"/>
  <c r="L2523" i="3"/>
  <c r="L2522" i="3"/>
  <c r="L2521" i="3"/>
  <c r="Q2509" i="3"/>
  <c r="Q2508" i="3"/>
  <c r="Q2507" i="3"/>
  <c r="Q2506" i="3"/>
  <c r="Q2505" i="3"/>
  <c r="P2276" i="3"/>
  <c r="S2260" i="3" s="1"/>
  <c r="V2260" i="3" s="1"/>
  <c r="P2275" i="3"/>
  <c r="S2259" i="3" s="1"/>
  <c r="V2259" i="3" s="1"/>
  <c r="P2274" i="3"/>
  <c r="S2258" i="3" s="1"/>
  <c r="V2258" i="3" s="1"/>
  <c r="P2273" i="3"/>
  <c r="S2257" i="3" s="1"/>
  <c r="V2257" i="3" s="1"/>
  <c r="P2272" i="3"/>
  <c r="S2256" i="3" s="1"/>
  <c r="V2256" i="3" s="1"/>
  <c r="Q2203" i="3"/>
  <c r="P2203" i="3"/>
  <c r="Q2202" i="3"/>
  <c r="P2202" i="3"/>
  <c r="Q2201" i="3"/>
  <c r="P2201" i="3"/>
  <c r="Q2200" i="3"/>
  <c r="P2200" i="3"/>
  <c r="Q2199" i="3"/>
  <c r="P2199" i="3"/>
  <c r="Q2195" i="3"/>
  <c r="P2195" i="3"/>
  <c r="Q2194" i="3"/>
  <c r="P2194" i="3"/>
  <c r="Q2193" i="3"/>
  <c r="P2193" i="3"/>
  <c r="Q2192" i="3"/>
  <c r="P2192" i="3"/>
  <c r="Q2191" i="3"/>
  <c r="P2191" i="3"/>
  <c r="Q2187" i="3"/>
  <c r="P2187" i="3"/>
  <c r="Q2186" i="3"/>
  <c r="P2186" i="3"/>
  <c r="Q2185" i="3"/>
  <c r="P2185" i="3"/>
  <c r="Q2184" i="3"/>
  <c r="P2184" i="3"/>
  <c r="Q2183" i="3"/>
  <c r="P2183" i="3"/>
  <c r="Q2179" i="3"/>
  <c r="P2179" i="3"/>
  <c r="Q2178" i="3"/>
  <c r="P2178" i="3"/>
  <c r="Q2177" i="3"/>
  <c r="P2177" i="3"/>
  <c r="Q2176" i="3"/>
  <c r="P2176" i="3"/>
  <c r="Q2175" i="3"/>
  <c r="P2175" i="3"/>
  <c r="Q2171" i="3"/>
  <c r="P2171" i="3"/>
  <c r="Q2170" i="3"/>
  <c r="P2170" i="3"/>
  <c r="Q2169" i="3"/>
  <c r="P2169" i="3"/>
  <c r="Q2168" i="3"/>
  <c r="P2168" i="3"/>
  <c r="Q2167" i="3"/>
  <c r="P2167" i="3"/>
  <c r="Q2163" i="3"/>
  <c r="P2163" i="3"/>
  <c r="Q2162" i="3"/>
  <c r="P2162" i="3"/>
  <c r="Q2161" i="3"/>
  <c r="P2161" i="3"/>
  <c r="Q2160" i="3"/>
  <c r="P2160" i="3"/>
  <c r="Q2159" i="3"/>
  <c r="P2159" i="3"/>
  <c r="Q2155" i="3"/>
  <c r="P2155" i="3"/>
  <c r="Q2154" i="3"/>
  <c r="P2154" i="3"/>
  <c r="Q2153" i="3"/>
  <c r="P2153" i="3"/>
  <c r="Q2152" i="3"/>
  <c r="P2152" i="3"/>
  <c r="Q2151" i="3"/>
  <c r="P2151" i="3"/>
  <c r="Q2147" i="3"/>
  <c r="P2147" i="3"/>
  <c r="Q2146" i="3"/>
  <c r="P2146" i="3"/>
  <c r="Q2145" i="3"/>
  <c r="P2145" i="3"/>
  <c r="Q2144" i="3"/>
  <c r="P2144" i="3"/>
  <c r="Q2143" i="3"/>
  <c r="P2143" i="3"/>
  <c r="Q2139" i="3"/>
  <c r="P2139" i="3"/>
  <c r="Q2138" i="3"/>
  <c r="P2138" i="3"/>
  <c r="Q2137" i="3"/>
  <c r="P2137" i="3"/>
  <c r="Q2136" i="3"/>
  <c r="P2136" i="3"/>
  <c r="Q2135" i="3"/>
  <c r="P2135" i="3"/>
  <c r="Q2131" i="3"/>
  <c r="P2131" i="3"/>
  <c r="Q2130" i="3"/>
  <c r="P2130" i="3"/>
  <c r="Q2129" i="3"/>
  <c r="P2129" i="3"/>
  <c r="Q2128" i="3"/>
  <c r="P2128" i="3"/>
  <c r="Q2127" i="3"/>
  <c r="P2127" i="3"/>
  <c r="Q2123" i="3"/>
  <c r="P2123" i="3"/>
  <c r="Q2122" i="3"/>
  <c r="P2122" i="3"/>
  <c r="Q2121" i="3"/>
  <c r="P2121" i="3"/>
  <c r="Q2120" i="3"/>
  <c r="P2120" i="3"/>
  <c r="Q2119" i="3"/>
  <c r="P2119" i="3"/>
  <c r="Q2115" i="3"/>
  <c r="P2115" i="3"/>
  <c r="N2115" i="3"/>
  <c r="Q2114" i="3"/>
  <c r="P2114" i="3"/>
  <c r="N2114" i="3"/>
  <c r="Q2113" i="3"/>
  <c r="P2113" i="3"/>
  <c r="N2113" i="3"/>
  <c r="Q2112" i="3"/>
  <c r="P2112" i="3"/>
  <c r="N2112" i="3"/>
  <c r="Q2111" i="3"/>
  <c r="P2111" i="3"/>
  <c r="N2111" i="3"/>
  <c r="Q2107" i="3"/>
  <c r="P2107" i="3"/>
  <c r="N2107" i="3"/>
  <c r="Q2106" i="3"/>
  <c r="P2106" i="3"/>
  <c r="N2106" i="3"/>
  <c r="Q2105" i="3"/>
  <c r="P2105" i="3"/>
  <c r="N2105" i="3"/>
  <c r="Q2104" i="3"/>
  <c r="P2104" i="3"/>
  <c r="N2104" i="3"/>
  <c r="Q2103" i="3"/>
  <c r="P2103" i="3"/>
  <c r="N2103" i="3"/>
  <c r="Q2099" i="3"/>
  <c r="P2099" i="3"/>
  <c r="N2099" i="3"/>
  <c r="Q2098" i="3"/>
  <c r="P2098" i="3"/>
  <c r="N2098" i="3"/>
  <c r="Q2097" i="3"/>
  <c r="P2097" i="3"/>
  <c r="N2097" i="3"/>
  <c r="Q2096" i="3"/>
  <c r="P2096" i="3"/>
  <c r="N2096" i="3"/>
  <c r="Q2095" i="3"/>
  <c r="P2095" i="3"/>
  <c r="N2095" i="3"/>
  <c r="Q2091" i="3"/>
  <c r="P2091" i="3"/>
  <c r="N2091" i="3"/>
  <c r="Q2090" i="3"/>
  <c r="P2090" i="3"/>
  <c r="N2090" i="3"/>
  <c r="Q2089" i="3"/>
  <c r="P2089" i="3"/>
  <c r="N2089" i="3"/>
  <c r="Q2088" i="3"/>
  <c r="P2088" i="3"/>
  <c r="N2088" i="3"/>
  <c r="Q2087" i="3"/>
  <c r="P2087" i="3"/>
  <c r="N2087" i="3"/>
  <c r="Q2083" i="3"/>
  <c r="P2083" i="3"/>
  <c r="L2083" i="3"/>
  <c r="N2083" i="3" s="1"/>
  <c r="Q2082" i="3"/>
  <c r="P2082" i="3"/>
  <c r="L2082" i="3"/>
  <c r="N2082" i="3" s="1"/>
  <c r="Q2081" i="3"/>
  <c r="P2081" i="3"/>
  <c r="N2081" i="3"/>
  <c r="Q2080" i="3"/>
  <c r="P2080" i="3"/>
  <c r="L2080" i="3"/>
  <c r="N2080" i="3" s="1"/>
  <c r="Q2079" i="3"/>
  <c r="P2079" i="3"/>
  <c r="N2079" i="3"/>
  <c r="Q2075" i="3"/>
  <c r="P2075" i="3"/>
  <c r="L2075" i="3"/>
  <c r="N2075" i="3" s="1"/>
  <c r="Q2074" i="3"/>
  <c r="P2074" i="3"/>
  <c r="L2074" i="3"/>
  <c r="N2074" i="3" s="1"/>
  <c r="Q2073" i="3"/>
  <c r="P2073" i="3"/>
  <c r="N2073" i="3"/>
  <c r="Q2072" i="3"/>
  <c r="P2072" i="3"/>
  <c r="L2072" i="3"/>
  <c r="N2072" i="3" s="1"/>
  <c r="Q2071" i="3"/>
  <c r="P2071" i="3"/>
  <c r="N2071" i="3"/>
  <c r="Q2067" i="3"/>
  <c r="P2067" i="3"/>
  <c r="N2067" i="3"/>
  <c r="Q2066" i="3"/>
  <c r="P2066" i="3"/>
  <c r="N2066" i="3"/>
  <c r="Q2065" i="3"/>
  <c r="P2065" i="3"/>
  <c r="N2065" i="3"/>
  <c r="Q2064" i="3"/>
  <c r="P2064" i="3"/>
  <c r="N2064" i="3"/>
  <c r="Q2063" i="3"/>
  <c r="P2063" i="3"/>
  <c r="N2063" i="3"/>
  <c r="Q2059" i="3"/>
  <c r="P2059" i="3"/>
  <c r="L2059" i="3"/>
  <c r="N2059" i="3" s="1"/>
  <c r="Q2058" i="3"/>
  <c r="P2058" i="3"/>
  <c r="L2058" i="3"/>
  <c r="N2058" i="3" s="1"/>
  <c r="Q2057" i="3"/>
  <c r="P2057" i="3"/>
  <c r="N2057" i="3"/>
  <c r="Q2056" i="3"/>
  <c r="P2056" i="3"/>
  <c r="L2056" i="3"/>
  <c r="N2056" i="3" s="1"/>
  <c r="Q2055" i="3"/>
  <c r="P2055" i="3"/>
  <c r="N2055" i="3"/>
  <c r="R2051" i="3"/>
  <c r="Q2051" i="3"/>
  <c r="P2051" i="3"/>
  <c r="L2051" i="3"/>
  <c r="N2051" i="3" s="1"/>
  <c r="R2050" i="3"/>
  <c r="Q2050" i="3"/>
  <c r="P2050" i="3"/>
  <c r="L2050" i="3"/>
  <c r="N2050" i="3" s="1"/>
  <c r="R2049" i="3"/>
  <c r="Q2049" i="3"/>
  <c r="P2049" i="3"/>
  <c r="N2049" i="3"/>
  <c r="R2048" i="3"/>
  <c r="Q2048" i="3"/>
  <c r="P2048" i="3"/>
  <c r="L2048" i="3"/>
  <c r="N2048" i="3" s="1"/>
  <c r="R2047" i="3"/>
  <c r="Q2047" i="3"/>
  <c r="P2047" i="3"/>
  <c r="N2047" i="3"/>
  <c r="R2043" i="3"/>
  <c r="Q2043" i="3"/>
  <c r="P2043" i="3"/>
  <c r="N2043" i="3"/>
  <c r="R2042" i="3"/>
  <c r="Q2042" i="3"/>
  <c r="P2042" i="3"/>
  <c r="N2042" i="3"/>
  <c r="R2041" i="3"/>
  <c r="Q2041" i="3"/>
  <c r="P2041" i="3"/>
  <c r="N2041" i="3"/>
  <c r="R2040" i="3"/>
  <c r="Q2040" i="3"/>
  <c r="P2040" i="3"/>
  <c r="L2040" i="3"/>
  <c r="N2040" i="3" s="1"/>
  <c r="R2039" i="3"/>
  <c r="Q2039" i="3"/>
  <c r="P2039" i="3"/>
  <c r="N2039" i="3"/>
  <c r="R2035" i="3"/>
  <c r="Q2035" i="3"/>
  <c r="P2035" i="3"/>
  <c r="N2035" i="3"/>
  <c r="R2034" i="3"/>
  <c r="Q2034" i="3"/>
  <c r="P2034" i="3"/>
  <c r="N2034" i="3"/>
  <c r="R2033" i="3"/>
  <c r="Q2033" i="3"/>
  <c r="P2033" i="3"/>
  <c r="N2033" i="3"/>
  <c r="R2032" i="3"/>
  <c r="Q2032" i="3"/>
  <c r="P2032" i="3"/>
  <c r="N2032" i="3"/>
  <c r="L2032" i="3"/>
  <c r="R2031" i="3"/>
  <c r="Q2031" i="3"/>
  <c r="P2031" i="3"/>
  <c r="N2031" i="3"/>
  <c r="R2027" i="3"/>
  <c r="Q2027" i="3"/>
  <c r="P2027" i="3"/>
  <c r="N2027" i="3"/>
  <c r="R2026" i="3"/>
  <c r="Q2026" i="3"/>
  <c r="P2026" i="3"/>
  <c r="N2026" i="3"/>
  <c r="R2025" i="3"/>
  <c r="Q2025" i="3"/>
  <c r="P2025" i="3"/>
  <c r="N2025" i="3"/>
  <c r="R2024" i="3"/>
  <c r="Q2024" i="3"/>
  <c r="P2024" i="3"/>
  <c r="L2024" i="3"/>
  <c r="N2024" i="3" s="1"/>
  <c r="R2023" i="3"/>
  <c r="Q2023" i="3"/>
  <c r="P2023" i="3"/>
  <c r="N2023" i="3"/>
  <c r="R2019" i="3"/>
  <c r="Q2019" i="3"/>
  <c r="P2019" i="3"/>
  <c r="L2019" i="3"/>
  <c r="N2019" i="3" s="1"/>
  <c r="R2018" i="3"/>
  <c r="Q2018" i="3"/>
  <c r="P2018" i="3"/>
  <c r="L2018" i="3"/>
  <c r="N2018" i="3" s="1"/>
  <c r="R2017" i="3"/>
  <c r="Q2017" i="3"/>
  <c r="P2017" i="3"/>
  <c r="N2017" i="3"/>
  <c r="R2016" i="3"/>
  <c r="Q2016" i="3"/>
  <c r="P2016" i="3"/>
  <c r="L2016" i="3"/>
  <c r="N2016" i="3" s="1"/>
  <c r="R2015" i="3"/>
  <c r="Q2015" i="3"/>
  <c r="P2015" i="3"/>
  <c r="N2015" i="3"/>
  <c r="R2011" i="3"/>
  <c r="Q2011" i="3"/>
  <c r="P2011" i="3"/>
  <c r="L2011" i="3"/>
  <c r="N2011" i="3" s="1"/>
  <c r="R2010" i="3"/>
  <c r="Q2010" i="3"/>
  <c r="P2010" i="3"/>
  <c r="L2010" i="3"/>
  <c r="N2010" i="3" s="1"/>
  <c r="R2009" i="3"/>
  <c r="Q2009" i="3"/>
  <c r="P2009" i="3"/>
  <c r="N2009" i="3"/>
  <c r="R2008" i="3"/>
  <c r="Q2008" i="3"/>
  <c r="P2008" i="3"/>
  <c r="L2008" i="3"/>
  <c r="N2008" i="3" s="1"/>
  <c r="R2007" i="3"/>
  <c r="Q2007" i="3"/>
  <c r="P2007" i="3"/>
  <c r="N2007" i="3"/>
  <c r="S2003" i="3"/>
  <c r="T2003" i="3" s="1"/>
  <c r="R2003" i="3"/>
  <c r="Q2003" i="3"/>
  <c r="P2003" i="3"/>
  <c r="L2003" i="3"/>
  <c r="N2003" i="3" s="1"/>
  <c r="S2002" i="3"/>
  <c r="T2002" i="3" s="1"/>
  <c r="R2002" i="3"/>
  <c r="Q2002" i="3"/>
  <c r="P2002" i="3"/>
  <c r="L2002" i="3"/>
  <c r="N2002" i="3" s="1"/>
  <c r="S2001" i="3"/>
  <c r="T2001" i="3" s="1"/>
  <c r="U2001" i="3" s="1"/>
  <c r="R2001" i="3"/>
  <c r="Q2001" i="3"/>
  <c r="P2001" i="3"/>
  <c r="N2001" i="3"/>
  <c r="T2000" i="3"/>
  <c r="U2000" i="3" s="1"/>
  <c r="R2000" i="3"/>
  <c r="Q2000" i="3"/>
  <c r="P2000" i="3"/>
  <c r="L2000" i="3"/>
  <c r="N2000" i="3" s="1"/>
  <c r="T1999" i="3"/>
  <c r="V1999" i="3" s="1"/>
  <c r="R1999" i="3"/>
  <c r="Q1999" i="3"/>
  <c r="P1999" i="3"/>
  <c r="N1999" i="3"/>
  <c r="S1995" i="3"/>
  <c r="T1995" i="3" s="1"/>
  <c r="R1995" i="3"/>
  <c r="Q1995" i="3"/>
  <c r="P1995" i="3"/>
  <c r="L1995" i="3"/>
  <c r="N1995" i="3" s="1"/>
  <c r="S1994" i="3"/>
  <c r="T1994" i="3" s="1"/>
  <c r="V1994" i="3" s="1"/>
  <c r="R1994" i="3"/>
  <c r="Q1994" i="3"/>
  <c r="P1994" i="3"/>
  <c r="L1994" i="3"/>
  <c r="N1994" i="3" s="1"/>
  <c r="S1993" i="3"/>
  <c r="T1993" i="3" s="1"/>
  <c r="R1993" i="3"/>
  <c r="Q1993" i="3"/>
  <c r="P1993" i="3"/>
  <c r="N1993" i="3"/>
  <c r="T1992" i="3"/>
  <c r="U1992" i="3" s="1"/>
  <c r="R1992" i="3"/>
  <c r="Q1992" i="3"/>
  <c r="P1992" i="3"/>
  <c r="L1992" i="3"/>
  <c r="N1992" i="3" s="1"/>
  <c r="T1991" i="3"/>
  <c r="U1991" i="3" s="1"/>
  <c r="R1991" i="3"/>
  <c r="Q1991" i="3"/>
  <c r="P1991" i="3"/>
  <c r="N1991" i="3"/>
  <c r="S1987" i="3"/>
  <c r="T1987" i="3" s="1"/>
  <c r="R1987" i="3"/>
  <c r="Q1987" i="3"/>
  <c r="P1987" i="3"/>
  <c r="L1987" i="3"/>
  <c r="N1987" i="3" s="1"/>
  <c r="S1986" i="3"/>
  <c r="T1986" i="3" s="1"/>
  <c r="R1986" i="3"/>
  <c r="Q1986" i="3"/>
  <c r="P1986" i="3"/>
  <c r="L1986" i="3"/>
  <c r="N1986" i="3" s="1"/>
  <c r="S1985" i="3"/>
  <c r="T1985" i="3" s="1"/>
  <c r="R1985" i="3"/>
  <c r="Q1985" i="3"/>
  <c r="P1985" i="3"/>
  <c r="N1985" i="3"/>
  <c r="T1984" i="3"/>
  <c r="V1984" i="3" s="1"/>
  <c r="R1984" i="3"/>
  <c r="Q1984" i="3"/>
  <c r="P1984" i="3"/>
  <c r="L1984" i="3"/>
  <c r="N1984" i="3" s="1"/>
  <c r="T1983" i="3"/>
  <c r="V1983" i="3" s="1"/>
  <c r="R1983" i="3"/>
  <c r="Q1983" i="3"/>
  <c r="P1983" i="3"/>
  <c r="N1983" i="3"/>
  <c r="T1979" i="3"/>
  <c r="U1979" i="3" s="1"/>
  <c r="AA1979" i="3" s="1"/>
  <c r="S1979" i="3"/>
  <c r="R1979" i="3"/>
  <c r="Q1979" i="3"/>
  <c r="L1979" i="3"/>
  <c r="O1979" i="3" s="1"/>
  <c r="T1978" i="3"/>
  <c r="U1978" i="3" s="1"/>
  <c r="S1978" i="3"/>
  <c r="R1978" i="3"/>
  <c r="Q1978" i="3"/>
  <c r="L1978" i="3"/>
  <c r="P1978" i="3" s="1"/>
  <c r="T1977" i="3"/>
  <c r="U1977" i="3" s="1"/>
  <c r="V1977" i="3" s="1"/>
  <c r="S1977" i="3"/>
  <c r="R1977" i="3"/>
  <c r="Q1977" i="3"/>
  <c r="P1977" i="3"/>
  <c r="O1977" i="3"/>
  <c r="U1976" i="3"/>
  <c r="S1976" i="3"/>
  <c r="R1976" i="3"/>
  <c r="Q1976" i="3"/>
  <c r="L1976" i="3"/>
  <c r="P1976" i="3" s="1"/>
  <c r="U1975" i="3"/>
  <c r="AA1975" i="3" s="1"/>
  <c r="S1975" i="3"/>
  <c r="R1975" i="3"/>
  <c r="Q1975" i="3"/>
  <c r="P1975" i="3"/>
  <c r="O1975" i="3"/>
  <c r="U1971" i="3"/>
  <c r="V1971" i="3" s="1"/>
  <c r="AB1971" i="3" s="1"/>
  <c r="T1971" i="3"/>
  <c r="S1971" i="3"/>
  <c r="R1971" i="3"/>
  <c r="L1971" i="3"/>
  <c r="P1971" i="3" s="1"/>
  <c r="Q1971" i="3" s="1"/>
  <c r="U1970" i="3"/>
  <c r="V1970" i="3" s="1"/>
  <c r="T1970" i="3"/>
  <c r="S1970" i="3"/>
  <c r="R1970" i="3"/>
  <c r="L1970" i="3"/>
  <c r="P1970" i="3" s="1"/>
  <c r="Q1970" i="3" s="1"/>
  <c r="U1969" i="3"/>
  <c r="V1969" i="3" s="1"/>
  <c r="T1969" i="3"/>
  <c r="S1969" i="3"/>
  <c r="R1969" i="3"/>
  <c r="P1969" i="3"/>
  <c r="Q1969" i="3" s="1"/>
  <c r="V1968" i="3"/>
  <c r="AB1968" i="3" s="1"/>
  <c r="T1968" i="3"/>
  <c r="S1968" i="3"/>
  <c r="R1968" i="3"/>
  <c r="L1968" i="3"/>
  <c r="P1968" i="3" s="1"/>
  <c r="Q1968" i="3" s="1"/>
  <c r="V1967" i="3"/>
  <c r="AA1967" i="3" s="1"/>
  <c r="T1967" i="3"/>
  <c r="S1967" i="3"/>
  <c r="R1967" i="3"/>
  <c r="P1967" i="3"/>
  <c r="Q1967" i="3" s="1"/>
  <c r="AB1963" i="3"/>
  <c r="T1963" i="3"/>
  <c r="U1963" i="3" s="1"/>
  <c r="S1963" i="3"/>
  <c r="R1963" i="3"/>
  <c r="Q1963" i="3"/>
  <c r="O1963" i="3"/>
  <c r="P1963" i="3" s="1"/>
  <c r="AB1962" i="3"/>
  <c r="T1962" i="3"/>
  <c r="U1962" i="3" s="1"/>
  <c r="AA1962" i="3" s="1"/>
  <c r="S1962" i="3"/>
  <c r="R1962" i="3"/>
  <c r="Q1962" i="3"/>
  <c r="O1962" i="3"/>
  <c r="P1962" i="3" s="1"/>
  <c r="AB1961" i="3"/>
  <c r="T1961" i="3"/>
  <c r="U1961" i="3" s="1"/>
  <c r="S1961" i="3"/>
  <c r="R1961" i="3"/>
  <c r="Q1961" i="3"/>
  <c r="O1961" i="3"/>
  <c r="P1961" i="3" s="1"/>
  <c r="AB1960" i="3"/>
  <c r="U1960" i="3"/>
  <c r="AA1960" i="3" s="1"/>
  <c r="S1960" i="3"/>
  <c r="R1960" i="3"/>
  <c r="Q1960" i="3"/>
  <c r="O1960" i="3"/>
  <c r="P1960" i="3" s="1"/>
  <c r="AB1959" i="3"/>
  <c r="U1959" i="3"/>
  <c r="V1959" i="3" s="1"/>
  <c r="S1959" i="3"/>
  <c r="R1959" i="3"/>
  <c r="Q1959" i="3"/>
  <c r="O1959" i="3"/>
  <c r="P1959" i="3" s="1"/>
  <c r="AR1955" i="3"/>
  <c r="AQ1955" i="3"/>
  <c r="AM1955" i="3"/>
  <c r="AN1955" i="3" s="1"/>
  <c r="AL1955" i="3"/>
  <c r="AK1955" i="3"/>
  <c r="AJ1955" i="3"/>
  <c r="O1955" i="3"/>
  <c r="AR1954" i="3"/>
  <c r="AQ1954" i="3"/>
  <c r="AM1954" i="3"/>
  <c r="AN1954" i="3" s="1"/>
  <c r="AL1954" i="3"/>
  <c r="AK1954" i="3"/>
  <c r="AJ1954" i="3"/>
  <c r="O1954" i="3"/>
  <c r="AR1953" i="3"/>
  <c r="AQ1953" i="3"/>
  <c r="AM1953" i="3"/>
  <c r="AN1953" i="3" s="1"/>
  <c r="AL1953" i="3"/>
  <c r="AK1953" i="3"/>
  <c r="AJ1953" i="3"/>
  <c r="O1953" i="3"/>
  <c r="AR1952" i="3"/>
  <c r="AQ1952" i="3"/>
  <c r="AN1952" i="3"/>
  <c r="AO1952" i="3" s="1"/>
  <c r="AL1952" i="3"/>
  <c r="AK1952" i="3"/>
  <c r="AJ1952" i="3"/>
  <c r="O1952" i="3"/>
  <c r="AR1951" i="3"/>
  <c r="AQ1951" i="3"/>
  <c r="AN1951" i="3"/>
  <c r="AL1951" i="3"/>
  <c r="AK1951" i="3"/>
  <c r="AJ1951" i="3"/>
  <c r="O1951" i="3"/>
  <c r="AR1947" i="3"/>
  <c r="AQ1947" i="3"/>
  <c r="AM1947" i="3"/>
  <c r="AN1947" i="3" s="1"/>
  <c r="AL1947" i="3"/>
  <c r="AK1947" i="3"/>
  <c r="L1947" i="3" s="1"/>
  <c r="AJ1947" i="3"/>
  <c r="O1947" i="3"/>
  <c r="M1947" i="3"/>
  <c r="AR1946" i="3"/>
  <c r="AQ1946" i="3"/>
  <c r="AM1946" i="3"/>
  <c r="AN1946" i="3" s="1"/>
  <c r="AP1946" i="3" s="1"/>
  <c r="AL1946" i="3"/>
  <c r="AK1946" i="3"/>
  <c r="L1946" i="3" s="1"/>
  <c r="AJ1946" i="3"/>
  <c r="O1946" i="3"/>
  <c r="M1946" i="3"/>
  <c r="AR1945" i="3"/>
  <c r="AQ1945" i="3"/>
  <c r="AM1945" i="3"/>
  <c r="AN1945" i="3" s="1"/>
  <c r="AL1945" i="3"/>
  <c r="AK1945" i="3"/>
  <c r="L1945" i="3" s="1"/>
  <c r="AJ1945" i="3"/>
  <c r="O1945" i="3"/>
  <c r="M1945" i="3"/>
  <c r="AR1944" i="3"/>
  <c r="AQ1944" i="3"/>
  <c r="AN1944" i="3"/>
  <c r="AP1944" i="3" s="1"/>
  <c r="AL1944" i="3"/>
  <c r="AK1944" i="3"/>
  <c r="L1944" i="3" s="1"/>
  <c r="M1936" i="3" s="1"/>
  <c r="AJ1944" i="3"/>
  <c r="O1944" i="3"/>
  <c r="M1944" i="3"/>
  <c r="AR1943" i="3"/>
  <c r="AQ1943" i="3"/>
  <c r="AN1943" i="3"/>
  <c r="AP1943" i="3" s="1"/>
  <c r="AL1943" i="3"/>
  <c r="AK1943" i="3"/>
  <c r="L1943" i="3" s="1"/>
  <c r="AJ1943" i="3"/>
  <c r="O1943" i="3"/>
  <c r="M1943" i="3"/>
  <c r="AS1939" i="3"/>
  <c r="AR1939" i="3"/>
  <c r="AQ1939" i="3"/>
  <c r="AM1939" i="3"/>
  <c r="AN1939" i="3" s="1"/>
  <c r="AL1939" i="3"/>
  <c r="AK1939" i="3"/>
  <c r="O1939" i="3"/>
  <c r="AJ1939" i="3" s="1"/>
  <c r="L1939" i="3"/>
  <c r="AS1938" i="3"/>
  <c r="AR1938" i="3"/>
  <c r="AQ1938" i="3"/>
  <c r="AP1938" i="3"/>
  <c r="AO1938" i="3"/>
  <c r="AM1938" i="3"/>
  <c r="AL1938" i="3"/>
  <c r="AK1938" i="3"/>
  <c r="O1938" i="3"/>
  <c r="AJ1938" i="3" s="1"/>
  <c r="AS1937" i="3"/>
  <c r="AR1937" i="3"/>
  <c r="AQ1937" i="3"/>
  <c r="AP1937" i="3"/>
  <c r="AO1937" i="3"/>
  <c r="AM1937" i="3"/>
  <c r="AL1937" i="3"/>
  <c r="AK1937" i="3"/>
  <c r="O1937" i="3"/>
  <c r="AJ1937" i="3" s="1"/>
  <c r="L1937" i="3"/>
  <c r="AS1936" i="3"/>
  <c r="AR1936" i="3"/>
  <c r="AQ1936" i="3"/>
  <c r="AP1936" i="3"/>
  <c r="AO1936" i="3"/>
  <c r="AL1936" i="3"/>
  <c r="AK1936" i="3"/>
  <c r="O1936" i="3"/>
  <c r="AJ1936" i="3" s="1"/>
  <c r="L1936" i="3"/>
  <c r="AS1935" i="3"/>
  <c r="AR1935" i="3"/>
  <c r="AQ1935" i="3"/>
  <c r="AP1935" i="3"/>
  <c r="AO1935" i="3"/>
  <c r="AL1935" i="3"/>
  <c r="AK1935" i="3"/>
  <c r="O1935" i="3"/>
  <c r="AJ1935" i="3" s="1"/>
  <c r="L1935" i="3"/>
  <c r="AS1931" i="3"/>
  <c r="AR1931" i="3"/>
  <c r="AQ1931" i="3"/>
  <c r="AM1931" i="3"/>
  <c r="AN1931" i="3" s="1"/>
  <c r="AO1931" i="3" s="1"/>
  <c r="AL1931" i="3"/>
  <c r="AK1931" i="3"/>
  <c r="AJ1931" i="3"/>
  <c r="O1931" i="3"/>
  <c r="M1931" i="3"/>
  <c r="AS1930" i="3"/>
  <c r="AR1930" i="3"/>
  <c r="AQ1930" i="3"/>
  <c r="AP1930" i="3"/>
  <c r="AO1930" i="3"/>
  <c r="AM1930" i="3"/>
  <c r="AL1930" i="3"/>
  <c r="AK1930" i="3"/>
  <c r="L1930" i="3" s="1"/>
  <c r="M1922" i="3" s="1"/>
  <c r="AJ1930" i="3"/>
  <c r="O1930" i="3"/>
  <c r="M1930" i="3"/>
  <c r="AS1929" i="3"/>
  <c r="AR1929" i="3"/>
  <c r="AQ1929" i="3"/>
  <c r="AP1929" i="3"/>
  <c r="AO1929" i="3"/>
  <c r="AM1929" i="3"/>
  <c r="AL1929" i="3"/>
  <c r="AK1929" i="3"/>
  <c r="AJ1929" i="3"/>
  <c r="O1929" i="3"/>
  <c r="M1929" i="3"/>
  <c r="AS1928" i="3"/>
  <c r="AR1928" i="3"/>
  <c r="AQ1928" i="3"/>
  <c r="AP1928" i="3"/>
  <c r="AO1928" i="3"/>
  <c r="AL1928" i="3"/>
  <c r="AK1928" i="3"/>
  <c r="L1928" i="3" s="1"/>
  <c r="AJ1928" i="3"/>
  <c r="O1928" i="3"/>
  <c r="M1928" i="3"/>
  <c r="AS1927" i="3"/>
  <c r="AR1927" i="3"/>
  <c r="AQ1927" i="3"/>
  <c r="AP1927" i="3"/>
  <c r="AO1927" i="3"/>
  <c r="AL1927" i="3"/>
  <c r="AK1927" i="3"/>
  <c r="L1927" i="3" s="1"/>
  <c r="M1919" i="3" s="1"/>
  <c r="AJ1927" i="3"/>
  <c r="O1927" i="3"/>
  <c r="M1927" i="3"/>
  <c r="AS1923" i="3"/>
  <c r="AM1923" i="3"/>
  <c r="AN1923" i="3" s="1"/>
  <c r="AP1923" i="3" s="1"/>
  <c r="AJ1923" i="3"/>
  <c r="L1923" i="3"/>
  <c r="G1923" i="3"/>
  <c r="AR1923" i="3" s="1"/>
  <c r="F1923" i="3"/>
  <c r="AS1922" i="3"/>
  <c r="AR1922" i="3"/>
  <c r="AQ1922" i="3"/>
  <c r="AP1922" i="3"/>
  <c r="AO1922" i="3"/>
  <c r="AM1922" i="3"/>
  <c r="AJ1922" i="3"/>
  <c r="O1922" i="3"/>
  <c r="L1922" i="3"/>
  <c r="F1922" i="3"/>
  <c r="AS1921" i="3"/>
  <c r="AP1921" i="3"/>
  <c r="AM1921" i="3"/>
  <c r="AJ1921" i="3"/>
  <c r="L1921" i="3"/>
  <c r="G1921" i="3"/>
  <c r="O1921" i="3" s="1"/>
  <c r="F1921" i="3"/>
  <c r="AS1920" i="3"/>
  <c r="AP1920" i="3"/>
  <c r="AJ1920" i="3"/>
  <c r="L1920" i="3"/>
  <c r="G1920" i="3"/>
  <c r="F1920" i="3"/>
  <c r="AS1919" i="3"/>
  <c r="AR1919" i="3"/>
  <c r="AQ1919" i="3"/>
  <c r="AP1919" i="3"/>
  <c r="AO1919" i="3"/>
  <c r="AJ1919" i="3"/>
  <c r="O1919" i="3"/>
  <c r="L1919" i="3"/>
  <c r="F1919" i="3"/>
  <c r="AS1915" i="3"/>
  <c r="AQ1915" i="3"/>
  <c r="AM1915" i="3"/>
  <c r="AN1915" i="3" s="1"/>
  <c r="AP1915" i="3" s="1"/>
  <c r="AJ1915" i="3"/>
  <c r="O1915" i="3"/>
  <c r="L1915" i="3"/>
  <c r="AS1914" i="3"/>
  <c r="AR1914" i="3"/>
  <c r="AQ1914" i="3"/>
  <c r="AP1914" i="3"/>
  <c r="AO1914" i="3"/>
  <c r="AM1914" i="3"/>
  <c r="AK1914" i="3"/>
  <c r="M1914" i="3" s="1"/>
  <c r="AJ1914" i="3"/>
  <c r="O1914" i="3"/>
  <c r="L1914" i="3"/>
  <c r="F1914" i="3"/>
  <c r="AS1913" i="3"/>
  <c r="AQ1913" i="3"/>
  <c r="AP1913" i="3"/>
  <c r="AO1913" i="3"/>
  <c r="AM1913" i="3"/>
  <c r="AJ1913" i="3"/>
  <c r="O1913" i="3"/>
  <c r="L1913" i="3"/>
  <c r="AS1912" i="3"/>
  <c r="AQ1912" i="3"/>
  <c r="AP1912" i="3"/>
  <c r="AO1912" i="3"/>
  <c r="AJ1912" i="3"/>
  <c r="O1912" i="3"/>
  <c r="L1912" i="3"/>
  <c r="AS1911" i="3"/>
  <c r="AR1911" i="3"/>
  <c r="AQ1911" i="3"/>
  <c r="AP1911" i="3"/>
  <c r="AO1911" i="3"/>
  <c r="AK1911" i="3"/>
  <c r="AJ1911" i="3"/>
  <c r="O1911" i="3"/>
  <c r="L1911" i="3"/>
  <c r="F1911" i="3"/>
  <c r="AS1907" i="3"/>
  <c r="AR1907" i="3"/>
  <c r="AQ1907" i="3"/>
  <c r="AM1907" i="3"/>
  <c r="AN1907" i="3" s="1"/>
  <c r="AP1907" i="3" s="1"/>
  <c r="AK1907" i="3"/>
  <c r="F1907" i="3" s="1"/>
  <c r="AJ1907" i="3"/>
  <c r="O1907" i="3"/>
  <c r="M1907" i="3"/>
  <c r="AS1906" i="3"/>
  <c r="AR1906" i="3"/>
  <c r="AQ1906" i="3"/>
  <c r="AP1906" i="3"/>
  <c r="AO1906" i="3"/>
  <c r="AM1906" i="3"/>
  <c r="AK1906" i="3"/>
  <c r="F1906" i="3" s="1"/>
  <c r="AJ1906" i="3"/>
  <c r="O1906" i="3"/>
  <c r="M1906" i="3"/>
  <c r="AS1905" i="3"/>
  <c r="AR1905" i="3"/>
  <c r="AQ1905" i="3"/>
  <c r="AP1905" i="3"/>
  <c r="AO1905" i="3"/>
  <c r="AM1905" i="3"/>
  <c r="AK1905" i="3"/>
  <c r="F1905" i="3" s="1"/>
  <c r="AJ1905" i="3"/>
  <c r="O1905" i="3"/>
  <c r="M1905" i="3"/>
  <c r="AS1904" i="3"/>
  <c r="AR1904" i="3"/>
  <c r="AQ1904" i="3"/>
  <c r="AP1904" i="3"/>
  <c r="AO1904" i="3"/>
  <c r="AK1904" i="3"/>
  <c r="F1904" i="3" s="1"/>
  <c r="AJ1904" i="3"/>
  <c r="O1904" i="3"/>
  <c r="M1904" i="3"/>
  <c r="AS1903" i="3"/>
  <c r="AR1903" i="3"/>
  <c r="AQ1903" i="3"/>
  <c r="AP1903" i="3"/>
  <c r="AO1903" i="3"/>
  <c r="AK1903" i="3"/>
  <c r="F1903" i="3" s="1"/>
  <c r="AJ1903" i="3"/>
  <c r="O1903" i="3"/>
  <c r="M1903" i="3"/>
  <c r="AS1899" i="3"/>
  <c r="AR1899" i="3"/>
  <c r="AQ1899" i="3"/>
  <c r="AM1899" i="3"/>
  <c r="AN1899" i="3" s="1"/>
  <c r="AK1899" i="3"/>
  <c r="AJ1899" i="3"/>
  <c r="O1899" i="3"/>
  <c r="L1899" i="3"/>
  <c r="F1899" i="3"/>
  <c r="AS1898" i="3"/>
  <c r="AR1898" i="3"/>
  <c r="AQ1898" i="3"/>
  <c r="AP1898" i="3"/>
  <c r="AO1898" i="3"/>
  <c r="AM1898" i="3"/>
  <c r="AK1898" i="3"/>
  <c r="AJ1898" i="3"/>
  <c r="O1898" i="3"/>
  <c r="L1898" i="3"/>
  <c r="F1898" i="3"/>
  <c r="AS1897" i="3"/>
  <c r="AR1897" i="3"/>
  <c r="AQ1897" i="3"/>
  <c r="AP1897" i="3"/>
  <c r="AO1897" i="3"/>
  <c r="AM1897" i="3"/>
  <c r="AK1897" i="3"/>
  <c r="AJ1897" i="3"/>
  <c r="O1897" i="3"/>
  <c r="L1897" i="3"/>
  <c r="F1897" i="3"/>
  <c r="AS1896" i="3"/>
  <c r="AR1896" i="3"/>
  <c r="AQ1896" i="3"/>
  <c r="AP1896" i="3"/>
  <c r="AO1896" i="3"/>
  <c r="AK1896" i="3"/>
  <c r="AJ1896" i="3"/>
  <c r="O1896" i="3"/>
  <c r="L1896" i="3"/>
  <c r="F1896" i="3"/>
  <c r="AS1895" i="3"/>
  <c r="AR1895" i="3"/>
  <c r="AQ1895" i="3"/>
  <c r="AP1895" i="3"/>
  <c r="AO1895" i="3"/>
  <c r="AK1895" i="3"/>
  <c r="AJ1895" i="3"/>
  <c r="O1895" i="3"/>
  <c r="L1895" i="3"/>
  <c r="F1895" i="3"/>
  <c r="AS1891" i="3"/>
  <c r="AR1891" i="3"/>
  <c r="AQ1891" i="3"/>
  <c r="AM1891" i="3"/>
  <c r="AN1891" i="3" s="1"/>
  <c r="AO1891" i="3" s="1"/>
  <c r="AK1891" i="3"/>
  <c r="AJ1891" i="3"/>
  <c r="O1891" i="3"/>
  <c r="M1891" i="3"/>
  <c r="F1891" i="3"/>
  <c r="AS1890" i="3"/>
  <c r="AR1890" i="3"/>
  <c r="AQ1890" i="3"/>
  <c r="AP1890" i="3"/>
  <c r="AO1890" i="3"/>
  <c r="AM1890" i="3"/>
  <c r="AK1890" i="3"/>
  <c r="AJ1890" i="3"/>
  <c r="O1890" i="3"/>
  <c r="M1890" i="3"/>
  <c r="F1890" i="3"/>
  <c r="AS1889" i="3"/>
  <c r="AR1889" i="3"/>
  <c r="AQ1889" i="3"/>
  <c r="AP1889" i="3"/>
  <c r="AO1889" i="3"/>
  <c r="AM1889" i="3"/>
  <c r="AK1889" i="3"/>
  <c r="AJ1889" i="3"/>
  <c r="O1889" i="3"/>
  <c r="M1889" i="3"/>
  <c r="F1889" i="3"/>
  <c r="AS1888" i="3"/>
  <c r="AR1888" i="3"/>
  <c r="AQ1888" i="3"/>
  <c r="AP1888" i="3"/>
  <c r="AO1888" i="3"/>
  <c r="AK1888" i="3"/>
  <c r="AJ1888" i="3"/>
  <c r="O1888" i="3"/>
  <c r="M1888" i="3"/>
  <c r="F1888" i="3"/>
  <c r="AS1887" i="3"/>
  <c r="AR1887" i="3"/>
  <c r="AQ1887" i="3"/>
  <c r="AP1887" i="3"/>
  <c r="AO1887" i="3"/>
  <c r="AK1887" i="3"/>
  <c r="AJ1887" i="3"/>
  <c r="O1887" i="3"/>
  <c r="M1887" i="3"/>
  <c r="F1887" i="3"/>
  <c r="AS1883" i="3"/>
  <c r="AR1883" i="3"/>
  <c r="AQ1883" i="3"/>
  <c r="AM1883" i="3"/>
  <c r="AN1883" i="3" s="1"/>
  <c r="AK1883" i="3"/>
  <c r="AJ1883" i="3"/>
  <c r="AJ1875" i="3" s="1"/>
  <c r="AJ1867" i="3" s="1"/>
  <c r="O1883" i="3"/>
  <c r="M1883" i="3"/>
  <c r="F1883" i="3"/>
  <c r="AS1882" i="3"/>
  <c r="AR1882" i="3"/>
  <c r="AQ1882" i="3"/>
  <c r="AP1882" i="3"/>
  <c r="AO1882" i="3"/>
  <c r="AM1882" i="3"/>
  <c r="AK1882" i="3"/>
  <c r="AJ1882" i="3"/>
  <c r="AJ1874" i="3" s="1"/>
  <c r="AJ1866" i="3" s="1"/>
  <c r="O1882" i="3"/>
  <c r="M1882" i="3"/>
  <c r="F1882" i="3"/>
  <c r="AS1881" i="3"/>
  <c r="AR1881" i="3"/>
  <c r="AQ1881" i="3"/>
  <c r="AP1881" i="3"/>
  <c r="AO1881" i="3"/>
  <c r="AM1881" i="3"/>
  <c r="AK1881" i="3"/>
  <c r="AJ1881" i="3"/>
  <c r="AJ1873" i="3" s="1"/>
  <c r="AJ1865" i="3" s="1"/>
  <c r="O1881" i="3"/>
  <c r="M1881" i="3"/>
  <c r="F1881" i="3"/>
  <c r="AS1880" i="3"/>
  <c r="AR1880" i="3"/>
  <c r="AQ1880" i="3"/>
  <c r="AP1880" i="3"/>
  <c r="AO1880" i="3"/>
  <c r="AK1880" i="3"/>
  <c r="AJ1880" i="3"/>
  <c r="AJ1872" i="3" s="1"/>
  <c r="AJ1864" i="3" s="1"/>
  <c r="O1880" i="3"/>
  <c r="M1880" i="3"/>
  <c r="F1880" i="3"/>
  <c r="AS1879" i="3"/>
  <c r="AR1879" i="3"/>
  <c r="AQ1879" i="3"/>
  <c r="AP1879" i="3"/>
  <c r="AO1879" i="3"/>
  <c r="AK1879" i="3"/>
  <c r="AJ1879" i="3"/>
  <c r="AJ1871" i="3" s="1"/>
  <c r="AJ1863" i="3" s="1"/>
  <c r="O1879" i="3"/>
  <c r="M1879" i="3"/>
  <c r="F1879" i="3"/>
  <c r="AS1875" i="3"/>
  <c r="AR1875" i="3"/>
  <c r="AQ1875" i="3"/>
  <c r="AM1875" i="3"/>
  <c r="AN1875" i="3" s="1"/>
  <c r="AK1875" i="3"/>
  <c r="O1875" i="3"/>
  <c r="L1875" i="3"/>
  <c r="F1875" i="3"/>
  <c r="AS1874" i="3"/>
  <c r="AR1874" i="3"/>
  <c r="AQ1874" i="3"/>
  <c r="AP1874" i="3"/>
  <c r="AO1874" i="3"/>
  <c r="AM1874" i="3"/>
  <c r="AK1874" i="3"/>
  <c r="O1874" i="3"/>
  <c r="L1874" i="3"/>
  <c r="F1874" i="3"/>
  <c r="AS1873" i="3"/>
  <c r="AR1873" i="3"/>
  <c r="AQ1873" i="3"/>
  <c r="AP1873" i="3"/>
  <c r="AO1873" i="3"/>
  <c r="AM1873" i="3"/>
  <c r="AK1873" i="3"/>
  <c r="O1873" i="3"/>
  <c r="L1873" i="3"/>
  <c r="F1873" i="3"/>
  <c r="AS1872" i="3"/>
  <c r="AR1872" i="3"/>
  <c r="AQ1872" i="3"/>
  <c r="AP1872" i="3"/>
  <c r="AO1872" i="3"/>
  <c r="AK1872" i="3"/>
  <c r="O1872" i="3"/>
  <c r="L1872" i="3"/>
  <c r="F1872" i="3"/>
  <c r="AS1871" i="3"/>
  <c r="AR1871" i="3"/>
  <c r="AQ1871" i="3"/>
  <c r="AP1871" i="3"/>
  <c r="AO1871" i="3"/>
  <c r="AK1871" i="3"/>
  <c r="O1871" i="3"/>
  <c r="L1871" i="3"/>
  <c r="F1871" i="3"/>
  <c r="AS1867" i="3"/>
  <c r="AR1867" i="3"/>
  <c r="AQ1867" i="3"/>
  <c r="AM1867" i="3"/>
  <c r="AN1867" i="3" s="1"/>
  <c r="AK1867" i="3"/>
  <c r="O1867" i="3"/>
  <c r="L1867" i="3"/>
  <c r="F1867" i="3"/>
  <c r="AS1866" i="3"/>
  <c r="AR1866" i="3"/>
  <c r="AQ1866" i="3"/>
  <c r="AP1866" i="3"/>
  <c r="AO1866" i="3"/>
  <c r="AM1866" i="3"/>
  <c r="AK1866" i="3"/>
  <c r="O1866" i="3"/>
  <c r="L1866" i="3"/>
  <c r="F1866" i="3"/>
  <c r="AS1865" i="3"/>
  <c r="AR1865" i="3"/>
  <c r="AQ1865" i="3"/>
  <c r="AP1865" i="3"/>
  <c r="AO1865" i="3"/>
  <c r="AM1865" i="3"/>
  <c r="AK1865" i="3"/>
  <c r="O1865" i="3"/>
  <c r="L1865" i="3"/>
  <c r="F1865" i="3"/>
  <c r="AS1864" i="3"/>
  <c r="AR1864" i="3"/>
  <c r="AQ1864" i="3"/>
  <c r="AP1864" i="3"/>
  <c r="AO1864" i="3"/>
  <c r="AK1864" i="3"/>
  <c r="O1864" i="3"/>
  <c r="L1864" i="3"/>
  <c r="F1864" i="3"/>
  <c r="AS1863" i="3"/>
  <c r="AR1863" i="3"/>
  <c r="AQ1863" i="3"/>
  <c r="AP1863" i="3"/>
  <c r="AO1863" i="3"/>
  <c r="AK1863" i="3"/>
  <c r="M1863" i="3" s="1"/>
  <c r="O1863" i="3"/>
  <c r="L1863" i="3"/>
  <c r="F1863" i="3"/>
  <c r="AS1859" i="3"/>
  <c r="AR1859" i="3"/>
  <c r="AQ1859" i="3"/>
  <c r="AM1859" i="3"/>
  <c r="AN1859" i="3" s="1"/>
  <c r="AK1859" i="3"/>
  <c r="O1859" i="3"/>
  <c r="L1859" i="3"/>
  <c r="F1859" i="3"/>
  <c r="AS1858" i="3"/>
  <c r="AR1858" i="3"/>
  <c r="AQ1858" i="3"/>
  <c r="AP1858" i="3"/>
  <c r="AO1858" i="3"/>
  <c r="AM1858" i="3"/>
  <c r="AK1858" i="3"/>
  <c r="M1858" i="3" s="1"/>
  <c r="O1858" i="3"/>
  <c r="L1858" i="3"/>
  <c r="F1858" i="3"/>
  <c r="AS1857" i="3"/>
  <c r="AR1857" i="3"/>
  <c r="AQ1857" i="3"/>
  <c r="AP1857" i="3"/>
  <c r="AO1857" i="3"/>
  <c r="AM1857" i="3"/>
  <c r="AK1857" i="3"/>
  <c r="O1857" i="3"/>
  <c r="L1857" i="3"/>
  <c r="F1857" i="3"/>
  <c r="AS1856" i="3"/>
  <c r="AR1856" i="3"/>
  <c r="AQ1856" i="3"/>
  <c r="AP1856" i="3"/>
  <c r="AO1856" i="3"/>
  <c r="AK1856" i="3"/>
  <c r="O1856" i="3"/>
  <c r="L1856" i="3"/>
  <c r="F1856" i="3"/>
  <c r="AS1855" i="3"/>
  <c r="AR1855" i="3"/>
  <c r="AQ1855" i="3"/>
  <c r="AP1855" i="3"/>
  <c r="AO1855" i="3"/>
  <c r="AK1855" i="3"/>
  <c r="O1855" i="3"/>
  <c r="L1855" i="3"/>
  <c r="F1855" i="3"/>
  <c r="AS1851" i="3"/>
  <c r="AR1851" i="3"/>
  <c r="AQ1851" i="3"/>
  <c r="AM1851" i="3"/>
  <c r="AN1851" i="3" s="1"/>
  <c r="AP1851" i="3" s="1"/>
  <c r="AK1851" i="3"/>
  <c r="O1851" i="3"/>
  <c r="L1851" i="3"/>
  <c r="F1851" i="3"/>
  <c r="AS1850" i="3"/>
  <c r="AR1850" i="3"/>
  <c r="AQ1850" i="3"/>
  <c r="AP1850" i="3"/>
  <c r="AO1850" i="3"/>
  <c r="AM1850" i="3"/>
  <c r="AK1850" i="3"/>
  <c r="O1850" i="3"/>
  <c r="L1850" i="3"/>
  <c r="F1850" i="3"/>
  <c r="AS1849" i="3"/>
  <c r="AR1849" i="3"/>
  <c r="AQ1849" i="3"/>
  <c r="AP1849" i="3"/>
  <c r="AO1849" i="3"/>
  <c r="AM1849" i="3"/>
  <c r="AK1849" i="3"/>
  <c r="O1849" i="3"/>
  <c r="L1849" i="3"/>
  <c r="F1849" i="3"/>
  <c r="AS1848" i="3"/>
  <c r="AR1848" i="3"/>
  <c r="AQ1848" i="3"/>
  <c r="AP1848" i="3"/>
  <c r="AO1848" i="3"/>
  <c r="AK1848" i="3"/>
  <c r="O1848" i="3"/>
  <c r="L1848" i="3"/>
  <c r="F1848" i="3"/>
  <c r="AS1847" i="3"/>
  <c r="AR1847" i="3"/>
  <c r="AQ1847" i="3"/>
  <c r="AP1847" i="3"/>
  <c r="AO1847" i="3"/>
  <c r="AK1847" i="3"/>
  <c r="O1847" i="3"/>
  <c r="L1847" i="3"/>
  <c r="F1847" i="3"/>
  <c r="AS1843" i="3"/>
  <c r="AR1843" i="3"/>
  <c r="AQ1843" i="3"/>
  <c r="AM1843" i="3"/>
  <c r="AN1843" i="3" s="1"/>
  <c r="AO1843" i="3" s="1"/>
  <c r="AK1843" i="3"/>
  <c r="O1843" i="3"/>
  <c r="L1843" i="3"/>
  <c r="F1843" i="3"/>
  <c r="AS1842" i="3"/>
  <c r="AR1842" i="3"/>
  <c r="AQ1842" i="3"/>
  <c r="AP1842" i="3"/>
  <c r="AO1842" i="3"/>
  <c r="AM1842" i="3"/>
  <c r="AK1842" i="3"/>
  <c r="AJ1842" i="3"/>
  <c r="O1842" i="3"/>
  <c r="L1842" i="3"/>
  <c r="F1842" i="3"/>
  <c r="AS1841" i="3"/>
  <c r="AR1841" i="3"/>
  <c r="AQ1841" i="3"/>
  <c r="AP1841" i="3"/>
  <c r="AO1841" i="3"/>
  <c r="AM1841" i="3"/>
  <c r="AK1841" i="3"/>
  <c r="AJ1841" i="3"/>
  <c r="O1841" i="3"/>
  <c r="L1841" i="3"/>
  <c r="F1841" i="3"/>
  <c r="AS1840" i="3"/>
  <c r="AR1840" i="3"/>
  <c r="AQ1840" i="3"/>
  <c r="AP1840" i="3"/>
  <c r="AO1840" i="3"/>
  <c r="AK1840" i="3"/>
  <c r="O1840" i="3"/>
  <c r="L1840" i="3"/>
  <c r="F1840" i="3"/>
  <c r="AS1839" i="3"/>
  <c r="AR1839" i="3"/>
  <c r="AQ1839" i="3"/>
  <c r="AP1839" i="3"/>
  <c r="AO1839" i="3"/>
  <c r="AK1839" i="3"/>
  <c r="O1839" i="3"/>
  <c r="L1839" i="3"/>
  <c r="F1839" i="3"/>
  <c r="AS1835" i="3"/>
  <c r="AR1835" i="3"/>
  <c r="AQ1835" i="3"/>
  <c r="AM1835" i="3"/>
  <c r="AN1835" i="3" s="1"/>
  <c r="AO1835" i="3" s="1"/>
  <c r="AK1835" i="3"/>
  <c r="M1835" i="3" s="1"/>
  <c r="O1835" i="3"/>
  <c r="L1835" i="3"/>
  <c r="F1835" i="3"/>
  <c r="AS1834" i="3"/>
  <c r="AR1834" i="3"/>
  <c r="AQ1834" i="3"/>
  <c r="AP1834" i="3"/>
  <c r="AO1834" i="3"/>
  <c r="AM1834" i="3"/>
  <c r="AK1834" i="3"/>
  <c r="O1834" i="3"/>
  <c r="L1834" i="3"/>
  <c r="F1834" i="3"/>
  <c r="AS1833" i="3"/>
  <c r="AR1833" i="3"/>
  <c r="AQ1833" i="3"/>
  <c r="AP1833" i="3"/>
  <c r="AO1833" i="3"/>
  <c r="AM1833" i="3"/>
  <c r="AK1833" i="3"/>
  <c r="O1833" i="3"/>
  <c r="L1833" i="3"/>
  <c r="F1833" i="3"/>
  <c r="AS1832" i="3"/>
  <c r="AR1832" i="3"/>
  <c r="AQ1832" i="3"/>
  <c r="AP1832" i="3"/>
  <c r="AO1832" i="3"/>
  <c r="AK1832" i="3"/>
  <c r="O1832" i="3"/>
  <c r="L1832" i="3"/>
  <c r="F1832" i="3"/>
  <c r="AS1831" i="3"/>
  <c r="AR1831" i="3"/>
  <c r="AQ1831" i="3"/>
  <c r="AP1831" i="3"/>
  <c r="AO1831" i="3"/>
  <c r="AK1831" i="3"/>
  <c r="O1831" i="3"/>
  <c r="L1831" i="3"/>
  <c r="F1831" i="3"/>
  <c r="AS1827" i="3"/>
  <c r="AR1827" i="3"/>
  <c r="AQ1827" i="3"/>
  <c r="AM1827" i="3"/>
  <c r="AN1827" i="3" s="1"/>
  <c r="AK1827" i="3"/>
  <c r="O1827" i="3"/>
  <c r="L1827" i="3"/>
  <c r="F1827" i="3"/>
  <c r="AS1826" i="3"/>
  <c r="AR1826" i="3"/>
  <c r="AQ1826" i="3"/>
  <c r="AP1826" i="3"/>
  <c r="AO1826" i="3"/>
  <c r="AM1826" i="3"/>
  <c r="AK1826" i="3"/>
  <c r="O1826" i="3"/>
  <c r="L1826" i="3"/>
  <c r="F1826" i="3"/>
  <c r="AS1825" i="3"/>
  <c r="AR1825" i="3"/>
  <c r="AQ1825" i="3"/>
  <c r="AP1825" i="3"/>
  <c r="AO1825" i="3"/>
  <c r="AM1825" i="3"/>
  <c r="AK1825" i="3"/>
  <c r="O1825" i="3"/>
  <c r="L1825" i="3"/>
  <c r="F1825" i="3"/>
  <c r="AS1824" i="3"/>
  <c r="AR1824" i="3"/>
  <c r="AQ1824" i="3"/>
  <c r="AP1824" i="3"/>
  <c r="AO1824" i="3"/>
  <c r="AK1824" i="3"/>
  <c r="O1824" i="3"/>
  <c r="L1824" i="3"/>
  <c r="F1824" i="3"/>
  <c r="AS1823" i="3"/>
  <c r="AR1823" i="3"/>
  <c r="AQ1823" i="3"/>
  <c r="AP1823" i="3"/>
  <c r="AO1823" i="3"/>
  <c r="AK1823" i="3"/>
  <c r="O1823" i="3"/>
  <c r="L1823" i="3"/>
  <c r="F1823" i="3"/>
  <c r="AS1819" i="3"/>
  <c r="AR1819" i="3"/>
  <c r="AQ1819" i="3"/>
  <c r="AM1819" i="3"/>
  <c r="AN1819" i="3" s="1"/>
  <c r="AK1819" i="3"/>
  <c r="O1819" i="3"/>
  <c r="M1819" i="3"/>
  <c r="F1819" i="3"/>
  <c r="AS1818" i="3"/>
  <c r="AR1818" i="3"/>
  <c r="AQ1818" i="3"/>
  <c r="AP1818" i="3"/>
  <c r="AO1818" i="3"/>
  <c r="AM1818" i="3"/>
  <c r="AK1818" i="3"/>
  <c r="O1818" i="3"/>
  <c r="M1818" i="3"/>
  <c r="F1818" i="3"/>
  <c r="AS1817" i="3"/>
  <c r="AR1817" i="3"/>
  <c r="AQ1817" i="3"/>
  <c r="AP1817" i="3"/>
  <c r="AO1817" i="3"/>
  <c r="AM1817" i="3"/>
  <c r="AK1817" i="3"/>
  <c r="O1817" i="3"/>
  <c r="M1817" i="3"/>
  <c r="F1817" i="3"/>
  <c r="AS1816" i="3"/>
  <c r="AR1816" i="3"/>
  <c r="AQ1816" i="3"/>
  <c r="AP1816" i="3"/>
  <c r="AO1816" i="3"/>
  <c r="AK1816" i="3"/>
  <c r="O1816" i="3"/>
  <c r="M1816" i="3"/>
  <c r="F1816" i="3"/>
  <c r="AS1815" i="3"/>
  <c r="AR1815" i="3"/>
  <c r="AQ1815" i="3"/>
  <c r="AP1815" i="3"/>
  <c r="AO1815" i="3"/>
  <c r="AK1815" i="3"/>
  <c r="O1815" i="3"/>
  <c r="M1815" i="3"/>
  <c r="F1815" i="3"/>
  <c r="AS1811" i="3"/>
  <c r="AR1811" i="3"/>
  <c r="AQ1811" i="3"/>
  <c r="AM1811" i="3"/>
  <c r="AN1811" i="3" s="1"/>
  <c r="AP1811" i="3" s="1"/>
  <c r="AK1811" i="3"/>
  <c r="O1811" i="3"/>
  <c r="M1811" i="3"/>
  <c r="F1811" i="3"/>
  <c r="AS1810" i="3"/>
  <c r="AR1810" i="3"/>
  <c r="AQ1810" i="3"/>
  <c r="AP1810" i="3"/>
  <c r="AO1810" i="3"/>
  <c r="AM1810" i="3"/>
  <c r="AK1810" i="3"/>
  <c r="O1810" i="3"/>
  <c r="M1810" i="3"/>
  <c r="F1810" i="3"/>
  <c r="AS1809" i="3"/>
  <c r="AR1809" i="3"/>
  <c r="AQ1809" i="3"/>
  <c r="AP1809" i="3"/>
  <c r="AO1809" i="3"/>
  <c r="AM1809" i="3"/>
  <c r="AK1809" i="3"/>
  <c r="O1809" i="3"/>
  <c r="M1809" i="3"/>
  <c r="F1809" i="3"/>
  <c r="AS1808" i="3"/>
  <c r="AR1808" i="3"/>
  <c r="AQ1808" i="3"/>
  <c r="AP1808" i="3"/>
  <c r="AO1808" i="3"/>
  <c r="AK1808" i="3"/>
  <c r="O1808" i="3"/>
  <c r="M1808" i="3"/>
  <c r="F1808" i="3"/>
  <c r="AS1807" i="3"/>
  <c r="AR1807" i="3"/>
  <c r="AQ1807" i="3"/>
  <c r="AP1807" i="3"/>
  <c r="AO1807" i="3"/>
  <c r="AK1807" i="3"/>
  <c r="O1807" i="3"/>
  <c r="M1807" i="3"/>
  <c r="F1807" i="3"/>
  <c r="AS1803" i="3"/>
  <c r="AR1803" i="3"/>
  <c r="AQ1803" i="3"/>
  <c r="AM1803" i="3"/>
  <c r="AN1803" i="3" s="1"/>
  <c r="AO1803" i="3" s="1"/>
  <c r="AK1803" i="3"/>
  <c r="F1803" i="3" s="1"/>
  <c r="O1803" i="3"/>
  <c r="L1803" i="3"/>
  <c r="AS1802" i="3"/>
  <c r="AR1802" i="3"/>
  <c r="AQ1802" i="3"/>
  <c r="AP1802" i="3"/>
  <c r="AO1802" i="3"/>
  <c r="AM1802" i="3"/>
  <c r="AK1802" i="3"/>
  <c r="F1802" i="3" s="1"/>
  <c r="O1802" i="3"/>
  <c r="L1802" i="3"/>
  <c r="AS1801" i="3"/>
  <c r="AR1801" i="3"/>
  <c r="AQ1801" i="3"/>
  <c r="AP1801" i="3"/>
  <c r="AO1801" i="3"/>
  <c r="AM1801" i="3"/>
  <c r="AK1801" i="3"/>
  <c r="F1801" i="3" s="1"/>
  <c r="O1801" i="3"/>
  <c r="L1801" i="3"/>
  <c r="AS1800" i="3"/>
  <c r="AR1800" i="3"/>
  <c r="AQ1800" i="3"/>
  <c r="AP1800" i="3"/>
  <c r="AO1800" i="3"/>
  <c r="AK1800" i="3"/>
  <c r="F1800" i="3" s="1"/>
  <c r="O1800" i="3"/>
  <c r="L1800" i="3"/>
  <c r="M1792" i="3" s="1"/>
  <c r="AS1799" i="3"/>
  <c r="AR1799" i="3"/>
  <c r="AQ1799" i="3"/>
  <c r="AP1799" i="3"/>
  <c r="AO1799" i="3"/>
  <c r="AK1799" i="3"/>
  <c r="F1799" i="3" s="1"/>
  <c r="O1799" i="3"/>
  <c r="L1799" i="3"/>
  <c r="AS1795" i="3"/>
  <c r="AR1795" i="3"/>
  <c r="AQ1795" i="3"/>
  <c r="AM1795" i="3"/>
  <c r="AN1795" i="3" s="1"/>
  <c r="AK1795" i="3"/>
  <c r="AJ1795" i="3"/>
  <c r="O1795" i="3"/>
  <c r="L1795" i="3"/>
  <c r="AS1794" i="3"/>
  <c r="AR1794" i="3"/>
  <c r="AQ1794" i="3"/>
  <c r="AP1794" i="3"/>
  <c r="AO1794" i="3"/>
  <c r="AM1794" i="3"/>
  <c r="AK1794" i="3"/>
  <c r="F1794" i="3" s="1"/>
  <c r="AJ1794" i="3"/>
  <c r="O1794" i="3"/>
  <c r="L1794" i="3"/>
  <c r="AS1793" i="3"/>
  <c r="AR1793" i="3"/>
  <c r="AQ1793" i="3"/>
  <c r="AP1793" i="3"/>
  <c r="AO1793" i="3"/>
  <c r="AM1793" i="3"/>
  <c r="AK1793" i="3"/>
  <c r="AJ1793" i="3"/>
  <c r="O1793" i="3"/>
  <c r="L1793" i="3"/>
  <c r="AS1792" i="3"/>
  <c r="AR1792" i="3"/>
  <c r="AQ1792" i="3"/>
  <c r="AP1792" i="3"/>
  <c r="AO1792" i="3"/>
  <c r="AK1792" i="3"/>
  <c r="F1792" i="3" s="1"/>
  <c r="AJ1792" i="3"/>
  <c r="O1792" i="3"/>
  <c r="L1792" i="3"/>
  <c r="AS1791" i="3"/>
  <c r="AR1791" i="3"/>
  <c r="AQ1791" i="3"/>
  <c r="AP1791" i="3"/>
  <c r="AO1791" i="3"/>
  <c r="AK1791" i="3"/>
  <c r="F1791" i="3" s="1"/>
  <c r="AJ1791" i="3"/>
  <c r="O1791" i="3"/>
  <c r="L1791" i="3"/>
  <c r="AS1787" i="3"/>
  <c r="AR1787" i="3"/>
  <c r="AQ1787" i="3"/>
  <c r="AM1787" i="3"/>
  <c r="AN1787" i="3" s="1"/>
  <c r="AP1787" i="3" s="1"/>
  <c r="AK1787" i="3"/>
  <c r="F1787" i="3" s="1"/>
  <c r="AJ1787" i="3"/>
  <c r="O1787" i="3"/>
  <c r="L1787" i="3"/>
  <c r="AS1786" i="3"/>
  <c r="AR1786" i="3"/>
  <c r="AQ1786" i="3"/>
  <c r="AP1786" i="3"/>
  <c r="AO1786" i="3"/>
  <c r="AM1786" i="3"/>
  <c r="AK1786" i="3"/>
  <c r="F1786" i="3" s="1"/>
  <c r="AJ1786" i="3"/>
  <c r="O1786" i="3"/>
  <c r="L1786" i="3"/>
  <c r="AS1785" i="3"/>
  <c r="AR1785" i="3"/>
  <c r="AQ1785" i="3"/>
  <c r="AP1785" i="3"/>
  <c r="AO1785" i="3"/>
  <c r="AM1785" i="3"/>
  <c r="AK1785" i="3"/>
  <c r="F1785" i="3" s="1"/>
  <c r="AJ1785" i="3"/>
  <c r="O1785" i="3"/>
  <c r="L1785" i="3"/>
  <c r="AS1784" i="3"/>
  <c r="AR1784" i="3"/>
  <c r="AQ1784" i="3"/>
  <c r="AP1784" i="3"/>
  <c r="AO1784" i="3"/>
  <c r="AK1784" i="3"/>
  <c r="F1784" i="3" s="1"/>
  <c r="AJ1784" i="3"/>
  <c r="O1784" i="3"/>
  <c r="L1784" i="3"/>
  <c r="AS1783" i="3"/>
  <c r="AR1783" i="3"/>
  <c r="AQ1783" i="3"/>
  <c r="AP1783" i="3"/>
  <c r="AO1783" i="3"/>
  <c r="AK1783" i="3"/>
  <c r="AJ1783" i="3"/>
  <c r="O1783" i="3"/>
  <c r="L1783" i="3"/>
  <c r="AS1779" i="3"/>
  <c r="AR1779" i="3"/>
  <c r="AQ1779" i="3"/>
  <c r="AM1779" i="3"/>
  <c r="AN1779" i="3" s="1"/>
  <c r="AP1779" i="3" s="1"/>
  <c r="AK1779" i="3"/>
  <c r="F1779" i="3" s="1"/>
  <c r="AJ1779" i="3"/>
  <c r="O1779" i="3"/>
  <c r="L1779" i="3"/>
  <c r="AS1778" i="3"/>
  <c r="AR1778" i="3"/>
  <c r="AQ1778" i="3"/>
  <c r="AP1778" i="3"/>
  <c r="AO1778" i="3"/>
  <c r="AM1778" i="3"/>
  <c r="AK1778" i="3"/>
  <c r="F1778" i="3" s="1"/>
  <c r="AJ1778" i="3"/>
  <c r="O1778" i="3"/>
  <c r="L1778" i="3"/>
  <c r="AS1777" i="3"/>
  <c r="AR1777" i="3"/>
  <c r="AQ1777" i="3"/>
  <c r="AP1777" i="3"/>
  <c r="AO1777" i="3"/>
  <c r="AM1777" i="3"/>
  <c r="AK1777" i="3"/>
  <c r="F1777" i="3" s="1"/>
  <c r="AJ1777" i="3"/>
  <c r="O1777" i="3"/>
  <c r="L1777" i="3"/>
  <c r="AS1776" i="3"/>
  <c r="AR1776" i="3"/>
  <c r="AQ1776" i="3"/>
  <c r="AP1776" i="3"/>
  <c r="AO1776" i="3"/>
  <c r="AK1776" i="3"/>
  <c r="M1776" i="3" s="1"/>
  <c r="AJ1776" i="3"/>
  <c r="O1776" i="3"/>
  <c r="L1776" i="3"/>
  <c r="AS1775" i="3"/>
  <c r="AR1775" i="3"/>
  <c r="AQ1775" i="3"/>
  <c r="AP1775" i="3"/>
  <c r="AO1775" i="3"/>
  <c r="AK1775" i="3"/>
  <c r="F1775" i="3" s="1"/>
  <c r="AJ1775" i="3"/>
  <c r="O1775" i="3"/>
  <c r="L1775" i="3"/>
  <c r="AS1771" i="3"/>
  <c r="AR1771" i="3"/>
  <c r="AQ1771" i="3"/>
  <c r="AM1771" i="3"/>
  <c r="AN1771" i="3" s="1"/>
  <c r="AP1771" i="3" s="1"/>
  <c r="AK1771" i="3"/>
  <c r="AJ1771" i="3"/>
  <c r="O1771" i="3"/>
  <c r="L1771" i="3"/>
  <c r="AS1770" i="3"/>
  <c r="AR1770" i="3"/>
  <c r="AQ1770" i="3"/>
  <c r="AP1770" i="3"/>
  <c r="AO1770" i="3"/>
  <c r="AM1770" i="3"/>
  <c r="AK1770" i="3"/>
  <c r="F1770" i="3" s="1"/>
  <c r="AJ1770" i="3"/>
  <c r="O1770" i="3"/>
  <c r="L1770" i="3"/>
  <c r="AS1769" i="3"/>
  <c r="AR1769" i="3"/>
  <c r="AQ1769" i="3"/>
  <c r="AP1769" i="3"/>
  <c r="AO1769" i="3"/>
  <c r="AM1769" i="3"/>
  <c r="AK1769" i="3"/>
  <c r="AJ1769" i="3"/>
  <c r="O1769" i="3"/>
  <c r="L1769" i="3"/>
  <c r="AS1768" i="3"/>
  <c r="AR1768" i="3"/>
  <c r="AQ1768" i="3"/>
  <c r="AP1768" i="3"/>
  <c r="AO1768" i="3"/>
  <c r="AK1768" i="3"/>
  <c r="F1768" i="3" s="1"/>
  <c r="AJ1768" i="3"/>
  <c r="O1768" i="3"/>
  <c r="L1768" i="3"/>
  <c r="AS1767" i="3"/>
  <c r="AR1767" i="3"/>
  <c r="AQ1767" i="3"/>
  <c r="AP1767" i="3"/>
  <c r="AO1767" i="3"/>
  <c r="AK1767" i="3"/>
  <c r="F1767" i="3" s="1"/>
  <c r="AJ1767" i="3"/>
  <c r="O1767" i="3"/>
  <c r="L1767" i="3"/>
  <c r="AS1763" i="3"/>
  <c r="AR1763" i="3"/>
  <c r="AQ1763" i="3"/>
  <c r="AM1763" i="3"/>
  <c r="AN1763" i="3" s="1"/>
  <c r="AK1763" i="3"/>
  <c r="F1763" i="3" s="1"/>
  <c r="AJ1763" i="3"/>
  <c r="O1763" i="3"/>
  <c r="L1763" i="3"/>
  <c r="AS1762" i="3"/>
  <c r="AR1762" i="3"/>
  <c r="AQ1762" i="3"/>
  <c r="AP1762" i="3"/>
  <c r="AO1762" i="3"/>
  <c r="AM1762" i="3"/>
  <c r="AK1762" i="3"/>
  <c r="F1762" i="3" s="1"/>
  <c r="AJ1762" i="3"/>
  <c r="O1762" i="3"/>
  <c r="L1762" i="3"/>
  <c r="AS1761" i="3"/>
  <c r="AR1761" i="3"/>
  <c r="AQ1761" i="3"/>
  <c r="AP1761" i="3"/>
  <c r="AO1761" i="3"/>
  <c r="AM1761" i="3"/>
  <c r="AK1761" i="3"/>
  <c r="F1761" i="3" s="1"/>
  <c r="AJ1761" i="3"/>
  <c r="O1761" i="3"/>
  <c r="L1761" i="3"/>
  <c r="AS1760" i="3"/>
  <c r="AR1760" i="3"/>
  <c r="AQ1760" i="3"/>
  <c r="AP1760" i="3"/>
  <c r="AO1760" i="3"/>
  <c r="AK1760" i="3"/>
  <c r="F1760" i="3" s="1"/>
  <c r="AJ1760" i="3"/>
  <c r="O1760" i="3"/>
  <c r="L1760" i="3"/>
  <c r="AS1759" i="3"/>
  <c r="AR1759" i="3"/>
  <c r="AQ1759" i="3"/>
  <c r="AP1759" i="3"/>
  <c r="AO1759" i="3"/>
  <c r="AK1759" i="3"/>
  <c r="F1759" i="3" s="1"/>
  <c r="AJ1759" i="3"/>
  <c r="O1759" i="3"/>
  <c r="L1759" i="3"/>
  <c r="AS1755" i="3"/>
  <c r="AR1755" i="3"/>
  <c r="AQ1755" i="3"/>
  <c r="AM1755" i="3"/>
  <c r="AN1755" i="3" s="1"/>
  <c r="AK1755" i="3"/>
  <c r="F1755" i="3" s="1"/>
  <c r="AJ1755" i="3"/>
  <c r="O1755" i="3"/>
  <c r="L1755" i="3"/>
  <c r="AS1754" i="3"/>
  <c r="AR1754" i="3"/>
  <c r="AQ1754" i="3"/>
  <c r="AP1754" i="3"/>
  <c r="AO1754" i="3"/>
  <c r="AM1754" i="3"/>
  <c r="AK1754" i="3"/>
  <c r="F1754" i="3" s="1"/>
  <c r="AJ1754" i="3"/>
  <c r="O1754" i="3"/>
  <c r="L1754" i="3"/>
  <c r="AS1753" i="3"/>
  <c r="AR1753" i="3"/>
  <c r="AQ1753" i="3"/>
  <c r="AP1753" i="3"/>
  <c r="AO1753" i="3"/>
  <c r="AM1753" i="3"/>
  <c r="AK1753" i="3"/>
  <c r="F1753" i="3" s="1"/>
  <c r="AJ1753" i="3"/>
  <c r="O1753" i="3"/>
  <c r="L1753" i="3"/>
  <c r="AS1752" i="3"/>
  <c r="AR1752" i="3"/>
  <c r="AQ1752" i="3"/>
  <c r="AP1752" i="3"/>
  <c r="AO1752" i="3"/>
  <c r="AK1752" i="3"/>
  <c r="F1752" i="3" s="1"/>
  <c r="AJ1752" i="3"/>
  <c r="O1752" i="3"/>
  <c r="L1752" i="3"/>
  <c r="AS1751" i="3"/>
  <c r="AR1751" i="3"/>
  <c r="AQ1751" i="3"/>
  <c r="AP1751" i="3"/>
  <c r="AO1751" i="3"/>
  <c r="AK1751" i="3"/>
  <c r="F1751" i="3" s="1"/>
  <c r="AJ1751" i="3"/>
  <c r="O1751" i="3"/>
  <c r="L1751" i="3"/>
  <c r="AS1720" i="3"/>
  <c r="AR1720" i="3"/>
  <c r="AQ1720" i="3"/>
  <c r="AM1720" i="3"/>
  <c r="AN1720" i="3" s="1"/>
  <c r="AK1720" i="3"/>
  <c r="AJ1720" i="3"/>
  <c r="O1720" i="3"/>
  <c r="M1720" i="3"/>
  <c r="AS1719" i="3"/>
  <c r="AR1719" i="3"/>
  <c r="AQ1719" i="3"/>
  <c r="AP1719" i="3"/>
  <c r="AO1719" i="3"/>
  <c r="AM1719" i="3"/>
  <c r="AK1719" i="3"/>
  <c r="F1719" i="3" s="1"/>
  <c r="AJ1719" i="3"/>
  <c r="O1719" i="3"/>
  <c r="M1719" i="3"/>
  <c r="AS1718" i="3"/>
  <c r="AR1718" i="3"/>
  <c r="AQ1718" i="3"/>
  <c r="AP1718" i="3"/>
  <c r="AO1718" i="3"/>
  <c r="AM1718" i="3"/>
  <c r="AK1718" i="3"/>
  <c r="AJ1718" i="3"/>
  <c r="O1718" i="3"/>
  <c r="M1718" i="3"/>
  <c r="AS1717" i="3"/>
  <c r="AR1717" i="3"/>
  <c r="AQ1717" i="3"/>
  <c r="AP1717" i="3"/>
  <c r="AO1717" i="3"/>
  <c r="AK1717" i="3"/>
  <c r="F1717" i="3" s="1"/>
  <c r="AJ1717" i="3"/>
  <c r="O1717" i="3"/>
  <c r="M1717" i="3"/>
  <c r="AS1716" i="3"/>
  <c r="AR1716" i="3"/>
  <c r="AQ1716" i="3"/>
  <c r="AP1716" i="3"/>
  <c r="AO1716" i="3"/>
  <c r="AK1716" i="3"/>
  <c r="F1716" i="3" s="1"/>
  <c r="AJ1716" i="3"/>
  <c r="O1716" i="3"/>
  <c r="M1716" i="3"/>
  <c r="AS1685" i="3"/>
  <c r="AR1685" i="3"/>
  <c r="AQ1685" i="3"/>
  <c r="AM1685" i="3"/>
  <c r="AN1685" i="3" s="1"/>
  <c r="AK1685" i="3"/>
  <c r="F1685" i="3" s="1"/>
  <c r="AJ1685" i="3"/>
  <c r="O1685" i="3"/>
  <c r="M1685" i="3"/>
  <c r="AS1684" i="3"/>
  <c r="AR1684" i="3"/>
  <c r="AQ1684" i="3"/>
  <c r="AP1684" i="3"/>
  <c r="AO1684" i="3"/>
  <c r="AM1684" i="3"/>
  <c r="AK1684" i="3"/>
  <c r="F1684" i="3" s="1"/>
  <c r="AJ1684" i="3"/>
  <c r="O1684" i="3"/>
  <c r="M1684" i="3"/>
  <c r="AS1683" i="3"/>
  <c r="AR1683" i="3"/>
  <c r="AQ1683" i="3"/>
  <c r="AP1683" i="3"/>
  <c r="AO1683" i="3"/>
  <c r="AM1683" i="3"/>
  <c r="AK1683" i="3"/>
  <c r="F1683" i="3" s="1"/>
  <c r="AJ1683" i="3"/>
  <c r="O1683" i="3"/>
  <c r="M1683" i="3"/>
  <c r="AS1682" i="3"/>
  <c r="AR1682" i="3"/>
  <c r="AQ1682" i="3"/>
  <c r="AP1682" i="3"/>
  <c r="AO1682" i="3"/>
  <c r="AK1682" i="3"/>
  <c r="F1682" i="3" s="1"/>
  <c r="AJ1682" i="3"/>
  <c r="O1682" i="3"/>
  <c r="M1682" i="3"/>
  <c r="AS1681" i="3"/>
  <c r="AR1681" i="3"/>
  <c r="AQ1681" i="3"/>
  <c r="AP1681" i="3"/>
  <c r="AO1681" i="3"/>
  <c r="AK1681" i="3"/>
  <c r="F1681" i="3" s="1"/>
  <c r="AJ1681" i="3"/>
  <c r="O1681" i="3"/>
  <c r="M1681" i="3"/>
  <c r="F1677" i="3"/>
  <c r="F1676" i="3"/>
  <c r="F1675" i="3"/>
  <c r="F1674" i="3"/>
  <c r="F1673" i="3"/>
  <c r="F1671" i="3"/>
  <c r="F1670" i="3"/>
  <c r="F1669" i="3"/>
  <c r="F1668" i="3"/>
  <c r="F1667" i="3"/>
  <c r="F1665" i="3"/>
  <c r="F1664" i="3"/>
  <c r="F1663" i="3"/>
  <c r="F1662" i="3"/>
  <c r="F1661" i="3"/>
  <c r="F1659" i="3"/>
  <c r="F1658" i="3"/>
  <c r="F1657" i="3"/>
  <c r="F1656" i="3"/>
  <c r="F1655" i="3"/>
  <c r="AK1653" i="3"/>
  <c r="F1653" i="3" s="1"/>
  <c r="AK1652" i="3"/>
  <c r="F1652" i="3" s="1"/>
  <c r="AS1650" i="3"/>
  <c r="AR1650" i="3"/>
  <c r="AQ1650" i="3"/>
  <c r="AM1650" i="3"/>
  <c r="AN1650" i="3" s="1"/>
  <c r="AK1650" i="3"/>
  <c r="F1650" i="3" s="1"/>
  <c r="AJ1650" i="3"/>
  <c r="O1650" i="3"/>
  <c r="M1650" i="3"/>
  <c r="AS1649" i="3"/>
  <c r="AR1649" i="3"/>
  <c r="AQ1649" i="3"/>
  <c r="AP1649" i="3"/>
  <c r="AO1649" i="3"/>
  <c r="AM1649" i="3"/>
  <c r="AK1649" i="3"/>
  <c r="F1649" i="3" s="1"/>
  <c r="AJ1649" i="3"/>
  <c r="O1649" i="3"/>
  <c r="M1649" i="3"/>
  <c r="AS1648" i="3"/>
  <c r="AR1648" i="3"/>
  <c r="AQ1648" i="3"/>
  <c r="AP1648" i="3"/>
  <c r="AO1648" i="3"/>
  <c r="AM1648" i="3"/>
  <c r="AK1648" i="3"/>
  <c r="F1648" i="3" s="1"/>
  <c r="AJ1648" i="3"/>
  <c r="O1648" i="3"/>
  <c r="M1648" i="3"/>
  <c r="AS1647" i="3"/>
  <c r="AR1647" i="3"/>
  <c r="AQ1647" i="3"/>
  <c r="AP1647" i="3"/>
  <c r="AO1647" i="3"/>
  <c r="AK1647" i="3"/>
  <c r="F1647" i="3" s="1"/>
  <c r="AJ1647" i="3"/>
  <c r="W1647" i="3"/>
  <c r="O1647" i="3"/>
  <c r="M1647" i="3"/>
  <c r="AS1646" i="3"/>
  <c r="AR1646" i="3"/>
  <c r="AQ1646" i="3"/>
  <c r="AP1646" i="3"/>
  <c r="AO1646" i="3"/>
  <c r="AK1646" i="3"/>
  <c r="F1646" i="3" s="1"/>
  <c r="AJ1646" i="3"/>
  <c r="W1646" i="3"/>
  <c r="O1646" i="3"/>
  <c r="M1646" i="3"/>
  <c r="F1642" i="3"/>
  <c r="F1641" i="3"/>
  <c r="F1640" i="3"/>
  <c r="F1639" i="3"/>
  <c r="F1638" i="3"/>
  <c r="F1636" i="3"/>
  <c r="F1635" i="3"/>
  <c r="F1634" i="3"/>
  <c r="F1633" i="3"/>
  <c r="F1632" i="3"/>
  <c r="F1630" i="3"/>
  <c r="F1629" i="3"/>
  <c r="F1628" i="3"/>
  <c r="F1627" i="3"/>
  <c r="F1626" i="3"/>
  <c r="F1624" i="3"/>
  <c r="F1623" i="3"/>
  <c r="F1622" i="3"/>
  <c r="F1621" i="3"/>
  <c r="F1620" i="3"/>
  <c r="AK1618" i="3"/>
  <c r="F1618" i="3" s="1"/>
  <c r="AK1617" i="3"/>
  <c r="F1617" i="3" s="1"/>
  <c r="AS1615" i="3"/>
  <c r="AR1615" i="3"/>
  <c r="AQ1615" i="3"/>
  <c r="AM1615" i="3"/>
  <c r="AN1615" i="3" s="1"/>
  <c r="AO1615" i="3" s="1"/>
  <c r="AK1615" i="3"/>
  <c r="F1615" i="3" s="1"/>
  <c r="AJ1615" i="3"/>
  <c r="O1615" i="3"/>
  <c r="M1615" i="3"/>
  <c r="AS1614" i="3"/>
  <c r="AR1614" i="3"/>
  <c r="AQ1614" i="3"/>
  <c r="AP1614" i="3"/>
  <c r="AO1614" i="3"/>
  <c r="AM1614" i="3"/>
  <c r="AK1614" i="3"/>
  <c r="F1614" i="3" s="1"/>
  <c r="AJ1614" i="3"/>
  <c r="O1614" i="3"/>
  <c r="M1614" i="3"/>
  <c r="AS1613" i="3"/>
  <c r="AR1613" i="3"/>
  <c r="AQ1613" i="3"/>
  <c r="AP1613" i="3"/>
  <c r="AO1613" i="3"/>
  <c r="AM1613" i="3"/>
  <c r="AK1613" i="3"/>
  <c r="F1613" i="3" s="1"/>
  <c r="AJ1613" i="3"/>
  <c r="O1613" i="3"/>
  <c r="M1613" i="3"/>
  <c r="AS1612" i="3"/>
  <c r="AR1612" i="3"/>
  <c r="AQ1612" i="3"/>
  <c r="AP1612" i="3"/>
  <c r="AO1612" i="3"/>
  <c r="AK1612" i="3"/>
  <c r="F1612" i="3" s="1"/>
  <c r="AJ1612" i="3"/>
  <c r="W1612" i="3"/>
  <c r="O1612" i="3"/>
  <c r="M1612" i="3"/>
  <c r="AS1611" i="3"/>
  <c r="AR1611" i="3"/>
  <c r="AQ1611" i="3"/>
  <c r="AP1611" i="3"/>
  <c r="AO1611" i="3"/>
  <c r="AK1611" i="3"/>
  <c r="F1611" i="3" s="1"/>
  <c r="AJ1611" i="3"/>
  <c r="W1611" i="3"/>
  <c r="O1611" i="3"/>
  <c r="M1611" i="3"/>
  <c r="F1607" i="3"/>
  <c r="F1606" i="3"/>
  <c r="F1605" i="3"/>
  <c r="F1604" i="3"/>
  <c r="F1603" i="3"/>
  <c r="F1601" i="3"/>
  <c r="F1600" i="3"/>
  <c r="F1599" i="3"/>
  <c r="F1598" i="3"/>
  <c r="F1597" i="3"/>
  <c r="F1595" i="3"/>
  <c r="F1594" i="3"/>
  <c r="F1593" i="3"/>
  <c r="F1592" i="3"/>
  <c r="F1591" i="3"/>
  <c r="F1589" i="3"/>
  <c r="F1588" i="3"/>
  <c r="F1587" i="3"/>
  <c r="F1586" i="3"/>
  <c r="F1585" i="3"/>
  <c r="AK1583" i="3"/>
  <c r="F1583" i="3" s="1"/>
  <c r="L1583" i="3"/>
  <c r="AK1582" i="3"/>
  <c r="M1582" i="3" s="1"/>
  <c r="L1582" i="3"/>
  <c r="M1547" i="3" s="1"/>
  <c r="AS1580" i="3"/>
  <c r="AR1580" i="3"/>
  <c r="AQ1580" i="3"/>
  <c r="AM1580" i="3"/>
  <c r="AN1580" i="3" s="1"/>
  <c r="AP1580" i="3" s="1"/>
  <c r="AK1580" i="3"/>
  <c r="F1580" i="3" s="1"/>
  <c r="AJ1580" i="3"/>
  <c r="O1580" i="3"/>
  <c r="L1580" i="3"/>
  <c r="AS1579" i="3"/>
  <c r="AR1579" i="3"/>
  <c r="AQ1579" i="3"/>
  <c r="AP1579" i="3"/>
  <c r="AO1579" i="3"/>
  <c r="AM1579" i="3"/>
  <c r="AK1579" i="3"/>
  <c r="F1579" i="3" s="1"/>
  <c r="AJ1579" i="3"/>
  <c r="O1579" i="3"/>
  <c r="L1579" i="3"/>
  <c r="AS1578" i="3"/>
  <c r="AR1578" i="3"/>
  <c r="AQ1578" i="3"/>
  <c r="AP1578" i="3"/>
  <c r="AO1578" i="3"/>
  <c r="AM1578" i="3"/>
  <c r="AK1578" i="3"/>
  <c r="F1578" i="3" s="1"/>
  <c r="AJ1578" i="3"/>
  <c r="O1578" i="3"/>
  <c r="L1578" i="3"/>
  <c r="AS1577" i="3"/>
  <c r="AR1577" i="3"/>
  <c r="AQ1577" i="3"/>
  <c r="AP1577" i="3"/>
  <c r="AO1577" i="3"/>
  <c r="AK1577" i="3"/>
  <c r="F1577" i="3" s="1"/>
  <c r="AJ1577" i="3"/>
  <c r="O1577" i="3"/>
  <c r="L1577" i="3"/>
  <c r="AS1576" i="3"/>
  <c r="AR1576" i="3"/>
  <c r="AQ1576" i="3"/>
  <c r="AP1576" i="3"/>
  <c r="AO1576" i="3"/>
  <c r="AK1576" i="3"/>
  <c r="F1576" i="3" s="1"/>
  <c r="AJ1576" i="3"/>
  <c r="W1576" i="3"/>
  <c r="O1576" i="3"/>
  <c r="L1576" i="3"/>
  <c r="F1572" i="3"/>
  <c r="F1571" i="3"/>
  <c r="F1570" i="3"/>
  <c r="F1569" i="3"/>
  <c r="F1568" i="3"/>
  <c r="F1566" i="3"/>
  <c r="F1565" i="3"/>
  <c r="F1564" i="3"/>
  <c r="F1563" i="3"/>
  <c r="F1562" i="3"/>
  <c r="F1560" i="3"/>
  <c r="F1559" i="3"/>
  <c r="F1558" i="3"/>
  <c r="F1557" i="3"/>
  <c r="F1556" i="3"/>
  <c r="F1554" i="3"/>
  <c r="F1553" i="3"/>
  <c r="F1552" i="3"/>
  <c r="F1551" i="3"/>
  <c r="F1550" i="3"/>
  <c r="AK1548" i="3"/>
  <c r="F1548" i="3" s="1"/>
  <c r="L1548" i="3"/>
  <c r="AK1547" i="3"/>
  <c r="F1547" i="3" s="1"/>
  <c r="L1547" i="3"/>
  <c r="AS1545" i="3"/>
  <c r="AR1545" i="3"/>
  <c r="AQ1545" i="3"/>
  <c r="AM1545" i="3"/>
  <c r="AN1545" i="3" s="1"/>
  <c r="AP1545" i="3" s="1"/>
  <c r="AK1545" i="3"/>
  <c r="F1545" i="3" s="1"/>
  <c r="AJ1545" i="3"/>
  <c r="O1545" i="3"/>
  <c r="L1545" i="3"/>
  <c r="AS1544" i="3"/>
  <c r="AR1544" i="3"/>
  <c r="AQ1544" i="3"/>
  <c r="AP1544" i="3"/>
  <c r="AO1544" i="3"/>
  <c r="AM1544" i="3"/>
  <c r="AK1544" i="3"/>
  <c r="F1544" i="3" s="1"/>
  <c r="AJ1544" i="3"/>
  <c r="O1544" i="3"/>
  <c r="L1544" i="3"/>
  <c r="AS1543" i="3"/>
  <c r="AR1543" i="3"/>
  <c r="AQ1543" i="3"/>
  <c r="AP1543" i="3"/>
  <c r="AO1543" i="3"/>
  <c r="AM1543" i="3"/>
  <c r="AK1543" i="3"/>
  <c r="F1543" i="3" s="1"/>
  <c r="AJ1543" i="3"/>
  <c r="O1543" i="3"/>
  <c r="L1543" i="3"/>
  <c r="AS1542" i="3"/>
  <c r="AR1542" i="3"/>
  <c r="AQ1542" i="3"/>
  <c r="AP1542" i="3"/>
  <c r="AO1542" i="3"/>
  <c r="AK1542" i="3"/>
  <c r="AJ1542" i="3"/>
  <c r="O1542" i="3"/>
  <c r="L1542" i="3"/>
  <c r="AS1541" i="3"/>
  <c r="AR1541" i="3"/>
  <c r="AQ1541" i="3"/>
  <c r="AP1541" i="3"/>
  <c r="AO1541" i="3"/>
  <c r="AK1541" i="3"/>
  <c r="F1541" i="3" s="1"/>
  <c r="AJ1541" i="3"/>
  <c r="W1541" i="3"/>
  <c r="O1541" i="3"/>
  <c r="L1541" i="3"/>
  <c r="F1537" i="3"/>
  <c r="F1536" i="3"/>
  <c r="F1535" i="3"/>
  <c r="F1534" i="3"/>
  <c r="F1533" i="3"/>
  <c r="F1531" i="3"/>
  <c r="F1530" i="3"/>
  <c r="F1529" i="3"/>
  <c r="F1528" i="3"/>
  <c r="F1527" i="3"/>
  <c r="F1525" i="3"/>
  <c r="F1524" i="3"/>
  <c r="F1523" i="3"/>
  <c r="F1522" i="3"/>
  <c r="F1521" i="3"/>
  <c r="F1519" i="3"/>
  <c r="F1518" i="3"/>
  <c r="F1517" i="3"/>
  <c r="F1516" i="3"/>
  <c r="F1515" i="3"/>
  <c r="AK1513" i="3"/>
  <c r="F1513" i="3" s="1"/>
  <c r="L1513" i="3"/>
  <c r="AK1512" i="3"/>
  <c r="F1512" i="3" s="1"/>
  <c r="L1512" i="3"/>
  <c r="AS1510" i="3"/>
  <c r="AR1510" i="3"/>
  <c r="AQ1510" i="3"/>
  <c r="AM1510" i="3"/>
  <c r="AN1510" i="3" s="1"/>
  <c r="AP1510" i="3" s="1"/>
  <c r="AK1510" i="3"/>
  <c r="F1510" i="3" s="1"/>
  <c r="AJ1510" i="3"/>
  <c r="O1510" i="3"/>
  <c r="L1510" i="3"/>
  <c r="AS1509" i="3"/>
  <c r="AR1509" i="3"/>
  <c r="AQ1509" i="3"/>
  <c r="AP1509" i="3"/>
  <c r="AO1509" i="3"/>
  <c r="AM1509" i="3"/>
  <c r="AK1509" i="3"/>
  <c r="F1509" i="3" s="1"/>
  <c r="AJ1509" i="3"/>
  <c r="O1509" i="3"/>
  <c r="L1509" i="3"/>
  <c r="AS1508" i="3"/>
  <c r="AR1508" i="3"/>
  <c r="AQ1508" i="3"/>
  <c r="AP1508" i="3"/>
  <c r="AO1508" i="3"/>
  <c r="AM1508" i="3"/>
  <c r="AK1508" i="3"/>
  <c r="F1508" i="3" s="1"/>
  <c r="AJ1508" i="3"/>
  <c r="O1508" i="3"/>
  <c r="L1508" i="3"/>
  <c r="AS1507" i="3"/>
  <c r="AR1507" i="3"/>
  <c r="AQ1507" i="3"/>
  <c r="AP1507" i="3"/>
  <c r="AO1507" i="3"/>
  <c r="AK1507" i="3"/>
  <c r="AJ1507" i="3"/>
  <c r="O1507" i="3"/>
  <c r="L1507" i="3"/>
  <c r="AS1506" i="3"/>
  <c r="AR1506" i="3"/>
  <c r="AQ1506" i="3"/>
  <c r="AP1506" i="3"/>
  <c r="AO1506" i="3"/>
  <c r="AK1506" i="3"/>
  <c r="F1506" i="3" s="1"/>
  <c r="AJ1506" i="3"/>
  <c r="W1506" i="3"/>
  <c r="O1506" i="3"/>
  <c r="L1506" i="3"/>
  <c r="F1502" i="3"/>
  <c r="F1501" i="3"/>
  <c r="F1500" i="3"/>
  <c r="F1499" i="3"/>
  <c r="F1498" i="3"/>
  <c r="F1496" i="3"/>
  <c r="F1495" i="3"/>
  <c r="F1494" i="3"/>
  <c r="F1493" i="3"/>
  <c r="F1492" i="3"/>
  <c r="F1490" i="3"/>
  <c r="F1489" i="3"/>
  <c r="F1488" i="3"/>
  <c r="F1487" i="3"/>
  <c r="F1486" i="3"/>
  <c r="F1484" i="3"/>
  <c r="F1483" i="3"/>
  <c r="F1482" i="3"/>
  <c r="F1481" i="3"/>
  <c r="F1480" i="3"/>
  <c r="AK1478" i="3"/>
  <c r="F1478" i="3" s="1"/>
  <c r="AJ1478" i="3"/>
  <c r="L1478" i="3"/>
  <c r="AK1477" i="3"/>
  <c r="F1477" i="3" s="1"/>
  <c r="AJ1477" i="3"/>
  <c r="L1477" i="3"/>
  <c r="AS1475" i="3"/>
  <c r="AR1475" i="3"/>
  <c r="AQ1475" i="3"/>
  <c r="AM1475" i="3"/>
  <c r="AN1475" i="3" s="1"/>
  <c r="AK1475" i="3"/>
  <c r="AJ1475" i="3"/>
  <c r="O1475" i="3"/>
  <c r="L1475" i="3"/>
  <c r="M1440" i="3" s="1"/>
  <c r="AS1474" i="3"/>
  <c r="AR1474" i="3"/>
  <c r="AQ1474" i="3"/>
  <c r="AP1474" i="3"/>
  <c r="AO1474" i="3"/>
  <c r="AM1474" i="3"/>
  <c r="AK1474" i="3"/>
  <c r="F1474" i="3" s="1"/>
  <c r="AJ1474" i="3"/>
  <c r="O1474" i="3"/>
  <c r="L1474" i="3"/>
  <c r="AS1473" i="3"/>
  <c r="AR1473" i="3"/>
  <c r="AQ1473" i="3"/>
  <c r="AP1473" i="3"/>
  <c r="AO1473" i="3"/>
  <c r="AM1473" i="3"/>
  <c r="AK1473" i="3"/>
  <c r="AJ1473" i="3"/>
  <c r="O1473" i="3"/>
  <c r="L1473" i="3"/>
  <c r="AS1472" i="3"/>
  <c r="AR1472" i="3"/>
  <c r="AQ1472" i="3"/>
  <c r="AP1472" i="3"/>
  <c r="AO1472" i="3"/>
  <c r="AK1472" i="3"/>
  <c r="F1472" i="3" s="1"/>
  <c r="AJ1472" i="3"/>
  <c r="O1472" i="3"/>
  <c r="L1472" i="3"/>
  <c r="AS1471" i="3"/>
  <c r="AR1471" i="3"/>
  <c r="AQ1471" i="3"/>
  <c r="AP1471" i="3"/>
  <c r="AO1471" i="3"/>
  <c r="AK1471" i="3"/>
  <c r="F1471" i="3" s="1"/>
  <c r="AJ1471" i="3"/>
  <c r="W1471" i="3"/>
  <c r="O1471" i="3"/>
  <c r="L1471" i="3"/>
  <c r="F1467" i="3"/>
  <c r="F1466" i="3"/>
  <c r="F1465" i="3"/>
  <c r="F1464" i="3"/>
  <c r="F1463" i="3"/>
  <c r="F1461" i="3"/>
  <c r="F1460" i="3"/>
  <c r="F1459" i="3"/>
  <c r="F1458" i="3"/>
  <c r="F1457" i="3"/>
  <c r="F1455" i="3"/>
  <c r="F1454" i="3"/>
  <c r="F1453" i="3"/>
  <c r="F1452" i="3"/>
  <c r="F1451" i="3"/>
  <c r="F1449" i="3"/>
  <c r="F1448" i="3"/>
  <c r="F1447" i="3"/>
  <c r="F1446" i="3"/>
  <c r="F1445" i="3"/>
  <c r="AK1443" i="3"/>
  <c r="AJ1443" i="3"/>
  <c r="L1443" i="3"/>
  <c r="AK1442" i="3"/>
  <c r="F1442" i="3" s="1"/>
  <c r="AJ1442" i="3"/>
  <c r="L1442" i="3"/>
  <c r="AS1440" i="3"/>
  <c r="AR1440" i="3"/>
  <c r="AQ1440" i="3"/>
  <c r="AM1440" i="3"/>
  <c r="AN1440" i="3" s="1"/>
  <c r="AK1440" i="3"/>
  <c r="F1440" i="3" s="1"/>
  <c r="AJ1440" i="3"/>
  <c r="O1440" i="3"/>
  <c r="L1440" i="3"/>
  <c r="AS1439" i="3"/>
  <c r="AR1439" i="3"/>
  <c r="AQ1439" i="3"/>
  <c r="AP1439" i="3"/>
  <c r="AO1439" i="3"/>
  <c r="AM1439" i="3"/>
  <c r="AK1439" i="3"/>
  <c r="F1439" i="3" s="1"/>
  <c r="AJ1439" i="3"/>
  <c r="O1439" i="3"/>
  <c r="L1439" i="3"/>
  <c r="AS1438" i="3"/>
  <c r="AR1438" i="3"/>
  <c r="AQ1438" i="3"/>
  <c r="AP1438" i="3"/>
  <c r="AO1438" i="3"/>
  <c r="AM1438" i="3"/>
  <c r="AK1438" i="3"/>
  <c r="F1438" i="3" s="1"/>
  <c r="AJ1438" i="3"/>
  <c r="O1438" i="3"/>
  <c r="L1438" i="3"/>
  <c r="AS1437" i="3"/>
  <c r="AR1437" i="3"/>
  <c r="AQ1437" i="3"/>
  <c r="AP1437" i="3"/>
  <c r="AO1437" i="3"/>
  <c r="AK1437" i="3"/>
  <c r="F1437" i="3" s="1"/>
  <c r="AJ1437" i="3"/>
  <c r="O1437" i="3"/>
  <c r="L1437" i="3"/>
  <c r="AS1436" i="3"/>
  <c r="AR1436" i="3"/>
  <c r="AQ1436" i="3"/>
  <c r="AP1436" i="3"/>
  <c r="AO1436" i="3"/>
  <c r="AK1436" i="3"/>
  <c r="AJ1436" i="3"/>
  <c r="W1436" i="3"/>
  <c r="O1436" i="3"/>
  <c r="L1436" i="3"/>
  <c r="F1432" i="3"/>
  <c r="F1431" i="3"/>
  <c r="F1430" i="3"/>
  <c r="F1429" i="3"/>
  <c r="F1428" i="3"/>
  <c r="F1426" i="3"/>
  <c r="F1425" i="3"/>
  <c r="F1424" i="3"/>
  <c r="F1423" i="3"/>
  <c r="F1422" i="3"/>
  <c r="F1420" i="3"/>
  <c r="F1419" i="3"/>
  <c r="F1418" i="3"/>
  <c r="F1417" i="3"/>
  <c r="F1416" i="3"/>
  <c r="F1414" i="3"/>
  <c r="F1413" i="3"/>
  <c r="F1412" i="3"/>
  <c r="F1411" i="3"/>
  <c r="F1410" i="3"/>
  <c r="AK1408" i="3"/>
  <c r="F1408" i="3" s="1"/>
  <c r="AJ1408" i="3"/>
  <c r="L1408" i="3"/>
  <c r="AK1407" i="3"/>
  <c r="F1407" i="3" s="1"/>
  <c r="AJ1407" i="3"/>
  <c r="L1407" i="3"/>
  <c r="AS1405" i="3"/>
  <c r="AR1405" i="3"/>
  <c r="AQ1405" i="3"/>
  <c r="AM1405" i="3"/>
  <c r="AN1405" i="3" s="1"/>
  <c r="AP1405" i="3" s="1"/>
  <c r="AK1405" i="3"/>
  <c r="F1405" i="3" s="1"/>
  <c r="AJ1405" i="3"/>
  <c r="O1405" i="3"/>
  <c r="L1405" i="3"/>
  <c r="AS1404" i="3"/>
  <c r="AR1404" i="3"/>
  <c r="AQ1404" i="3"/>
  <c r="AP1404" i="3"/>
  <c r="AO1404" i="3"/>
  <c r="AM1404" i="3"/>
  <c r="AK1404" i="3"/>
  <c r="AJ1404" i="3"/>
  <c r="O1404" i="3"/>
  <c r="L1404" i="3"/>
  <c r="AS1403" i="3"/>
  <c r="AR1403" i="3"/>
  <c r="AQ1403" i="3"/>
  <c r="AP1403" i="3"/>
  <c r="AO1403" i="3"/>
  <c r="AM1403" i="3"/>
  <c r="AK1403" i="3"/>
  <c r="F1403" i="3" s="1"/>
  <c r="AJ1403" i="3"/>
  <c r="O1403" i="3"/>
  <c r="L1403" i="3"/>
  <c r="AS1402" i="3"/>
  <c r="AR1402" i="3"/>
  <c r="AQ1402" i="3"/>
  <c r="AP1402" i="3"/>
  <c r="AO1402" i="3"/>
  <c r="AK1402" i="3"/>
  <c r="F1402" i="3" s="1"/>
  <c r="AJ1402" i="3"/>
  <c r="O1402" i="3"/>
  <c r="L1402" i="3"/>
  <c r="AS1401" i="3"/>
  <c r="AR1401" i="3"/>
  <c r="AQ1401" i="3"/>
  <c r="AP1401" i="3"/>
  <c r="AO1401" i="3"/>
  <c r="AK1401" i="3"/>
  <c r="AJ1401" i="3"/>
  <c r="W1401" i="3"/>
  <c r="O1401" i="3"/>
  <c r="L1401" i="3"/>
  <c r="F1397" i="3"/>
  <c r="F1396" i="3"/>
  <c r="F1395" i="3"/>
  <c r="F1394" i="3"/>
  <c r="F1393" i="3"/>
  <c r="F1391" i="3"/>
  <c r="F1390" i="3"/>
  <c r="F1389" i="3"/>
  <c r="F1388" i="3"/>
  <c r="F1387" i="3"/>
  <c r="F1385" i="3"/>
  <c r="F1384" i="3"/>
  <c r="F1383" i="3"/>
  <c r="F1382" i="3"/>
  <c r="F1381" i="3"/>
  <c r="F1379" i="3"/>
  <c r="F1378" i="3"/>
  <c r="F1377" i="3"/>
  <c r="F1376" i="3"/>
  <c r="F1375" i="3"/>
  <c r="AK1373" i="3"/>
  <c r="F1373" i="3" s="1"/>
  <c r="AJ1373" i="3"/>
  <c r="L1373" i="3"/>
  <c r="AK1372" i="3"/>
  <c r="F1372" i="3" s="1"/>
  <c r="AJ1372" i="3"/>
  <c r="L1372" i="3"/>
  <c r="AS1370" i="3"/>
  <c r="AR1370" i="3"/>
  <c r="AQ1370" i="3"/>
  <c r="AM1370" i="3"/>
  <c r="AN1370" i="3" s="1"/>
  <c r="AP1370" i="3" s="1"/>
  <c r="AK1370" i="3"/>
  <c r="F1370" i="3" s="1"/>
  <c r="AJ1370" i="3"/>
  <c r="O1370" i="3"/>
  <c r="L1370" i="3"/>
  <c r="AS1369" i="3"/>
  <c r="AR1369" i="3"/>
  <c r="AQ1369" i="3"/>
  <c r="AP1369" i="3"/>
  <c r="AO1369" i="3"/>
  <c r="AM1369" i="3"/>
  <c r="AK1369" i="3"/>
  <c r="F1369" i="3" s="1"/>
  <c r="AJ1369" i="3"/>
  <c r="O1369" i="3"/>
  <c r="L1369" i="3"/>
  <c r="AS1368" i="3"/>
  <c r="AR1368" i="3"/>
  <c r="AQ1368" i="3"/>
  <c r="AP1368" i="3"/>
  <c r="AO1368" i="3"/>
  <c r="AM1368" i="3"/>
  <c r="AK1368" i="3"/>
  <c r="F1368" i="3" s="1"/>
  <c r="AJ1368" i="3"/>
  <c r="O1368" i="3"/>
  <c r="L1368" i="3"/>
  <c r="AS1367" i="3"/>
  <c r="AR1367" i="3"/>
  <c r="AQ1367" i="3"/>
  <c r="AP1367" i="3"/>
  <c r="AO1367" i="3"/>
  <c r="AK1367" i="3"/>
  <c r="F1367" i="3" s="1"/>
  <c r="AJ1367" i="3"/>
  <c r="O1367" i="3"/>
  <c r="L1367" i="3"/>
  <c r="AS1366" i="3"/>
  <c r="AR1366" i="3"/>
  <c r="AQ1366" i="3"/>
  <c r="AP1366" i="3"/>
  <c r="AO1366" i="3"/>
  <c r="AK1366" i="3"/>
  <c r="F1366" i="3" s="1"/>
  <c r="AJ1366" i="3"/>
  <c r="W1366" i="3"/>
  <c r="O1366" i="3"/>
  <c r="L1366" i="3"/>
  <c r="F1362" i="3"/>
  <c r="F1361" i="3"/>
  <c r="F1360" i="3"/>
  <c r="F1359" i="3"/>
  <c r="F1358" i="3"/>
  <c r="F1356" i="3"/>
  <c r="F1354" i="3"/>
  <c r="F1353" i="3"/>
  <c r="F1352" i="3"/>
  <c r="F1350" i="3"/>
  <c r="F1349" i="3"/>
  <c r="F1348" i="3"/>
  <c r="F1347" i="3"/>
  <c r="F1346" i="3"/>
  <c r="F1344" i="3"/>
  <c r="F1342" i="3"/>
  <c r="F1341" i="3"/>
  <c r="F1340" i="3"/>
  <c r="AK1338" i="3"/>
  <c r="F1338" i="3" s="1"/>
  <c r="AJ1338" i="3"/>
  <c r="L1338" i="3"/>
  <c r="AK1337" i="3"/>
  <c r="F1337" i="3" s="1"/>
  <c r="AJ1337" i="3"/>
  <c r="L1337" i="3"/>
  <c r="AS1335" i="3"/>
  <c r="AR1335" i="3"/>
  <c r="AQ1335" i="3"/>
  <c r="AM1335" i="3"/>
  <c r="AN1335" i="3" s="1"/>
  <c r="AK1335" i="3"/>
  <c r="F1335" i="3" s="1"/>
  <c r="AJ1335" i="3"/>
  <c r="O1335" i="3"/>
  <c r="L1335" i="3"/>
  <c r="AS1334" i="3"/>
  <c r="AR1334" i="3"/>
  <c r="AQ1334" i="3"/>
  <c r="AP1334" i="3"/>
  <c r="AO1334" i="3"/>
  <c r="AM1334" i="3"/>
  <c r="AK1334" i="3"/>
  <c r="F1334" i="3" s="1"/>
  <c r="AJ1334" i="3"/>
  <c r="O1334" i="3"/>
  <c r="L1334" i="3"/>
  <c r="AS1333" i="3"/>
  <c r="AR1333" i="3"/>
  <c r="AQ1333" i="3"/>
  <c r="AP1333" i="3"/>
  <c r="AO1333" i="3"/>
  <c r="AM1333" i="3"/>
  <c r="AK1333" i="3"/>
  <c r="F1333" i="3" s="1"/>
  <c r="AJ1333" i="3"/>
  <c r="O1333" i="3"/>
  <c r="L1333" i="3"/>
  <c r="AS1332" i="3"/>
  <c r="AR1332" i="3"/>
  <c r="AQ1332" i="3"/>
  <c r="AP1332" i="3"/>
  <c r="AO1332" i="3"/>
  <c r="AK1332" i="3"/>
  <c r="F1332" i="3" s="1"/>
  <c r="AJ1332" i="3"/>
  <c r="O1332" i="3"/>
  <c r="L1332" i="3"/>
  <c r="AS1331" i="3"/>
  <c r="AR1331" i="3"/>
  <c r="AQ1331" i="3"/>
  <c r="AP1331" i="3"/>
  <c r="AO1331" i="3"/>
  <c r="AK1331" i="3"/>
  <c r="F1331" i="3" s="1"/>
  <c r="AJ1331" i="3"/>
  <c r="W1331" i="3"/>
  <c r="O1331" i="3"/>
  <c r="L1331" i="3"/>
  <c r="F1327" i="3"/>
  <c r="F1326" i="3"/>
  <c r="F1325" i="3"/>
  <c r="F1324" i="3"/>
  <c r="F1323" i="3"/>
  <c r="F1321" i="3"/>
  <c r="F1319" i="3"/>
  <c r="F1318" i="3"/>
  <c r="F1317" i="3"/>
  <c r="F1315" i="3"/>
  <c r="F1314" i="3"/>
  <c r="F1313" i="3"/>
  <c r="F1312" i="3"/>
  <c r="F1311" i="3"/>
  <c r="F1309" i="3"/>
  <c r="F1307" i="3"/>
  <c r="F1306" i="3"/>
  <c r="F1305" i="3"/>
  <c r="AK1303" i="3"/>
  <c r="F1303" i="3" s="1"/>
  <c r="AJ1303" i="3"/>
  <c r="L1303" i="3"/>
  <c r="AK1302" i="3"/>
  <c r="F1302" i="3" s="1"/>
  <c r="AJ1302" i="3"/>
  <c r="L1302" i="3"/>
  <c r="AS1300" i="3"/>
  <c r="AR1300" i="3"/>
  <c r="AQ1300" i="3"/>
  <c r="AM1300" i="3"/>
  <c r="AN1300" i="3" s="1"/>
  <c r="AK1300" i="3"/>
  <c r="F1300" i="3" s="1"/>
  <c r="AJ1300" i="3"/>
  <c r="O1300" i="3"/>
  <c r="L1300" i="3"/>
  <c r="AS1299" i="3"/>
  <c r="AR1299" i="3"/>
  <c r="AQ1299" i="3"/>
  <c r="AP1299" i="3"/>
  <c r="AO1299" i="3"/>
  <c r="AM1299" i="3"/>
  <c r="AK1299" i="3"/>
  <c r="F1299" i="3" s="1"/>
  <c r="AJ1299" i="3"/>
  <c r="O1299" i="3"/>
  <c r="L1299" i="3"/>
  <c r="AS1298" i="3"/>
  <c r="AR1298" i="3"/>
  <c r="AQ1298" i="3"/>
  <c r="AP1298" i="3"/>
  <c r="AO1298" i="3"/>
  <c r="AM1298" i="3"/>
  <c r="AK1298" i="3"/>
  <c r="AJ1298" i="3"/>
  <c r="O1298" i="3"/>
  <c r="L1298" i="3"/>
  <c r="AS1297" i="3"/>
  <c r="AR1297" i="3"/>
  <c r="AQ1297" i="3"/>
  <c r="AP1297" i="3"/>
  <c r="AO1297" i="3"/>
  <c r="AK1297" i="3"/>
  <c r="AJ1297" i="3"/>
  <c r="O1297" i="3"/>
  <c r="L1297" i="3"/>
  <c r="AS1296" i="3"/>
  <c r="AR1296" i="3"/>
  <c r="AQ1296" i="3"/>
  <c r="AP1296" i="3"/>
  <c r="AO1296" i="3"/>
  <c r="AK1296" i="3"/>
  <c r="F1296" i="3" s="1"/>
  <c r="AJ1296" i="3"/>
  <c r="W1296" i="3"/>
  <c r="O1296" i="3"/>
  <c r="L1296" i="3"/>
  <c r="AK1292" i="3"/>
  <c r="F1292" i="3" s="1"/>
  <c r="AK1291" i="3"/>
  <c r="F1291" i="3" s="1"/>
  <c r="AK1290" i="3"/>
  <c r="F1290" i="3" s="1"/>
  <c r="AK1289" i="3"/>
  <c r="F1289" i="3" s="1"/>
  <c r="AK1288" i="3"/>
  <c r="F1288" i="3" s="1"/>
  <c r="AK1286" i="3"/>
  <c r="F1286" i="3" s="1"/>
  <c r="AK1285" i="3"/>
  <c r="F1285" i="3" s="1"/>
  <c r="AK1284" i="3"/>
  <c r="F1284" i="3" s="1"/>
  <c r="AK1283" i="3"/>
  <c r="F1283" i="3" s="1"/>
  <c r="AK1282" i="3"/>
  <c r="F1282" i="3" s="1"/>
  <c r="AK1280" i="3"/>
  <c r="F1280" i="3" s="1"/>
  <c r="AK1279" i="3"/>
  <c r="F1279" i="3" s="1"/>
  <c r="AK1278" i="3"/>
  <c r="F1278" i="3"/>
  <c r="AK1277" i="3"/>
  <c r="F1277" i="3" s="1"/>
  <c r="AK1276" i="3"/>
  <c r="F1276" i="3" s="1"/>
  <c r="AK1274" i="3"/>
  <c r="F1274" i="3" s="1"/>
  <c r="AK1273" i="3"/>
  <c r="AK1272" i="3"/>
  <c r="F1272" i="3" s="1"/>
  <c r="AK1271" i="3"/>
  <c r="F1271" i="3" s="1"/>
  <c r="AK1270" i="3"/>
  <c r="F1270" i="3" s="1"/>
  <c r="AK1268" i="3"/>
  <c r="F1268" i="3" s="1"/>
  <c r="AJ1268" i="3"/>
  <c r="L1268" i="3"/>
  <c r="AK1267" i="3"/>
  <c r="F1267" i="3" s="1"/>
  <c r="AJ1267" i="3"/>
  <c r="L1267" i="3"/>
  <c r="AS1265" i="3"/>
  <c r="AR1265" i="3"/>
  <c r="AQ1265" i="3"/>
  <c r="AM1265" i="3"/>
  <c r="AN1265" i="3" s="1"/>
  <c r="AP1265" i="3" s="1"/>
  <c r="AK1265" i="3"/>
  <c r="F1265" i="3" s="1"/>
  <c r="AJ1265" i="3"/>
  <c r="O1265" i="3"/>
  <c r="L1265" i="3"/>
  <c r="AS1264" i="3"/>
  <c r="AR1264" i="3"/>
  <c r="AQ1264" i="3"/>
  <c r="AP1264" i="3"/>
  <c r="AO1264" i="3"/>
  <c r="AM1264" i="3"/>
  <c r="AK1264" i="3"/>
  <c r="F1264" i="3" s="1"/>
  <c r="AJ1264" i="3"/>
  <c r="O1264" i="3"/>
  <c r="L1264" i="3"/>
  <c r="AS1263" i="3"/>
  <c r="AR1263" i="3"/>
  <c r="AQ1263" i="3"/>
  <c r="AP1263" i="3"/>
  <c r="AO1263" i="3"/>
  <c r="AM1263" i="3"/>
  <c r="AK1263" i="3"/>
  <c r="F1263" i="3" s="1"/>
  <c r="AJ1263" i="3"/>
  <c r="O1263" i="3"/>
  <c r="L1263" i="3"/>
  <c r="AS1262" i="3"/>
  <c r="AR1262" i="3"/>
  <c r="AQ1262" i="3"/>
  <c r="AP1262" i="3"/>
  <c r="AO1262" i="3"/>
  <c r="AK1262" i="3"/>
  <c r="F1262" i="3" s="1"/>
  <c r="AJ1262" i="3"/>
  <c r="O1262" i="3"/>
  <c r="L1262" i="3"/>
  <c r="AS1261" i="3"/>
  <c r="AR1261" i="3"/>
  <c r="AQ1261" i="3"/>
  <c r="AP1261" i="3"/>
  <c r="AO1261" i="3"/>
  <c r="AK1261" i="3"/>
  <c r="F1261" i="3" s="1"/>
  <c r="AJ1261" i="3"/>
  <c r="W1261" i="3"/>
  <c r="O1261" i="3"/>
  <c r="L1261" i="3"/>
  <c r="AK1257" i="3"/>
  <c r="F1257" i="3" s="1"/>
  <c r="AK1256" i="3"/>
  <c r="F1256" i="3" s="1"/>
  <c r="AK1255" i="3"/>
  <c r="F1255" i="3" s="1"/>
  <c r="AK1254" i="3"/>
  <c r="F1254" i="3" s="1"/>
  <c r="AK1253" i="3"/>
  <c r="F1253" i="3" s="1"/>
  <c r="AK1251" i="3"/>
  <c r="F1251" i="3" s="1"/>
  <c r="AK1250" i="3"/>
  <c r="F1250" i="3" s="1"/>
  <c r="AK1249" i="3"/>
  <c r="F1249" i="3" s="1"/>
  <c r="AK1248" i="3"/>
  <c r="F1248" i="3" s="1"/>
  <c r="AK1247" i="3"/>
  <c r="F1247" i="3" s="1"/>
  <c r="AK1245" i="3"/>
  <c r="F1245" i="3" s="1"/>
  <c r="AK1244" i="3"/>
  <c r="F1244" i="3" s="1"/>
  <c r="AK1243" i="3"/>
  <c r="F1243" i="3" s="1"/>
  <c r="AK1242" i="3"/>
  <c r="F1242" i="3" s="1"/>
  <c r="AK1241" i="3"/>
  <c r="F1241" i="3" s="1"/>
  <c r="AK1239" i="3"/>
  <c r="F1239" i="3" s="1"/>
  <c r="AK1238" i="3"/>
  <c r="AK1237" i="3"/>
  <c r="F1237" i="3" s="1"/>
  <c r="AK1236" i="3"/>
  <c r="F1236" i="3" s="1"/>
  <c r="AK1235" i="3"/>
  <c r="F1235" i="3" s="1"/>
  <c r="AK1233" i="3"/>
  <c r="AJ1233" i="3"/>
  <c r="L1233" i="3"/>
  <c r="AK1232" i="3"/>
  <c r="F1232" i="3" s="1"/>
  <c r="AJ1232" i="3"/>
  <c r="L1232" i="3"/>
  <c r="AS1230" i="3"/>
  <c r="AR1230" i="3"/>
  <c r="AQ1230" i="3"/>
  <c r="AM1230" i="3"/>
  <c r="AN1230" i="3" s="1"/>
  <c r="AK1230" i="3"/>
  <c r="AJ1230" i="3"/>
  <c r="O1230" i="3"/>
  <c r="L1230" i="3"/>
  <c r="AS1229" i="3"/>
  <c r="AR1229" i="3"/>
  <c r="AQ1229" i="3"/>
  <c r="AP1229" i="3"/>
  <c r="AO1229" i="3"/>
  <c r="AM1229" i="3"/>
  <c r="AK1229" i="3"/>
  <c r="F1229" i="3" s="1"/>
  <c r="AJ1229" i="3"/>
  <c r="O1229" i="3"/>
  <c r="L1229" i="3"/>
  <c r="AS1228" i="3"/>
  <c r="AR1228" i="3"/>
  <c r="AQ1228" i="3"/>
  <c r="AP1228" i="3"/>
  <c r="AO1228" i="3"/>
  <c r="AM1228" i="3"/>
  <c r="AK1228" i="3"/>
  <c r="AJ1228" i="3"/>
  <c r="O1228" i="3"/>
  <c r="L1228" i="3"/>
  <c r="AS1227" i="3"/>
  <c r="AR1227" i="3"/>
  <c r="AQ1227" i="3"/>
  <c r="AP1227" i="3"/>
  <c r="AO1227" i="3"/>
  <c r="AK1227" i="3"/>
  <c r="AJ1227" i="3"/>
  <c r="O1227" i="3"/>
  <c r="L1227" i="3"/>
  <c r="AS1226" i="3"/>
  <c r="AR1226" i="3"/>
  <c r="AQ1226" i="3"/>
  <c r="AP1226" i="3"/>
  <c r="AO1226" i="3"/>
  <c r="AK1226" i="3"/>
  <c r="F1226" i="3" s="1"/>
  <c r="AJ1226" i="3"/>
  <c r="W1226" i="3"/>
  <c r="O1226" i="3"/>
  <c r="L1226" i="3"/>
  <c r="AK1222" i="3"/>
  <c r="F1222" i="3" s="1"/>
  <c r="AK1221" i="3"/>
  <c r="F1221" i="3" s="1"/>
  <c r="AK1220" i="3"/>
  <c r="F1220" i="3" s="1"/>
  <c r="AK1219" i="3"/>
  <c r="F1219" i="3" s="1"/>
  <c r="AK1218" i="3"/>
  <c r="F1218" i="3" s="1"/>
  <c r="AK1216" i="3"/>
  <c r="F1216" i="3" s="1"/>
  <c r="AK1215" i="3"/>
  <c r="F1215" i="3" s="1"/>
  <c r="AK1214" i="3"/>
  <c r="F1214" i="3" s="1"/>
  <c r="AK1213" i="3"/>
  <c r="F1213" i="3" s="1"/>
  <c r="AK1212" i="3"/>
  <c r="F1212" i="3" s="1"/>
  <c r="AK1210" i="3"/>
  <c r="F1210" i="3" s="1"/>
  <c r="AK1209" i="3"/>
  <c r="F1209" i="3" s="1"/>
  <c r="AK1208" i="3"/>
  <c r="F1208" i="3" s="1"/>
  <c r="AK1207" i="3"/>
  <c r="F1207" i="3" s="1"/>
  <c r="AK1206" i="3"/>
  <c r="F1206" i="3" s="1"/>
  <c r="AK1204" i="3"/>
  <c r="F1204" i="3" s="1"/>
  <c r="AK1203" i="3"/>
  <c r="AK1202" i="3"/>
  <c r="F1202" i="3" s="1"/>
  <c r="AK1201" i="3"/>
  <c r="F1201" i="3" s="1"/>
  <c r="AK1200" i="3"/>
  <c r="F1200" i="3" s="1"/>
  <c r="AK1198" i="3"/>
  <c r="F1198" i="3" s="1"/>
  <c r="AJ1198" i="3"/>
  <c r="L1198" i="3"/>
  <c r="AK1197" i="3"/>
  <c r="F1197" i="3" s="1"/>
  <c r="AJ1197" i="3"/>
  <c r="L1197" i="3"/>
  <c r="AS1195" i="3"/>
  <c r="AR1195" i="3"/>
  <c r="AQ1195" i="3"/>
  <c r="AM1195" i="3"/>
  <c r="AN1195" i="3" s="1"/>
  <c r="AP1195" i="3" s="1"/>
  <c r="AK1195" i="3"/>
  <c r="F1195" i="3" s="1"/>
  <c r="AJ1195" i="3"/>
  <c r="O1195" i="3"/>
  <c r="L1195" i="3"/>
  <c r="AS1194" i="3"/>
  <c r="AR1194" i="3"/>
  <c r="AQ1194" i="3"/>
  <c r="AP1194" i="3"/>
  <c r="AO1194" i="3"/>
  <c r="AM1194" i="3"/>
  <c r="AK1194" i="3"/>
  <c r="F1194" i="3" s="1"/>
  <c r="AJ1194" i="3"/>
  <c r="O1194" i="3"/>
  <c r="L1194" i="3"/>
  <c r="AS1193" i="3"/>
  <c r="AR1193" i="3"/>
  <c r="AQ1193" i="3"/>
  <c r="AP1193" i="3"/>
  <c r="AO1193" i="3"/>
  <c r="AM1193" i="3"/>
  <c r="AK1193" i="3"/>
  <c r="F1193" i="3" s="1"/>
  <c r="AJ1193" i="3"/>
  <c r="O1193" i="3"/>
  <c r="L1193" i="3"/>
  <c r="AS1192" i="3"/>
  <c r="AR1192" i="3"/>
  <c r="AQ1192" i="3"/>
  <c r="AP1192" i="3"/>
  <c r="AO1192" i="3"/>
  <c r="AK1192" i="3"/>
  <c r="F1192" i="3" s="1"/>
  <c r="AJ1192" i="3"/>
  <c r="O1192" i="3"/>
  <c r="L1192" i="3"/>
  <c r="I1192" i="3"/>
  <c r="AS1191" i="3"/>
  <c r="AR1191" i="3"/>
  <c r="AQ1191" i="3"/>
  <c r="AP1191" i="3"/>
  <c r="AO1191" i="3"/>
  <c r="AK1191" i="3"/>
  <c r="F1191" i="3" s="1"/>
  <c r="AJ1191" i="3"/>
  <c r="W1191" i="3"/>
  <c r="O1191" i="3"/>
  <c r="L1191" i="3"/>
  <c r="AK1187" i="3"/>
  <c r="F1187" i="3" s="1"/>
  <c r="AK1186" i="3"/>
  <c r="F1186" i="3" s="1"/>
  <c r="AK1185" i="3"/>
  <c r="F1185" i="3" s="1"/>
  <c r="AK1184" i="3"/>
  <c r="F1184" i="3" s="1"/>
  <c r="AK1183" i="3"/>
  <c r="F1183" i="3" s="1"/>
  <c r="AK1181" i="3"/>
  <c r="F1181" i="3" s="1"/>
  <c r="AK1180" i="3"/>
  <c r="F1180" i="3" s="1"/>
  <c r="AK1179" i="3"/>
  <c r="F1179" i="3" s="1"/>
  <c r="AK1178" i="3"/>
  <c r="F1178" i="3" s="1"/>
  <c r="AK1177" i="3"/>
  <c r="F1177" i="3" s="1"/>
  <c r="AK1175" i="3"/>
  <c r="F1175" i="3" s="1"/>
  <c r="AK1174" i="3"/>
  <c r="F1174" i="3" s="1"/>
  <c r="AK1173" i="3"/>
  <c r="F1173" i="3" s="1"/>
  <c r="AK1172" i="3"/>
  <c r="F1172" i="3" s="1"/>
  <c r="AK1171" i="3"/>
  <c r="F1171" i="3" s="1"/>
  <c r="AK1169" i="3"/>
  <c r="F1169" i="3" s="1"/>
  <c r="AK1168" i="3"/>
  <c r="AK1167" i="3"/>
  <c r="F1167" i="3" s="1"/>
  <c r="AK1166" i="3"/>
  <c r="F1166" i="3" s="1"/>
  <c r="AK1165" i="3"/>
  <c r="F1165" i="3" s="1"/>
  <c r="AK1163" i="3"/>
  <c r="F1163" i="3" s="1"/>
  <c r="AJ1163" i="3"/>
  <c r="L1163" i="3"/>
  <c r="AK1162" i="3"/>
  <c r="AJ1162" i="3"/>
  <c r="L1162" i="3"/>
  <c r="AS1160" i="3"/>
  <c r="AR1160" i="3"/>
  <c r="AQ1160" i="3"/>
  <c r="AM1160" i="3"/>
  <c r="AN1160" i="3" s="1"/>
  <c r="AP1160" i="3" s="1"/>
  <c r="AK1160" i="3"/>
  <c r="F1160" i="3" s="1"/>
  <c r="AJ1160" i="3"/>
  <c r="O1160" i="3"/>
  <c r="L1160" i="3"/>
  <c r="AS1159" i="3"/>
  <c r="AR1159" i="3"/>
  <c r="AQ1159" i="3"/>
  <c r="AP1159" i="3"/>
  <c r="AO1159" i="3"/>
  <c r="AM1159" i="3"/>
  <c r="AK1159" i="3"/>
  <c r="AJ1159" i="3"/>
  <c r="O1159" i="3"/>
  <c r="L1159" i="3"/>
  <c r="AS1158" i="3"/>
  <c r="AR1158" i="3"/>
  <c r="AQ1158" i="3"/>
  <c r="AP1158" i="3"/>
  <c r="AO1158" i="3"/>
  <c r="AM1158" i="3"/>
  <c r="AK1158" i="3"/>
  <c r="F1158" i="3" s="1"/>
  <c r="AJ1158" i="3"/>
  <c r="O1158" i="3"/>
  <c r="L1158" i="3"/>
  <c r="AS1157" i="3"/>
  <c r="AR1157" i="3"/>
  <c r="AQ1157" i="3"/>
  <c r="AP1157" i="3"/>
  <c r="AO1157" i="3"/>
  <c r="AK1157" i="3"/>
  <c r="F1157" i="3" s="1"/>
  <c r="AJ1157" i="3"/>
  <c r="O1157" i="3"/>
  <c r="L1157" i="3"/>
  <c r="AS1156" i="3"/>
  <c r="AR1156" i="3"/>
  <c r="AQ1156" i="3"/>
  <c r="AP1156" i="3"/>
  <c r="AO1156" i="3"/>
  <c r="AK1156" i="3"/>
  <c r="F1156" i="3" s="1"/>
  <c r="AJ1156" i="3"/>
  <c r="W1156" i="3"/>
  <c r="O1156" i="3"/>
  <c r="L1156" i="3"/>
  <c r="AK1152" i="3"/>
  <c r="F1152" i="3" s="1"/>
  <c r="AK1151" i="3"/>
  <c r="F1151" i="3" s="1"/>
  <c r="AK1150" i="3"/>
  <c r="F1150" i="3" s="1"/>
  <c r="AK1149" i="3"/>
  <c r="F1149" i="3" s="1"/>
  <c r="AK1148" i="3"/>
  <c r="F1148" i="3" s="1"/>
  <c r="AK1146" i="3"/>
  <c r="F1146" i="3" s="1"/>
  <c r="AK1145" i="3"/>
  <c r="F1145" i="3" s="1"/>
  <c r="AK1144" i="3"/>
  <c r="F1144" i="3" s="1"/>
  <c r="AK1143" i="3"/>
  <c r="F1143" i="3" s="1"/>
  <c r="AK1142" i="3"/>
  <c r="F1142" i="3" s="1"/>
  <c r="AK1140" i="3"/>
  <c r="F1140" i="3" s="1"/>
  <c r="AK1139" i="3"/>
  <c r="F1139" i="3" s="1"/>
  <c r="AK1138" i="3"/>
  <c r="F1138" i="3" s="1"/>
  <c r="AK1137" i="3"/>
  <c r="F1137" i="3" s="1"/>
  <c r="AK1136" i="3"/>
  <c r="F1136" i="3" s="1"/>
  <c r="AK1134" i="3"/>
  <c r="F1134" i="3" s="1"/>
  <c r="AK1133" i="3"/>
  <c r="AK1132" i="3"/>
  <c r="F1132" i="3" s="1"/>
  <c r="AK1131" i="3"/>
  <c r="F1131" i="3" s="1"/>
  <c r="AK1130" i="3"/>
  <c r="F1130" i="3" s="1"/>
  <c r="AK1128" i="3"/>
  <c r="AJ1128" i="3"/>
  <c r="L1128" i="3"/>
  <c r="AK1127" i="3"/>
  <c r="F1127" i="3" s="1"/>
  <c r="AJ1127" i="3"/>
  <c r="L1127" i="3"/>
  <c r="I1127" i="3"/>
  <c r="AS1125" i="3"/>
  <c r="AR1125" i="3"/>
  <c r="AQ1125" i="3"/>
  <c r="AM1125" i="3"/>
  <c r="AN1125" i="3" s="1"/>
  <c r="AK1125" i="3"/>
  <c r="F1125" i="3" s="1"/>
  <c r="AJ1125" i="3"/>
  <c r="O1125" i="3"/>
  <c r="L1125" i="3"/>
  <c r="AS1124" i="3"/>
  <c r="AR1124" i="3"/>
  <c r="AQ1124" i="3"/>
  <c r="AP1124" i="3"/>
  <c r="AO1124" i="3"/>
  <c r="AM1124" i="3"/>
  <c r="AK1124" i="3"/>
  <c r="F1124" i="3" s="1"/>
  <c r="AJ1124" i="3"/>
  <c r="O1124" i="3"/>
  <c r="L1124" i="3"/>
  <c r="AS1123" i="3"/>
  <c r="AR1123" i="3"/>
  <c r="AQ1123" i="3"/>
  <c r="AP1123" i="3"/>
  <c r="AO1123" i="3"/>
  <c r="AM1123" i="3"/>
  <c r="AK1123" i="3"/>
  <c r="F1123" i="3" s="1"/>
  <c r="AJ1123" i="3"/>
  <c r="O1123" i="3"/>
  <c r="L1123" i="3"/>
  <c r="AS1122" i="3"/>
  <c r="AR1122" i="3"/>
  <c r="AQ1122" i="3"/>
  <c r="AP1122" i="3"/>
  <c r="AO1122" i="3"/>
  <c r="AK1122" i="3"/>
  <c r="F1122" i="3" s="1"/>
  <c r="AJ1122" i="3"/>
  <c r="O1122" i="3"/>
  <c r="L1122" i="3"/>
  <c r="I1122" i="3"/>
  <c r="AS1121" i="3"/>
  <c r="AR1121" i="3"/>
  <c r="AQ1121" i="3"/>
  <c r="AP1121" i="3"/>
  <c r="AO1121" i="3"/>
  <c r="AK1121" i="3"/>
  <c r="AJ1121" i="3"/>
  <c r="W1121" i="3"/>
  <c r="O1121" i="3"/>
  <c r="L1121" i="3"/>
  <c r="AK1117" i="3"/>
  <c r="F1117" i="3" s="1"/>
  <c r="AK1116" i="3"/>
  <c r="F1116" i="3" s="1"/>
  <c r="AK1115" i="3"/>
  <c r="F1115" i="3" s="1"/>
  <c r="AK1114" i="3"/>
  <c r="F1114" i="3" s="1"/>
  <c r="AK1113" i="3"/>
  <c r="F1113" i="3" s="1"/>
  <c r="AK1111" i="3"/>
  <c r="F1111" i="3" s="1"/>
  <c r="AK1110" i="3"/>
  <c r="F1110" i="3" s="1"/>
  <c r="AK1109" i="3"/>
  <c r="F1109" i="3" s="1"/>
  <c r="AK1108" i="3"/>
  <c r="F1108" i="3" s="1"/>
  <c r="AK1107" i="3"/>
  <c r="F1107" i="3" s="1"/>
  <c r="AK1105" i="3"/>
  <c r="F1105" i="3" s="1"/>
  <c r="AK1104" i="3"/>
  <c r="F1104" i="3" s="1"/>
  <c r="AK1103" i="3"/>
  <c r="F1103" i="3" s="1"/>
  <c r="AK1102" i="3"/>
  <c r="F1102" i="3" s="1"/>
  <c r="AK1101" i="3"/>
  <c r="F1101" i="3" s="1"/>
  <c r="AK1099" i="3"/>
  <c r="F1099" i="3" s="1"/>
  <c r="AK1098" i="3"/>
  <c r="AK1097" i="3"/>
  <c r="F1097" i="3" s="1"/>
  <c r="AK1096" i="3"/>
  <c r="F1096" i="3" s="1"/>
  <c r="AK1095" i="3"/>
  <c r="F1095" i="3" s="1"/>
  <c r="AK1093" i="3"/>
  <c r="F1093" i="3" s="1"/>
  <c r="AJ1093" i="3"/>
  <c r="L1093" i="3"/>
  <c r="AK1092" i="3"/>
  <c r="F1092" i="3" s="1"/>
  <c r="AJ1092" i="3"/>
  <c r="L1092" i="3"/>
  <c r="I1092" i="3"/>
  <c r="AS1090" i="3"/>
  <c r="AR1090" i="3"/>
  <c r="AQ1090" i="3"/>
  <c r="AM1090" i="3"/>
  <c r="AN1090" i="3" s="1"/>
  <c r="AK1090" i="3"/>
  <c r="AJ1090" i="3"/>
  <c r="O1090" i="3"/>
  <c r="L1090" i="3"/>
  <c r="AS1089" i="3"/>
  <c r="AR1089" i="3"/>
  <c r="AQ1089" i="3"/>
  <c r="AP1089" i="3"/>
  <c r="AO1089" i="3"/>
  <c r="AM1089" i="3"/>
  <c r="AK1089" i="3"/>
  <c r="F1089" i="3" s="1"/>
  <c r="AJ1089" i="3"/>
  <c r="O1089" i="3"/>
  <c r="L1089" i="3"/>
  <c r="AS1088" i="3"/>
  <c r="AR1088" i="3"/>
  <c r="AQ1088" i="3"/>
  <c r="AP1088" i="3"/>
  <c r="AO1088" i="3"/>
  <c r="AM1088" i="3"/>
  <c r="AK1088" i="3"/>
  <c r="AJ1088" i="3"/>
  <c r="O1088" i="3"/>
  <c r="L1088" i="3"/>
  <c r="AS1087" i="3"/>
  <c r="AR1087" i="3"/>
  <c r="AQ1087" i="3"/>
  <c r="AP1087" i="3"/>
  <c r="AO1087" i="3"/>
  <c r="AK1087" i="3"/>
  <c r="F1087" i="3" s="1"/>
  <c r="AJ1087" i="3"/>
  <c r="O1087" i="3"/>
  <c r="L1087" i="3"/>
  <c r="I1087" i="3"/>
  <c r="AS1086" i="3"/>
  <c r="AR1086" i="3"/>
  <c r="AQ1086" i="3"/>
  <c r="AP1086" i="3"/>
  <c r="AO1086" i="3"/>
  <c r="AK1086" i="3"/>
  <c r="AJ1086" i="3"/>
  <c r="W1086" i="3"/>
  <c r="O1086" i="3"/>
  <c r="L1086" i="3"/>
  <c r="AK1082" i="3"/>
  <c r="F1082" i="3" s="1"/>
  <c r="AK1081" i="3"/>
  <c r="F1081" i="3" s="1"/>
  <c r="AK1080" i="3"/>
  <c r="F1080" i="3" s="1"/>
  <c r="AK1079" i="3"/>
  <c r="F1079" i="3" s="1"/>
  <c r="AK1078" i="3"/>
  <c r="F1078" i="3" s="1"/>
  <c r="AK1076" i="3"/>
  <c r="F1076" i="3" s="1"/>
  <c r="AK1075" i="3"/>
  <c r="F1075" i="3" s="1"/>
  <c r="AK1074" i="3"/>
  <c r="F1074" i="3" s="1"/>
  <c r="AK1073" i="3"/>
  <c r="F1073" i="3" s="1"/>
  <c r="AK1072" i="3"/>
  <c r="F1072" i="3" s="1"/>
  <c r="AK1070" i="3"/>
  <c r="F1070" i="3" s="1"/>
  <c r="AK1069" i="3"/>
  <c r="F1069" i="3" s="1"/>
  <c r="AK1068" i="3"/>
  <c r="F1068" i="3" s="1"/>
  <c r="AK1067" i="3"/>
  <c r="F1067" i="3" s="1"/>
  <c r="AK1066" i="3"/>
  <c r="F1066" i="3" s="1"/>
  <c r="AK1064" i="3"/>
  <c r="F1064" i="3" s="1"/>
  <c r="AK1063" i="3"/>
  <c r="AK1062" i="3"/>
  <c r="F1062" i="3" s="1"/>
  <c r="AK1061" i="3"/>
  <c r="F1061" i="3" s="1"/>
  <c r="AK1060" i="3"/>
  <c r="F1060" i="3" s="1"/>
  <c r="AK1058" i="3"/>
  <c r="AJ1058" i="3"/>
  <c r="L1058" i="3"/>
  <c r="AK1057" i="3"/>
  <c r="F1057" i="3" s="1"/>
  <c r="AJ1057" i="3"/>
  <c r="L1057" i="3"/>
  <c r="AS1055" i="3"/>
  <c r="AR1055" i="3"/>
  <c r="AQ1055" i="3"/>
  <c r="AM1055" i="3"/>
  <c r="AN1055" i="3" s="1"/>
  <c r="AP1055" i="3" s="1"/>
  <c r="AK1055" i="3"/>
  <c r="F1055" i="3" s="1"/>
  <c r="AJ1055" i="3"/>
  <c r="O1055" i="3"/>
  <c r="L1055" i="3"/>
  <c r="AS1054" i="3"/>
  <c r="AR1054" i="3"/>
  <c r="AQ1054" i="3"/>
  <c r="AP1054" i="3"/>
  <c r="AO1054" i="3"/>
  <c r="AM1054" i="3"/>
  <c r="AK1054" i="3"/>
  <c r="F1054" i="3" s="1"/>
  <c r="AJ1054" i="3"/>
  <c r="O1054" i="3"/>
  <c r="L1054" i="3"/>
  <c r="AS1053" i="3"/>
  <c r="AR1053" i="3"/>
  <c r="AQ1053" i="3"/>
  <c r="AP1053" i="3"/>
  <c r="AO1053" i="3"/>
  <c r="AM1053" i="3"/>
  <c r="AK1053" i="3"/>
  <c r="F1053" i="3" s="1"/>
  <c r="AJ1053" i="3"/>
  <c r="O1053" i="3"/>
  <c r="L1053" i="3"/>
  <c r="AS1052" i="3"/>
  <c r="AR1052" i="3"/>
  <c r="AQ1052" i="3"/>
  <c r="AP1052" i="3"/>
  <c r="AO1052" i="3"/>
  <c r="AK1052" i="3"/>
  <c r="F1052" i="3" s="1"/>
  <c r="AJ1052" i="3"/>
  <c r="O1052" i="3"/>
  <c r="L1052" i="3"/>
  <c r="AS1051" i="3"/>
  <c r="AR1051" i="3"/>
  <c r="AQ1051" i="3"/>
  <c r="AP1051" i="3"/>
  <c r="AO1051" i="3"/>
  <c r="AK1051" i="3"/>
  <c r="F1051" i="3" s="1"/>
  <c r="AJ1051" i="3"/>
  <c r="W1051" i="3"/>
  <c r="O1051" i="3"/>
  <c r="L1051" i="3"/>
  <c r="AK1047" i="3"/>
  <c r="F1047" i="3" s="1"/>
  <c r="AK1046" i="3"/>
  <c r="F1046" i="3" s="1"/>
  <c r="AK1045" i="3"/>
  <c r="F1045" i="3" s="1"/>
  <c r="AK1044" i="3"/>
  <c r="F1044" i="3" s="1"/>
  <c r="AK1043" i="3"/>
  <c r="F1043" i="3" s="1"/>
  <c r="AK1041" i="3"/>
  <c r="F1041" i="3" s="1"/>
  <c r="AK1040" i="3"/>
  <c r="F1040" i="3" s="1"/>
  <c r="AK1039" i="3"/>
  <c r="F1039" i="3" s="1"/>
  <c r="AK1038" i="3"/>
  <c r="F1038" i="3" s="1"/>
  <c r="AK1037" i="3"/>
  <c r="F1037" i="3" s="1"/>
  <c r="AK1035" i="3"/>
  <c r="F1035" i="3" s="1"/>
  <c r="AK1034" i="3"/>
  <c r="F1034" i="3" s="1"/>
  <c r="AK1033" i="3"/>
  <c r="F1033" i="3" s="1"/>
  <c r="AK1032" i="3"/>
  <c r="F1032" i="3" s="1"/>
  <c r="AK1031" i="3"/>
  <c r="F1031" i="3" s="1"/>
  <c r="AK1029" i="3"/>
  <c r="F1029" i="3" s="1"/>
  <c r="AK1028" i="3"/>
  <c r="AK1027" i="3"/>
  <c r="F1027" i="3" s="1"/>
  <c r="AK1026" i="3"/>
  <c r="F1026" i="3" s="1"/>
  <c r="AK1025" i="3"/>
  <c r="F1025" i="3" s="1"/>
  <c r="AK1023" i="3"/>
  <c r="F1023" i="3" s="1"/>
  <c r="AJ1023" i="3"/>
  <c r="L1023" i="3"/>
  <c r="AK1022" i="3"/>
  <c r="AJ1022" i="3"/>
  <c r="L1022" i="3"/>
  <c r="AS1020" i="3"/>
  <c r="AR1020" i="3"/>
  <c r="AQ1020" i="3"/>
  <c r="AM1020" i="3"/>
  <c r="AN1020" i="3" s="1"/>
  <c r="AP1020" i="3" s="1"/>
  <c r="AK1020" i="3"/>
  <c r="M1020" i="3" s="1"/>
  <c r="AJ1020" i="3"/>
  <c r="O1020" i="3"/>
  <c r="L1020" i="3"/>
  <c r="AS1019" i="3"/>
  <c r="AR1019" i="3"/>
  <c r="AQ1019" i="3"/>
  <c r="AP1019" i="3"/>
  <c r="AO1019" i="3"/>
  <c r="AM1019" i="3"/>
  <c r="AK1019" i="3"/>
  <c r="AJ1019" i="3"/>
  <c r="O1019" i="3"/>
  <c r="L1019" i="3"/>
  <c r="AS1018" i="3"/>
  <c r="AR1018" i="3"/>
  <c r="AQ1018" i="3"/>
  <c r="AP1018" i="3"/>
  <c r="AO1018" i="3"/>
  <c r="AM1018" i="3"/>
  <c r="AK1018" i="3"/>
  <c r="F1018" i="3" s="1"/>
  <c r="AJ1018" i="3"/>
  <c r="O1018" i="3"/>
  <c r="L1018" i="3"/>
  <c r="AS1017" i="3"/>
  <c r="AR1017" i="3"/>
  <c r="AQ1017" i="3"/>
  <c r="AP1017" i="3"/>
  <c r="AO1017" i="3"/>
  <c r="AK1017" i="3"/>
  <c r="F1017" i="3" s="1"/>
  <c r="AJ1017" i="3"/>
  <c r="O1017" i="3"/>
  <c r="L1017" i="3"/>
  <c r="AS1016" i="3"/>
  <c r="AR1016" i="3"/>
  <c r="AQ1016" i="3"/>
  <c r="AP1016" i="3"/>
  <c r="AO1016" i="3"/>
  <c r="AK1016" i="3"/>
  <c r="F1016" i="3" s="1"/>
  <c r="AJ1016" i="3"/>
  <c r="W1016" i="3"/>
  <c r="O1016" i="3"/>
  <c r="L1016" i="3"/>
  <c r="AK1012" i="3"/>
  <c r="F1012" i="3" s="1"/>
  <c r="AK1011" i="3"/>
  <c r="F1011" i="3" s="1"/>
  <c r="AK1010" i="3"/>
  <c r="F1010" i="3" s="1"/>
  <c r="AK1009" i="3"/>
  <c r="F1009" i="3" s="1"/>
  <c r="AK1008" i="3"/>
  <c r="F1008" i="3" s="1"/>
  <c r="AK1006" i="3"/>
  <c r="F1006" i="3" s="1"/>
  <c r="AK1005" i="3"/>
  <c r="F1005" i="3" s="1"/>
  <c r="AK1004" i="3"/>
  <c r="F1004" i="3" s="1"/>
  <c r="AK1003" i="3"/>
  <c r="F1003" i="3" s="1"/>
  <c r="AK1002" i="3"/>
  <c r="F1002" i="3" s="1"/>
  <c r="AK1000" i="3"/>
  <c r="F1000" i="3" s="1"/>
  <c r="AK999" i="3"/>
  <c r="F999" i="3" s="1"/>
  <c r="AK998" i="3"/>
  <c r="F998" i="3" s="1"/>
  <c r="AK997" i="3"/>
  <c r="F997" i="3" s="1"/>
  <c r="AK996" i="3"/>
  <c r="F996" i="3" s="1"/>
  <c r="AK994" i="3"/>
  <c r="F994" i="3" s="1"/>
  <c r="AK993" i="3"/>
  <c r="AK992" i="3"/>
  <c r="F992" i="3" s="1"/>
  <c r="AK991" i="3"/>
  <c r="F991" i="3" s="1"/>
  <c r="AK990" i="3"/>
  <c r="F990" i="3" s="1"/>
  <c r="AK988" i="3"/>
  <c r="AJ988" i="3"/>
  <c r="M988" i="3"/>
  <c r="AK987" i="3"/>
  <c r="F987" i="3" s="1"/>
  <c r="AJ987" i="3"/>
  <c r="M987" i="3"/>
  <c r="AS985" i="3"/>
  <c r="AR985" i="3"/>
  <c r="AQ985" i="3"/>
  <c r="AM985" i="3"/>
  <c r="AN985" i="3" s="1"/>
  <c r="AK985" i="3"/>
  <c r="F985" i="3" s="1"/>
  <c r="AJ985" i="3"/>
  <c r="O985" i="3"/>
  <c r="M985" i="3"/>
  <c r="AS984" i="3"/>
  <c r="AR984" i="3"/>
  <c r="AQ984" i="3"/>
  <c r="AP984" i="3"/>
  <c r="AO984" i="3"/>
  <c r="AM984" i="3"/>
  <c r="AK984" i="3"/>
  <c r="F984" i="3" s="1"/>
  <c r="AJ984" i="3"/>
  <c r="O984" i="3"/>
  <c r="M984" i="3"/>
  <c r="AS983" i="3"/>
  <c r="AR983" i="3"/>
  <c r="AQ983" i="3"/>
  <c r="AP983" i="3"/>
  <c r="AO983" i="3"/>
  <c r="AM983" i="3"/>
  <c r="AK983" i="3"/>
  <c r="F983" i="3" s="1"/>
  <c r="AJ983" i="3"/>
  <c r="O983" i="3"/>
  <c r="M983" i="3"/>
  <c r="AS982" i="3"/>
  <c r="AR982" i="3"/>
  <c r="AQ982" i="3"/>
  <c r="AP982" i="3"/>
  <c r="AO982" i="3"/>
  <c r="AK982" i="3"/>
  <c r="F982" i="3" s="1"/>
  <c r="AJ982" i="3"/>
  <c r="O982" i="3"/>
  <c r="M982" i="3"/>
  <c r="I982" i="3"/>
  <c r="AS981" i="3"/>
  <c r="AR981" i="3"/>
  <c r="AQ981" i="3"/>
  <c r="AP981" i="3"/>
  <c r="AO981" i="3"/>
  <c r="AK981" i="3"/>
  <c r="AJ981" i="3"/>
  <c r="W981" i="3"/>
  <c r="O981" i="3"/>
  <c r="M981" i="3"/>
  <c r="AK977" i="3"/>
  <c r="F977" i="3" s="1"/>
  <c r="AK976" i="3"/>
  <c r="F976" i="3" s="1"/>
  <c r="AK975" i="3"/>
  <c r="F975" i="3" s="1"/>
  <c r="AK974" i="3"/>
  <c r="F974" i="3" s="1"/>
  <c r="AK973" i="3"/>
  <c r="F973" i="3" s="1"/>
  <c r="AK971" i="3"/>
  <c r="F971" i="3" s="1"/>
  <c r="AK970" i="3"/>
  <c r="F970" i="3" s="1"/>
  <c r="AK969" i="3"/>
  <c r="F969" i="3" s="1"/>
  <c r="AK968" i="3"/>
  <c r="F968" i="3" s="1"/>
  <c r="AK967" i="3"/>
  <c r="F967" i="3" s="1"/>
  <c r="AK965" i="3"/>
  <c r="F965" i="3" s="1"/>
  <c r="AK964" i="3"/>
  <c r="F964" i="3" s="1"/>
  <c r="AK963" i="3"/>
  <c r="F963" i="3" s="1"/>
  <c r="AK962" i="3"/>
  <c r="F962" i="3" s="1"/>
  <c r="AK961" i="3"/>
  <c r="F961" i="3" s="1"/>
  <c r="AK959" i="3"/>
  <c r="F959" i="3" s="1"/>
  <c r="AK958" i="3"/>
  <c r="AK957" i="3"/>
  <c r="F957" i="3" s="1"/>
  <c r="AK956" i="3"/>
  <c r="F956" i="3" s="1"/>
  <c r="AK955" i="3"/>
  <c r="F955" i="3" s="1"/>
  <c r="AK953" i="3"/>
  <c r="F953" i="3" s="1"/>
  <c r="AJ953" i="3"/>
  <c r="L953" i="3"/>
  <c r="AK952" i="3"/>
  <c r="F952" i="3" s="1"/>
  <c r="AJ952" i="3"/>
  <c r="L952" i="3"/>
  <c r="AS950" i="3"/>
  <c r="AR950" i="3"/>
  <c r="AQ950" i="3"/>
  <c r="AM950" i="3"/>
  <c r="AN950" i="3" s="1"/>
  <c r="AK950" i="3"/>
  <c r="F950" i="3" s="1"/>
  <c r="AJ950" i="3"/>
  <c r="O950" i="3"/>
  <c r="L950" i="3"/>
  <c r="AS949" i="3"/>
  <c r="AR949" i="3"/>
  <c r="AQ949" i="3"/>
  <c r="AP949" i="3"/>
  <c r="AO949" i="3"/>
  <c r="AM949" i="3"/>
  <c r="AK949" i="3"/>
  <c r="F949" i="3" s="1"/>
  <c r="AJ949" i="3"/>
  <c r="O949" i="3"/>
  <c r="L949" i="3"/>
  <c r="AS948" i="3"/>
  <c r="AR948" i="3"/>
  <c r="AQ948" i="3"/>
  <c r="AP948" i="3"/>
  <c r="AO948" i="3"/>
  <c r="AM948" i="3"/>
  <c r="AK948" i="3"/>
  <c r="F948" i="3" s="1"/>
  <c r="AJ948" i="3"/>
  <c r="O948" i="3"/>
  <c r="L948" i="3"/>
  <c r="AS947" i="3"/>
  <c r="AR947" i="3"/>
  <c r="AQ947" i="3"/>
  <c r="AP947" i="3"/>
  <c r="AO947" i="3"/>
  <c r="AK947" i="3"/>
  <c r="F947" i="3" s="1"/>
  <c r="AJ947" i="3"/>
  <c r="O947" i="3"/>
  <c r="L947" i="3"/>
  <c r="I947" i="3"/>
  <c r="AS946" i="3"/>
  <c r="AR946" i="3"/>
  <c r="AQ946" i="3"/>
  <c r="AP946" i="3"/>
  <c r="AO946" i="3"/>
  <c r="AK946" i="3"/>
  <c r="F946" i="3" s="1"/>
  <c r="AJ946" i="3"/>
  <c r="W946" i="3"/>
  <c r="O946" i="3"/>
  <c r="L946" i="3"/>
  <c r="AK942" i="3"/>
  <c r="F942" i="3" s="1"/>
  <c r="AK941" i="3"/>
  <c r="F941" i="3" s="1"/>
  <c r="AK940" i="3"/>
  <c r="F940" i="3" s="1"/>
  <c r="AK939" i="3"/>
  <c r="F939" i="3" s="1"/>
  <c r="AK938" i="3"/>
  <c r="F938" i="3" s="1"/>
  <c r="AK936" i="3"/>
  <c r="F936" i="3" s="1"/>
  <c r="AK935" i="3"/>
  <c r="F935" i="3" s="1"/>
  <c r="AK934" i="3"/>
  <c r="F934" i="3" s="1"/>
  <c r="AK933" i="3"/>
  <c r="F933" i="3" s="1"/>
  <c r="AK932" i="3"/>
  <c r="F932" i="3" s="1"/>
  <c r="AK930" i="3"/>
  <c r="F930" i="3" s="1"/>
  <c r="AK929" i="3"/>
  <c r="F929" i="3" s="1"/>
  <c r="AK928" i="3"/>
  <c r="F928" i="3" s="1"/>
  <c r="AK927" i="3"/>
  <c r="F927" i="3" s="1"/>
  <c r="AK926" i="3"/>
  <c r="F926" i="3" s="1"/>
  <c r="AK924" i="3"/>
  <c r="F924" i="3" s="1"/>
  <c r="AK923" i="3"/>
  <c r="AK922" i="3"/>
  <c r="F922" i="3" s="1"/>
  <c r="AK921" i="3"/>
  <c r="F921" i="3" s="1"/>
  <c r="AK920" i="3"/>
  <c r="F920" i="3" s="1"/>
  <c r="AK918" i="3"/>
  <c r="F918" i="3" s="1"/>
  <c r="AJ918" i="3"/>
  <c r="L918" i="3"/>
  <c r="AK917" i="3"/>
  <c r="AJ917" i="3"/>
  <c r="L917" i="3"/>
  <c r="AS915" i="3"/>
  <c r="AR915" i="3"/>
  <c r="AQ915" i="3"/>
  <c r="AM915" i="3"/>
  <c r="AN915" i="3" s="1"/>
  <c r="AO915" i="3" s="1"/>
  <c r="AK915" i="3"/>
  <c r="F915" i="3" s="1"/>
  <c r="AJ915" i="3"/>
  <c r="O915" i="3"/>
  <c r="L915" i="3"/>
  <c r="AS914" i="3"/>
  <c r="AR914" i="3"/>
  <c r="AQ914" i="3"/>
  <c r="AP914" i="3"/>
  <c r="AO914" i="3"/>
  <c r="AM914" i="3"/>
  <c r="AK914" i="3"/>
  <c r="AJ914" i="3"/>
  <c r="O914" i="3"/>
  <c r="L914" i="3"/>
  <c r="AS913" i="3"/>
  <c r="AR913" i="3"/>
  <c r="AQ913" i="3"/>
  <c r="AP913" i="3"/>
  <c r="AO913" i="3"/>
  <c r="AM913" i="3"/>
  <c r="AK913" i="3"/>
  <c r="AJ913" i="3"/>
  <c r="O913" i="3"/>
  <c r="L913" i="3"/>
  <c r="AS912" i="3"/>
  <c r="AR912" i="3"/>
  <c r="AQ912" i="3"/>
  <c r="AP912" i="3"/>
  <c r="AO912" i="3"/>
  <c r="AK912" i="3"/>
  <c r="AJ912" i="3"/>
  <c r="O912" i="3"/>
  <c r="L912" i="3"/>
  <c r="AS911" i="3"/>
  <c r="AR911" i="3"/>
  <c r="AQ911" i="3"/>
  <c r="AP911" i="3"/>
  <c r="AO911" i="3"/>
  <c r="AK911" i="3"/>
  <c r="F911" i="3" s="1"/>
  <c r="AJ911" i="3"/>
  <c r="W911" i="3"/>
  <c r="O911" i="3"/>
  <c r="L911" i="3"/>
  <c r="AK907" i="3"/>
  <c r="F907" i="3" s="1"/>
  <c r="AK906" i="3"/>
  <c r="F906" i="3" s="1"/>
  <c r="AK905" i="3"/>
  <c r="F905" i="3" s="1"/>
  <c r="AK904" i="3"/>
  <c r="F904" i="3" s="1"/>
  <c r="AK903" i="3"/>
  <c r="F903" i="3" s="1"/>
  <c r="AK901" i="3"/>
  <c r="F901" i="3" s="1"/>
  <c r="AK900" i="3"/>
  <c r="F900" i="3" s="1"/>
  <c r="AK899" i="3"/>
  <c r="F899" i="3" s="1"/>
  <c r="AK898" i="3"/>
  <c r="F898" i="3" s="1"/>
  <c r="AK897" i="3"/>
  <c r="F897" i="3" s="1"/>
  <c r="AK895" i="3"/>
  <c r="F895" i="3" s="1"/>
  <c r="AK894" i="3"/>
  <c r="F894" i="3" s="1"/>
  <c r="AK893" i="3"/>
  <c r="F893" i="3" s="1"/>
  <c r="AK892" i="3"/>
  <c r="F892" i="3" s="1"/>
  <c r="AK891" i="3"/>
  <c r="F891" i="3" s="1"/>
  <c r="AK889" i="3"/>
  <c r="F889" i="3" s="1"/>
  <c r="AK888" i="3"/>
  <c r="AK887" i="3"/>
  <c r="F887" i="3" s="1"/>
  <c r="AK886" i="3"/>
  <c r="F886" i="3" s="1"/>
  <c r="AK885" i="3"/>
  <c r="F885" i="3" s="1"/>
  <c r="AK883" i="3"/>
  <c r="AJ883" i="3"/>
  <c r="L883" i="3"/>
  <c r="AK882" i="3"/>
  <c r="F882" i="3" s="1"/>
  <c r="AJ882" i="3"/>
  <c r="L882" i="3"/>
  <c r="AS880" i="3"/>
  <c r="AR880" i="3"/>
  <c r="AQ880" i="3"/>
  <c r="AM880" i="3"/>
  <c r="AN880" i="3" s="1"/>
  <c r="AK880" i="3"/>
  <c r="F880" i="3" s="1"/>
  <c r="AJ880" i="3"/>
  <c r="O880" i="3"/>
  <c r="L880" i="3"/>
  <c r="AS879" i="3"/>
  <c r="AR879" i="3"/>
  <c r="AQ879" i="3"/>
  <c r="AP879" i="3"/>
  <c r="AO879" i="3"/>
  <c r="AM879" i="3"/>
  <c r="AK879" i="3"/>
  <c r="F879" i="3" s="1"/>
  <c r="AJ879" i="3"/>
  <c r="O879" i="3"/>
  <c r="L879" i="3"/>
  <c r="AS878" i="3"/>
  <c r="AR878" i="3"/>
  <c r="AQ878" i="3"/>
  <c r="AP878" i="3"/>
  <c r="AO878" i="3"/>
  <c r="AM878" i="3"/>
  <c r="AK878" i="3"/>
  <c r="F878" i="3" s="1"/>
  <c r="AJ878" i="3"/>
  <c r="O878" i="3"/>
  <c r="L878" i="3"/>
  <c r="AS877" i="3"/>
  <c r="AR877" i="3"/>
  <c r="AQ877" i="3"/>
  <c r="AP877" i="3"/>
  <c r="AO877" i="3"/>
  <c r="AK877" i="3"/>
  <c r="AJ877" i="3"/>
  <c r="O877" i="3"/>
  <c r="L877" i="3"/>
  <c r="AS876" i="3"/>
  <c r="AR876" i="3"/>
  <c r="AQ876" i="3"/>
  <c r="AP876" i="3"/>
  <c r="AO876" i="3"/>
  <c r="AK876" i="3"/>
  <c r="F876" i="3" s="1"/>
  <c r="AJ876" i="3"/>
  <c r="W876" i="3"/>
  <c r="O876" i="3"/>
  <c r="L876" i="3"/>
  <c r="AK872" i="3"/>
  <c r="F872" i="3" s="1"/>
  <c r="AK871" i="3"/>
  <c r="F871" i="3" s="1"/>
  <c r="AK870" i="3"/>
  <c r="F870" i="3" s="1"/>
  <c r="AK869" i="3"/>
  <c r="F869" i="3" s="1"/>
  <c r="AK868" i="3"/>
  <c r="F868" i="3" s="1"/>
  <c r="AK866" i="3"/>
  <c r="F866" i="3" s="1"/>
  <c r="AK865" i="3"/>
  <c r="F865" i="3" s="1"/>
  <c r="AK864" i="3"/>
  <c r="F864" i="3" s="1"/>
  <c r="AK863" i="3"/>
  <c r="F863" i="3" s="1"/>
  <c r="AK862" i="3"/>
  <c r="F862" i="3" s="1"/>
  <c r="AK860" i="3"/>
  <c r="F860" i="3" s="1"/>
  <c r="AK859" i="3"/>
  <c r="F859" i="3" s="1"/>
  <c r="AK858" i="3"/>
  <c r="F858" i="3" s="1"/>
  <c r="AK857" i="3"/>
  <c r="F857" i="3" s="1"/>
  <c r="AK856" i="3"/>
  <c r="F856" i="3" s="1"/>
  <c r="AK854" i="3"/>
  <c r="F854" i="3" s="1"/>
  <c r="AK853" i="3"/>
  <c r="AK852" i="3"/>
  <c r="F852" i="3" s="1"/>
  <c r="AK851" i="3"/>
  <c r="F851" i="3" s="1"/>
  <c r="AK850" i="3"/>
  <c r="F850" i="3" s="1"/>
  <c r="AK848" i="3"/>
  <c r="AJ848" i="3"/>
  <c r="L848" i="3"/>
  <c r="AK847" i="3"/>
  <c r="F847" i="3" s="1"/>
  <c r="AJ847" i="3"/>
  <c r="L847" i="3"/>
  <c r="AS845" i="3"/>
  <c r="AR845" i="3"/>
  <c r="AQ845" i="3"/>
  <c r="AM845" i="3"/>
  <c r="AN845" i="3" s="1"/>
  <c r="AK845" i="3"/>
  <c r="AJ845" i="3"/>
  <c r="O845" i="3"/>
  <c r="L845" i="3"/>
  <c r="AS844" i="3"/>
  <c r="AR844" i="3"/>
  <c r="AQ844" i="3"/>
  <c r="AP844" i="3"/>
  <c r="AO844" i="3"/>
  <c r="AM844" i="3"/>
  <c r="AK844" i="3"/>
  <c r="F844" i="3" s="1"/>
  <c r="AJ844" i="3"/>
  <c r="O844" i="3"/>
  <c r="L844" i="3"/>
  <c r="AS843" i="3"/>
  <c r="AR843" i="3"/>
  <c r="AQ843" i="3"/>
  <c r="AP843" i="3"/>
  <c r="AO843" i="3"/>
  <c r="AM843" i="3"/>
  <c r="AK843" i="3"/>
  <c r="F843" i="3" s="1"/>
  <c r="AJ843" i="3"/>
  <c r="O843" i="3"/>
  <c r="L843" i="3"/>
  <c r="AS842" i="3"/>
  <c r="AR842" i="3"/>
  <c r="AQ842" i="3"/>
  <c r="AP842" i="3"/>
  <c r="AO842" i="3"/>
  <c r="AK842" i="3"/>
  <c r="F842" i="3" s="1"/>
  <c r="AJ842" i="3"/>
  <c r="O842" i="3"/>
  <c r="L842" i="3"/>
  <c r="AS841" i="3"/>
  <c r="AR841" i="3"/>
  <c r="AQ841" i="3"/>
  <c r="AP841" i="3"/>
  <c r="AO841" i="3"/>
  <c r="AK841" i="3"/>
  <c r="F841" i="3" s="1"/>
  <c r="AJ841" i="3"/>
  <c r="W841" i="3"/>
  <c r="O841" i="3"/>
  <c r="L841" i="3"/>
  <c r="AK837" i="3"/>
  <c r="F837" i="3" s="1"/>
  <c r="AK836" i="3"/>
  <c r="F836" i="3" s="1"/>
  <c r="AK835" i="3"/>
  <c r="F835" i="3"/>
  <c r="AK834" i="3"/>
  <c r="F834" i="3" s="1"/>
  <c r="AK833" i="3"/>
  <c r="F833" i="3" s="1"/>
  <c r="AK831" i="3"/>
  <c r="F831" i="3" s="1"/>
  <c r="AK830" i="3"/>
  <c r="F830" i="3" s="1"/>
  <c r="AK829" i="3"/>
  <c r="F829" i="3" s="1"/>
  <c r="AK828" i="3"/>
  <c r="F828" i="3" s="1"/>
  <c r="AK827" i="3"/>
  <c r="F827" i="3" s="1"/>
  <c r="AK825" i="3"/>
  <c r="F825" i="3" s="1"/>
  <c r="AK824" i="3"/>
  <c r="F824" i="3" s="1"/>
  <c r="AK823" i="3"/>
  <c r="F823" i="3" s="1"/>
  <c r="AK822" i="3"/>
  <c r="F822" i="3" s="1"/>
  <c r="AK821" i="3"/>
  <c r="F821" i="3" s="1"/>
  <c r="AK819" i="3"/>
  <c r="F819" i="3" s="1"/>
  <c r="AK818" i="3"/>
  <c r="AK817" i="3"/>
  <c r="F817" i="3" s="1"/>
  <c r="AK816" i="3"/>
  <c r="F816" i="3" s="1"/>
  <c r="AK815" i="3"/>
  <c r="F815" i="3" s="1"/>
  <c r="AK813" i="3"/>
  <c r="F813" i="3" s="1"/>
  <c r="AJ813" i="3"/>
  <c r="L813" i="3"/>
  <c r="AK812" i="3"/>
  <c r="AJ812" i="3"/>
  <c r="AB812" i="3"/>
  <c r="L812" i="3"/>
  <c r="AS810" i="3"/>
  <c r="AR810" i="3"/>
  <c r="AQ810" i="3"/>
  <c r="AM810" i="3"/>
  <c r="AN810" i="3" s="1"/>
  <c r="AO810" i="3" s="1"/>
  <c r="AK810" i="3"/>
  <c r="F810" i="3" s="1"/>
  <c r="AJ810" i="3"/>
  <c r="O810" i="3"/>
  <c r="L810" i="3"/>
  <c r="AS809" i="3"/>
  <c r="AR809" i="3"/>
  <c r="AQ809" i="3"/>
  <c r="AP809" i="3"/>
  <c r="AO809" i="3"/>
  <c r="AM809" i="3"/>
  <c r="AK809" i="3"/>
  <c r="AJ809" i="3"/>
  <c r="O809" i="3"/>
  <c r="L809" i="3"/>
  <c r="AS808" i="3"/>
  <c r="AR808" i="3"/>
  <c r="AQ808" i="3"/>
  <c r="AP808" i="3"/>
  <c r="AO808" i="3"/>
  <c r="AM808" i="3"/>
  <c r="AK808" i="3"/>
  <c r="F808" i="3" s="1"/>
  <c r="AJ808" i="3"/>
  <c r="O808" i="3"/>
  <c r="L808" i="3"/>
  <c r="AS807" i="3"/>
  <c r="AR807" i="3"/>
  <c r="AQ807" i="3"/>
  <c r="AP807" i="3"/>
  <c r="AO807" i="3"/>
  <c r="AK807" i="3"/>
  <c r="AJ807" i="3"/>
  <c r="O807" i="3"/>
  <c r="L807" i="3"/>
  <c r="AS806" i="3"/>
  <c r="AR806" i="3"/>
  <c r="AQ806" i="3"/>
  <c r="AP806" i="3"/>
  <c r="AO806" i="3"/>
  <c r="AK806" i="3"/>
  <c r="F806" i="3" s="1"/>
  <c r="AJ806" i="3"/>
  <c r="W806" i="3"/>
  <c r="O806" i="3"/>
  <c r="L806" i="3"/>
  <c r="AK802" i="3"/>
  <c r="F802" i="3" s="1"/>
  <c r="AK801" i="3"/>
  <c r="F801" i="3" s="1"/>
  <c r="AK800" i="3"/>
  <c r="F800" i="3" s="1"/>
  <c r="AK799" i="3"/>
  <c r="F799" i="3" s="1"/>
  <c r="AK798" i="3"/>
  <c r="F798" i="3" s="1"/>
  <c r="AK796" i="3"/>
  <c r="F796" i="3" s="1"/>
  <c r="AK795" i="3"/>
  <c r="F795" i="3" s="1"/>
  <c r="AK794" i="3"/>
  <c r="F794" i="3" s="1"/>
  <c r="AK793" i="3"/>
  <c r="F793" i="3" s="1"/>
  <c r="AK792" i="3"/>
  <c r="F792" i="3" s="1"/>
  <c r="AK790" i="3"/>
  <c r="F790" i="3" s="1"/>
  <c r="AK789" i="3"/>
  <c r="F789" i="3" s="1"/>
  <c r="AK788" i="3"/>
  <c r="F788" i="3" s="1"/>
  <c r="AK787" i="3"/>
  <c r="F787" i="3" s="1"/>
  <c r="AK786" i="3"/>
  <c r="F786" i="3" s="1"/>
  <c r="AK784" i="3"/>
  <c r="F784" i="3" s="1"/>
  <c r="AK783" i="3"/>
  <c r="AK782" i="3"/>
  <c r="F782" i="3" s="1"/>
  <c r="AK781" i="3"/>
  <c r="F781" i="3" s="1"/>
  <c r="AK780" i="3"/>
  <c r="F780" i="3" s="1"/>
  <c r="AK778" i="3"/>
  <c r="AJ778" i="3"/>
  <c r="L778" i="3"/>
  <c r="AK777" i="3"/>
  <c r="F777" i="3" s="1"/>
  <c r="AJ777" i="3"/>
  <c r="AB777" i="3"/>
  <c r="L777" i="3"/>
  <c r="AS775" i="3"/>
  <c r="AR775" i="3"/>
  <c r="AQ775" i="3"/>
  <c r="AM775" i="3"/>
  <c r="AN775" i="3" s="1"/>
  <c r="AP775" i="3" s="1"/>
  <c r="AK775" i="3"/>
  <c r="F775" i="3" s="1"/>
  <c r="AJ775" i="3"/>
  <c r="O775" i="3"/>
  <c r="L775" i="3"/>
  <c r="AS774" i="3"/>
  <c r="AR774" i="3"/>
  <c r="AQ774" i="3"/>
  <c r="AP774" i="3"/>
  <c r="AO774" i="3"/>
  <c r="AM774" i="3"/>
  <c r="AK774" i="3"/>
  <c r="AJ774" i="3"/>
  <c r="O774" i="3"/>
  <c r="L774" i="3"/>
  <c r="AS773" i="3"/>
  <c r="AR773" i="3"/>
  <c r="AQ773" i="3"/>
  <c r="AP773" i="3"/>
  <c r="AO773" i="3"/>
  <c r="AM773" i="3"/>
  <c r="AK773" i="3"/>
  <c r="F773" i="3" s="1"/>
  <c r="AJ773" i="3"/>
  <c r="O773" i="3"/>
  <c r="L773" i="3"/>
  <c r="AS772" i="3"/>
  <c r="AR772" i="3"/>
  <c r="AQ772" i="3"/>
  <c r="AP772" i="3"/>
  <c r="AO772" i="3"/>
  <c r="AK772" i="3"/>
  <c r="F772" i="3" s="1"/>
  <c r="AJ772" i="3"/>
  <c r="O772" i="3"/>
  <c r="L772" i="3"/>
  <c r="AS771" i="3"/>
  <c r="AR771" i="3"/>
  <c r="AQ771" i="3"/>
  <c r="AP771" i="3"/>
  <c r="AO771" i="3"/>
  <c r="AK771" i="3"/>
  <c r="F771" i="3" s="1"/>
  <c r="AJ771" i="3"/>
  <c r="W771" i="3"/>
  <c r="O771" i="3"/>
  <c r="L771" i="3"/>
  <c r="AK767" i="3"/>
  <c r="F767" i="3" s="1"/>
  <c r="AK766" i="3"/>
  <c r="F766" i="3" s="1"/>
  <c r="AK765" i="3"/>
  <c r="F765" i="3" s="1"/>
  <c r="AK764" i="3"/>
  <c r="F764" i="3" s="1"/>
  <c r="AK763" i="3"/>
  <c r="F763" i="3" s="1"/>
  <c r="AK761" i="3"/>
  <c r="F761" i="3" s="1"/>
  <c r="AK760" i="3"/>
  <c r="F760" i="3" s="1"/>
  <c r="AK759" i="3"/>
  <c r="F759" i="3" s="1"/>
  <c r="AK758" i="3"/>
  <c r="F758" i="3" s="1"/>
  <c r="AK757" i="3"/>
  <c r="F757" i="3" s="1"/>
  <c r="AK755" i="3"/>
  <c r="F755" i="3" s="1"/>
  <c r="AK754" i="3"/>
  <c r="F754" i="3" s="1"/>
  <c r="AK753" i="3"/>
  <c r="F753" i="3" s="1"/>
  <c r="AK752" i="3"/>
  <c r="F752" i="3" s="1"/>
  <c r="AK751" i="3"/>
  <c r="F751" i="3" s="1"/>
  <c r="AK749" i="3"/>
  <c r="F749" i="3" s="1"/>
  <c r="AK748" i="3"/>
  <c r="AK747" i="3"/>
  <c r="F747" i="3" s="1"/>
  <c r="AK746" i="3"/>
  <c r="F746" i="3" s="1"/>
  <c r="AK745" i="3"/>
  <c r="F745" i="3" s="1"/>
  <c r="AK743" i="3"/>
  <c r="F743" i="3" s="1"/>
  <c r="AJ743" i="3"/>
  <c r="L743" i="3"/>
  <c r="I743" i="3"/>
  <c r="AK742" i="3"/>
  <c r="F742" i="3" s="1"/>
  <c r="AJ742" i="3"/>
  <c r="AB742" i="3"/>
  <c r="L742" i="3"/>
  <c r="AS740" i="3"/>
  <c r="AR740" i="3"/>
  <c r="AQ740" i="3"/>
  <c r="AM740" i="3"/>
  <c r="AN740" i="3" s="1"/>
  <c r="AK740" i="3"/>
  <c r="AJ740" i="3"/>
  <c r="O740" i="3"/>
  <c r="L740" i="3"/>
  <c r="AS739" i="3"/>
  <c r="AR739" i="3"/>
  <c r="AQ739" i="3"/>
  <c r="AP739" i="3"/>
  <c r="AO739" i="3"/>
  <c r="AM739" i="3"/>
  <c r="AK739" i="3"/>
  <c r="F739" i="3" s="1"/>
  <c r="AJ739" i="3"/>
  <c r="O739" i="3"/>
  <c r="L739" i="3"/>
  <c r="AS738" i="3"/>
  <c r="AR738" i="3"/>
  <c r="AQ738" i="3"/>
  <c r="AP738" i="3"/>
  <c r="AO738" i="3"/>
  <c r="AM738" i="3"/>
  <c r="AK738" i="3"/>
  <c r="AJ738" i="3"/>
  <c r="O738" i="3"/>
  <c r="L738" i="3"/>
  <c r="AS737" i="3"/>
  <c r="AR737" i="3"/>
  <c r="AQ737" i="3"/>
  <c r="AP737" i="3"/>
  <c r="AO737" i="3"/>
  <c r="AK737" i="3"/>
  <c r="F737" i="3" s="1"/>
  <c r="AJ737" i="3"/>
  <c r="O737" i="3"/>
  <c r="L737" i="3"/>
  <c r="AS736" i="3"/>
  <c r="AR736" i="3"/>
  <c r="AQ736" i="3"/>
  <c r="AP736" i="3"/>
  <c r="AO736" i="3"/>
  <c r="AK736" i="3"/>
  <c r="F736" i="3" s="1"/>
  <c r="AJ736" i="3"/>
  <c r="W736" i="3"/>
  <c r="O736" i="3"/>
  <c r="L736" i="3"/>
  <c r="AK732" i="3"/>
  <c r="F732" i="3" s="1"/>
  <c r="AK731" i="3"/>
  <c r="F731" i="3" s="1"/>
  <c r="AK730" i="3"/>
  <c r="F730" i="3" s="1"/>
  <c r="AK729" i="3"/>
  <c r="F729" i="3" s="1"/>
  <c r="AK728" i="3"/>
  <c r="F728" i="3" s="1"/>
  <c r="AK726" i="3"/>
  <c r="F726" i="3" s="1"/>
  <c r="AK725" i="3"/>
  <c r="F725" i="3" s="1"/>
  <c r="AK724" i="3"/>
  <c r="F724" i="3" s="1"/>
  <c r="AK723" i="3"/>
  <c r="F723" i="3" s="1"/>
  <c r="AK722" i="3"/>
  <c r="F722" i="3" s="1"/>
  <c r="AK720" i="3"/>
  <c r="F720" i="3" s="1"/>
  <c r="AK719" i="3"/>
  <c r="F719" i="3" s="1"/>
  <c r="AK718" i="3"/>
  <c r="F718" i="3" s="1"/>
  <c r="AK717" i="3"/>
  <c r="F717" i="3" s="1"/>
  <c r="AK716" i="3"/>
  <c r="F716" i="3" s="1"/>
  <c r="AK714" i="3"/>
  <c r="F714" i="3" s="1"/>
  <c r="AK713" i="3"/>
  <c r="AK712" i="3"/>
  <c r="F712" i="3" s="1"/>
  <c r="AK711" i="3"/>
  <c r="F711" i="3" s="1"/>
  <c r="AK710" i="3"/>
  <c r="F710" i="3" s="1"/>
  <c r="AK708" i="3"/>
  <c r="F708" i="3" s="1"/>
  <c r="AJ708" i="3"/>
  <c r="L708" i="3"/>
  <c r="AK707" i="3"/>
  <c r="F707" i="3" s="1"/>
  <c r="AJ707" i="3"/>
  <c r="AB707" i="3"/>
  <c r="L707" i="3"/>
  <c r="AS705" i="3"/>
  <c r="AR705" i="3"/>
  <c r="AQ705" i="3"/>
  <c r="AM705" i="3"/>
  <c r="AN705" i="3" s="1"/>
  <c r="AO705" i="3" s="1"/>
  <c r="AK705" i="3"/>
  <c r="AJ705" i="3"/>
  <c r="O705" i="3"/>
  <c r="L705" i="3"/>
  <c r="I705" i="3"/>
  <c r="AS704" i="3"/>
  <c r="AR704" i="3"/>
  <c r="AQ704" i="3"/>
  <c r="AP704" i="3"/>
  <c r="AO704" i="3"/>
  <c r="AM704" i="3"/>
  <c r="AK704" i="3"/>
  <c r="AJ704" i="3"/>
  <c r="O704" i="3"/>
  <c r="L704" i="3"/>
  <c r="AS703" i="3"/>
  <c r="AR703" i="3"/>
  <c r="AQ703" i="3"/>
  <c r="AP703" i="3"/>
  <c r="AO703" i="3"/>
  <c r="AM703" i="3"/>
  <c r="AK703" i="3"/>
  <c r="AJ703" i="3"/>
  <c r="O703" i="3"/>
  <c r="L703" i="3"/>
  <c r="AS702" i="3"/>
  <c r="AR702" i="3"/>
  <c r="AQ702" i="3"/>
  <c r="AP702" i="3"/>
  <c r="AO702" i="3"/>
  <c r="AK702" i="3"/>
  <c r="F702" i="3" s="1"/>
  <c r="AJ702" i="3"/>
  <c r="O702" i="3"/>
  <c r="L702" i="3"/>
  <c r="AS701" i="3"/>
  <c r="AR701" i="3"/>
  <c r="AQ701" i="3"/>
  <c r="AP701" i="3"/>
  <c r="AO701" i="3"/>
  <c r="AK701" i="3"/>
  <c r="F701" i="3" s="1"/>
  <c r="AJ701" i="3"/>
  <c r="W701" i="3"/>
  <c r="O701" i="3"/>
  <c r="L701" i="3"/>
  <c r="AK697" i="3"/>
  <c r="F697" i="3" s="1"/>
  <c r="AK696" i="3"/>
  <c r="F696" i="3" s="1"/>
  <c r="AK695" i="3"/>
  <c r="F695" i="3" s="1"/>
  <c r="AK694" i="3"/>
  <c r="F694" i="3" s="1"/>
  <c r="AK693" i="3"/>
  <c r="F693" i="3" s="1"/>
  <c r="AK691" i="3"/>
  <c r="F691" i="3" s="1"/>
  <c r="AK690" i="3"/>
  <c r="F690" i="3" s="1"/>
  <c r="AK689" i="3"/>
  <c r="F689" i="3" s="1"/>
  <c r="AK688" i="3"/>
  <c r="F688" i="3" s="1"/>
  <c r="AK687" i="3"/>
  <c r="F687" i="3" s="1"/>
  <c r="AK685" i="3"/>
  <c r="F685" i="3" s="1"/>
  <c r="AK684" i="3"/>
  <c r="F684" i="3" s="1"/>
  <c r="AK683" i="3"/>
  <c r="F683" i="3" s="1"/>
  <c r="AK682" i="3"/>
  <c r="F682" i="3" s="1"/>
  <c r="AK681" i="3"/>
  <c r="F681" i="3" s="1"/>
  <c r="AK679" i="3"/>
  <c r="F679" i="3" s="1"/>
  <c r="AK678" i="3"/>
  <c r="AK677" i="3"/>
  <c r="F677" i="3" s="1"/>
  <c r="AK676" i="3"/>
  <c r="F676" i="3" s="1"/>
  <c r="AK675" i="3"/>
  <c r="F675" i="3" s="1"/>
  <c r="AK673" i="3"/>
  <c r="F673" i="3" s="1"/>
  <c r="AJ673" i="3"/>
  <c r="L673" i="3"/>
  <c r="AK672" i="3"/>
  <c r="F672" i="3" s="1"/>
  <c r="AJ672" i="3"/>
  <c r="AB672" i="3"/>
  <c r="L672" i="3"/>
  <c r="AS670" i="3"/>
  <c r="AR670" i="3"/>
  <c r="AQ670" i="3"/>
  <c r="AM670" i="3"/>
  <c r="AN670" i="3" s="1"/>
  <c r="AK670" i="3"/>
  <c r="F670" i="3" s="1"/>
  <c r="AJ670" i="3"/>
  <c r="O670" i="3"/>
  <c r="L670" i="3"/>
  <c r="AS669" i="3"/>
  <c r="AR669" i="3"/>
  <c r="AQ669" i="3"/>
  <c r="AP669" i="3"/>
  <c r="AO669" i="3"/>
  <c r="AM669" i="3"/>
  <c r="AK669" i="3"/>
  <c r="F669" i="3" s="1"/>
  <c r="AJ669" i="3"/>
  <c r="O669" i="3"/>
  <c r="L669" i="3"/>
  <c r="AS668" i="3"/>
  <c r="AR668" i="3"/>
  <c r="AQ668" i="3"/>
  <c r="AP668" i="3"/>
  <c r="AO668" i="3"/>
  <c r="AM668" i="3"/>
  <c r="AK668" i="3"/>
  <c r="AJ668" i="3"/>
  <c r="O668" i="3"/>
  <c r="L668" i="3"/>
  <c r="AS667" i="3"/>
  <c r="AR667" i="3"/>
  <c r="AQ667" i="3"/>
  <c r="AP667" i="3"/>
  <c r="AO667" i="3"/>
  <c r="AK667" i="3"/>
  <c r="F667" i="3" s="1"/>
  <c r="AJ667" i="3"/>
  <c r="O667" i="3"/>
  <c r="L667" i="3"/>
  <c r="AS666" i="3"/>
  <c r="AR666" i="3"/>
  <c r="AQ666" i="3"/>
  <c r="AP666" i="3"/>
  <c r="AO666" i="3"/>
  <c r="AK666" i="3"/>
  <c r="F666" i="3" s="1"/>
  <c r="AJ666" i="3"/>
  <c r="W666" i="3"/>
  <c r="O666" i="3"/>
  <c r="L666" i="3"/>
  <c r="AK662" i="3"/>
  <c r="F662" i="3" s="1"/>
  <c r="AK661" i="3"/>
  <c r="F661" i="3" s="1"/>
  <c r="AK660" i="3"/>
  <c r="F660" i="3" s="1"/>
  <c r="AK659" i="3"/>
  <c r="F659" i="3" s="1"/>
  <c r="AK658" i="3"/>
  <c r="F658" i="3" s="1"/>
  <c r="AK656" i="3"/>
  <c r="F656" i="3" s="1"/>
  <c r="AK655" i="3"/>
  <c r="F655" i="3" s="1"/>
  <c r="AK654" i="3"/>
  <c r="F654" i="3" s="1"/>
  <c r="AK653" i="3"/>
  <c r="F653" i="3" s="1"/>
  <c r="AK652" i="3"/>
  <c r="F652" i="3" s="1"/>
  <c r="AK650" i="3"/>
  <c r="F650" i="3" s="1"/>
  <c r="AK649" i="3"/>
  <c r="F649" i="3" s="1"/>
  <c r="AK648" i="3"/>
  <c r="F648" i="3" s="1"/>
  <c r="AK647" i="3"/>
  <c r="F647" i="3" s="1"/>
  <c r="AK646" i="3"/>
  <c r="F646" i="3" s="1"/>
  <c r="AK644" i="3"/>
  <c r="F644" i="3" s="1"/>
  <c r="AK643" i="3"/>
  <c r="AK642" i="3"/>
  <c r="F642" i="3" s="1"/>
  <c r="AK641" i="3"/>
  <c r="F641" i="3" s="1"/>
  <c r="AK640" i="3"/>
  <c r="F640" i="3" s="1"/>
  <c r="AK638" i="3"/>
  <c r="F638" i="3" s="1"/>
  <c r="AJ638" i="3"/>
  <c r="L638" i="3"/>
  <c r="AK637" i="3"/>
  <c r="F637" i="3" s="1"/>
  <c r="AJ637" i="3"/>
  <c r="AB637" i="3"/>
  <c r="L637" i="3"/>
  <c r="AS635" i="3"/>
  <c r="AR635" i="3"/>
  <c r="AQ635" i="3"/>
  <c r="AM635" i="3"/>
  <c r="AN635" i="3" s="1"/>
  <c r="AK635" i="3"/>
  <c r="F635" i="3" s="1"/>
  <c r="AJ635" i="3"/>
  <c r="O635" i="3"/>
  <c r="L635" i="3"/>
  <c r="AS634" i="3"/>
  <c r="AR634" i="3"/>
  <c r="AQ634" i="3"/>
  <c r="AP634" i="3"/>
  <c r="AO634" i="3"/>
  <c r="AM634" i="3"/>
  <c r="AK634" i="3"/>
  <c r="F634" i="3" s="1"/>
  <c r="AJ634" i="3"/>
  <c r="O634" i="3"/>
  <c r="L634" i="3"/>
  <c r="AS633" i="3"/>
  <c r="AR633" i="3"/>
  <c r="AQ633" i="3"/>
  <c r="AP633" i="3"/>
  <c r="AO633" i="3"/>
  <c r="AM633" i="3"/>
  <c r="AK633" i="3"/>
  <c r="F633" i="3" s="1"/>
  <c r="AJ633" i="3"/>
  <c r="O633" i="3"/>
  <c r="L633" i="3"/>
  <c r="AS632" i="3"/>
  <c r="AR632" i="3"/>
  <c r="AQ632" i="3"/>
  <c r="AP632" i="3"/>
  <c r="AO632" i="3"/>
  <c r="AK632" i="3"/>
  <c r="F632" i="3" s="1"/>
  <c r="AJ632" i="3"/>
  <c r="O632" i="3"/>
  <c r="L632" i="3"/>
  <c r="AS631" i="3"/>
  <c r="AR631" i="3"/>
  <c r="AQ631" i="3"/>
  <c r="AP631" i="3"/>
  <c r="AO631" i="3"/>
  <c r="AK631" i="3"/>
  <c r="F631" i="3" s="1"/>
  <c r="AJ631" i="3"/>
  <c r="W631" i="3"/>
  <c r="O631" i="3"/>
  <c r="L631" i="3"/>
  <c r="AK627" i="3"/>
  <c r="F627" i="3" s="1"/>
  <c r="AK626" i="3"/>
  <c r="F626" i="3" s="1"/>
  <c r="AK625" i="3"/>
  <c r="F625" i="3" s="1"/>
  <c r="AK624" i="3"/>
  <c r="F624" i="3" s="1"/>
  <c r="AK623" i="3"/>
  <c r="F623" i="3" s="1"/>
  <c r="AK621" i="3"/>
  <c r="F621" i="3" s="1"/>
  <c r="AK620" i="3"/>
  <c r="F620" i="3" s="1"/>
  <c r="AK619" i="3"/>
  <c r="F619" i="3" s="1"/>
  <c r="AK618" i="3"/>
  <c r="F618" i="3" s="1"/>
  <c r="AK617" i="3"/>
  <c r="F617" i="3" s="1"/>
  <c r="AK615" i="3"/>
  <c r="F615" i="3" s="1"/>
  <c r="AK614" i="3"/>
  <c r="F614" i="3" s="1"/>
  <c r="AK613" i="3"/>
  <c r="F613" i="3" s="1"/>
  <c r="AK612" i="3"/>
  <c r="F612" i="3" s="1"/>
  <c r="AK611" i="3"/>
  <c r="F611" i="3" s="1"/>
  <c r="AK609" i="3"/>
  <c r="F609" i="3" s="1"/>
  <c r="AK608" i="3"/>
  <c r="AK607" i="3"/>
  <c r="F607" i="3" s="1"/>
  <c r="AK606" i="3"/>
  <c r="F606" i="3" s="1"/>
  <c r="AK605" i="3"/>
  <c r="F605" i="3" s="1"/>
  <c r="AK603" i="3"/>
  <c r="F603" i="3" s="1"/>
  <c r="AJ603" i="3"/>
  <c r="L603" i="3"/>
  <c r="AK602" i="3"/>
  <c r="AJ602" i="3"/>
  <c r="AB602" i="3"/>
  <c r="L602" i="3"/>
  <c r="AS600" i="3"/>
  <c r="AR600" i="3"/>
  <c r="AQ600" i="3"/>
  <c r="AM600" i="3"/>
  <c r="AN600" i="3" s="1"/>
  <c r="AP600" i="3" s="1"/>
  <c r="AK600" i="3"/>
  <c r="F600" i="3" s="1"/>
  <c r="AJ600" i="3"/>
  <c r="O600" i="3"/>
  <c r="L600" i="3"/>
  <c r="I600" i="3"/>
  <c r="AS599" i="3"/>
  <c r="AR599" i="3"/>
  <c r="AQ599" i="3"/>
  <c r="AP599" i="3"/>
  <c r="AO599" i="3"/>
  <c r="AM599" i="3"/>
  <c r="AK599" i="3"/>
  <c r="AJ599" i="3"/>
  <c r="O599" i="3"/>
  <c r="L599" i="3"/>
  <c r="AS598" i="3"/>
  <c r="AR598" i="3"/>
  <c r="AQ598" i="3"/>
  <c r="AP598" i="3"/>
  <c r="AO598" i="3"/>
  <c r="AM598" i="3"/>
  <c r="AK598" i="3"/>
  <c r="F598" i="3" s="1"/>
  <c r="AJ598" i="3"/>
  <c r="O598" i="3"/>
  <c r="L598" i="3"/>
  <c r="AS597" i="3"/>
  <c r="AR597" i="3"/>
  <c r="AQ597" i="3"/>
  <c r="AP597" i="3"/>
  <c r="AO597" i="3"/>
  <c r="AK597" i="3"/>
  <c r="F597" i="3" s="1"/>
  <c r="AJ597" i="3"/>
  <c r="O597" i="3"/>
  <c r="L597" i="3"/>
  <c r="I597" i="3"/>
  <c r="AS596" i="3"/>
  <c r="AR596" i="3"/>
  <c r="AQ596" i="3"/>
  <c r="AP596" i="3"/>
  <c r="AO596" i="3"/>
  <c r="AK596" i="3"/>
  <c r="F596" i="3" s="1"/>
  <c r="AJ596" i="3"/>
  <c r="W596" i="3"/>
  <c r="O596" i="3"/>
  <c r="L596" i="3"/>
  <c r="AK592" i="3"/>
  <c r="F592" i="3" s="1"/>
  <c r="AK591" i="3"/>
  <c r="F591" i="3" s="1"/>
  <c r="AK590" i="3"/>
  <c r="F590" i="3" s="1"/>
  <c r="AK589" i="3"/>
  <c r="AK588" i="3"/>
  <c r="F588" i="3" s="1"/>
  <c r="AK586" i="3"/>
  <c r="F586" i="3" s="1"/>
  <c r="AK585" i="3"/>
  <c r="F585" i="3" s="1"/>
  <c r="AK584" i="3"/>
  <c r="F584" i="3" s="1"/>
  <c r="AK583" i="3"/>
  <c r="F583" i="3" s="1"/>
  <c r="AK582" i="3"/>
  <c r="F582" i="3" s="1"/>
  <c r="AK580" i="3"/>
  <c r="F580" i="3" s="1"/>
  <c r="AK579" i="3"/>
  <c r="F579" i="3" s="1"/>
  <c r="AK578" i="3"/>
  <c r="F578" i="3" s="1"/>
  <c r="AK577" i="3"/>
  <c r="F577" i="3" s="1"/>
  <c r="AK576" i="3"/>
  <c r="F576" i="3" s="1"/>
  <c r="AK574" i="3"/>
  <c r="F574" i="3" s="1"/>
  <c r="AK573" i="3"/>
  <c r="AK572" i="3"/>
  <c r="F572" i="3" s="1"/>
  <c r="AK571" i="3"/>
  <c r="F571" i="3" s="1"/>
  <c r="AK570" i="3"/>
  <c r="F570" i="3" s="1"/>
  <c r="AK568" i="3"/>
  <c r="AJ568" i="3"/>
  <c r="L568" i="3"/>
  <c r="AL567" i="3"/>
  <c r="AK567" i="3" s="1"/>
  <c r="F567" i="3" s="1"/>
  <c r="AJ567" i="3"/>
  <c r="AB567" i="3"/>
  <c r="L567" i="3"/>
  <c r="AS565" i="3"/>
  <c r="AR565" i="3"/>
  <c r="AQ565" i="3"/>
  <c r="AM565" i="3"/>
  <c r="AN565" i="3" s="1"/>
  <c r="AP565" i="3" s="1"/>
  <c r="AK565" i="3"/>
  <c r="F565" i="3" s="1"/>
  <c r="AJ565" i="3"/>
  <c r="O565" i="3"/>
  <c r="L565" i="3"/>
  <c r="AS564" i="3"/>
  <c r="AR564" i="3"/>
  <c r="AQ564" i="3"/>
  <c r="AP564" i="3"/>
  <c r="AO564" i="3"/>
  <c r="AM564" i="3"/>
  <c r="AK564" i="3"/>
  <c r="AJ564" i="3"/>
  <c r="O564" i="3"/>
  <c r="L564" i="3"/>
  <c r="AS563" i="3"/>
  <c r="AR563" i="3"/>
  <c r="AQ563" i="3"/>
  <c r="AP563" i="3"/>
  <c r="AO563" i="3"/>
  <c r="AM563" i="3"/>
  <c r="AK563" i="3"/>
  <c r="F563" i="3" s="1"/>
  <c r="AJ563" i="3"/>
  <c r="O563" i="3"/>
  <c r="L563" i="3"/>
  <c r="AS562" i="3"/>
  <c r="AR562" i="3"/>
  <c r="AQ562" i="3"/>
  <c r="AP562" i="3"/>
  <c r="AO562" i="3"/>
  <c r="AK562" i="3"/>
  <c r="AJ562" i="3"/>
  <c r="O562" i="3"/>
  <c r="L562" i="3"/>
  <c r="AS561" i="3"/>
  <c r="AR561" i="3"/>
  <c r="AQ561" i="3"/>
  <c r="AP561" i="3"/>
  <c r="AO561" i="3"/>
  <c r="AK561" i="3"/>
  <c r="F561" i="3" s="1"/>
  <c r="AJ561" i="3"/>
  <c r="W561" i="3"/>
  <c r="O561" i="3"/>
  <c r="L561" i="3"/>
  <c r="AK557" i="3"/>
  <c r="F557" i="3" s="1"/>
  <c r="AK556" i="3"/>
  <c r="F556" i="3" s="1"/>
  <c r="AK555" i="3"/>
  <c r="F555" i="3" s="1"/>
  <c r="AK554" i="3"/>
  <c r="F554" i="3" s="1"/>
  <c r="AK553" i="3"/>
  <c r="F553" i="3" s="1"/>
  <c r="AK551" i="3"/>
  <c r="F551" i="3" s="1"/>
  <c r="AK550" i="3"/>
  <c r="F550" i="3" s="1"/>
  <c r="AK549" i="3"/>
  <c r="F549" i="3" s="1"/>
  <c r="AK548" i="3"/>
  <c r="F548" i="3" s="1"/>
  <c r="AK547" i="3"/>
  <c r="F547" i="3" s="1"/>
  <c r="AK545" i="3"/>
  <c r="F545" i="3" s="1"/>
  <c r="AK544" i="3"/>
  <c r="F544" i="3" s="1"/>
  <c r="AK543" i="3"/>
  <c r="F543" i="3" s="1"/>
  <c r="AK542" i="3"/>
  <c r="F542" i="3" s="1"/>
  <c r="AK541" i="3"/>
  <c r="F541" i="3" s="1"/>
  <c r="AK539" i="3"/>
  <c r="F539" i="3" s="1"/>
  <c r="AK538" i="3"/>
  <c r="AK537" i="3"/>
  <c r="F537" i="3" s="1"/>
  <c r="AK536" i="3"/>
  <c r="F536" i="3" s="1"/>
  <c r="AK535" i="3"/>
  <c r="F535" i="3" s="1"/>
  <c r="AK533" i="3"/>
  <c r="AJ533" i="3"/>
  <c r="L533" i="3"/>
  <c r="AK532" i="3"/>
  <c r="F532" i="3" s="1"/>
  <c r="AJ532" i="3"/>
  <c r="AB532" i="3"/>
  <c r="L532" i="3"/>
  <c r="AS530" i="3"/>
  <c r="AR530" i="3"/>
  <c r="AQ530" i="3"/>
  <c r="AM530" i="3"/>
  <c r="AN530" i="3" s="1"/>
  <c r="AP530" i="3" s="1"/>
  <c r="AK530" i="3"/>
  <c r="F530" i="3" s="1"/>
  <c r="AJ530" i="3"/>
  <c r="O530" i="3"/>
  <c r="L530" i="3"/>
  <c r="AS529" i="3"/>
  <c r="AR529" i="3"/>
  <c r="AQ529" i="3"/>
  <c r="AP529" i="3"/>
  <c r="AO529" i="3"/>
  <c r="AM529" i="3"/>
  <c r="AK529" i="3"/>
  <c r="F529" i="3" s="1"/>
  <c r="AJ529" i="3"/>
  <c r="O529" i="3"/>
  <c r="L529" i="3"/>
  <c r="AS528" i="3"/>
  <c r="AR528" i="3"/>
  <c r="AQ528" i="3"/>
  <c r="AP528" i="3"/>
  <c r="AO528" i="3"/>
  <c r="AM528" i="3"/>
  <c r="AK528" i="3"/>
  <c r="F528" i="3" s="1"/>
  <c r="AJ528" i="3"/>
  <c r="O528" i="3"/>
  <c r="L528" i="3"/>
  <c r="AS527" i="3"/>
  <c r="AR527" i="3"/>
  <c r="AQ527" i="3"/>
  <c r="AP527" i="3"/>
  <c r="AO527" i="3"/>
  <c r="AK527" i="3"/>
  <c r="F527" i="3" s="1"/>
  <c r="AJ527" i="3"/>
  <c r="O527" i="3"/>
  <c r="L527" i="3"/>
  <c r="AS526" i="3"/>
  <c r="AR526" i="3"/>
  <c r="AQ526" i="3"/>
  <c r="AP526" i="3"/>
  <c r="AO526" i="3"/>
  <c r="AK526" i="3"/>
  <c r="F526" i="3" s="1"/>
  <c r="AJ526" i="3"/>
  <c r="W526" i="3"/>
  <c r="O526" i="3"/>
  <c r="L526" i="3"/>
  <c r="AK522" i="3"/>
  <c r="F522" i="3" s="1"/>
  <c r="AK521" i="3"/>
  <c r="F521" i="3" s="1"/>
  <c r="AK520" i="3"/>
  <c r="F520" i="3" s="1"/>
  <c r="AK519" i="3"/>
  <c r="F519" i="3" s="1"/>
  <c r="AK518" i="3"/>
  <c r="F518" i="3" s="1"/>
  <c r="AK516" i="3"/>
  <c r="F516" i="3" s="1"/>
  <c r="AK515" i="3"/>
  <c r="F515" i="3" s="1"/>
  <c r="AK514" i="3"/>
  <c r="F514" i="3" s="1"/>
  <c r="AK513" i="3"/>
  <c r="F513" i="3" s="1"/>
  <c r="AK512" i="3"/>
  <c r="F512" i="3" s="1"/>
  <c r="AK510" i="3"/>
  <c r="F510" i="3" s="1"/>
  <c r="AK509" i="3"/>
  <c r="F509" i="3" s="1"/>
  <c r="AK508" i="3"/>
  <c r="F508" i="3" s="1"/>
  <c r="AK507" i="3"/>
  <c r="F507" i="3" s="1"/>
  <c r="AK506" i="3"/>
  <c r="F506" i="3" s="1"/>
  <c r="AK504" i="3"/>
  <c r="F504" i="3" s="1"/>
  <c r="AK503" i="3"/>
  <c r="AK502" i="3"/>
  <c r="F502" i="3" s="1"/>
  <c r="AK501" i="3"/>
  <c r="F501" i="3" s="1"/>
  <c r="AK500" i="3"/>
  <c r="F500" i="3" s="1"/>
  <c r="AK498" i="3"/>
  <c r="F498" i="3" s="1"/>
  <c r="AJ498" i="3"/>
  <c r="L498" i="3"/>
  <c r="AK497" i="3"/>
  <c r="F497" i="3" s="1"/>
  <c r="AJ497" i="3"/>
  <c r="AB497" i="3"/>
  <c r="L497" i="3"/>
  <c r="AS495" i="3"/>
  <c r="AR495" i="3"/>
  <c r="AQ495" i="3"/>
  <c r="AM495" i="3"/>
  <c r="AN495" i="3" s="1"/>
  <c r="AK495" i="3"/>
  <c r="AJ495" i="3"/>
  <c r="O495" i="3"/>
  <c r="L495" i="3"/>
  <c r="AS494" i="3"/>
  <c r="AR494" i="3"/>
  <c r="AQ494" i="3"/>
  <c r="AP494" i="3"/>
  <c r="AO494" i="3"/>
  <c r="AM494" i="3"/>
  <c r="AK494" i="3"/>
  <c r="F494" i="3" s="1"/>
  <c r="AJ494" i="3"/>
  <c r="O494" i="3"/>
  <c r="L494" i="3"/>
  <c r="AS493" i="3"/>
  <c r="AR493" i="3"/>
  <c r="AQ493" i="3"/>
  <c r="AP493" i="3"/>
  <c r="AO493" i="3"/>
  <c r="AM493" i="3"/>
  <c r="AK493" i="3"/>
  <c r="AJ493" i="3"/>
  <c r="O493" i="3"/>
  <c r="L493" i="3"/>
  <c r="AS492" i="3"/>
  <c r="AR492" i="3"/>
  <c r="AQ492" i="3"/>
  <c r="AP492" i="3"/>
  <c r="AO492" i="3"/>
  <c r="AK492" i="3"/>
  <c r="F492" i="3" s="1"/>
  <c r="AJ492" i="3"/>
  <c r="O492" i="3"/>
  <c r="L492" i="3"/>
  <c r="AS491" i="3"/>
  <c r="AR491" i="3"/>
  <c r="AQ491" i="3"/>
  <c r="AP491" i="3"/>
  <c r="AO491" i="3"/>
  <c r="AK491" i="3"/>
  <c r="F491" i="3" s="1"/>
  <c r="AJ491" i="3"/>
  <c r="W491" i="3"/>
  <c r="O491" i="3"/>
  <c r="L491" i="3"/>
  <c r="AK487" i="3"/>
  <c r="F487" i="3" s="1"/>
  <c r="AK486" i="3"/>
  <c r="F486" i="3" s="1"/>
  <c r="AK485" i="3"/>
  <c r="F485" i="3" s="1"/>
  <c r="AK484" i="3"/>
  <c r="F484" i="3" s="1"/>
  <c r="AK483" i="3"/>
  <c r="F483" i="3" s="1"/>
  <c r="AK481" i="3"/>
  <c r="F481" i="3" s="1"/>
  <c r="AK480" i="3"/>
  <c r="F480" i="3" s="1"/>
  <c r="AK479" i="3"/>
  <c r="F479" i="3" s="1"/>
  <c r="AK478" i="3"/>
  <c r="F478" i="3" s="1"/>
  <c r="AK477" i="3"/>
  <c r="F477" i="3" s="1"/>
  <c r="AK475" i="3"/>
  <c r="F475" i="3" s="1"/>
  <c r="AK474" i="3"/>
  <c r="F474" i="3" s="1"/>
  <c r="AK473" i="3"/>
  <c r="F473" i="3" s="1"/>
  <c r="AK472" i="3"/>
  <c r="F472" i="3" s="1"/>
  <c r="AK471" i="3"/>
  <c r="F471" i="3" s="1"/>
  <c r="AK469" i="3"/>
  <c r="F469" i="3" s="1"/>
  <c r="AK468" i="3"/>
  <c r="AK467" i="3"/>
  <c r="F467" i="3" s="1"/>
  <c r="AK466" i="3"/>
  <c r="F466" i="3" s="1"/>
  <c r="AK465" i="3"/>
  <c r="F465" i="3" s="1"/>
  <c r="AK463" i="3"/>
  <c r="F463" i="3" s="1"/>
  <c r="AJ463" i="3"/>
  <c r="M463" i="3"/>
  <c r="AK462" i="3"/>
  <c r="F462" i="3" s="1"/>
  <c r="AJ462" i="3"/>
  <c r="AB462" i="3"/>
  <c r="M462" i="3"/>
  <c r="AS460" i="3"/>
  <c r="AR460" i="3"/>
  <c r="AQ460" i="3"/>
  <c r="AM460" i="3"/>
  <c r="AN460" i="3" s="1"/>
  <c r="AK460" i="3"/>
  <c r="F460" i="3" s="1"/>
  <c r="AJ460" i="3"/>
  <c r="O460" i="3"/>
  <c r="M460" i="3"/>
  <c r="AS459" i="3"/>
  <c r="AR459" i="3"/>
  <c r="AQ459" i="3"/>
  <c r="AP459" i="3"/>
  <c r="AO459" i="3"/>
  <c r="AM459" i="3"/>
  <c r="AK459" i="3"/>
  <c r="F459" i="3" s="1"/>
  <c r="AJ459" i="3"/>
  <c r="O459" i="3"/>
  <c r="M459" i="3"/>
  <c r="AS458" i="3"/>
  <c r="AR458" i="3"/>
  <c r="AQ458" i="3"/>
  <c r="AP458" i="3"/>
  <c r="AO458" i="3"/>
  <c r="AM458" i="3"/>
  <c r="AK458" i="3"/>
  <c r="F458" i="3" s="1"/>
  <c r="AJ458" i="3"/>
  <c r="O458" i="3"/>
  <c r="M458" i="3"/>
  <c r="AS457" i="3"/>
  <c r="AR457" i="3"/>
  <c r="AQ457" i="3"/>
  <c r="AP457" i="3"/>
  <c r="AO457" i="3"/>
  <c r="AK457" i="3"/>
  <c r="F457" i="3" s="1"/>
  <c r="AJ457" i="3"/>
  <c r="O457" i="3"/>
  <c r="M457" i="3"/>
  <c r="AS456" i="3"/>
  <c r="AR456" i="3"/>
  <c r="AQ456" i="3"/>
  <c r="AP456" i="3"/>
  <c r="AO456" i="3"/>
  <c r="AK456" i="3"/>
  <c r="AJ456" i="3"/>
  <c r="W456" i="3"/>
  <c r="O456" i="3"/>
  <c r="M456" i="3"/>
  <c r="AK452" i="3"/>
  <c r="F452" i="3" s="1"/>
  <c r="AK451" i="3"/>
  <c r="F451" i="3" s="1"/>
  <c r="AK450" i="3"/>
  <c r="F450" i="3" s="1"/>
  <c r="AK449" i="3"/>
  <c r="F449" i="3" s="1"/>
  <c r="AK448" i="3"/>
  <c r="F448" i="3" s="1"/>
  <c r="AK446" i="3"/>
  <c r="F446" i="3" s="1"/>
  <c r="AK445" i="3"/>
  <c r="F445" i="3" s="1"/>
  <c r="AK444" i="3"/>
  <c r="F444" i="3" s="1"/>
  <c r="AK443" i="3"/>
  <c r="F443" i="3" s="1"/>
  <c r="AK442" i="3"/>
  <c r="F442" i="3" s="1"/>
  <c r="AK440" i="3"/>
  <c r="F440" i="3" s="1"/>
  <c r="AK439" i="3"/>
  <c r="F439" i="3" s="1"/>
  <c r="AK438" i="3"/>
  <c r="F438" i="3" s="1"/>
  <c r="AK437" i="3"/>
  <c r="F437" i="3" s="1"/>
  <c r="AK436" i="3"/>
  <c r="F436" i="3" s="1"/>
  <c r="AK434" i="3"/>
  <c r="F434" i="3" s="1"/>
  <c r="AK433" i="3"/>
  <c r="AK432" i="3"/>
  <c r="F432" i="3" s="1"/>
  <c r="AK431" i="3"/>
  <c r="F431" i="3" s="1"/>
  <c r="AK430" i="3"/>
  <c r="F430" i="3" s="1"/>
  <c r="AK428" i="3"/>
  <c r="F428" i="3" s="1"/>
  <c r="AJ428" i="3"/>
  <c r="L428" i="3"/>
  <c r="AK427" i="3"/>
  <c r="F427" i="3" s="1"/>
  <c r="AJ427" i="3"/>
  <c r="AB427" i="3"/>
  <c r="L427" i="3"/>
  <c r="AS425" i="3"/>
  <c r="AR425" i="3"/>
  <c r="AQ425" i="3"/>
  <c r="AM425" i="3"/>
  <c r="AN425" i="3" s="1"/>
  <c r="AP425" i="3" s="1"/>
  <c r="AK425" i="3"/>
  <c r="F425" i="3" s="1"/>
  <c r="AJ425" i="3"/>
  <c r="O425" i="3"/>
  <c r="L425" i="3"/>
  <c r="AS424" i="3"/>
  <c r="AR424" i="3"/>
  <c r="AQ424" i="3"/>
  <c r="AP424" i="3"/>
  <c r="AO424" i="3"/>
  <c r="AM424" i="3"/>
  <c r="AK424" i="3"/>
  <c r="F424" i="3" s="1"/>
  <c r="AJ424" i="3"/>
  <c r="O424" i="3"/>
  <c r="L424" i="3"/>
  <c r="AS423" i="3"/>
  <c r="AR423" i="3"/>
  <c r="AQ423" i="3"/>
  <c r="AP423" i="3"/>
  <c r="AO423" i="3"/>
  <c r="AM423" i="3"/>
  <c r="AK423" i="3"/>
  <c r="F423" i="3" s="1"/>
  <c r="AJ423" i="3"/>
  <c r="O423" i="3"/>
  <c r="L423" i="3"/>
  <c r="AS422" i="3"/>
  <c r="AR422" i="3"/>
  <c r="AQ422" i="3"/>
  <c r="AP422" i="3"/>
  <c r="AO422" i="3"/>
  <c r="AK422" i="3"/>
  <c r="F422" i="3" s="1"/>
  <c r="AJ422" i="3"/>
  <c r="O422" i="3"/>
  <c r="L422" i="3"/>
  <c r="AS421" i="3"/>
  <c r="AR421" i="3"/>
  <c r="AQ421" i="3"/>
  <c r="AP421" i="3"/>
  <c r="AO421" i="3"/>
  <c r="AK421" i="3"/>
  <c r="F421" i="3" s="1"/>
  <c r="AJ421" i="3"/>
  <c r="W421" i="3"/>
  <c r="O421" i="3"/>
  <c r="L421" i="3"/>
  <c r="AK417" i="3"/>
  <c r="F417" i="3" s="1"/>
  <c r="AK416" i="3"/>
  <c r="F416" i="3" s="1"/>
  <c r="AK415" i="3"/>
  <c r="F415" i="3" s="1"/>
  <c r="AK414" i="3"/>
  <c r="F414" i="3" s="1"/>
  <c r="AK413" i="3"/>
  <c r="F413" i="3" s="1"/>
  <c r="AK411" i="3"/>
  <c r="F411" i="3" s="1"/>
  <c r="AK410" i="3"/>
  <c r="F410" i="3" s="1"/>
  <c r="AK409" i="3"/>
  <c r="F409" i="3" s="1"/>
  <c r="AK408" i="3"/>
  <c r="F408" i="3" s="1"/>
  <c r="AK407" i="3"/>
  <c r="F407" i="3" s="1"/>
  <c r="AK405" i="3"/>
  <c r="F405" i="3" s="1"/>
  <c r="AK404" i="3"/>
  <c r="F404" i="3" s="1"/>
  <c r="AK403" i="3"/>
  <c r="F403" i="3" s="1"/>
  <c r="AK402" i="3"/>
  <c r="F402" i="3" s="1"/>
  <c r="AK401" i="3"/>
  <c r="F401" i="3" s="1"/>
  <c r="AK399" i="3"/>
  <c r="F399" i="3" s="1"/>
  <c r="AK398" i="3"/>
  <c r="AK397" i="3"/>
  <c r="F397" i="3" s="1"/>
  <c r="AK396" i="3"/>
  <c r="F396" i="3" s="1"/>
  <c r="AK395" i="3"/>
  <c r="F395" i="3" s="1"/>
  <c r="AK393" i="3"/>
  <c r="AJ393" i="3"/>
  <c r="L393" i="3"/>
  <c r="AK392" i="3"/>
  <c r="F392" i="3" s="1"/>
  <c r="AJ392" i="3"/>
  <c r="AB392" i="3"/>
  <c r="L392" i="3"/>
  <c r="AS390" i="3"/>
  <c r="AR390" i="3"/>
  <c r="AQ390" i="3"/>
  <c r="AM390" i="3"/>
  <c r="AN390" i="3" s="1"/>
  <c r="AP390" i="3" s="1"/>
  <c r="AK390" i="3"/>
  <c r="F390" i="3" s="1"/>
  <c r="AJ390" i="3"/>
  <c r="O390" i="3"/>
  <c r="L390" i="3"/>
  <c r="AS389" i="3"/>
  <c r="AR389" i="3"/>
  <c r="AQ389" i="3"/>
  <c r="AP389" i="3"/>
  <c r="AO389" i="3"/>
  <c r="AM389" i="3"/>
  <c r="AK389" i="3"/>
  <c r="AJ389" i="3"/>
  <c r="O389" i="3"/>
  <c r="L389" i="3"/>
  <c r="AS388" i="3"/>
  <c r="AR388" i="3"/>
  <c r="AQ388" i="3"/>
  <c r="AP388" i="3"/>
  <c r="AO388" i="3"/>
  <c r="AM388" i="3"/>
  <c r="AK388" i="3"/>
  <c r="F388" i="3" s="1"/>
  <c r="AJ388" i="3"/>
  <c r="O388" i="3"/>
  <c r="L388" i="3"/>
  <c r="AS387" i="3"/>
  <c r="AR387" i="3"/>
  <c r="AQ387" i="3"/>
  <c r="AP387" i="3"/>
  <c r="AO387" i="3"/>
  <c r="AK387" i="3"/>
  <c r="F387" i="3" s="1"/>
  <c r="AJ387" i="3"/>
  <c r="O387" i="3"/>
  <c r="L387" i="3"/>
  <c r="AS386" i="3"/>
  <c r="AR386" i="3"/>
  <c r="AQ386" i="3"/>
  <c r="AP386" i="3"/>
  <c r="AO386" i="3"/>
  <c r="AK386" i="3"/>
  <c r="F386" i="3" s="1"/>
  <c r="AJ386" i="3"/>
  <c r="W386" i="3"/>
  <c r="O386" i="3"/>
  <c r="L386" i="3"/>
  <c r="AK382" i="3"/>
  <c r="F382" i="3" s="1"/>
  <c r="AK381" i="3"/>
  <c r="F381" i="3" s="1"/>
  <c r="AK380" i="3"/>
  <c r="F380" i="3" s="1"/>
  <c r="AK379" i="3"/>
  <c r="F379" i="3" s="1"/>
  <c r="AK378" i="3"/>
  <c r="F378" i="3" s="1"/>
  <c r="AK376" i="3"/>
  <c r="F376" i="3" s="1"/>
  <c r="AK375" i="3"/>
  <c r="F375" i="3" s="1"/>
  <c r="AK374" i="3"/>
  <c r="F374" i="3" s="1"/>
  <c r="AK373" i="3"/>
  <c r="F373" i="3" s="1"/>
  <c r="AK372" i="3"/>
  <c r="F372" i="3" s="1"/>
  <c r="AK370" i="3"/>
  <c r="F370" i="3" s="1"/>
  <c r="AK369" i="3"/>
  <c r="F369" i="3" s="1"/>
  <c r="AK368" i="3"/>
  <c r="F368" i="3" s="1"/>
  <c r="AK367" i="3"/>
  <c r="F367" i="3" s="1"/>
  <c r="AK366" i="3"/>
  <c r="F366" i="3" s="1"/>
  <c r="AK364" i="3"/>
  <c r="F364" i="3" s="1"/>
  <c r="AK363" i="3"/>
  <c r="AK362" i="3"/>
  <c r="F362" i="3" s="1"/>
  <c r="AK361" i="3"/>
  <c r="F361" i="3" s="1"/>
  <c r="AK360" i="3"/>
  <c r="F360" i="3" s="1"/>
  <c r="AK358" i="3"/>
  <c r="F358" i="3" s="1"/>
  <c r="AJ358" i="3"/>
  <c r="L358" i="3"/>
  <c r="AK357" i="3"/>
  <c r="F357" i="3" s="1"/>
  <c r="AJ357" i="3"/>
  <c r="AB357" i="3"/>
  <c r="L357" i="3"/>
  <c r="AS355" i="3"/>
  <c r="AR355" i="3"/>
  <c r="AQ355" i="3"/>
  <c r="AM355" i="3"/>
  <c r="AN355" i="3" s="1"/>
  <c r="AK355" i="3"/>
  <c r="AJ355" i="3"/>
  <c r="O355" i="3"/>
  <c r="L355" i="3"/>
  <c r="AS354" i="3"/>
  <c r="AR354" i="3"/>
  <c r="AQ354" i="3"/>
  <c r="AP354" i="3"/>
  <c r="AO354" i="3"/>
  <c r="AM354" i="3"/>
  <c r="AK354" i="3"/>
  <c r="F354" i="3" s="1"/>
  <c r="AJ354" i="3"/>
  <c r="O354" i="3"/>
  <c r="L354" i="3"/>
  <c r="AS353" i="3"/>
  <c r="AR353" i="3"/>
  <c r="AQ353" i="3"/>
  <c r="AP353" i="3"/>
  <c r="AO353" i="3"/>
  <c r="AM353" i="3"/>
  <c r="AK353" i="3"/>
  <c r="AJ353" i="3"/>
  <c r="O353" i="3"/>
  <c r="L353" i="3"/>
  <c r="AS352" i="3"/>
  <c r="AR352" i="3"/>
  <c r="AQ352" i="3"/>
  <c r="AP352" i="3"/>
  <c r="AO352" i="3"/>
  <c r="AK352" i="3"/>
  <c r="F352" i="3" s="1"/>
  <c r="AJ352" i="3"/>
  <c r="O352" i="3"/>
  <c r="L352" i="3"/>
  <c r="AS351" i="3"/>
  <c r="AR351" i="3"/>
  <c r="AQ351" i="3"/>
  <c r="AP351" i="3"/>
  <c r="AO351" i="3"/>
  <c r="AK351" i="3"/>
  <c r="F351" i="3" s="1"/>
  <c r="AJ351" i="3"/>
  <c r="W351" i="3"/>
  <c r="O351" i="3"/>
  <c r="L351" i="3"/>
  <c r="AK347" i="3"/>
  <c r="F347" i="3" s="1"/>
  <c r="AK346" i="3"/>
  <c r="F346" i="3" s="1"/>
  <c r="AK345" i="3"/>
  <c r="F345" i="3" s="1"/>
  <c r="AK344" i="3"/>
  <c r="F344" i="3" s="1"/>
  <c r="AK343" i="3"/>
  <c r="F343" i="3" s="1"/>
  <c r="AK341" i="3"/>
  <c r="F341" i="3" s="1"/>
  <c r="AK340" i="3"/>
  <c r="F340" i="3" s="1"/>
  <c r="AK339" i="3"/>
  <c r="F339" i="3" s="1"/>
  <c r="AK338" i="3"/>
  <c r="F338" i="3" s="1"/>
  <c r="AK337" i="3"/>
  <c r="F337" i="3" s="1"/>
  <c r="AK335" i="3"/>
  <c r="F335" i="3" s="1"/>
  <c r="AK334" i="3"/>
  <c r="F334" i="3" s="1"/>
  <c r="AK333" i="3"/>
  <c r="F333" i="3" s="1"/>
  <c r="AK332" i="3"/>
  <c r="F332" i="3" s="1"/>
  <c r="AK331" i="3"/>
  <c r="F331" i="3" s="1"/>
  <c r="AK329" i="3"/>
  <c r="F329" i="3" s="1"/>
  <c r="AK328" i="3"/>
  <c r="AK327" i="3"/>
  <c r="F327" i="3" s="1"/>
  <c r="AK326" i="3"/>
  <c r="F326" i="3" s="1"/>
  <c r="AK325" i="3"/>
  <c r="F325" i="3" s="1"/>
  <c r="AK323" i="3"/>
  <c r="F323" i="3" s="1"/>
  <c r="AJ323" i="3"/>
  <c r="L323" i="3"/>
  <c r="M288" i="3" s="1"/>
  <c r="AK322" i="3"/>
  <c r="F322" i="3" s="1"/>
  <c r="AJ322" i="3"/>
  <c r="AB322" i="3"/>
  <c r="L322" i="3"/>
  <c r="M287" i="3" s="1"/>
  <c r="AS320" i="3"/>
  <c r="AR320" i="3"/>
  <c r="AQ320" i="3"/>
  <c r="AM320" i="3"/>
  <c r="AN320" i="3" s="1"/>
  <c r="AK320" i="3"/>
  <c r="F320" i="3" s="1"/>
  <c r="AJ320" i="3"/>
  <c r="O320" i="3"/>
  <c r="L320" i="3"/>
  <c r="M285" i="3" s="1"/>
  <c r="AS319" i="3"/>
  <c r="AR319" i="3"/>
  <c r="AQ319" i="3"/>
  <c r="AP319" i="3"/>
  <c r="AO319" i="3"/>
  <c r="AM319" i="3"/>
  <c r="AK319" i="3"/>
  <c r="F319" i="3" s="1"/>
  <c r="AJ319" i="3"/>
  <c r="O319" i="3"/>
  <c r="L319" i="3"/>
  <c r="M284" i="3" s="1"/>
  <c r="AS318" i="3"/>
  <c r="AR318" i="3"/>
  <c r="AQ318" i="3"/>
  <c r="AP318" i="3"/>
  <c r="AO318" i="3"/>
  <c r="AM318" i="3"/>
  <c r="AK318" i="3"/>
  <c r="AJ318" i="3"/>
  <c r="O318" i="3"/>
  <c r="L318" i="3"/>
  <c r="M283" i="3" s="1"/>
  <c r="AS317" i="3"/>
  <c r="AR317" i="3"/>
  <c r="AQ317" i="3"/>
  <c r="AP317" i="3"/>
  <c r="AO317" i="3"/>
  <c r="AK317" i="3"/>
  <c r="F317" i="3" s="1"/>
  <c r="AJ317" i="3"/>
  <c r="O317" i="3"/>
  <c r="L317" i="3"/>
  <c r="M282" i="3" s="1"/>
  <c r="AS316" i="3"/>
  <c r="AR316" i="3"/>
  <c r="AQ316" i="3"/>
  <c r="AP316" i="3"/>
  <c r="AO316" i="3"/>
  <c r="AK316" i="3"/>
  <c r="F316" i="3" s="1"/>
  <c r="AJ316" i="3"/>
  <c r="W316" i="3"/>
  <c r="O316" i="3"/>
  <c r="L316" i="3"/>
  <c r="M281" i="3" s="1"/>
  <c r="U90" i="14"/>
  <c r="T90" i="14"/>
  <c r="S90" i="14"/>
  <c r="R90" i="14"/>
  <c r="Q90" i="14"/>
  <c r="N90" i="14"/>
  <c r="M90" i="14"/>
  <c r="L90" i="14"/>
  <c r="K90" i="14"/>
  <c r="J90" i="14"/>
  <c r="U89" i="14"/>
  <c r="T89" i="14"/>
  <c r="S89" i="14"/>
  <c r="R89" i="14"/>
  <c r="Q89" i="14"/>
  <c r="N89" i="14"/>
  <c r="M89" i="14"/>
  <c r="L89" i="14"/>
  <c r="K89" i="14"/>
  <c r="J89" i="14"/>
  <c r="U88" i="14"/>
  <c r="T88" i="14"/>
  <c r="S88" i="14"/>
  <c r="R88" i="14"/>
  <c r="Q88" i="14"/>
  <c r="N88" i="14"/>
  <c r="M88" i="14"/>
  <c r="L88" i="14"/>
  <c r="K88" i="14"/>
  <c r="J88" i="14"/>
  <c r="U87" i="14"/>
  <c r="T87" i="14"/>
  <c r="S87" i="14"/>
  <c r="R87" i="14"/>
  <c r="Q87" i="14"/>
  <c r="N87" i="14"/>
  <c r="M87" i="14"/>
  <c r="L87" i="14"/>
  <c r="K87" i="14"/>
  <c r="J87" i="14"/>
  <c r="U86" i="14"/>
  <c r="T86" i="14"/>
  <c r="S86" i="14"/>
  <c r="R86" i="14"/>
  <c r="Q86" i="14"/>
  <c r="N86" i="14"/>
  <c r="M86" i="14"/>
  <c r="L86" i="14"/>
  <c r="K86" i="14"/>
  <c r="J86" i="14"/>
  <c r="U85" i="14"/>
  <c r="T85" i="14"/>
  <c r="S85" i="14"/>
  <c r="R85" i="14"/>
  <c r="Q85" i="14"/>
  <c r="N85" i="14"/>
  <c r="M85" i="14"/>
  <c r="L85" i="14"/>
  <c r="K85" i="14"/>
  <c r="J85" i="14"/>
  <c r="U84" i="14"/>
  <c r="T84" i="14"/>
  <c r="S84" i="14"/>
  <c r="R84" i="14"/>
  <c r="Q84" i="14"/>
  <c r="N84" i="14"/>
  <c r="M84" i="14"/>
  <c r="L84" i="14"/>
  <c r="K84" i="14"/>
  <c r="J84" i="14"/>
  <c r="U83" i="14"/>
  <c r="T83" i="14"/>
  <c r="S83" i="14"/>
  <c r="R83" i="14"/>
  <c r="Q83" i="14"/>
  <c r="N83" i="14"/>
  <c r="M83" i="14"/>
  <c r="L83" i="14"/>
  <c r="K83" i="14"/>
  <c r="J83" i="14"/>
  <c r="U82" i="14"/>
  <c r="T82" i="14"/>
  <c r="S82" i="14"/>
  <c r="R82" i="14"/>
  <c r="Q82" i="14"/>
  <c r="N82" i="14"/>
  <c r="M82" i="14"/>
  <c r="L82" i="14"/>
  <c r="K82" i="14"/>
  <c r="J82" i="14"/>
  <c r="U81" i="14"/>
  <c r="T81" i="14"/>
  <c r="S81" i="14"/>
  <c r="R81" i="14"/>
  <c r="Q81" i="14"/>
  <c r="N81" i="14"/>
  <c r="M81" i="14"/>
  <c r="L81" i="14"/>
  <c r="K81" i="14"/>
  <c r="J81" i="14"/>
  <c r="U80" i="14"/>
  <c r="T80" i="14"/>
  <c r="S80" i="14"/>
  <c r="R80" i="14"/>
  <c r="Q80" i="14"/>
  <c r="N80" i="14"/>
  <c r="M80" i="14"/>
  <c r="L80" i="14"/>
  <c r="K80" i="14"/>
  <c r="J80" i="14"/>
  <c r="U79" i="14"/>
  <c r="T79" i="14"/>
  <c r="S79" i="14"/>
  <c r="R79" i="14"/>
  <c r="Q79" i="14"/>
  <c r="N79" i="14"/>
  <c r="M79" i="14"/>
  <c r="L79" i="14"/>
  <c r="K79" i="14"/>
  <c r="J79" i="14"/>
  <c r="U78" i="14"/>
  <c r="T78" i="14"/>
  <c r="S78" i="14"/>
  <c r="R78" i="14"/>
  <c r="Q78" i="14"/>
  <c r="N78" i="14"/>
  <c r="M78" i="14"/>
  <c r="L78" i="14"/>
  <c r="K78" i="14"/>
  <c r="J78" i="14"/>
  <c r="U77" i="14"/>
  <c r="T77" i="14"/>
  <c r="S77" i="14"/>
  <c r="R77" i="14"/>
  <c r="Q77" i="14"/>
  <c r="N77" i="14"/>
  <c r="M77" i="14"/>
  <c r="L77" i="14"/>
  <c r="K77" i="14"/>
  <c r="J77" i="14"/>
  <c r="U76" i="14"/>
  <c r="T76" i="14"/>
  <c r="S76" i="14"/>
  <c r="R76" i="14"/>
  <c r="Q76" i="14"/>
  <c r="N76" i="14"/>
  <c r="M76" i="14"/>
  <c r="L76" i="14"/>
  <c r="K76" i="14"/>
  <c r="J76" i="14"/>
  <c r="U75" i="14"/>
  <c r="T75" i="14"/>
  <c r="S75" i="14"/>
  <c r="R75" i="14"/>
  <c r="Q75" i="14"/>
  <c r="N75" i="14"/>
  <c r="M75" i="14"/>
  <c r="L75" i="14"/>
  <c r="K75" i="14"/>
  <c r="J75" i="14"/>
  <c r="U74" i="14"/>
  <c r="T74" i="14"/>
  <c r="S74" i="14"/>
  <c r="R74" i="14"/>
  <c r="Q74" i="14"/>
  <c r="N74" i="14"/>
  <c r="M74" i="14"/>
  <c r="L74" i="14"/>
  <c r="K74" i="14"/>
  <c r="J74" i="14"/>
  <c r="U73" i="14"/>
  <c r="T73" i="14"/>
  <c r="S73" i="14"/>
  <c r="R73" i="14"/>
  <c r="Q73" i="14"/>
  <c r="N73" i="14"/>
  <c r="M73" i="14"/>
  <c r="L73" i="14"/>
  <c r="K73" i="14"/>
  <c r="J73" i="14"/>
  <c r="U72" i="14"/>
  <c r="T72" i="14"/>
  <c r="S72" i="14"/>
  <c r="R72" i="14"/>
  <c r="Q72" i="14"/>
  <c r="N72" i="14"/>
  <c r="M72" i="14"/>
  <c r="L72" i="14"/>
  <c r="K72" i="14"/>
  <c r="J72" i="14"/>
  <c r="U71" i="14"/>
  <c r="T71" i="14"/>
  <c r="S71" i="14"/>
  <c r="R71" i="14"/>
  <c r="Q71" i="14"/>
  <c r="N71" i="14"/>
  <c r="M71" i="14"/>
  <c r="L71" i="14"/>
  <c r="K71" i="14"/>
  <c r="J71" i="14"/>
  <c r="U70" i="14"/>
  <c r="T70" i="14"/>
  <c r="S70" i="14"/>
  <c r="R70" i="14"/>
  <c r="Q70" i="14"/>
  <c r="N70" i="14"/>
  <c r="M70" i="14"/>
  <c r="L70" i="14"/>
  <c r="K70" i="14"/>
  <c r="J70" i="14"/>
  <c r="U69" i="14"/>
  <c r="T69" i="14"/>
  <c r="S69" i="14"/>
  <c r="R69" i="14"/>
  <c r="Q69" i="14"/>
  <c r="N69" i="14"/>
  <c r="M69" i="14"/>
  <c r="L69" i="14"/>
  <c r="K69" i="14"/>
  <c r="J69" i="14"/>
  <c r="U68" i="14"/>
  <c r="T68" i="14"/>
  <c r="S68" i="14"/>
  <c r="R68" i="14"/>
  <c r="Q68" i="14"/>
  <c r="N68" i="14"/>
  <c r="M68" i="14"/>
  <c r="L68" i="14"/>
  <c r="K68" i="14"/>
  <c r="J68" i="14"/>
  <c r="U67" i="14"/>
  <c r="T67" i="14"/>
  <c r="S67" i="14"/>
  <c r="R67" i="14"/>
  <c r="Q67" i="14"/>
  <c r="N67" i="14"/>
  <c r="M67" i="14"/>
  <c r="L67" i="14"/>
  <c r="K67" i="14"/>
  <c r="J67" i="14"/>
  <c r="U66" i="14"/>
  <c r="T66" i="14"/>
  <c r="S66" i="14"/>
  <c r="R66" i="14"/>
  <c r="Q66" i="14"/>
  <c r="N66" i="14"/>
  <c r="M66" i="14"/>
  <c r="L66" i="14"/>
  <c r="K66" i="14"/>
  <c r="J66" i="14"/>
  <c r="U65" i="14"/>
  <c r="T65" i="14"/>
  <c r="S65" i="14"/>
  <c r="R65" i="14"/>
  <c r="Q65" i="14"/>
  <c r="N65" i="14"/>
  <c r="M65" i="14"/>
  <c r="L65" i="14"/>
  <c r="K65" i="14"/>
  <c r="J65" i="14"/>
  <c r="U64" i="14"/>
  <c r="T64" i="14"/>
  <c r="S64" i="14"/>
  <c r="R64" i="14"/>
  <c r="Q64" i="14"/>
  <c r="N64" i="14"/>
  <c r="M64" i="14"/>
  <c r="L64" i="14"/>
  <c r="K64" i="14"/>
  <c r="J64" i="14"/>
  <c r="U63" i="14"/>
  <c r="T63" i="14"/>
  <c r="S63" i="14"/>
  <c r="R63" i="14"/>
  <c r="Q63" i="14"/>
  <c r="N63" i="14"/>
  <c r="M63" i="14"/>
  <c r="L63" i="14"/>
  <c r="K63" i="14"/>
  <c r="J63" i="14"/>
  <c r="U62" i="14"/>
  <c r="T62" i="14"/>
  <c r="S62" i="14"/>
  <c r="R62" i="14"/>
  <c r="Q62" i="14"/>
  <c r="N62" i="14"/>
  <c r="M62" i="14"/>
  <c r="L62" i="14"/>
  <c r="K62" i="14"/>
  <c r="J62" i="14"/>
  <c r="U61" i="14"/>
  <c r="T61" i="14"/>
  <c r="S61" i="14"/>
  <c r="R61" i="14"/>
  <c r="Q61" i="14"/>
  <c r="N61" i="14"/>
  <c r="M61" i="14"/>
  <c r="L61" i="14"/>
  <c r="K61" i="14"/>
  <c r="J61" i="14"/>
  <c r="U60" i="14"/>
  <c r="T60" i="14"/>
  <c r="S60" i="14"/>
  <c r="R60" i="14"/>
  <c r="Q60" i="14"/>
  <c r="N60" i="14"/>
  <c r="M60" i="14"/>
  <c r="L60" i="14"/>
  <c r="K60" i="14"/>
  <c r="J60" i="14"/>
  <c r="U59" i="14"/>
  <c r="T59" i="14"/>
  <c r="S59" i="14"/>
  <c r="R59" i="14"/>
  <c r="Q59" i="14"/>
  <c r="N59" i="14"/>
  <c r="M59" i="14"/>
  <c r="L59" i="14"/>
  <c r="K59" i="14"/>
  <c r="J59" i="14"/>
  <c r="U58" i="14"/>
  <c r="T58" i="14"/>
  <c r="S58" i="14"/>
  <c r="R58" i="14"/>
  <c r="Q58" i="14"/>
  <c r="N58" i="14"/>
  <c r="M58" i="14"/>
  <c r="L58" i="14"/>
  <c r="K58" i="14"/>
  <c r="J58" i="14"/>
  <c r="U57" i="14"/>
  <c r="T57" i="14"/>
  <c r="S57" i="14"/>
  <c r="R57" i="14"/>
  <c r="Q57" i="14"/>
  <c r="N57" i="14"/>
  <c r="M57" i="14"/>
  <c r="L57" i="14"/>
  <c r="K57" i="14"/>
  <c r="J57" i="14"/>
  <c r="U56" i="14"/>
  <c r="T56" i="14"/>
  <c r="S56" i="14"/>
  <c r="R56" i="14"/>
  <c r="Q56" i="14"/>
  <c r="N56" i="14"/>
  <c r="M56" i="14"/>
  <c r="L56" i="14"/>
  <c r="K56" i="14"/>
  <c r="J56" i="14"/>
  <c r="U55" i="14"/>
  <c r="T55" i="14"/>
  <c r="S55" i="14"/>
  <c r="R55" i="14"/>
  <c r="Q55" i="14"/>
  <c r="N55" i="14"/>
  <c r="M55" i="14"/>
  <c r="L55" i="14"/>
  <c r="K55" i="14"/>
  <c r="J55" i="14"/>
  <c r="U54" i="14"/>
  <c r="T54" i="14"/>
  <c r="S54" i="14"/>
  <c r="R54" i="14"/>
  <c r="Q54" i="14"/>
  <c r="N54" i="14"/>
  <c r="M54" i="14"/>
  <c r="L54" i="14"/>
  <c r="K54" i="14"/>
  <c r="J54" i="14"/>
  <c r="U53" i="14"/>
  <c r="T53" i="14"/>
  <c r="S53" i="14"/>
  <c r="R53" i="14"/>
  <c r="Q53" i="14"/>
  <c r="N53" i="14"/>
  <c r="M53" i="14"/>
  <c r="L53" i="14"/>
  <c r="K53" i="14"/>
  <c r="J53" i="14"/>
  <c r="U52" i="14"/>
  <c r="T52" i="14"/>
  <c r="S52" i="14"/>
  <c r="R52" i="14"/>
  <c r="Q52" i="14"/>
  <c r="N52" i="14"/>
  <c r="M52" i="14"/>
  <c r="L52" i="14"/>
  <c r="K52" i="14"/>
  <c r="J52" i="14"/>
  <c r="U51" i="14"/>
  <c r="T51" i="14"/>
  <c r="S51" i="14"/>
  <c r="R51" i="14"/>
  <c r="Q51" i="14"/>
  <c r="N51" i="14"/>
  <c r="M51" i="14"/>
  <c r="L51" i="14"/>
  <c r="K51" i="14"/>
  <c r="J51" i="14"/>
  <c r="U50" i="14"/>
  <c r="T50" i="14"/>
  <c r="S50" i="14"/>
  <c r="R50" i="14"/>
  <c r="Q50" i="14"/>
  <c r="N50" i="14"/>
  <c r="M50" i="14"/>
  <c r="L50" i="14"/>
  <c r="K50" i="14"/>
  <c r="J50" i="14"/>
  <c r="U49" i="14"/>
  <c r="T49" i="14"/>
  <c r="S49" i="14"/>
  <c r="R49" i="14"/>
  <c r="Q49" i="14"/>
  <c r="N49" i="14"/>
  <c r="M49" i="14"/>
  <c r="L49" i="14"/>
  <c r="K49" i="14"/>
  <c r="J49" i="14"/>
  <c r="U48" i="14"/>
  <c r="T48" i="14"/>
  <c r="S48" i="14"/>
  <c r="R48" i="14"/>
  <c r="Q48" i="14"/>
  <c r="N48" i="14"/>
  <c r="M48" i="14"/>
  <c r="L48" i="14"/>
  <c r="K48" i="14"/>
  <c r="J48" i="14"/>
  <c r="U47" i="14"/>
  <c r="T47" i="14"/>
  <c r="S47" i="14"/>
  <c r="R47" i="14"/>
  <c r="Q47" i="14"/>
  <c r="N47" i="14"/>
  <c r="M47" i="14"/>
  <c r="L47" i="14"/>
  <c r="K47" i="14"/>
  <c r="J47" i="14"/>
  <c r="U46" i="14"/>
  <c r="T46" i="14"/>
  <c r="S46" i="14"/>
  <c r="R46" i="14"/>
  <c r="Q46" i="14"/>
  <c r="N46" i="14"/>
  <c r="M46" i="14"/>
  <c r="L46" i="14"/>
  <c r="K46" i="14"/>
  <c r="J46" i="14"/>
  <c r="U45" i="14"/>
  <c r="T45" i="14"/>
  <c r="S45" i="14"/>
  <c r="R45" i="14"/>
  <c r="Q45" i="14"/>
  <c r="N45" i="14"/>
  <c r="M45" i="14"/>
  <c r="L45" i="14"/>
  <c r="K45" i="14"/>
  <c r="J45" i="14"/>
  <c r="U44" i="14"/>
  <c r="T44" i="14"/>
  <c r="S44" i="14"/>
  <c r="R44" i="14"/>
  <c r="Q44" i="14"/>
  <c r="N44" i="14"/>
  <c r="M44" i="14"/>
  <c r="L44" i="14"/>
  <c r="K44" i="14"/>
  <c r="J44" i="14"/>
  <c r="U43" i="14"/>
  <c r="T43" i="14"/>
  <c r="S43" i="14"/>
  <c r="R43" i="14"/>
  <c r="Q43" i="14"/>
  <c r="N43" i="14"/>
  <c r="M43" i="14"/>
  <c r="L43" i="14"/>
  <c r="K43" i="14"/>
  <c r="J43" i="14"/>
  <c r="U42" i="14"/>
  <c r="T42" i="14"/>
  <c r="S42" i="14"/>
  <c r="R42" i="14"/>
  <c r="Q42" i="14"/>
  <c r="N42" i="14"/>
  <c r="M42" i="14"/>
  <c r="L42" i="14"/>
  <c r="K42" i="14"/>
  <c r="J42" i="14"/>
  <c r="U41" i="14"/>
  <c r="T41" i="14"/>
  <c r="S41" i="14"/>
  <c r="R41" i="14"/>
  <c r="Q41" i="14"/>
  <c r="N41" i="14"/>
  <c r="M41" i="14"/>
  <c r="L41" i="14"/>
  <c r="K41" i="14"/>
  <c r="J41" i="14"/>
  <c r="U40" i="14"/>
  <c r="T40" i="14"/>
  <c r="S40" i="14"/>
  <c r="R40" i="14"/>
  <c r="Q40" i="14"/>
  <c r="N40" i="14"/>
  <c r="M40" i="14"/>
  <c r="L40" i="14"/>
  <c r="K40" i="14"/>
  <c r="J40" i="14"/>
  <c r="U39" i="14"/>
  <c r="T39" i="14"/>
  <c r="S39" i="14"/>
  <c r="R39" i="14"/>
  <c r="Q39" i="14"/>
  <c r="N39" i="14"/>
  <c r="M39" i="14"/>
  <c r="L39" i="14"/>
  <c r="K39" i="14"/>
  <c r="J39" i="14"/>
  <c r="U38" i="14"/>
  <c r="T38" i="14"/>
  <c r="S38" i="14"/>
  <c r="R38" i="14"/>
  <c r="Q38" i="14"/>
  <c r="N38" i="14"/>
  <c r="M38" i="14"/>
  <c r="L38" i="14"/>
  <c r="K38" i="14"/>
  <c r="J38" i="14"/>
  <c r="U37" i="14"/>
  <c r="T37" i="14"/>
  <c r="S37" i="14"/>
  <c r="R37" i="14"/>
  <c r="Q37" i="14"/>
  <c r="N37" i="14"/>
  <c r="M37" i="14"/>
  <c r="L37" i="14"/>
  <c r="K37" i="14"/>
  <c r="J37" i="14"/>
  <c r="U36" i="14"/>
  <c r="T36" i="14"/>
  <c r="S36" i="14"/>
  <c r="R36" i="14"/>
  <c r="Q36" i="14"/>
  <c r="N36" i="14"/>
  <c r="M36" i="14"/>
  <c r="L36" i="14"/>
  <c r="K36" i="14"/>
  <c r="J36" i="14"/>
  <c r="U35" i="14"/>
  <c r="T35" i="14"/>
  <c r="S35" i="14"/>
  <c r="R35" i="14"/>
  <c r="Q35" i="14"/>
  <c r="N35" i="14"/>
  <c r="M35" i="14"/>
  <c r="L35" i="14"/>
  <c r="K35" i="14"/>
  <c r="J35" i="14"/>
  <c r="U34" i="14"/>
  <c r="T34" i="14"/>
  <c r="S34" i="14"/>
  <c r="R34" i="14"/>
  <c r="Q34" i="14"/>
  <c r="N34" i="14"/>
  <c r="M34" i="14"/>
  <c r="L34" i="14"/>
  <c r="K34" i="14"/>
  <c r="J34" i="14"/>
  <c r="U33" i="14"/>
  <c r="T33" i="14"/>
  <c r="S33" i="14"/>
  <c r="R33" i="14"/>
  <c r="Q33" i="14"/>
  <c r="N33" i="14"/>
  <c r="M33" i="14"/>
  <c r="L33" i="14"/>
  <c r="K33" i="14"/>
  <c r="J33" i="14"/>
  <c r="U32" i="14"/>
  <c r="T32" i="14"/>
  <c r="S32" i="14"/>
  <c r="R32" i="14"/>
  <c r="Q32" i="14"/>
  <c r="N32" i="14"/>
  <c r="M32" i="14"/>
  <c r="L32" i="14"/>
  <c r="K32" i="14"/>
  <c r="J32" i="14"/>
  <c r="U31" i="14"/>
  <c r="T31" i="14"/>
  <c r="S31" i="14"/>
  <c r="R31" i="14"/>
  <c r="Q31" i="14"/>
  <c r="N31" i="14"/>
  <c r="M31" i="14"/>
  <c r="L31" i="14"/>
  <c r="K31" i="14"/>
  <c r="J31" i="14"/>
  <c r="U30" i="14"/>
  <c r="T30" i="14"/>
  <c r="S30" i="14"/>
  <c r="R30" i="14"/>
  <c r="Q30" i="14"/>
  <c r="N30" i="14"/>
  <c r="M30" i="14"/>
  <c r="L30" i="14"/>
  <c r="K30" i="14"/>
  <c r="J30" i="14"/>
  <c r="U29" i="14"/>
  <c r="T29" i="14"/>
  <c r="S29" i="14"/>
  <c r="R29" i="14"/>
  <c r="Q29" i="14"/>
  <c r="N29" i="14"/>
  <c r="M29" i="14"/>
  <c r="L29" i="14"/>
  <c r="K29" i="14"/>
  <c r="J29" i="14"/>
  <c r="U28" i="14"/>
  <c r="T28" i="14"/>
  <c r="S28" i="14"/>
  <c r="R28" i="14"/>
  <c r="Q28" i="14"/>
  <c r="N28" i="14"/>
  <c r="M28" i="14"/>
  <c r="L28" i="14"/>
  <c r="K28" i="14"/>
  <c r="J28" i="14"/>
  <c r="U27" i="14"/>
  <c r="T27" i="14"/>
  <c r="S27" i="14"/>
  <c r="R27" i="14"/>
  <c r="Q27" i="14"/>
  <c r="N27" i="14"/>
  <c r="M27" i="14"/>
  <c r="L27" i="14"/>
  <c r="K27" i="14"/>
  <c r="J27" i="14"/>
  <c r="U26" i="14"/>
  <c r="T26" i="14"/>
  <c r="S26" i="14"/>
  <c r="R26" i="14"/>
  <c r="Q26" i="14"/>
  <c r="N26" i="14"/>
  <c r="M26" i="14"/>
  <c r="L26" i="14"/>
  <c r="K26" i="14"/>
  <c r="J26" i="14"/>
  <c r="U25" i="14"/>
  <c r="T25" i="14"/>
  <c r="S25" i="14"/>
  <c r="R25" i="14"/>
  <c r="Q25" i="14"/>
  <c r="N25" i="14"/>
  <c r="M25" i="14"/>
  <c r="L25" i="14"/>
  <c r="K25" i="14"/>
  <c r="J25" i="14"/>
  <c r="U24" i="14"/>
  <c r="T24" i="14"/>
  <c r="S24" i="14"/>
  <c r="R24" i="14"/>
  <c r="Q24" i="14"/>
  <c r="N24" i="14"/>
  <c r="M24" i="14"/>
  <c r="L24" i="14"/>
  <c r="K24" i="14"/>
  <c r="J24" i="14"/>
  <c r="U23" i="14"/>
  <c r="T23" i="14"/>
  <c r="S23" i="14"/>
  <c r="R23" i="14"/>
  <c r="Q23" i="14"/>
  <c r="N23" i="14"/>
  <c r="M23" i="14"/>
  <c r="L23" i="14"/>
  <c r="K23" i="14"/>
  <c r="J23" i="14"/>
  <c r="U22" i="14"/>
  <c r="T22" i="14"/>
  <c r="S22" i="14"/>
  <c r="R22" i="14"/>
  <c r="Q22" i="14"/>
  <c r="N22" i="14"/>
  <c r="M22" i="14"/>
  <c r="L22" i="14"/>
  <c r="K22" i="14"/>
  <c r="J22" i="14"/>
  <c r="U21" i="14"/>
  <c r="T21" i="14"/>
  <c r="S21" i="14"/>
  <c r="R21" i="14"/>
  <c r="Q21" i="14"/>
  <c r="N21" i="14"/>
  <c r="M21" i="14"/>
  <c r="L21" i="14"/>
  <c r="K21" i="14"/>
  <c r="J21" i="14"/>
  <c r="U20" i="14"/>
  <c r="T20" i="14"/>
  <c r="S20" i="14"/>
  <c r="R20" i="14"/>
  <c r="Q20" i="14"/>
  <c r="N20" i="14"/>
  <c r="M20" i="14"/>
  <c r="L20" i="14"/>
  <c r="K20" i="14"/>
  <c r="J20" i="14"/>
  <c r="U19" i="14"/>
  <c r="T19" i="14"/>
  <c r="S19" i="14"/>
  <c r="R19" i="14"/>
  <c r="Q19" i="14"/>
  <c r="N19" i="14"/>
  <c r="M19" i="14"/>
  <c r="L19" i="14"/>
  <c r="K19" i="14"/>
  <c r="J19" i="14"/>
  <c r="U18" i="14"/>
  <c r="T18" i="14"/>
  <c r="S18" i="14"/>
  <c r="R18" i="14"/>
  <c r="Q18" i="14"/>
  <c r="N18" i="14"/>
  <c r="M18" i="14"/>
  <c r="L18" i="14"/>
  <c r="K18" i="14"/>
  <c r="J18" i="14"/>
  <c r="U17" i="14"/>
  <c r="T17" i="14"/>
  <c r="S17" i="14"/>
  <c r="R17" i="14"/>
  <c r="Q17" i="14"/>
  <c r="N17" i="14"/>
  <c r="M17" i="14"/>
  <c r="L17" i="14"/>
  <c r="K17" i="14"/>
  <c r="J17" i="14"/>
  <c r="U16" i="14"/>
  <c r="T16" i="14"/>
  <c r="S16" i="14"/>
  <c r="R16" i="14"/>
  <c r="Q16" i="14"/>
  <c r="N16" i="14"/>
  <c r="M16" i="14"/>
  <c r="L16" i="14"/>
  <c r="K16" i="14"/>
  <c r="J16" i="14"/>
  <c r="U15" i="14"/>
  <c r="T15" i="14"/>
  <c r="S15" i="14"/>
  <c r="R15" i="14"/>
  <c r="Q15" i="14"/>
  <c r="N15" i="14"/>
  <c r="M15" i="14"/>
  <c r="L15" i="14"/>
  <c r="K15" i="14"/>
  <c r="J15" i="14"/>
  <c r="U14" i="14"/>
  <c r="T14" i="14"/>
  <c r="S14" i="14"/>
  <c r="R14" i="14"/>
  <c r="Q14" i="14"/>
  <c r="N14" i="14"/>
  <c r="M14" i="14"/>
  <c r="L14" i="14"/>
  <c r="K14" i="14"/>
  <c r="J14" i="14"/>
  <c r="U13" i="14"/>
  <c r="T13" i="14"/>
  <c r="S13" i="14"/>
  <c r="R13" i="14"/>
  <c r="Q13" i="14"/>
  <c r="N13" i="14"/>
  <c r="M13" i="14"/>
  <c r="L13" i="14"/>
  <c r="K13" i="14"/>
  <c r="J13" i="14"/>
  <c r="U12" i="14"/>
  <c r="T12" i="14"/>
  <c r="S12" i="14"/>
  <c r="R12" i="14"/>
  <c r="Q12" i="14"/>
  <c r="N12" i="14"/>
  <c r="M12" i="14"/>
  <c r="L12" i="14"/>
  <c r="K12" i="14"/>
  <c r="J12" i="14"/>
  <c r="U11" i="14"/>
  <c r="T11" i="14"/>
  <c r="S11" i="14"/>
  <c r="R11" i="14"/>
  <c r="Q11" i="14"/>
  <c r="N11" i="14"/>
  <c r="M11" i="14"/>
  <c r="L11" i="14"/>
  <c r="K11" i="14"/>
  <c r="J11" i="14"/>
  <c r="U10" i="14"/>
  <c r="T10" i="14"/>
  <c r="S10" i="14"/>
  <c r="R10" i="14"/>
  <c r="Q10" i="14"/>
  <c r="N10" i="14"/>
  <c r="M10" i="14"/>
  <c r="L10" i="14"/>
  <c r="K10" i="14"/>
  <c r="J10" i="14"/>
  <c r="U9" i="14"/>
  <c r="T9" i="14"/>
  <c r="S9" i="14"/>
  <c r="R9" i="14"/>
  <c r="Q9" i="14"/>
  <c r="P9" i="14"/>
  <c r="P10" i="14" s="1"/>
  <c r="P11" i="14" s="1"/>
  <c r="P12" i="14" s="1"/>
  <c r="P13" i="14" s="1"/>
  <c r="P14" i="14" s="1"/>
  <c r="P15" i="14" s="1"/>
  <c r="P16" i="14" s="1"/>
  <c r="P17" i="14" s="1"/>
  <c r="P18" i="14" s="1"/>
  <c r="P19" i="14" s="1"/>
  <c r="P20" i="14" s="1"/>
  <c r="P21" i="14" s="1"/>
  <c r="P22" i="14" s="1"/>
  <c r="P23" i="14" s="1"/>
  <c r="P24" i="14" s="1"/>
  <c r="P25" i="14" s="1"/>
  <c r="P26" i="14" s="1"/>
  <c r="P27" i="14" s="1"/>
  <c r="P28" i="14" s="1"/>
  <c r="P29" i="14" s="1"/>
  <c r="P30" i="14" s="1"/>
  <c r="P31" i="14" s="1"/>
  <c r="P32" i="14" s="1"/>
  <c r="P33" i="14" s="1"/>
  <c r="P34" i="14" s="1"/>
  <c r="P35" i="14" s="1"/>
  <c r="P36" i="14" s="1"/>
  <c r="P37" i="14" s="1"/>
  <c r="P38" i="14" s="1"/>
  <c r="P39" i="14" s="1"/>
  <c r="P40" i="14" s="1"/>
  <c r="P41" i="14" s="1"/>
  <c r="P42" i="14" s="1"/>
  <c r="P43" i="14" s="1"/>
  <c r="P44" i="14" s="1"/>
  <c r="P45" i="14" s="1"/>
  <c r="P46" i="14" s="1"/>
  <c r="P47" i="14" s="1"/>
  <c r="P48" i="14" s="1"/>
  <c r="P49" i="14" s="1"/>
  <c r="P50" i="14" s="1"/>
  <c r="P51" i="14" s="1"/>
  <c r="P52" i="14" s="1"/>
  <c r="P53" i="14" s="1"/>
  <c r="P54" i="14" s="1"/>
  <c r="P55" i="14" s="1"/>
  <c r="P56" i="14" s="1"/>
  <c r="P57" i="14" s="1"/>
  <c r="P58" i="14" s="1"/>
  <c r="P59" i="14" s="1"/>
  <c r="P60" i="14" s="1"/>
  <c r="P61" i="14" s="1"/>
  <c r="P62" i="14" s="1"/>
  <c r="P63" i="14" s="1"/>
  <c r="P64" i="14" s="1"/>
  <c r="P65" i="14" s="1"/>
  <c r="P66" i="14" s="1"/>
  <c r="P67" i="14" s="1"/>
  <c r="P68" i="14" s="1"/>
  <c r="P69" i="14" s="1"/>
  <c r="P70" i="14" s="1"/>
  <c r="P71" i="14" s="1"/>
  <c r="P72" i="14" s="1"/>
  <c r="P73" i="14" s="1"/>
  <c r="P74" i="14" s="1"/>
  <c r="P75" i="14" s="1"/>
  <c r="P76" i="14" s="1"/>
  <c r="P77" i="14" s="1"/>
  <c r="P78" i="14" s="1"/>
  <c r="P79" i="14" s="1"/>
  <c r="P80" i="14" s="1"/>
  <c r="P81" i="14" s="1"/>
  <c r="P82" i="14" s="1"/>
  <c r="P83" i="14" s="1"/>
  <c r="P84" i="14" s="1"/>
  <c r="P85" i="14" s="1"/>
  <c r="P86" i="14" s="1"/>
  <c r="P87" i="14" s="1"/>
  <c r="P88" i="14" s="1"/>
  <c r="P89" i="14" s="1"/>
  <c r="P90" i="14" s="1"/>
  <c r="N9" i="14"/>
  <c r="M9" i="14"/>
  <c r="L9" i="14"/>
  <c r="K9" i="14"/>
  <c r="J9" i="14"/>
  <c r="U8" i="14"/>
  <c r="T8" i="14"/>
  <c r="S8" i="14"/>
  <c r="R8" i="14"/>
  <c r="Q8" i="14"/>
  <c r="N8" i="14"/>
  <c r="M8" i="14"/>
  <c r="L8" i="14"/>
  <c r="K8" i="14"/>
  <c r="J8" i="14"/>
  <c r="U7" i="14"/>
  <c r="T7" i="14"/>
  <c r="S7" i="14"/>
  <c r="R7" i="14"/>
  <c r="Q7" i="14"/>
  <c r="N7" i="14"/>
  <c r="M7" i="14"/>
  <c r="L7" i="14"/>
  <c r="K7" i="14"/>
  <c r="J7" i="14"/>
  <c r="U6" i="14"/>
  <c r="T6" i="14"/>
  <c r="S6" i="14"/>
  <c r="R6" i="14"/>
  <c r="Q6" i="14"/>
  <c r="P6" i="14"/>
  <c r="P7" i="14" s="1"/>
  <c r="P8" i="14" s="1"/>
  <c r="N6" i="14"/>
  <c r="M6" i="14"/>
  <c r="L6" i="14"/>
  <c r="K6" i="14"/>
  <c r="J6" i="14"/>
  <c r="U5" i="14"/>
  <c r="T5" i="14"/>
  <c r="S5" i="14"/>
  <c r="R5" i="14"/>
  <c r="Q5" i="14"/>
  <c r="P5" i="14"/>
  <c r="N5" i="14"/>
  <c r="M5" i="14"/>
  <c r="L5" i="14"/>
  <c r="K5" i="14"/>
  <c r="J5" i="14"/>
  <c r="B5" i="14"/>
  <c r="B6" i="14" s="1"/>
  <c r="B7" i="14" s="1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28" i="14" s="1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B120" i="14" s="1"/>
  <c r="B121" i="14" s="1"/>
  <c r="B122" i="14" s="1"/>
  <c r="B123" i="14" s="1"/>
  <c r="B124" i="14" s="1"/>
  <c r="U4" i="14"/>
  <c r="T4" i="14"/>
  <c r="S4" i="14"/>
  <c r="R4" i="14"/>
  <c r="Q4" i="14"/>
  <c r="P4" i="14"/>
  <c r="N4" i="14"/>
  <c r="M4" i="14"/>
  <c r="L4" i="14"/>
  <c r="K4" i="14"/>
  <c r="J4" i="14"/>
  <c r="I4" i="14"/>
  <c r="I5" i="14" s="1"/>
  <c r="I6" i="14" s="1"/>
  <c r="I7" i="14" s="1"/>
  <c r="I8" i="14" s="1"/>
  <c r="I9" i="14" s="1"/>
  <c r="I10" i="14" s="1"/>
  <c r="I11" i="14" s="1"/>
  <c r="I12" i="14" s="1"/>
  <c r="I13" i="14" s="1"/>
  <c r="I14" i="14" s="1"/>
  <c r="I15" i="14" s="1"/>
  <c r="I16" i="14" s="1"/>
  <c r="I17" i="14" s="1"/>
  <c r="I18" i="14" s="1"/>
  <c r="I19" i="14" s="1"/>
  <c r="I20" i="14" s="1"/>
  <c r="I21" i="14" s="1"/>
  <c r="I22" i="14" s="1"/>
  <c r="I23" i="14" s="1"/>
  <c r="I24" i="14" s="1"/>
  <c r="I25" i="14" s="1"/>
  <c r="I26" i="14" s="1"/>
  <c r="I27" i="14" s="1"/>
  <c r="I28" i="14" s="1"/>
  <c r="I29" i="14" s="1"/>
  <c r="I30" i="14" s="1"/>
  <c r="I31" i="14" s="1"/>
  <c r="I32" i="14" s="1"/>
  <c r="I33" i="14" s="1"/>
  <c r="I34" i="14" s="1"/>
  <c r="I35" i="14" s="1"/>
  <c r="I36" i="14" s="1"/>
  <c r="I37" i="14" s="1"/>
  <c r="I38" i="14" s="1"/>
  <c r="I39" i="14" s="1"/>
  <c r="I40" i="14" s="1"/>
  <c r="I41" i="14" s="1"/>
  <c r="I42" i="14" s="1"/>
  <c r="I43" i="14" s="1"/>
  <c r="I44" i="14" s="1"/>
  <c r="I45" i="14" s="1"/>
  <c r="I46" i="14" s="1"/>
  <c r="I47" i="14" s="1"/>
  <c r="I48" i="14" s="1"/>
  <c r="I49" i="14" s="1"/>
  <c r="I50" i="14" s="1"/>
  <c r="I51" i="14" s="1"/>
  <c r="I52" i="14" s="1"/>
  <c r="I53" i="14" s="1"/>
  <c r="I54" i="14" s="1"/>
  <c r="I55" i="14" s="1"/>
  <c r="I56" i="14" s="1"/>
  <c r="I57" i="14" s="1"/>
  <c r="I58" i="14" s="1"/>
  <c r="I59" i="14" s="1"/>
  <c r="I60" i="14" s="1"/>
  <c r="I61" i="14" s="1"/>
  <c r="I62" i="14" s="1"/>
  <c r="I63" i="14" s="1"/>
  <c r="I64" i="14" s="1"/>
  <c r="I65" i="14" s="1"/>
  <c r="I66" i="14" s="1"/>
  <c r="I67" i="14" s="1"/>
  <c r="I68" i="14" s="1"/>
  <c r="I69" i="14" s="1"/>
  <c r="I70" i="14" s="1"/>
  <c r="I71" i="14" s="1"/>
  <c r="I72" i="14" s="1"/>
  <c r="I73" i="14" s="1"/>
  <c r="I74" i="14" s="1"/>
  <c r="I75" i="14" s="1"/>
  <c r="I76" i="14" s="1"/>
  <c r="I77" i="14" s="1"/>
  <c r="I78" i="14" s="1"/>
  <c r="I79" i="14" s="1"/>
  <c r="I80" i="14" s="1"/>
  <c r="I81" i="14" s="1"/>
  <c r="I82" i="14" s="1"/>
  <c r="I83" i="14" s="1"/>
  <c r="I84" i="14" s="1"/>
  <c r="I85" i="14" s="1"/>
  <c r="I86" i="14" s="1"/>
  <c r="I87" i="14" s="1"/>
  <c r="I88" i="14" s="1"/>
  <c r="I89" i="14" s="1"/>
  <c r="I90" i="14" s="1"/>
  <c r="B4" i="14"/>
  <c r="H31" i="7" l="1"/>
  <c r="J31" i="7" s="1"/>
  <c r="H32" i="7"/>
  <c r="J32" i="7" s="1"/>
  <c r="H28" i="7"/>
  <c r="J28" i="7" s="1"/>
  <c r="H30" i="7"/>
  <c r="J30" i="7" s="1"/>
  <c r="H29" i="7"/>
  <c r="J29" i="7" s="1"/>
  <c r="H98" i="15"/>
  <c r="J98" i="15" s="1"/>
  <c r="H100" i="15"/>
  <c r="J100" i="15" s="1"/>
  <c r="H99" i="15"/>
  <c r="J99" i="15" s="1"/>
  <c r="H101" i="15"/>
  <c r="J101" i="15" s="1"/>
  <c r="H102" i="15"/>
  <c r="J102" i="15" s="1"/>
  <c r="M1777" i="3"/>
  <c r="M1787" i="3"/>
  <c r="M1791" i="3"/>
  <c r="M1227" i="3"/>
  <c r="U24" i="5"/>
  <c r="H45" i="5"/>
  <c r="L456" i="3"/>
  <c r="L1718" i="3"/>
  <c r="U7" i="5"/>
  <c r="M1507" i="3"/>
  <c r="M707" i="3"/>
  <c r="M1843" i="3"/>
  <c r="M1847" i="3"/>
  <c r="M1841" i="3"/>
  <c r="L1931" i="3"/>
  <c r="M318" i="3"/>
  <c r="M596" i="3"/>
  <c r="M1058" i="3"/>
  <c r="M810" i="3"/>
  <c r="L1907" i="3"/>
  <c r="M913" i="3"/>
  <c r="M1754" i="3"/>
  <c r="M386" i="3"/>
  <c r="M491" i="3"/>
  <c r="M877" i="3"/>
  <c r="L982" i="3"/>
  <c r="M947" i="3" s="1"/>
  <c r="M1513" i="3"/>
  <c r="P1979" i="3"/>
  <c r="M1372" i="3"/>
  <c r="M1779" i="3"/>
  <c r="M701" i="3"/>
  <c r="M1839" i="3"/>
  <c r="M777" i="3"/>
  <c r="M1474" i="3"/>
  <c r="V1960" i="3"/>
  <c r="L1891" i="3"/>
  <c r="U1994" i="3"/>
  <c r="M323" i="3"/>
  <c r="M772" i="3"/>
  <c r="M848" i="3"/>
  <c r="M843" i="3"/>
  <c r="L987" i="3"/>
  <c r="M952" i="3" s="1"/>
  <c r="M1055" i="3"/>
  <c r="M1402" i="3"/>
  <c r="M1477" i="3"/>
  <c r="M1541" i="3"/>
  <c r="M1761" i="3"/>
  <c r="M497" i="3"/>
  <c r="M743" i="3"/>
  <c r="M774" i="3"/>
  <c r="M742" i="3"/>
  <c r="M1770" i="3"/>
  <c r="V1995" i="3"/>
  <c r="U1995" i="3"/>
  <c r="M670" i="3"/>
  <c r="M808" i="3"/>
  <c r="M1193" i="3"/>
  <c r="M1198" i="3"/>
  <c r="M1229" i="3"/>
  <c r="L1683" i="3"/>
  <c r="L1648" i="3" s="1"/>
  <c r="L1613" i="3" s="1"/>
  <c r="M1578" i="3" s="1"/>
  <c r="M1775" i="3"/>
  <c r="V1992" i="3"/>
  <c r="V2000" i="3"/>
  <c r="M421" i="3"/>
  <c r="M737" i="3"/>
  <c r="M1156" i="3"/>
  <c r="M1296" i="3"/>
  <c r="M1542" i="3"/>
  <c r="L1716" i="3"/>
  <c r="M1824" i="3"/>
  <c r="M1850" i="3"/>
  <c r="M1859" i="3"/>
  <c r="U1999" i="3"/>
  <c r="L460" i="3"/>
  <c r="M425" i="3" s="1"/>
  <c r="F877" i="3"/>
  <c r="M1017" i="3"/>
  <c r="M1124" i="3"/>
  <c r="M1267" i="3"/>
  <c r="M1401" i="3"/>
  <c r="M1768" i="3"/>
  <c r="M1771" i="3"/>
  <c r="M1785" i="3"/>
  <c r="L1815" i="3"/>
  <c r="L1807" i="3" s="1"/>
  <c r="M1799" i="3" s="1"/>
  <c r="M1864" i="3"/>
  <c r="L1889" i="3"/>
  <c r="L1881" i="3" s="1"/>
  <c r="F1913" i="3"/>
  <c r="M598" i="3"/>
  <c r="L984" i="3"/>
  <c r="M949" i="3" s="1"/>
  <c r="F1058" i="3"/>
  <c r="M1436" i="3"/>
  <c r="M1783" i="3"/>
  <c r="L1816" i="3"/>
  <c r="L1808" i="3" s="1"/>
  <c r="M1800" i="3" s="1"/>
  <c r="M1849" i="3"/>
  <c r="L1904" i="3"/>
  <c r="M1896" i="3" s="1"/>
  <c r="O1976" i="3"/>
  <c r="M526" i="3"/>
  <c r="M806" i="3"/>
  <c r="M1089" i="3"/>
  <c r="M1195" i="3"/>
  <c r="F1718" i="3"/>
  <c r="AO1771" i="3"/>
  <c r="L1819" i="3"/>
  <c r="L1811" i="3" s="1"/>
  <c r="M1803" i="3" s="1"/>
  <c r="M1856" i="3"/>
  <c r="L1890" i="3"/>
  <c r="L1882" i="3" s="1"/>
  <c r="M320" i="3"/>
  <c r="M495" i="3"/>
  <c r="M597" i="3"/>
  <c r="M1370" i="3"/>
  <c r="M351" i="3"/>
  <c r="L458" i="3"/>
  <c r="M423" i="3" s="1"/>
  <c r="M708" i="3"/>
  <c r="M1263" i="3"/>
  <c r="M1297" i="3"/>
  <c r="M1268" i="3"/>
  <c r="M1472" i="3"/>
  <c r="AK1913" i="3"/>
  <c r="M1911" i="3"/>
  <c r="AA1977" i="3"/>
  <c r="M354" i="3"/>
  <c r="M358" i="3"/>
  <c r="M532" i="3"/>
  <c r="M527" i="3"/>
  <c r="M666" i="3"/>
  <c r="M847" i="3"/>
  <c r="M880" i="3"/>
  <c r="M1191" i="3"/>
  <c r="M1197" i="3"/>
  <c r="M1264" i="3"/>
  <c r="M1437" i="3"/>
  <c r="M1478" i="3"/>
  <c r="M1544" i="3"/>
  <c r="L1719" i="3"/>
  <c r="L1684" i="3" s="1"/>
  <c r="L1649" i="3" s="1"/>
  <c r="L1614" i="3" s="1"/>
  <c r="M1579" i="3" s="1"/>
  <c r="AO1811" i="3"/>
  <c r="M1825" i="3"/>
  <c r="M565" i="3"/>
  <c r="M704" i="3"/>
  <c r="M845" i="3"/>
  <c r="M1125" i="3"/>
  <c r="F1401" i="3"/>
  <c r="M1403" i="3"/>
  <c r="M1512" i="3"/>
  <c r="M1842" i="3"/>
  <c r="M1865" i="3"/>
  <c r="F1915" i="3"/>
  <c r="M1937" i="3"/>
  <c r="V1991" i="3"/>
  <c r="M393" i="3"/>
  <c r="M1265" i="3"/>
  <c r="M1545" i="3"/>
  <c r="L1681" i="3"/>
  <c r="L1646" i="3" s="1"/>
  <c r="L1611" i="3" s="1"/>
  <c r="M1576" i="3" s="1"/>
  <c r="M1873" i="3"/>
  <c r="AO1943" i="3"/>
  <c r="M631" i="3"/>
  <c r="M1543" i="3"/>
  <c r="M1751" i="3"/>
  <c r="M1778" i="3"/>
  <c r="M1795" i="3"/>
  <c r="M1840" i="3"/>
  <c r="M1851" i="3"/>
  <c r="M1855" i="3"/>
  <c r="M392" i="3"/>
  <c r="M389" i="3"/>
  <c r="M357" i="3"/>
  <c r="M387" i="3"/>
  <c r="M494" i="3"/>
  <c r="M1122" i="3"/>
  <c r="M1438" i="3"/>
  <c r="L1717" i="3"/>
  <c r="L1682" i="3" s="1"/>
  <c r="L1647" i="3" s="1"/>
  <c r="L1612" i="3" s="1"/>
  <c r="M1577" i="3" s="1"/>
  <c r="M1752" i="3"/>
  <c r="M1763" i="3"/>
  <c r="M1759" i="3"/>
  <c r="F1771" i="3"/>
  <c r="AP1835" i="3"/>
  <c r="L1905" i="3"/>
  <c r="M1897" i="3" s="1"/>
  <c r="AR1913" i="3"/>
  <c r="M529" i="3"/>
  <c r="M1053" i="3"/>
  <c r="M1302" i="3"/>
  <c r="M1331" i="3"/>
  <c r="M1509" i="3"/>
  <c r="M1548" i="3"/>
  <c r="L1720" i="3"/>
  <c r="L1685" i="3" s="1"/>
  <c r="M1794" i="3"/>
  <c r="M1832" i="3"/>
  <c r="M1857" i="3"/>
  <c r="AK1915" i="3"/>
  <c r="M1935" i="3"/>
  <c r="AO1946" i="3"/>
  <c r="AA1968" i="3"/>
  <c r="U1983" i="3"/>
  <c r="M533" i="3"/>
  <c r="M561" i="3"/>
  <c r="M600" i="3"/>
  <c r="M638" i="3"/>
  <c r="M673" i="3"/>
  <c r="M841" i="3"/>
  <c r="M879" i="3"/>
  <c r="M1337" i="3"/>
  <c r="M1583" i="3"/>
  <c r="M1767" i="3"/>
  <c r="F1783" i="3"/>
  <c r="M1823" i="3"/>
  <c r="M1867" i="3"/>
  <c r="L1929" i="3"/>
  <c r="M1938" i="3"/>
  <c r="M352" i="3"/>
  <c r="L463" i="3"/>
  <c r="M428" i="3" s="1"/>
  <c r="AP950" i="3"/>
  <c r="AO950" i="3"/>
  <c r="F318" i="3"/>
  <c r="M316" i="3"/>
  <c r="M353" i="3"/>
  <c r="M319" i="3"/>
  <c r="M498" i="3"/>
  <c r="M564" i="3"/>
  <c r="M530" i="3"/>
  <c r="M634" i="3"/>
  <c r="AP1955" i="3"/>
  <c r="AO1955" i="3"/>
  <c r="M563" i="3"/>
  <c r="F668" i="3"/>
  <c r="M668" i="3"/>
  <c r="AO530" i="3"/>
  <c r="AP845" i="3"/>
  <c r="AO845" i="3"/>
  <c r="AP1859" i="3"/>
  <c r="AO1859" i="3"/>
  <c r="F456" i="3"/>
  <c r="AP1945" i="3"/>
  <c r="AO1945" i="3"/>
  <c r="V1987" i="3"/>
  <c r="U1987" i="3"/>
  <c r="M317" i="3"/>
  <c r="M322" i="3"/>
  <c r="F389" i="3"/>
  <c r="M390" i="3"/>
  <c r="U2002" i="3"/>
  <c r="V2002" i="3"/>
  <c r="AO1883" i="3"/>
  <c r="AP1883" i="3"/>
  <c r="AP1947" i="3"/>
  <c r="AO1947" i="3"/>
  <c r="M355" i="3"/>
  <c r="M388" i="3"/>
  <c r="M633" i="3"/>
  <c r="AO1685" i="3"/>
  <c r="AP1685" i="3"/>
  <c r="M492" i="3"/>
  <c r="M528" i="3"/>
  <c r="M635" i="3"/>
  <c r="M773" i="3"/>
  <c r="M882" i="3"/>
  <c r="F913" i="3"/>
  <c r="M915" i="3"/>
  <c r="M1018" i="3"/>
  <c r="AO1020" i="3"/>
  <c r="M1093" i="3"/>
  <c r="M1092" i="3"/>
  <c r="M1157" i="3"/>
  <c r="M1194" i="3"/>
  <c r="M1366" i="3"/>
  <c r="M1369" i="3"/>
  <c r="M1373" i="3"/>
  <c r="F1436" i="3"/>
  <c r="F1582" i="3"/>
  <c r="M1786" i="3"/>
  <c r="M1866" i="3"/>
  <c r="L1887" i="3"/>
  <c r="L1879" i="3" s="1"/>
  <c r="M1871" i="3" s="1"/>
  <c r="AO1915" i="3"/>
  <c r="AQ1921" i="3"/>
  <c r="AA1959" i="3"/>
  <c r="AA1971" i="3"/>
  <c r="V1975" i="3"/>
  <c r="V2001" i="3"/>
  <c r="M493" i="3"/>
  <c r="L459" i="3"/>
  <c r="M424" i="3" s="1"/>
  <c r="AO600" i="3"/>
  <c r="M740" i="3"/>
  <c r="F848" i="3"/>
  <c r="M911" i="3"/>
  <c r="M878" i="3"/>
  <c r="F1020" i="3"/>
  <c r="M1160" i="3"/>
  <c r="M1262" i="3"/>
  <c r="M1332" i="3"/>
  <c r="M1338" i="3"/>
  <c r="AO1405" i="3"/>
  <c r="M1408" i="3"/>
  <c r="M1506" i="3"/>
  <c r="F1542" i="3"/>
  <c r="AP1615" i="3"/>
  <c r="F1776" i="3"/>
  <c r="M1827" i="3"/>
  <c r="M1831" i="3"/>
  <c r="AR1921" i="3"/>
  <c r="M637" i="3"/>
  <c r="F704" i="3"/>
  <c r="F774" i="3"/>
  <c r="F845" i="3"/>
  <c r="M813" i="3"/>
  <c r="M844" i="3"/>
  <c r="M1016" i="3"/>
  <c r="M1057" i="3"/>
  <c r="M1052" i="3"/>
  <c r="M1123" i="3"/>
  <c r="M1127" i="3"/>
  <c r="M1299" i="3"/>
  <c r="M1303" i="3"/>
  <c r="M1510" i="3"/>
  <c r="F1720" i="3"/>
  <c r="M1755" i="3"/>
  <c r="M1769" i="3"/>
  <c r="L1888" i="3"/>
  <c r="L1880" i="3" s="1"/>
  <c r="M1872" i="3" s="1"/>
  <c r="M1939" i="3"/>
  <c r="M669" i="3"/>
  <c r="M1051" i="3"/>
  <c r="M1158" i="3"/>
  <c r="F1227" i="3"/>
  <c r="M1405" i="3"/>
  <c r="F1507" i="3"/>
  <c r="L1817" i="3"/>
  <c r="L1809" i="3" s="1"/>
  <c r="M1801" i="3" s="1"/>
  <c r="L1903" i="3"/>
  <c r="M1895" i="3" s="1"/>
  <c r="AQ1923" i="3"/>
  <c r="M739" i="3"/>
  <c r="M1753" i="3"/>
  <c r="M1913" i="3"/>
  <c r="M603" i="3"/>
  <c r="AP705" i="3"/>
  <c r="AO775" i="3"/>
  <c r="L983" i="3"/>
  <c r="M948" i="3" s="1"/>
  <c r="AO1055" i="3"/>
  <c r="M1087" i="3"/>
  <c r="AO1160" i="3"/>
  <c r="M1442" i="3"/>
  <c r="M1760" i="3"/>
  <c r="AP1803" i="3"/>
  <c r="M1833" i="3"/>
  <c r="M1826" i="3"/>
  <c r="AO1907" i="3"/>
  <c r="V1962" i="3"/>
  <c r="AB1967" i="3"/>
  <c r="M775" i="3"/>
  <c r="M842" i="3"/>
  <c r="M918" i="3"/>
  <c r="M1023" i="3"/>
  <c r="M1054" i="3"/>
  <c r="M1232" i="3"/>
  <c r="M1226" i="3"/>
  <c r="M1261" i="3"/>
  <c r="M1367" i="3"/>
  <c r="M1848" i="3"/>
  <c r="M1874" i="3"/>
  <c r="L1883" i="3"/>
  <c r="M1875" i="3" s="1"/>
  <c r="M1899" i="3"/>
  <c r="AO1944" i="3"/>
  <c r="AP1952" i="3"/>
  <c r="M1163" i="3"/>
  <c r="M1334" i="3"/>
  <c r="M1368" i="3"/>
  <c r="M1834" i="3"/>
  <c r="L1906" i="3"/>
  <c r="M1898" i="3" s="1"/>
  <c r="M1915" i="3"/>
  <c r="AP1931" i="3"/>
  <c r="M602" i="3"/>
  <c r="F602" i="3"/>
  <c r="AO1720" i="3"/>
  <c r="AP1720" i="3"/>
  <c r="AP740" i="3"/>
  <c r="AO740" i="3"/>
  <c r="M632" i="3"/>
  <c r="AP355" i="3"/>
  <c r="AO355" i="3"/>
  <c r="AP460" i="3"/>
  <c r="AO460" i="3"/>
  <c r="L457" i="3"/>
  <c r="M422" i="3" s="1"/>
  <c r="L462" i="3"/>
  <c r="M427" i="3" s="1"/>
  <c r="F703" i="3"/>
  <c r="M703" i="3"/>
  <c r="M807" i="3"/>
  <c r="F807" i="3"/>
  <c r="AP635" i="3"/>
  <c r="AO635" i="3"/>
  <c r="M568" i="3"/>
  <c r="F568" i="3"/>
  <c r="M567" i="3"/>
  <c r="F1298" i="3"/>
  <c r="M1298" i="3"/>
  <c r="AO565" i="3"/>
  <c r="AP495" i="3"/>
  <c r="AO495" i="3"/>
  <c r="AP670" i="3"/>
  <c r="AO670" i="3"/>
  <c r="M1121" i="3"/>
  <c r="F1121" i="3"/>
  <c r="M1230" i="3"/>
  <c r="F1230" i="3"/>
  <c r="AP320" i="3"/>
  <c r="AO320" i="3"/>
  <c r="AO390" i="3"/>
  <c r="M599" i="3"/>
  <c r="F599" i="3"/>
  <c r="AO425" i="3"/>
  <c r="M562" i="3"/>
  <c r="F562" i="3"/>
  <c r="M812" i="3"/>
  <c r="F812" i="3"/>
  <c r="AB1970" i="3"/>
  <c r="AA1970" i="3"/>
  <c r="M667" i="3"/>
  <c r="M672" i="3"/>
  <c r="M771" i="3"/>
  <c r="AP810" i="3"/>
  <c r="AP985" i="3"/>
  <c r="AO985" i="3"/>
  <c r="M1233" i="3"/>
  <c r="F1233" i="3"/>
  <c r="AO1265" i="3"/>
  <c r="AO1440" i="3"/>
  <c r="AP1440" i="3"/>
  <c r="F353" i="3"/>
  <c r="F355" i="3"/>
  <c r="F493" i="3"/>
  <c r="F495" i="3"/>
  <c r="F564" i="3"/>
  <c r="AP880" i="3"/>
  <c r="AO880" i="3"/>
  <c r="M912" i="3"/>
  <c r="F912" i="3"/>
  <c r="M1022" i="3"/>
  <c r="F1022" i="3"/>
  <c r="M1090" i="3"/>
  <c r="F1090" i="3"/>
  <c r="AP1125" i="3"/>
  <c r="AO1125" i="3"/>
  <c r="M1086" i="3"/>
  <c r="F1086" i="3"/>
  <c r="M1228" i="3"/>
  <c r="F1228" i="3"/>
  <c r="F393" i="3"/>
  <c r="F533" i="3"/>
  <c r="M809" i="3"/>
  <c r="F809" i="3"/>
  <c r="M917" i="3"/>
  <c r="F917" i="3"/>
  <c r="AP1090" i="3"/>
  <c r="AO1090" i="3"/>
  <c r="AO1920" i="3"/>
  <c r="AR1912" i="3"/>
  <c r="O1920" i="3"/>
  <c r="AK1912" i="3"/>
  <c r="M1912" i="3" s="1"/>
  <c r="AR1920" i="3"/>
  <c r="F1912" i="3"/>
  <c r="AQ1920" i="3"/>
  <c r="AK1920" i="3"/>
  <c r="M1920" i="3" s="1"/>
  <c r="M736" i="3"/>
  <c r="M738" i="3"/>
  <c r="F738" i="3"/>
  <c r="M778" i="3"/>
  <c r="F778" i="3"/>
  <c r="L988" i="3"/>
  <c r="M953" i="3" s="1"/>
  <c r="F988" i="3"/>
  <c r="M1088" i="3"/>
  <c r="F1088" i="3"/>
  <c r="M1162" i="3"/>
  <c r="F1162" i="3"/>
  <c r="M1192" i="3"/>
  <c r="AP1763" i="3"/>
  <c r="AO1763" i="3"/>
  <c r="M705" i="3"/>
  <c r="F705" i="3"/>
  <c r="M883" i="3"/>
  <c r="F883" i="3"/>
  <c r="M876" i="3"/>
  <c r="AP915" i="3"/>
  <c r="L981" i="3"/>
  <c r="M946" i="3" s="1"/>
  <c r="F981" i="3"/>
  <c r="M1019" i="3"/>
  <c r="F1019" i="3"/>
  <c r="L985" i="3"/>
  <c r="M950" i="3" s="1"/>
  <c r="M1128" i="3"/>
  <c r="F1128" i="3"/>
  <c r="M1407" i="3"/>
  <c r="M1475" i="3"/>
  <c r="F1475" i="3"/>
  <c r="AP1875" i="3"/>
  <c r="AO1875" i="3"/>
  <c r="M702" i="3"/>
  <c r="M914" i="3"/>
  <c r="F914" i="3"/>
  <c r="M1159" i="3"/>
  <c r="F1159" i="3"/>
  <c r="AP1230" i="3"/>
  <c r="AO1230" i="3"/>
  <c r="AP1650" i="3"/>
  <c r="AO1650" i="3"/>
  <c r="AP1939" i="3"/>
  <c r="AO1939" i="3"/>
  <c r="AA1976" i="3"/>
  <c r="V1976" i="3"/>
  <c r="F740" i="3"/>
  <c r="F1297" i="3"/>
  <c r="M1335" i="3"/>
  <c r="M1439" i="3"/>
  <c r="AP1475" i="3"/>
  <c r="AO1475" i="3"/>
  <c r="M1508" i="3"/>
  <c r="AP1899" i="3"/>
  <c r="AO1899" i="3"/>
  <c r="AB1969" i="3"/>
  <c r="AA1969" i="3"/>
  <c r="M1300" i="3"/>
  <c r="M1473" i="3"/>
  <c r="F1473" i="3"/>
  <c r="F1769" i="3"/>
  <c r="AO1787" i="3"/>
  <c r="AP1843" i="3"/>
  <c r="AP1867" i="3"/>
  <c r="AO1867" i="3"/>
  <c r="V1986" i="3"/>
  <c r="U1986" i="3"/>
  <c r="M1333" i="3"/>
  <c r="M1404" i="3"/>
  <c r="F1404" i="3"/>
  <c r="M1471" i="3"/>
  <c r="M1784" i="3"/>
  <c r="V1993" i="3"/>
  <c r="U1993" i="3"/>
  <c r="AP1755" i="3"/>
  <c r="AO1755" i="3"/>
  <c r="AP1819" i="3"/>
  <c r="AO1819" i="3"/>
  <c r="AP1827" i="3"/>
  <c r="AO1827" i="3"/>
  <c r="AP1954" i="3"/>
  <c r="AO1954" i="3"/>
  <c r="AA1961" i="3"/>
  <c r="V1961" i="3"/>
  <c r="AA1978" i="3"/>
  <c r="V1978" i="3"/>
  <c r="V1985" i="3"/>
  <c r="U1985" i="3"/>
  <c r="AO1195" i="3"/>
  <c r="AP1335" i="3"/>
  <c r="AO1335" i="3"/>
  <c r="M1443" i="3"/>
  <c r="F1443" i="3"/>
  <c r="L1650" i="3"/>
  <c r="L1615" i="3" s="1"/>
  <c r="M1580" i="3" s="1"/>
  <c r="M1762" i="3"/>
  <c r="AP1795" i="3"/>
  <c r="AO1795" i="3"/>
  <c r="AO1851" i="3"/>
  <c r="AP1891" i="3"/>
  <c r="AP1951" i="3"/>
  <c r="AO1951" i="3"/>
  <c r="AP1953" i="3"/>
  <c r="AO1953" i="3"/>
  <c r="AA1963" i="3"/>
  <c r="V1963" i="3"/>
  <c r="AP1300" i="3"/>
  <c r="AO1300" i="3"/>
  <c r="M1793" i="3"/>
  <c r="F1793" i="3"/>
  <c r="L1818" i="3"/>
  <c r="L1810" i="3" s="1"/>
  <c r="M1802" i="3" s="1"/>
  <c r="V2003" i="3"/>
  <c r="U2003" i="3"/>
  <c r="F1795" i="3"/>
  <c r="AK1921" i="3"/>
  <c r="AK1923" i="3"/>
  <c r="M1923" i="3" s="1"/>
  <c r="O1978" i="3"/>
  <c r="U1984" i="3"/>
  <c r="AO1370" i="3"/>
  <c r="AO1510" i="3"/>
  <c r="AO1545" i="3"/>
  <c r="AO1580" i="3"/>
  <c r="AO1779" i="3"/>
  <c r="AR1915" i="3"/>
  <c r="AO1921" i="3"/>
  <c r="V1979" i="3"/>
  <c r="AO1923" i="3"/>
  <c r="O1923" i="3"/>
  <c r="M1921" i="3" l="1"/>
  <c r="K194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Sebastian Ocampos</author>
    <author>Benedicto Bolados</author>
  </authors>
  <commentList>
    <comment ref="AL3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AJ4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Pendiente 4 por llegar despachados el 12/07/2024</t>
        </r>
      </text>
    </comment>
    <comment ref="AL37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AJ38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Pendiente 4 por llegar despachados el 12/07/2024</t>
        </r>
      </text>
    </comment>
    <comment ref="AL7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AJ72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Pendiente 4 por llegar despachados el 12/07/2024</t>
        </r>
      </text>
    </comment>
    <comment ref="AL106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AJ107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Pendiente 4 por llegar despachados el 12/07/2024</t>
        </r>
      </text>
    </comment>
    <comment ref="AL14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AJ142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Pendiente 4 por llegar despachados el 12/07/2024</t>
        </r>
      </text>
    </comment>
    <comment ref="AL176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AJ177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Pendiente 4 por llegar despachados el 12/07/2024</t>
        </r>
      </text>
    </comment>
    <comment ref="AL21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AJ212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Pendiente 4 por llegar despachados el 12/07/2024</t>
        </r>
      </text>
    </comment>
    <comment ref="AL246" authorId="0" shapeId="0" xr:uid="{00000000-0006-0000-0300-00000F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AJ247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Pendiente 4 por llegar despachados el 12/07/2024</t>
        </r>
      </text>
    </comment>
    <comment ref="AL281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AJ282" authorId="0" shapeId="0" xr:uid="{00000000-0006-0000-0300-000012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Pendiente 4 por llegar despachados el 12/07/2024</t>
        </r>
      </text>
    </comment>
    <comment ref="AL316" authorId="0" shapeId="0" xr:uid="{00000000-0006-0000-0300-000013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AJ317" authorId="0" shapeId="0" xr:uid="{00000000-0006-0000-0300-000014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Pendiente 4 por llegar despachados el 12/07/2024</t>
        </r>
      </text>
    </comment>
    <comment ref="AL351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AJ352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Pendiente 4 por llegar despachados el 12/07/2024</t>
        </r>
      </text>
    </comment>
    <comment ref="AL386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AJ387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Pendiente 4 por llegar despachados el 12/07/2024</t>
        </r>
      </text>
    </comment>
    <comment ref="AL421" authorId="0" shapeId="0" xr:uid="{00000000-0006-0000-0300-000019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AJ422" authorId="0" shapeId="0" xr:uid="{00000000-0006-0000-0300-00001A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Pendiente 4 por llegar despachados el 12/07/2024</t>
        </r>
      </text>
    </comment>
    <comment ref="AL456" authorId="0" shapeId="0" xr:uid="{00000000-0006-0000-0300-00001B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AJ457" authorId="0" shapeId="0" xr:uid="{00000000-0006-0000-0300-00001C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Pendiente 4 por llegar despachados el 12/07/2024</t>
        </r>
      </text>
    </comment>
    <comment ref="AL491" authorId="0" shapeId="0" xr:uid="{00000000-0006-0000-0300-00001D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AJ492" authorId="0" shapeId="0" xr:uid="{00000000-0006-0000-0300-00001E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Pendiente 4 por llegar despachados el 12/07/2024</t>
        </r>
      </text>
    </comment>
    <comment ref="AL526" authorId="0" shapeId="0" xr:uid="{00000000-0006-0000-0300-00001F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AJ527" authorId="0" shapeId="0" xr:uid="{00000000-0006-0000-0300-000020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Pendiente 4 por llegar despachados el 12/07/2024</t>
        </r>
      </text>
    </comment>
    <comment ref="AL561" authorId="0" shapeId="0" xr:uid="{00000000-0006-0000-0300-000021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AJ562" authorId="0" shapeId="0" xr:uid="{00000000-0006-0000-0300-000022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Pendiente 4 por llegar despachados el 12/07/2024</t>
        </r>
      </text>
    </comment>
    <comment ref="AL596" authorId="0" shapeId="0" xr:uid="{00000000-0006-0000-0300-000023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AJ597" authorId="0" shapeId="0" xr:uid="{00000000-0006-0000-0300-000024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Pendiente 4 por llegar despachados el 12/07/2024</t>
        </r>
      </text>
    </comment>
    <comment ref="AL631" authorId="0" shapeId="0" xr:uid="{00000000-0006-0000-0300-000025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AJ632" authorId="0" shapeId="0" xr:uid="{00000000-0006-0000-0300-000026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Pendiente 4 por llegar despachados el 12/07/2024</t>
        </r>
      </text>
    </comment>
    <comment ref="AL666" authorId="0" shapeId="0" xr:uid="{00000000-0006-0000-0300-000027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AJ667" authorId="0" shapeId="0" xr:uid="{00000000-0006-0000-0300-000028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Pendiente 4 por llegar despachados el 12/07/2024</t>
        </r>
      </text>
    </comment>
    <comment ref="AL701" authorId="0" shapeId="0" xr:uid="{00000000-0006-0000-0300-000029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AJ702" authorId="0" shapeId="0" xr:uid="{00000000-0006-0000-0300-00002A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Pendiente 4 por llegar despachados el 12/07/2024</t>
        </r>
      </text>
    </comment>
    <comment ref="AL736" authorId="0" shapeId="0" xr:uid="{00000000-0006-0000-0300-00002B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AJ737" authorId="0" shapeId="0" xr:uid="{00000000-0006-0000-0300-00002C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Pendiente 4 por llegar despachados el 12/07/2024</t>
        </r>
      </text>
    </comment>
    <comment ref="AL771" authorId="0" shapeId="0" xr:uid="{00000000-0006-0000-0300-00002D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AJ772" authorId="0" shapeId="0" xr:uid="{00000000-0006-0000-0300-00002E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Pendiente 4 por llegar despachados el 12/07/2024</t>
        </r>
      </text>
    </comment>
    <comment ref="AL806" authorId="0" shapeId="0" xr:uid="{00000000-0006-0000-0300-00002F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AJ807" authorId="0" shapeId="0" xr:uid="{00000000-0006-0000-0300-000030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Pendiente 4 por llegar despachados el 12/07/2024</t>
        </r>
      </text>
    </comment>
    <comment ref="AL841" authorId="0" shapeId="0" xr:uid="{00000000-0006-0000-0300-000031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AJ842" authorId="0" shapeId="0" xr:uid="{00000000-0006-0000-0300-000032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Pendiente 4 por llegar despachados el 12/07/2024</t>
        </r>
      </text>
    </comment>
    <comment ref="AL876" authorId="0" shapeId="0" xr:uid="{00000000-0006-0000-0300-000033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AJ877" authorId="0" shapeId="0" xr:uid="{00000000-0006-0000-0300-000034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Pendiente 4 por llegar despachados el 12/07/2024</t>
        </r>
      </text>
    </comment>
    <comment ref="AL911" authorId="0" shapeId="0" xr:uid="{00000000-0006-0000-0300-000035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AJ912" authorId="0" shapeId="0" xr:uid="{00000000-0006-0000-0300-000036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Pendiente 4 por llegar despachados el 12/07/2024</t>
        </r>
      </text>
    </comment>
    <comment ref="AL946" authorId="0" shapeId="0" xr:uid="{00000000-0006-0000-0300-000037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AJ947" authorId="0" shapeId="0" xr:uid="{00000000-0006-0000-0300-000038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Pendiente 4 por llegar despachados el 12/07/2024</t>
        </r>
      </text>
    </comment>
    <comment ref="AL981" authorId="0" shapeId="0" xr:uid="{00000000-0006-0000-0300-000039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AJ982" authorId="0" shapeId="0" xr:uid="{00000000-0006-0000-0300-00003A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Pendiente 4 por llegar despachados el 12/07/2024</t>
        </r>
      </text>
    </comment>
    <comment ref="AL1016" authorId="0" shapeId="0" xr:uid="{00000000-0006-0000-0300-00003B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AJ1017" authorId="0" shapeId="0" xr:uid="{00000000-0006-0000-0300-00003C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Pendiente 4 por llegar despachados el 12/07/2024</t>
        </r>
      </text>
    </comment>
    <comment ref="AL1051" authorId="0" shapeId="0" xr:uid="{00000000-0006-0000-0300-00003D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AJ1052" authorId="0" shapeId="0" xr:uid="{00000000-0006-0000-0300-00003E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Pendiente 4 por llegar despachados el 12/07/2024</t>
        </r>
      </text>
    </comment>
    <comment ref="AL1086" authorId="0" shapeId="0" xr:uid="{00000000-0006-0000-0300-00003F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AJ1087" authorId="0" shapeId="0" xr:uid="{00000000-0006-0000-0300-000040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Pendiente 4 por llegar despachados el 12/07/2024</t>
        </r>
      </text>
    </comment>
    <comment ref="AL1121" authorId="0" shapeId="0" xr:uid="{00000000-0006-0000-0300-000041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AJ1122" authorId="0" shapeId="0" xr:uid="{00000000-0006-0000-0300-000042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Pendiente 4 por llegar despachados el 12/07/2024</t>
        </r>
      </text>
    </comment>
    <comment ref="AL1156" authorId="0" shapeId="0" xr:uid="{00000000-0006-0000-0300-000043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AJ1157" authorId="0" shapeId="0" xr:uid="{00000000-0006-0000-0300-000044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Pendiente 4 por llegar despachados el 12/07/2024</t>
        </r>
      </text>
    </comment>
    <comment ref="AL1191" authorId="0" shapeId="0" xr:uid="{00000000-0006-0000-0300-000045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AJ1192" authorId="0" shapeId="0" xr:uid="{00000000-0006-0000-0300-000046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Pendiente 4 por llegar despachados el 12/07/2024</t>
        </r>
      </text>
    </comment>
    <comment ref="AL1226" authorId="0" shapeId="0" xr:uid="{00000000-0006-0000-0300-000047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AJ1227" authorId="0" shapeId="0" xr:uid="{00000000-0006-0000-0300-000048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Pendiente 4 por llegar despachados el 12/07/2024</t>
        </r>
      </text>
    </comment>
    <comment ref="AL1261" authorId="0" shapeId="0" xr:uid="{00000000-0006-0000-0300-000049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AJ1262" authorId="0" shapeId="0" xr:uid="{00000000-0006-0000-0300-00004A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Pendiente 4 por llegar despachados el 12/07/2024</t>
        </r>
      </text>
    </comment>
    <comment ref="AL1296" authorId="0" shapeId="0" xr:uid="{00000000-0006-0000-0300-00004B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AJ1297" authorId="0" shapeId="0" xr:uid="{00000000-0006-0000-0300-00004C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Pendiente 4 por llegar despachados el 12/07/2024</t>
        </r>
      </text>
    </comment>
    <comment ref="AL1331" authorId="0" shapeId="0" xr:uid="{00000000-0006-0000-0300-00004D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AJ1332" authorId="0" shapeId="0" xr:uid="{00000000-0006-0000-0300-00004E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Pendiente 4 por llegar despachados el 12/07/2024</t>
        </r>
      </text>
    </comment>
    <comment ref="AL1366" authorId="0" shapeId="0" xr:uid="{00000000-0006-0000-0300-00004F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AJ1367" authorId="0" shapeId="0" xr:uid="{00000000-0006-0000-0300-000050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Pendiente 4 por llegar despachados el 12/07/2024</t>
        </r>
      </text>
    </comment>
    <comment ref="AL1401" authorId="0" shapeId="0" xr:uid="{00000000-0006-0000-0300-000051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AJ1402" authorId="0" shapeId="0" xr:uid="{00000000-0006-0000-0300-000052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Pendiente 4 por llegar despachados el 12/07/2024</t>
        </r>
      </text>
    </comment>
    <comment ref="AL1436" authorId="0" shapeId="0" xr:uid="{00000000-0006-0000-0300-000053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AJ1437" authorId="0" shapeId="0" xr:uid="{00000000-0006-0000-0300-000054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Pendiente 4 por llegar despachados el 12/07/2024</t>
        </r>
      </text>
    </comment>
    <comment ref="AL1471" authorId="0" shapeId="0" xr:uid="{00000000-0006-0000-0300-000055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AJ1472" authorId="0" shapeId="0" xr:uid="{00000000-0006-0000-0300-000056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Pendiente 4 por llegar despachados el 12/07/2024</t>
        </r>
      </text>
    </comment>
    <comment ref="AL1506" authorId="0" shapeId="0" xr:uid="{00000000-0006-0000-0300-000057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AJ1507" authorId="0" shapeId="0" xr:uid="{00000000-0006-0000-0300-000058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Pendiente 4 por llegar despachados el 12/07/2024</t>
        </r>
      </text>
    </comment>
    <comment ref="AL1541" authorId="0" shapeId="0" xr:uid="{00000000-0006-0000-0300-000059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AJ1542" authorId="0" shapeId="0" xr:uid="{00000000-0006-0000-0300-00005A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Pendiente 4 por llegar despachados el 12/07/2024</t>
        </r>
      </text>
    </comment>
    <comment ref="AL1576" authorId="0" shapeId="0" xr:uid="{00000000-0006-0000-0300-00005B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AJ1577" authorId="0" shapeId="0" xr:uid="{00000000-0006-0000-0300-00005C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Pendiente 4 por llegar despachados el 12/07/2024</t>
        </r>
      </text>
    </comment>
    <comment ref="AL1611" authorId="0" shapeId="0" xr:uid="{00000000-0006-0000-0300-00005D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AJ1612" authorId="0" shapeId="0" xr:uid="{00000000-0006-0000-0300-00005E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Pendiente 4 por llegar despachados el 12/07/2024</t>
        </r>
      </text>
    </comment>
    <comment ref="AL1646" authorId="0" shapeId="0" xr:uid="{00000000-0006-0000-0300-00005F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AJ1647" authorId="0" shapeId="0" xr:uid="{00000000-0006-0000-0300-000060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Pendiente 4 por llegar despachados el 12/07/2024</t>
        </r>
      </text>
    </comment>
    <comment ref="AL1681" authorId="0" shapeId="0" xr:uid="{00000000-0006-0000-0300-000061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AJ1682" authorId="0" shapeId="0" xr:uid="{00000000-0006-0000-0300-000062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Pendiente 4 por llegar despachados el 12/07/2024</t>
        </r>
      </text>
    </comment>
    <comment ref="AL1716" authorId="0" shapeId="0" xr:uid="{00000000-0006-0000-0300-000063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AJ1717" authorId="0" shapeId="0" xr:uid="{00000000-0006-0000-0300-000064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Pendiente 4 por llegar despachados el 12/07/2024</t>
        </r>
      </text>
    </comment>
    <comment ref="AL1751" authorId="0" shapeId="0" xr:uid="{00000000-0006-0000-0300-000065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AJ1752" authorId="0" shapeId="0" xr:uid="{00000000-0006-0000-0300-000066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Pendiente 4 por llegar despachados el 12/07/2024</t>
        </r>
      </text>
    </comment>
    <comment ref="AL1759" authorId="0" shapeId="0" xr:uid="{00000000-0006-0000-0300-000067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AJ1760" authorId="0" shapeId="0" xr:uid="{00000000-0006-0000-0300-000068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Pendiente 4 por llegar despachados el 12/07/2024</t>
        </r>
      </text>
    </comment>
    <comment ref="AL1767" authorId="0" shapeId="0" xr:uid="{00000000-0006-0000-0300-000069000000}">
      <text>
        <r>
          <rPr>
            <b/>
            <sz val="9"/>
            <color indexed="81"/>
            <rFont val="Tahoma"/>
            <family val="2"/>
          </rPr>
          <t>Sebastian Ocampos:</t>
        </r>
        <r>
          <rPr>
            <sz val="9"/>
            <color indexed="81"/>
            <rFont val="Tahoma"/>
            <family val="2"/>
          </rPr>
          <t xml:space="preserve">
¿Confirmar que llegaron?</t>
        </r>
      </text>
    </comment>
    <comment ref="U2611" authorId="1" shapeId="0" xr:uid="{00000000-0006-0000-0300-00006A000000}">
      <text>
        <r>
          <rPr>
            <b/>
            <sz val="9"/>
            <color indexed="81"/>
            <rFont val="Tahoma"/>
            <family val="2"/>
          </rPr>
          <t>Benedicto Bolados:</t>
        </r>
        <r>
          <rPr>
            <sz val="9"/>
            <color indexed="81"/>
            <rFont val="Tahoma"/>
            <family val="2"/>
          </rPr>
          <t xml:space="preserve">
perdido en el pozo</t>
        </r>
      </text>
    </comment>
    <comment ref="U2622" authorId="1" shapeId="0" xr:uid="{00000000-0006-0000-0300-00006B000000}">
      <text>
        <r>
          <rPr>
            <b/>
            <sz val="9"/>
            <color indexed="81"/>
            <rFont val="Tahoma"/>
            <family val="2"/>
          </rPr>
          <t>Benedicto Bolados:</t>
        </r>
        <r>
          <rPr>
            <sz val="9"/>
            <color indexed="81"/>
            <rFont val="Tahoma"/>
            <family val="2"/>
          </rPr>
          <t xml:space="preserve">
perdido en el pozo</t>
        </r>
      </text>
    </comment>
    <comment ref="Q2627" authorId="1" shapeId="0" xr:uid="{00000000-0006-0000-0300-00006C000000}">
      <text>
        <r>
          <rPr>
            <b/>
            <sz val="9"/>
            <color indexed="81"/>
            <rFont val="Tahoma"/>
            <family val="2"/>
          </rPr>
          <t>Benedicto Bolados:</t>
        </r>
        <r>
          <rPr>
            <sz val="9"/>
            <color indexed="81"/>
            <rFont val="Tahoma"/>
            <family val="2"/>
          </rPr>
          <t xml:space="preserve">
perdido en el pozo el 24-12-21
</t>
        </r>
      </text>
    </comment>
    <comment ref="Q2638" authorId="1" shapeId="0" xr:uid="{00000000-0006-0000-0300-00006D000000}">
      <text>
        <r>
          <rPr>
            <b/>
            <sz val="9"/>
            <color indexed="81"/>
            <rFont val="Tahoma"/>
            <family val="2"/>
          </rPr>
          <t>Benedicto Bolados:</t>
        </r>
        <r>
          <rPr>
            <sz val="9"/>
            <color indexed="81"/>
            <rFont val="Tahoma"/>
            <family val="2"/>
          </rPr>
          <t xml:space="preserve">
perdido en el pozo el 24-12-21
</t>
        </r>
      </text>
    </comment>
    <comment ref="I2697" authorId="1" shapeId="0" xr:uid="{00000000-0006-0000-0300-00006E000000}">
      <text>
        <r>
          <rPr>
            <b/>
            <sz val="9"/>
            <color indexed="81"/>
            <rFont val="Tahoma"/>
            <family val="2"/>
          </rPr>
          <t>Benedicto Bolados:</t>
        </r>
        <r>
          <rPr>
            <sz val="9"/>
            <color indexed="81"/>
            <rFont val="Tahoma"/>
            <family val="2"/>
          </rPr>
          <t xml:space="preserve">
REVISAR</t>
        </r>
      </text>
    </comment>
    <comment ref="I2711" authorId="1" shapeId="0" xr:uid="{00000000-0006-0000-0300-00006F000000}">
      <text>
        <r>
          <rPr>
            <b/>
            <sz val="9"/>
            <color indexed="81"/>
            <rFont val="Tahoma"/>
            <family val="2"/>
          </rPr>
          <t>Benedicto Bolados:</t>
        </r>
        <r>
          <rPr>
            <sz val="9"/>
            <color indexed="81"/>
            <rFont val="Tahoma"/>
            <family val="2"/>
          </rPr>
          <t xml:space="preserve">
REVISAR</t>
        </r>
      </text>
    </comment>
    <comment ref="I2720" authorId="1" shapeId="0" xr:uid="{00000000-0006-0000-0300-000070000000}">
      <text>
        <r>
          <rPr>
            <b/>
            <sz val="9"/>
            <color indexed="81"/>
            <rFont val="Tahoma"/>
            <family val="2"/>
          </rPr>
          <t>Benedicto Bolados:</t>
        </r>
        <r>
          <rPr>
            <sz val="9"/>
            <color indexed="81"/>
            <rFont val="Tahoma"/>
            <family val="2"/>
          </rPr>
          <t xml:space="preserve">
REVISAR Y CONFIRMAR CONSUMO DE UNA UNIDAD
</t>
        </r>
      </text>
    </comment>
    <comment ref="I2722" authorId="1" shapeId="0" xr:uid="{00000000-0006-0000-0300-000071000000}">
      <text>
        <r>
          <rPr>
            <b/>
            <sz val="9"/>
            <color indexed="81"/>
            <rFont val="Tahoma"/>
            <family val="2"/>
          </rPr>
          <t>Benedicto Bolados:</t>
        </r>
        <r>
          <rPr>
            <sz val="9"/>
            <color indexed="81"/>
            <rFont val="Tahoma"/>
            <family val="2"/>
          </rPr>
          <t xml:space="preserve">
REVISAR</t>
        </r>
      </text>
    </comment>
    <comment ref="I2724" authorId="1" shapeId="0" xr:uid="{00000000-0006-0000-0300-000072000000}">
      <text>
        <r>
          <rPr>
            <b/>
            <sz val="9"/>
            <color indexed="81"/>
            <rFont val="Tahoma"/>
            <family val="2"/>
          </rPr>
          <t>Benedicto Bolados:</t>
        </r>
        <r>
          <rPr>
            <sz val="9"/>
            <color indexed="81"/>
            <rFont val="Tahoma"/>
            <family val="2"/>
          </rPr>
          <t xml:space="preserve">
REVISAR</t>
        </r>
      </text>
    </comment>
    <comment ref="I2733" authorId="1" shapeId="0" xr:uid="{00000000-0006-0000-0300-000073000000}">
      <text>
        <r>
          <rPr>
            <b/>
            <sz val="9"/>
            <color indexed="81"/>
            <rFont val="Tahoma"/>
            <family val="2"/>
          </rPr>
          <t>Benedicto Bolados:</t>
        </r>
        <r>
          <rPr>
            <sz val="9"/>
            <color indexed="81"/>
            <rFont val="Tahoma"/>
            <family val="2"/>
          </rPr>
          <t xml:space="preserve">
APARECEN LOS 2 AMORTIGUADORES, TOTAL: 400
</t>
        </r>
      </text>
    </comment>
    <comment ref="I2736" authorId="1" shapeId="0" xr:uid="{00000000-0006-0000-0300-000074000000}">
      <text>
        <r>
          <rPr>
            <b/>
            <sz val="9"/>
            <color indexed="81"/>
            <rFont val="Tahoma"/>
            <family val="2"/>
          </rPr>
          <t>Benedicto Bolados:</t>
        </r>
        <r>
          <rPr>
            <sz val="9"/>
            <color indexed="81"/>
            <rFont val="Tahoma"/>
            <family val="2"/>
          </rPr>
          <t xml:space="preserve">
DESPACHADAS A DRILLCO STGO.</t>
        </r>
      </text>
    </comment>
    <comment ref="I2745" authorId="1" shapeId="0" xr:uid="{00000000-0006-0000-0300-000075000000}">
      <text>
        <r>
          <rPr>
            <b/>
            <sz val="9"/>
            <color indexed="81"/>
            <rFont val="Tahoma"/>
            <family val="2"/>
          </rPr>
          <t>Benedicto Bolados:</t>
        </r>
        <r>
          <rPr>
            <sz val="9"/>
            <color indexed="81"/>
            <rFont val="Tahoma"/>
            <family val="2"/>
          </rPr>
          <t xml:space="preserve">
INGRESARON DIRECTOA A OPERACIÓN POR QUIEBRE DE STOCK.</t>
        </r>
      </text>
    </comment>
    <comment ref="I2747" authorId="1" shapeId="0" xr:uid="{00000000-0006-0000-0300-000076000000}">
      <text>
        <r>
          <rPr>
            <b/>
            <sz val="9"/>
            <color indexed="81"/>
            <rFont val="Tahoma"/>
            <family val="2"/>
          </rPr>
          <t>Benedicto Bolados:</t>
        </r>
        <r>
          <rPr>
            <sz val="9"/>
            <color indexed="81"/>
            <rFont val="Tahoma"/>
            <family val="2"/>
          </rPr>
          <t xml:space="preserve">
APARECEN LOS 2 AMORTIGUADORES, TOTAL: 400
</t>
        </r>
      </text>
    </comment>
    <comment ref="I2750" authorId="1" shapeId="0" xr:uid="{00000000-0006-0000-0300-000077000000}">
      <text>
        <r>
          <rPr>
            <b/>
            <sz val="9"/>
            <color indexed="81"/>
            <rFont val="Tahoma"/>
            <family val="2"/>
          </rPr>
          <t>Benedicto Bolados:</t>
        </r>
        <r>
          <rPr>
            <sz val="9"/>
            <color indexed="81"/>
            <rFont val="Tahoma"/>
            <family val="2"/>
          </rPr>
          <t xml:space="preserve">
DESPACHADAS A DRILLCO STGO.</t>
        </r>
      </text>
    </comment>
    <comment ref="I2760" authorId="1" shapeId="0" xr:uid="{00000000-0006-0000-0300-000078000000}">
      <text>
        <r>
          <rPr>
            <b/>
            <sz val="9"/>
            <color indexed="81"/>
            <rFont val="Tahoma"/>
            <family val="2"/>
          </rPr>
          <t>Benedicto Bolados:</t>
        </r>
        <r>
          <rPr>
            <sz val="9"/>
            <color indexed="81"/>
            <rFont val="Tahoma"/>
            <family val="2"/>
          </rPr>
          <t xml:space="preserve">
APARECEN LOS 2 AMORTIGUADORES, TOTAL: 400
</t>
        </r>
      </text>
    </comment>
    <comment ref="I2763" authorId="1" shapeId="0" xr:uid="{00000000-0006-0000-0300-000079000000}">
      <text>
        <r>
          <rPr>
            <b/>
            <sz val="9"/>
            <color indexed="81"/>
            <rFont val="Tahoma"/>
            <family val="2"/>
          </rPr>
          <t>Benedicto Bolados:</t>
        </r>
        <r>
          <rPr>
            <sz val="9"/>
            <color indexed="81"/>
            <rFont val="Tahoma"/>
            <family val="2"/>
          </rPr>
          <t xml:space="preserve">
DESPACHADAS A DRILLCO STGO.</t>
        </r>
      </text>
    </comment>
    <comment ref="I2773" authorId="1" shapeId="0" xr:uid="{00000000-0006-0000-0300-00007A000000}">
      <text>
        <r>
          <rPr>
            <b/>
            <sz val="9"/>
            <color indexed="81"/>
            <rFont val="Tahoma"/>
            <family val="2"/>
          </rPr>
          <t>Benedicto Bolados:</t>
        </r>
        <r>
          <rPr>
            <sz val="9"/>
            <color indexed="81"/>
            <rFont val="Tahoma"/>
            <family val="2"/>
          </rPr>
          <t xml:space="preserve">
APARECEN LOS 2 AMORTIGUADORES, TOTAL: 400
</t>
        </r>
      </text>
    </comment>
    <comment ref="I2776" authorId="1" shapeId="0" xr:uid="{00000000-0006-0000-0300-00007B000000}">
      <text>
        <r>
          <rPr>
            <b/>
            <sz val="9"/>
            <color indexed="81"/>
            <rFont val="Tahoma"/>
            <family val="2"/>
          </rPr>
          <t>Benedicto Bolados:</t>
        </r>
        <r>
          <rPr>
            <sz val="9"/>
            <color indexed="81"/>
            <rFont val="Tahoma"/>
            <family val="2"/>
          </rPr>
          <t xml:space="preserve">
DESPACHADAS A DRILLCO STGO.</t>
        </r>
      </text>
    </comment>
    <comment ref="I2786" authorId="1" shapeId="0" xr:uid="{00000000-0006-0000-0300-00007C000000}">
      <text>
        <r>
          <rPr>
            <b/>
            <sz val="9"/>
            <color indexed="81"/>
            <rFont val="Tahoma"/>
            <family val="2"/>
          </rPr>
          <t>Benedicto Bolados:</t>
        </r>
        <r>
          <rPr>
            <sz val="9"/>
            <color indexed="81"/>
            <rFont val="Tahoma"/>
            <family val="2"/>
          </rPr>
          <t xml:space="preserve">
APARECEN LOS 2 AMORTIGUADORES, TOTAL: 400
</t>
        </r>
      </text>
    </comment>
    <comment ref="I2789" authorId="1" shapeId="0" xr:uid="{00000000-0006-0000-0300-00007D000000}">
      <text>
        <r>
          <rPr>
            <b/>
            <sz val="9"/>
            <color indexed="81"/>
            <rFont val="Tahoma"/>
            <family val="2"/>
          </rPr>
          <t>Benedicto Bolados:</t>
        </r>
        <r>
          <rPr>
            <sz val="9"/>
            <color indexed="81"/>
            <rFont val="Tahoma"/>
            <family val="2"/>
          </rPr>
          <t xml:space="preserve">
DESPACHADAS A DRILLCO STGO.</t>
        </r>
      </text>
    </comment>
    <comment ref="I2799" authorId="1" shapeId="0" xr:uid="{00000000-0006-0000-0300-00007E000000}">
      <text>
        <r>
          <rPr>
            <b/>
            <sz val="9"/>
            <color indexed="81"/>
            <rFont val="Tahoma"/>
            <family val="2"/>
          </rPr>
          <t>Benedicto Bolados:</t>
        </r>
        <r>
          <rPr>
            <sz val="9"/>
            <color indexed="81"/>
            <rFont val="Tahoma"/>
            <family val="2"/>
          </rPr>
          <t xml:space="preserve">
APARECEN LOS 2 AMORTIGUADORES, TOTAL: 400
</t>
        </r>
      </text>
    </comment>
  </commentList>
</comments>
</file>

<file path=xl/sharedStrings.xml><?xml version="1.0" encoding="utf-8"?>
<sst xmlns="http://schemas.openxmlformats.org/spreadsheetml/2006/main" count="7796" uniqueCount="647">
  <si>
    <t>Codigo Ellipse</t>
  </si>
  <si>
    <t>Nro Material SAP</t>
  </si>
  <si>
    <t>Nombre Drillco</t>
  </si>
  <si>
    <t>Nro Parte</t>
  </si>
  <si>
    <t>Cantidad sistema</t>
  </si>
  <si>
    <t>Stock fisico</t>
  </si>
  <si>
    <t>Ubicación</t>
  </si>
  <si>
    <t>Mart PM6.2EX HDW Ret QL-6 3 1/2"Reg M 3E</t>
  </si>
  <si>
    <t>PATIO10B04</t>
  </si>
  <si>
    <t>Bit QL-6 Ø6 1/2" Cara Plana Welding</t>
  </si>
  <si>
    <t>P6-8 Amort. HD 3 1/2" ATSM x 3 1/2" RegH</t>
  </si>
  <si>
    <t>Ø114.3 3 beco M x 3 beco H L=305</t>
  </si>
  <si>
    <t>Barras 4 ½ x 6000mm x 6.35 3 beco</t>
  </si>
  <si>
    <t>R700011462010</t>
  </si>
  <si>
    <t>PATIO10D12</t>
  </si>
  <si>
    <t>2.04E+11</t>
  </si>
  <si>
    <t>3.01E+11</t>
  </si>
  <si>
    <t>7.01E+11</t>
  </si>
  <si>
    <t>FECHA REV.</t>
  </si>
  <si>
    <t>en transito</t>
  </si>
  <si>
    <t>Total</t>
  </si>
  <si>
    <t>Inventario Bodega 03</t>
  </si>
  <si>
    <t>consumo (EDP)</t>
  </si>
  <si>
    <t>descontando el consumo</t>
  </si>
  <si>
    <t>stock LB</t>
  </si>
  <si>
    <t>OBSERVACIÓN</t>
  </si>
  <si>
    <t>DESPACHOS</t>
  </si>
  <si>
    <t>TOTAL</t>
  </si>
  <si>
    <t>2, DESPACHADO 20/04</t>
  </si>
  <si>
    <t>7 REBAJADOS EPA MARZO</t>
  </si>
  <si>
    <t>8, DESPACHADOS 20/04</t>
  </si>
  <si>
    <r>
      <rPr>
        <b/>
        <sz val="10"/>
        <color rgb="FFFF0000"/>
        <rFont val="Noa LT Std Light"/>
        <family val="2"/>
      </rPr>
      <t>1 REBAJADO EPA MARZO</t>
    </r>
    <r>
      <rPr>
        <sz val="10"/>
        <color theme="1"/>
        <rFont val="Noa LT Std Light"/>
        <family val="2"/>
      </rPr>
      <t>, MÁS 0TRO RETIRADO MES DE ABRIL</t>
    </r>
  </si>
  <si>
    <t>1 RETIRADO MES DE ABRIL</t>
  </si>
  <si>
    <t>OK</t>
  </si>
  <si>
    <t>fecha retiro amortiguador</t>
  </si>
  <si>
    <t>Bit QL-6 Ø6 1/2" Domo Heavy</t>
  </si>
  <si>
    <t>Ø114.3 3 1/2" Reg M x 3 1/2" Reg H L=305</t>
  </si>
  <si>
    <t>30-01-2O22</t>
  </si>
  <si>
    <t>actualizar series</t>
  </si>
  <si>
    <t>ITEM</t>
  </si>
  <si>
    <t>MARTILLO</t>
  </si>
  <si>
    <t>BITS 058</t>
  </si>
  <si>
    <t>BITS 111</t>
  </si>
  <si>
    <t>BITS 133</t>
  </si>
  <si>
    <t>BARRAS BECO</t>
  </si>
  <si>
    <t>BARRAS API</t>
  </si>
  <si>
    <t>ADAP. API</t>
  </si>
  <si>
    <t>ADAP. BECO</t>
  </si>
  <si>
    <t>AMORTIGUADOR</t>
  </si>
  <si>
    <t>211759-14</t>
  </si>
  <si>
    <t>211770-10</t>
  </si>
  <si>
    <t>TOTAL 13</t>
  </si>
  <si>
    <t>07/128</t>
  </si>
  <si>
    <t>211759-06</t>
  </si>
  <si>
    <t>211770-03</t>
  </si>
  <si>
    <t>07/119</t>
  </si>
  <si>
    <t>211759-38</t>
  </si>
  <si>
    <t>211770-02</t>
  </si>
  <si>
    <t>07/123</t>
  </si>
  <si>
    <t>211759-27</t>
  </si>
  <si>
    <t>211770-12</t>
  </si>
  <si>
    <t>07/127</t>
  </si>
  <si>
    <t>211759-24</t>
  </si>
  <si>
    <t>211759-34</t>
  </si>
  <si>
    <t>211759-17</t>
  </si>
  <si>
    <t>211759-28</t>
  </si>
  <si>
    <t>Cantidad</t>
  </si>
  <si>
    <t>COTEJADO CON BODEGAS LOMAS BAYAS.</t>
  </si>
  <si>
    <t>Inventario por lomas bayas</t>
  </si>
  <si>
    <t>BITS 206</t>
  </si>
  <si>
    <t>211589-05</t>
  </si>
  <si>
    <t>210759-10</t>
  </si>
  <si>
    <t>TOTAL 16</t>
  </si>
  <si>
    <t>211589-10</t>
  </si>
  <si>
    <t>211589-02</t>
  </si>
  <si>
    <t>TOTAL 04</t>
  </si>
  <si>
    <t>07/212</t>
  </si>
  <si>
    <t>211329-06</t>
  </si>
  <si>
    <t>TOTAL 09</t>
  </si>
  <si>
    <t>210759-01</t>
  </si>
  <si>
    <t>210759-08</t>
  </si>
  <si>
    <t>201965-05</t>
  </si>
  <si>
    <t>201965-15</t>
  </si>
  <si>
    <t>S/N</t>
  </si>
  <si>
    <t>201965-04</t>
  </si>
  <si>
    <t>07/108</t>
  </si>
  <si>
    <t>210759-04</t>
  </si>
  <si>
    <t>211329-17</t>
  </si>
  <si>
    <t>Barras 4 ½ x 6000mm x 6.35 3 1/2REG</t>
  </si>
  <si>
    <t>R700011462020</t>
  </si>
  <si>
    <t>211329-20</t>
  </si>
  <si>
    <t>DRILLCO retira de bodegas de Lomas Bayas, amortiguador, guia Lomas 44199</t>
  </si>
  <si>
    <t>TOTAL 12</t>
  </si>
  <si>
    <t>2020-04-212</t>
  </si>
  <si>
    <t>210789-17</t>
  </si>
  <si>
    <t>TOTAL 15</t>
  </si>
  <si>
    <t>210789-14</t>
  </si>
  <si>
    <t>210452-06</t>
  </si>
  <si>
    <t>210452-02</t>
  </si>
  <si>
    <t>210452-05</t>
  </si>
  <si>
    <t>210452-11</t>
  </si>
  <si>
    <t>210452-14</t>
  </si>
  <si>
    <t>210452-12</t>
  </si>
  <si>
    <t>210452-15</t>
  </si>
  <si>
    <t>TOTAL 3</t>
  </si>
  <si>
    <t>210452-20</t>
  </si>
  <si>
    <r>
      <t>SE DESPACHAN 3 MARTILLOS EL 16-6-21</t>
    </r>
    <r>
      <rPr>
        <b/>
        <sz val="10"/>
        <color rgb="FFFF0000"/>
        <rFont val="Noa LT Std Light"/>
        <family val="2"/>
      </rPr>
      <t>, PENDIENTE ESPERANDO ARRIBO A BODEGAS.</t>
    </r>
  </si>
  <si>
    <t>SERIES:</t>
  </si>
  <si>
    <t>210452-17</t>
  </si>
  <si>
    <t>210452-13</t>
  </si>
  <si>
    <t>SE DESPACHAN 3 MARTILLOS EL 16-6-21</t>
  </si>
  <si>
    <t>200873-26</t>
  </si>
  <si>
    <t>TOTAL 18</t>
  </si>
  <si>
    <t>201705-25</t>
  </si>
  <si>
    <t>201612-07</t>
  </si>
  <si>
    <t>200873-20</t>
  </si>
  <si>
    <t>201612-04</t>
  </si>
  <si>
    <t>201705-15</t>
  </si>
  <si>
    <t>201612-01</t>
  </si>
  <si>
    <t>TOTAL 22</t>
  </si>
  <si>
    <t>200873-05</t>
  </si>
  <si>
    <t>201612-08</t>
  </si>
  <si>
    <t>200873-29</t>
  </si>
  <si>
    <t>201705-14</t>
  </si>
  <si>
    <t>201612-15</t>
  </si>
  <si>
    <t>200873-24</t>
  </si>
  <si>
    <t>Mart PM6.2EX HDWR QL-6 3" Beco M 3E</t>
  </si>
  <si>
    <t>P6-8 Amort HD 3 1/2" RegM x 3 1/2" RegH</t>
  </si>
  <si>
    <t>Barras 4 1/2 x 6000x e 6 HBeco 3</t>
  </si>
  <si>
    <t>TRICONOS</t>
  </si>
  <si>
    <t>DIFERENCIA</t>
  </si>
  <si>
    <t>CODIGO</t>
  </si>
  <si>
    <t>DESCRIPCION</t>
  </si>
  <si>
    <t>PRECIO 2020
USD</t>
  </si>
  <si>
    <t>PRECIO 2021
USD</t>
  </si>
  <si>
    <t>PRECIO 2022
USD</t>
  </si>
  <si>
    <t>DESCUENTO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</si>
  <si>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</si>
  <si>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</si>
  <si>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</si>
  <si>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</si>
  <si>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</si>
  <si>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</si>
  <si>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</si>
  <si>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</si>
  <si>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</si>
  <si>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</si>
  <si>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</si>
  <si>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0204060-000058</t>
  </si>
  <si>
    <t>Bit QL 6 diametro 6.1/2" Domo Welding</t>
  </si>
  <si>
    <t>R700011-431230</t>
  </si>
  <si>
    <t>Adaptador 3.1/2" Reg. MxH</t>
  </si>
  <si>
    <t>0006060-050026</t>
  </si>
  <si>
    <t>03010900-80012</t>
  </si>
  <si>
    <t>-</t>
  </si>
  <si>
    <t>(07-12-22)</t>
  </si>
  <si>
    <t>4 </t>
  </si>
  <si>
    <t> 36</t>
  </si>
  <si>
    <t> 1</t>
  </si>
  <si>
    <t> 2</t>
  </si>
  <si>
    <t>Diferencia</t>
  </si>
  <si>
    <t>real drillco 30 hoy</t>
  </si>
  <si>
    <t>observaciones</t>
  </si>
  <si>
    <t>Bodega LB, figuran con 3 unidadaes de mas</t>
  </si>
  <si>
    <t>Bodega LB, figuran con 1 unidad de mas</t>
  </si>
  <si>
    <t>Bodega LB, figuran con 7 unidadaes de mas</t>
  </si>
  <si>
    <t>EDP dic</t>
  </si>
  <si>
    <t>EDP enero</t>
  </si>
  <si>
    <t>Cantidad sistema LB</t>
  </si>
  <si>
    <t>Cantidad sistema Drillco</t>
  </si>
  <si>
    <t>Unidades actuales según Sist LB y drillco</t>
  </si>
  <si>
    <t>ENERO</t>
  </si>
  <si>
    <t>stock bodega mina</t>
  </si>
  <si>
    <t>MTS</t>
  </si>
  <si>
    <t>DESDE 01/01 AL 30/01</t>
  </si>
  <si>
    <t>DESDE 01/02 AL 28/02</t>
  </si>
  <si>
    <t>DESDE 01/03 AL 31/03</t>
  </si>
  <si>
    <t>TOTAL MTS</t>
  </si>
  <si>
    <t>TABLA RENDIMIENTOS ACUMULADOS</t>
  </si>
  <si>
    <t>CTDAD</t>
  </si>
  <si>
    <t>PERD. OP</t>
  </si>
  <si>
    <t>STOCK BOD MINA</t>
  </si>
  <si>
    <t>CTDAD TOTAL</t>
  </si>
  <si>
    <t>REND.</t>
  </si>
  <si>
    <t>GARANTIA</t>
  </si>
  <si>
    <t>%CUMPL.</t>
  </si>
  <si>
    <t>UN</t>
  </si>
  <si>
    <t>PERDIDAS OPERACIONALES</t>
  </si>
  <si>
    <t>NOTA:</t>
  </si>
  <si>
    <t>perdida de martillo mas bits perf 11</t>
  </si>
  <si>
    <t>SE CONSIDERA SARTA DE BARRA AL CONJUNTO DE 4 UNIDADES.</t>
  </si>
  <si>
    <t>DETALLE AMORTIGUADOR</t>
  </si>
  <si>
    <t>P11</t>
  </si>
  <si>
    <t>METROS MARZO</t>
  </si>
  <si>
    <t>METROS ABRIL</t>
  </si>
  <si>
    <t>METROS MAYO</t>
  </si>
  <si>
    <t>METROS JUNIO</t>
  </si>
  <si>
    <t>METROS JULIO</t>
  </si>
  <si>
    <t>METROS AGOSTO</t>
  </si>
  <si>
    <t>METROS SEPTIEMBRE</t>
  </si>
  <si>
    <t>METROS OCTUBRE</t>
  </si>
  <si>
    <t>METROS NOVIEMBRE</t>
  </si>
  <si>
    <t>METROS DICIEMBRE</t>
  </si>
  <si>
    <t>TOTAL 2022</t>
  </si>
  <si>
    <t>promedio consumo mensual</t>
  </si>
  <si>
    <t>c</t>
  </si>
  <si>
    <t>P-11</t>
  </si>
  <si>
    <t>P-08</t>
  </si>
  <si>
    <t>Rendimiento promedio</t>
  </si>
  <si>
    <t>codigo</t>
  </si>
  <si>
    <t>DESDE 01/04 AL 30/04</t>
  </si>
  <si>
    <t>DESDE 01/05 AL 31/05</t>
  </si>
  <si>
    <t>DESDE 01/06 AL 30/06</t>
  </si>
  <si>
    <t>DESDE 01/07 AL 31/07</t>
  </si>
  <si>
    <t>DESDE 01/08 AL 31/08</t>
  </si>
  <si>
    <t>DESDE 01/10 AL 31/10</t>
  </si>
  <si>
    <t>DESDE 01/12 AL 31/12</t>
  </si>
  <si>
    <t>DESDE 01/09 AL 30/09</t>
  </si>
  <si>
    <t>DESDE 01/11 AL 30/11</t>
  </si>
  <si>
    <t>martillo queda en el pozo</t>
  </si>
  <si>
    <t>P08</t>
  </si>
  <si>
    <t xml:space="preserve">METROS ENERO </t>
  </si>
  <si>
    <t>METROS FEBRERO</t>
  </si>
  <si>
    <t>DESDE 01/01 AL 31/01</t>
  </si>
  <si>
    <t>según consumo mina</t>
  </si>
  <si>
    <t>según aceros reportados</t>
  </si>
  <si>
    <t>Sin / Inf</t>
  </si>
  <si>
    <t>comentarios</t>
  </si>
  <si>
    <t>no hay informacion de metros por barras. Ni largos de los pozos</t>
  </si>
  <si>
    <t>Ultimos Amortiguadores cambiados</t>
  </si>
  <si>
    <t>% cumplimiento</t>
  </si>
  <si>
    <t>No considera bits fallas operacionales P08 desde 30 de octubre. En ambos equipos solo se considera informacion desde Julio 2022</t>
  </si>
  <si>
    <t>hoy</t>
  </si>
  <si>
    <t>EXTENSIÓN DE CTTO</t>
  </si>
  <si>
    <t>FECHA</t>
  </si>
  <si>
    <t>FECHA INICIO</t>
  </si>
  <si>
    <t>MES</t>
  </si>
  <si>
    <t>FECHA TERMINO</t>
  </si>
  <si>
    <t>AVANCE CTTO</t>
  </si>
  <si>
    <t>TPO RESTANTE CTTO</t>
  </si>
  <si>
    <t>TOTAL CTTO</t>
  </si>
  <si>
    <t>CTDAD MESES</t>
  </si>
  <si>
    <t>precios 2023. Falta actualizar</t>
  </si>
  <si>
    <t>datos calculados de los reportes manuales</t>
  </si>
  <si>
    <t>TOTAL 2023</t>
  </si>
  <si>
    <t>datos calculados hasta el 24 de Mayo</t>
  </si>
  <si>
    <t>perdida por cambio de martillo PF11</t>
  </si>
  <si>
    <t>Stock fisico mina</t>
  </si>
  <si>
    <t>P8: datos calculados desde el 04-06 al 05/07. P11 Datos calculados desde el 02-06 al 10-07</t>
  </si>
  <si>
    <t>58 - 224 / f6 - f10 ?????</t>
  </si>
  <si>
    <t>Consumo desde bodega Principal</t>
  </si>
  <si>
    <t>Consumo en equipos de perforacion</t>
  </si>
  <si>
    <t>P11: Datos calculados hasta el 17-07-2023</t>
  </si>
  <si>
    <t>1m 1b 1b</t>
  </si>
  <si>
    <t>1b 1b</t>
  </si>
  <si>
    <t>1b 1m 1b  1copl 1b</t>
  </si>
  <si>
    <t>1b 1m</t>
  </si>
  <si>
    <t>1B</t>
  </si>
  <si>
    <t>1B 1B 1M 1B</t>
  </si>
  <si>
    <t>1B 1B</t>
  </si>
  <si>
    <t xml:space="preserve">1B 1M </t>
  </si>
  <si>
    <t>perdida por cambio de martillo PF08</t>
  </si>
  <si>
    <t>Stock fisico Mina</t>
  </si>
  <si>
    <t>Fecha</t>
  </si>
  <si>
    <t>Etiquetas de fila</t>
  </si>
  <si>
    <t>Total general</t>
  </si>
  <si>
    <t>BODEGA 03</t>
  </si>
  <si>
    <t>BODEGA 03 (09/11/2023)</t>
  </si>
  <si>
    <t>Salida</t>
  </si>
  <si>
    <t>Ingreso</t>
  </si>
  <si>
    <t>SALIDA</t>
  </si>
  <si>
    <t>no aparecen ningun despacho de amortiguador en los movimientos de bodega 3</t>
  </si>
  <si>
    <t>BODEGA 03 (13/11/2023)</t>
  </si>
  <si>
    <t>Stock fisico Mina (08/11/2023)</t>
  </si>
  <si>
    <t>STOCK BODEGA LB VS SISTEMA</t>
  </si>
  <si>
    <t>ENTRADA</t>
  </si>
  <si>
    <t>STOCK</t>
  </si>
  <si>
    <t>Stock fisico (13/11/2023)</t>
  </si>
  <si>
    <t>Stock fisico Mina (12/12/2023)</t>
  </si>
  <si>
    <t>Stock fisico (12/12/2023)</t>
  </si>
  <si>
    <t>BODEGA 03 (13/12/2023)</t>
  </si>
  <si>
    <t>Mart PM6.2EX HDW Ret QL-6 3 1/2"Reg M 3E.</t>
  </si>
  <si>
    <t>Bit QL-6 Ø6 1/2" Cara Plana Welding.</t>
  </si>
  <si>
    <t>P6-8 Amort. HD 3 1/2" ATSM x 3 1/2" RegH.</t>
  </si>
  <si>
    <t>Ø114.3 3 beco M x 3 beco H L=305.</t>
  </si>
  <si>
    <t>Barras 4 ½ x 6000mm x 6.35 3 beco.</t>
  </si>
  <si>
    <t>Stock fisico Mina (26/12/2023)</t>
  </si>
  <si>
    <t>% Cumplimiento</t>
  </si>
  <si>
    <t>Consumo mensual</t>
  </si>
  <si>
    <t>comprometido en contrato</t>
  </si>
  <si>
    <t>Consumo anual</t>
  </si>
  <si>
    <t>2024</t>
  </si>
  <si>
    <t>BODEGA 03 (18/01/2024)</t>
  </si>
  <si>
    <t>EDP Diciembre</t>
  </si>
  <si>
    <t>Stock Bodega 03 real</t>
  </si>
  <si>
    <t>BODEGA 03 (24/01/2024)</t>
  </si>
  <si>
    <t>EDP faltante abril</t>
  </si>
  <si>
    <t>BODEGA 03 (29/01/2024)</t>
  </si>
  <si>
    <t>BODEGA 03 (05/02/2024)</t>
  </si>
  <si>
    <t>Stock fisico Mina (08/02/2024)</t>
  </si>
  <si>
    <t>BODEGA 3 (Esperado Febrero)</t>
  </si>
  <si>
    <t>BODEGA 03 (12/02/2024)</t>
  </si>
  <si>
    <t xml:space="preserve">EDP Enero </t>
  </si>
  <si>
    <t>EDP Enero (Esperado)</t>
  </si>
  <si>
    <t>EDP Febrero (Esperado)</t>
  </si>
  <si>
    <t>Stock fisico Mina (21/02/2024)</t>
  </si>
  <si>
    <t>STOCK TOTAL</t>
  </si>
  <si>
    <t>Cosumo</t>
  </si>
  <si>
    <t>BODEGA 03 (23/02/2024)</t>
  </si>
  <si>
    <t>BODEGA 3 (Esperado Marzo)</t>
  </si>
  <si>
    <t>Cosumo del (08-02 al 21-02)</t>
  </si>
  <si>
    <t>días</t>
  </si>
  <si>
    <t>BODEGA 03 (04/03/2024)</t>
  </si>
  <si>
    <t>Cantidad de sistema Estimado</t>
  </si>
  <si>
    <t>EDP Marzo (Esperado)</t>
  </si>
  <si>
    <t>Stock fisico Mina (11/03/2024)</t>
  </si>
  <si>
    <t>Stock fisico Mina (06/03/2024)</t>
  </si>
  <si>
    <t>BODEGA 03 (12/03/2024)</t>
  </si>
  <si>
    <t>Cantidad sistema Estimado</t>
  </si>
  <si>
    <t>mar</t>
  </si>
  <si>
    <t>04-mar</t>
  </si>
  <si>
    <t>11-mar</t>
  </si>
  <si>
    <t>08/02 AL 06/03</t>
  </si>
  <si>
    <t>BODEGA 03 (18/03/2024)</t>
  </si>
  <si>
    <t>BODEGA 03 (25/03/2024)</t>
  </si>
  <si>
    <t>Stock fisico (20/03/2024)</t>
  </si>
  <si>
    <t>Stock fisico Mina (26/03/2024)</t>
  </si>
  <si>
    <t>Consumo Real</t>
  </si>
  <si>
    <t>Stock Mina Estimado</t>
  </si>
  <si>
    <t>BODEGA 03 (01/04/2024)</t>
  </si>
  <si>
    <t>BODEGA 03 (08/04/2024)</t>
  </si>
  <si>
    <t>18-mar</t>
  </si>
  <si>
    <t>25-mar</t>
  </si>
  <si>
    <t>abr</t>
  </si>
  <si>
    <t>01-abr</t>
  </si>
  <si>
    <t>08-abr</t>
  </si>
  <si>
    <t>Stock fisico Mina (15/04/2024)</t>
  </si>
  <si>
    <t>BODEGA 03 (15/04/2024)</t>
  </si>
  <si>
    <t>EDP Abril (Esperado)</t>
  </si>
  <si>
    <t>Stock fisico Mina (23/04/2024)</t>
  </si>
  <si>
    <t>Stock fisico Mina (30/04/2024)</t>
  </si>
  <si>
    <t>Stock fisico Mina (07/05/2024)</t>
  </si>
  <si>
    <t>BODEGA 03 (08/05/2024)</t>
  </si>
  <si>
    <t>BODEGA 03 (29/04/2024)</t>
  </si>
  <si>
    <t>BODEGA 03 (22/04/2024)</t>
  </si>
  <si>
    <t>EDP Mayo (Esperado)</t>
  </si>
  <si>
    <t>15-abr</t>
  </si>
  <si>
    <t>22-abr</t>
  </si>
  <si>
    <t>29-abr</t>
  </si>
  <si>
    <t>may</t>
  </si>
  <si>
    <t>06-may</t>
  </si>
  <si>
    <t>Stock fisico (14/05/2024)</t>
  </si>
  <si>
    <t>Stock fisico Mina (14/05/2024)</t>
  </si>
  <si>
    <t>BODEGA 03 (16/05/2024)</t>
  </si>
  <si>
    <t>BODEGA 03 (21/05/2024)</t>
  </si>
  <si>
    <t>Stock fisico Mina (22/05/2024)</t>
  </si>
  <si>
    <t>Stock fisico (22/05/2024)</t>
  </si>
  <si>
    <t>Stock fisico (29/05/2024)</t>
  </si>
  <si>
    <t>Stock fisico Mina (29/05/2024)</t>
  </si>
  <si>
    <t>BODEGA 03 (29/05/2024)</t>
  </si>
  <si>
    <t>BODEGA 3 (Esperado)</t>
  </si>
  <si>
    <t>EDP Junio (Esperado)</t>
  </si>
  <si>
    <t>13-may</t>
  </si>
  <si>
    <t>20-may</t>
  </si>
  <si>
    <t>27-may</t>
  </si>
  <si>
    <t>jun</t>
  </si>
  <si>
    <t>03-jun</t>
  </si>
  <si>
    <t>BODEGA 03 (07/06/2024)</t>
  </si>
  <si>
    <t>BODEGA 03 (10/06/2024)</t>
  </si>
  <si>
    <t>10-jun</t>
  </si>
  <si>
    <t>Stock fisico (19/06/2024)</t>
  </si>
  <si>
    <t>Stock fisico Mina (19/06/2024)</t>
  </si>
  <si>
    <t>BODEGA 03 (19/06/2024)</t>
  </si>
  <si>
    <t>Stock fisico Mina (25/06/2024)</t>
  </si>
  <si>
    <t>BODEGA 03 (28/06/2024)</t>
  </si>
  <si>
    <t>Stock fisico (02/07/2024)</t>
  </si>
  <si>
    <t>Stock fisico Mina (02/07/2024)</t>
  </si>
  <si>
    <t>BODEGA 03 (04/07/2024)</t>
  </si>
  <si>
    <t>Stock fisico (08/07/2024)</t>
  </si>
  <si>
    <t>Stock fisico Mina (08/07/2024)</t>
  </si>
  <si>
    <t>BODEGA 03 (11/07/2024)</t>
  </si>
  <si>
    <t>17-jun</t>
  </si>
  <si>
    <t>24-jun</t>
  </si>
  <si>
    <t>jul</t>
  </si>
  <si>
    <t>01-jul</t>
  </si>
  <si>
    <t>08-jul</t>
  </si>
  <si>
    <t>BODEGA 03 (16/07/2024)</t>
  </si>
  <si>
    <t>EDP Julio (Esperado)</t>
  </si>
  <si>
    <t>Stock fisico Mina (18/07/2024)</t>
  </si>
  <si>
    <t>BODEGA 03 (22/07/2024)</t>
  </si>
  <si>
    <t>Stock fisico (17/07/2024)</t>
  </si>
  <si>
    <t>Stock fisico Mina (23/07/2024)</t>
  </si>
  <si>
    <t>Stock fisico (23/07/2024)</t>
  </si>
  <si>
    <t>Stock fisico Mina (29/07/2024)</t>
  </si>
  <si>
    <t>BIT,DRIL;TRICONE,DIA 10-5/8 IN</t>
  </si>
  <si>
    <t>BIT,DRIL;TRICONE,DIA 12-1/4 IN</t>
  </si>
  <si>
    <t>ABSORBER,SHCK;PIN,VIPER 275 PIT,API REG</t>
  </si>
  <si>
    <t>ADAPTER;8-5/8 X 19 IN,SUPERIOR,PIN 6-5/8</t>
  </si>
  <si>
    <t>ROD,DRIL;DIA 8-5/8 IN,LG 40 FT,1 IN</t>
  </si>
  <si>
    <t>ADAPTER;8-5/8 X 30-3/4 IN,PIN 6 BECO BOX</t>
  </si>
  <si>
    <t>RING;CENTERING,8-5/8 X 13 IN,DRIL,PIT</t>
  </si>
  <si>
    <t>ABSORBER,SHCK;PIN,DRIL SK-16,API BOX</t>
  </si>
  <si>
    <t>ADAPTER;8-5/8 X 30 IN,UPR,SK-16</t>
  </si>
  <si>
    <t>ADAPTER;8.6255 X 30 IN,BOX 6 BECO USE</t>
  </si>
  <si>
    <t>RING;CENTERING,8-5/8 X 13 IN,DRIL,SK-16</t>
  </si>
  <si>
    <t>AMORTIGUADOR IMPAC;PASADOR,CAJA API REG</t>
  </si>
  <si>
    <t>ADAPTER;10-3/4 X 40 IN,SUPERIOR PIN</t>
  </si>
  <si>
    <t>ROD,DRIL;DIA 10-3/4 IN,LG 30 FT,8 BOX</t>
  </si>
  <si>
    <t>ADAPTER;10-3/4 X 80 IN,PIN BECO 8 BOX</t>
  </si>
  <si>
    <t>RING;CENTERING,10-3/4 X 16 IN,DRIL</t>
  </si>
  <si>
    <t xml:space="preserve">PERFORACION - 02 PV 275D-XC </t>
  </si>
  <si>
    <t>ABSORBER,SHCK;SHOCK SUB 7,40/8-5/8 O/D</t>
  </si>
  <si>
    <t>ADAPTER,PIPE;THREAD SAVER 8 5/8 IN X 24</t>
  </si>
  <si>
    <t>BUSHING,PIPE;DRILL PIPE BAR X2 - BAR FOL</t>
  </si>
  <si>
    <t>ADAPTER,PIPE;TRICONE ADAPTER SUB BIT 8 5</t>
  </si>
  <si>
    <t>BUSHING,PIPE;DECK BUSHING (RING GUIDE),</t>
  </si>
  <si>
    <t>DTH</t>
  </si>
  <si>
    <t>ROTARY</t>
  </si>
  <si>
    <t>PERFORACION - 02 CAT 6540 PE-09 y 10</t>
  </si>
  <si>
    <t>PERFORACION - 02 TEREX SKS 16 PE-06 y 07</t>
  </si>
  <si>
    <t>PERFORACION - 01 PIT VIPER 275 PE05</t>
  </si>
  <si>
    <t>EDP Agosto (Esperado)</t>
  </si>
  <si>
    <t>Stock fisico Mina (04/09/2024)</t>
  </si>
  <si>
    <t>Texto breve de material</t>
  </si>
  <si>
    <t>MARTILLO;PM 6.2 HDW RET, MNFR: DRILLCOT,</t>
  </si>
  <si>
    <t>BROCA PERFORCN;DIA 6-1/2 IN,CARA PLANA</t>
  </si>
  <si>
    <t>AMORTIGUADOR IMPAC;TALADRO ROC L8,DRIL</t>
  </si>
  <si>
    <t>ADAPTADOR;DIA 3-1/2 X LG 2 IN</t>
  </si>
  <si>
    <t>BARRA PERFORCN;DIA 4-1/2 IN,E 6 HBECO 3</t>
  </si>
  <si>
    <t>BROCA PERFORCN;TRICONICO,DIA 10-5/8 IN</t>
  </si>
  <si>
    <t>BROCA PERFORCN;DIA 8-5/8 IN,LG 40 FT,1</t>
  </si>
  <si>
    <t>ADAPTADOR;8-5/8 X 19 IN,SUPERIOR,CLAVIJA</t>
  </si>
  <si>
    <t>ADAPTADOR;8.6255 X 30 IN,CAJA 6 BECO</t>
  </si>
  <si>
    <t>ADAPTADOR;8-5/8 X 30-3/4 IN,PASADOR 6</t>
  </si>
  <si>
    <t>ANILLO;CENTRAJE,8-5/8 X 13 IN,TALADRO</t>
  </si>
  <si>
    <t>ANILLO;CENTRAJE,10-3/4 X 16 IN,TALADRO</t>
  </si>
  <si>
    <t>AMORTIGUADOR IMPAC;PASADOR,VIPER 275 PIT</t>
  </si>
  <si>
    <t>BROCA PERFORCN;TRICONICO,DIA 12-1/4 IN</t>
  </si>
  <si>
    <t>BROCA PERFORCN;DIA 10-3/4 IN,LG 30 FT,8</t>
  </si>
  <si>
    <t>ADAPTADOR;10-3/4 X 40 IN,CLAVIJA</t>
  </si>
  <si>
    <t>ADAPTADOR;10-3/4 X 80 IN,PASADOR CAJA</t>
  </si>
  <si>
    <t>AMORTIGUADOR IMPAC;AMORTIGUADOR 7,40/8-5</t>
  </si>
  <si>
    <t>ADAPTADOR TUBE;ADAP. SUPERIOR 8 5/8 PU X</t>
  </si>
  <si>
    <t>TUBO CASQ;DRILL PIPE BARRAS X2 - BARRA S</t>
  </si>
  <si>
    <t>ADAPTADOR TUBE;BIT SUB ADAPTADOR TRICONO</t>
  </si>
  <si>
    <t>TUBO CASQ;BUJE DE CUBIERTA (ANILLO GUIA)</t>
  </si>
  <si>
    <t>Stock fisico Mina (10/09/2024)</t>
  </si>
  <si>
    <t>Stock fisico (16/09/2024)</t>
  </si>
  <si>
    <t>Stock fisico Mina (16/09/2024)</t>
  </si>
  <si>
    <t>Stock fisico (23/09/2024)</t>
  </si>
  <si>
    <t>Stock fisico Mina (23/09/2024)</t>
  </si>
  <si>
    <t>EDP Septiembre</t>
  </si>
  <si>
    <t>EDP Septiembre (Esperado)</t>
  </si>
  <si>
    <t>Stock fisico Mina (30/09/2024)</t>
  </si>
  <si>
    <t>Stock fisico (30/09/2024)</t>
  </si>
  <si>
    <t>Stock fisico (07/10/2024)</t>
  </si>
  <si>
    <t>Stock fisico Mina (07/10/2024)</t>
  </si>
  <si>
    <t>¿4?</t>
  </si>
  <si>
    <t>¿6?</t>
  </si>
  <si>
    <t>¿2?</t>
  </si>
  <si>
    <t>Stock Minimo requerido</t>
  </si>
  <si>
    <t>Stock fisico (14/10/2024)</t>
  </si>
  <si>
    <t>Stock fisico Mina (14/10/2024)</t>
  </si>
  <si>
    <t>EDP Octubre (Esperado)</t>
  </si>
  <si>
    <t>Stock fisico Mina (21/10/2024)</t>
  </si>
  <si>
    <t>Stock fisico (21/10/2024)</t>
  </si>
  <si>
    <t>PERFORACION PRECORTE DTH</t>
  </si>
  <si>
    <t>PERFORACION ROTARY - 01 PIT VIPER 275 PE05</t>
  </si>
  <si>
    <t>PERFORACION ROTARY- 02 TEREX SKS 16 PE-06 y 07 - EQUIPOS DADOS DE BAJA</t>
  </si>
  <si>
    <t>PERFORACION ROTARY - 02 CAT 6540 PE-09 y 10</t>
  </si>
  <si>
    <t xml:space="preserve">PERFORACION ROTARY - 02 PV 275D-XC </t>
  </si>
  <si>
    <t>P-05</t>
  </si>
  <si>
    <t>P-09</t>
  </si>
  <si>
    <t>P-10</t>
  </si>
  <si>
    <t>P-12</t>
  </si>
  <si>
    <t>P-13</t>
  </si>
  <si>
    <t>Stock fisico Mina (04/11/2024)</t>
  </si>
  <si>
    <t>Cantidad sistema (04/11/2024</t>
  </si>
  <si>
    <t>Stock fisico (04/11/2024)</t>
  </si>
  <si>
    <t>Cantidad sistema (21/10/2024)</t>
  </si>
  <si>
    <t>Stock fisico Mina (28/10/2024)</t>
  </si>
  <si>
    <t>EDP Noviembre (Esperado)</t>
  </si>
  <si>
    <t>Cantidad sistema (11/11/2024</t>
  </si>
  <si>
    <t>Stock fisico Mina (11/11/2024)</t>
  </si>
  <si>
    <t>Stock fisico (11/11/2024)</t>
  </si>
  <si>
    <t>Cantidad sistema (19/11/2024</t>
  </si>
  <si>
    <t>Stock fisico (19/11/2024)</t>
  </si>
  <si>
    <t>Stock fisico Mina (19/11/2024)</t>
  </si>
  <si>
    <t>Stock fisico (25/11/2024)</t>
  </si>
  <si>
    <t>Stock fisico Mina (25/11/2024)</t>
  </si>
  <si>
    <t>Cantidad sistema (25/11/2024</t>
  </si>
  <si>
    <t>Cantidad sistema (02/12/2024)</t>
  </si>
  <si>
    <t>Stock fisico (02/12/2024)</t>
  </si>
  <si>
    <t>?</t>
  </si>
  <si>
    <t>Stock fisico Mina (02/12/2024)</t>
  </si>
  <si>
    <t>Cantidad sistema (09/12/2024)</t>
  </si>
  <si>
    <t>Stock fisico (09/12/2024)</t>
  </si>
  <si>
    <t>Stock fisico Mina (09/12/2024)</t>
  </si>
  <si>
    <t>EDP Diciembre (Esperado)</t>
  </si>
  <si>
    <t>Stock fisico Mina (16/12/2024)</t>
  </si>
  <si>
    <t>Stock fisico (16/12/2024)</t>
  </si>
  <si>
    <t>Stock fisico Mina (23/12/2024)</t>
  </si>
  <si>
    <t>Cantidad sistema (16/12/2024)</t>
  </si>
  <si>
    <t>Cantidad sistema (23/12/2024)</t>
  </si>
  <si>
    <t>Stock fisico (06/01/2025)</t>
  </si>
  <si>
    <t>Cantidad sistema (30/12/2024)</t>
  </si>
  <si>
    <t>Stock fisico Mina (06/01/2025)</t>
  </si>
  <si>
    <t>Cantidad sistema (06/01/2025)</t>
  </si>
  <si>
    <t>Stock fisico (15/01/2025)</t>
  </si>
  <si>
    <t>Stock fisico Mina (15/01/2025)</t>
  </si>
  <si>
    <t>Stock fisico (20/01/2025)</t>
  </si>
  <si>
    <t>Stock fisico Mina (20/01/2025)</t>
  </si>
  <si>
    <t>Stock fisico (27/01/2025)</t>
  </si>
  <si>
    <t>Stock fisico Mina (27/01/2025)</t>
  </si>
  <si>
    <t>Stock fisico Mina (03/02/2025)</t>
  </si>
  <si>
    <t>Cantidad sistema (03/02/2025)</t>
  </si>
  <si>
    <t>Stock fisico (03/02/2025)</t>
  </si>
  <si>
    <t>Cantidad sistema (27/01/2025)</t>
  </si>
  <si>
    <t>Cantidad sistema (10/02/2025)</t>
  </si>
  <si>
    <t>Cantidad sistema (17/02/2025)</t>
  </si>
  <si>
    <t>Stock fisico (17/02/2025)</t>
  </si>
  <si>
    <t>Stock fisico Mina (10/02/2025)</t>
  </si>
  <si>
    <t>Stock fisico Mina (17/02/2025)</t>
  </si>
  <si>
    <t>|</t>
  </si>
  <si>
    <t>Stock fisico Mina (24/02/2025)</t>
  </si>
  <si>
    <t>Stock fisico (24/02/2025)</t>
  </si>
  <si>
    <t>Cantidad sistema (24/02/2025)</t>
  </si>
  <si>
    <t>Stock fisico (03/03/2025)</t>
  </si>
  <si>
    <t>Stock fisico Mina (03/03/2025)</t>
  </si>
  <si>
    <t>Stock fisico (10/03/2025)</t>
  </si>
  <si>
    <t>Stock fisico Mina (10/03/2025)</t>
  </si>
  <si>
    <t>Stock fisico Mina (17/03/2025)</t>
  </si>
  <si>
    <t>Stock fisico (17/03/2025)</t>
  </si>
  <si>
    <t>Stock fisico (07/04/2025)</t>
  </si>
  <si>
    <t>Stock fisico Mina (07/04/2025)</t>
  </si>
  <si>
    <t>Stock fisico (14/04/2025)</t>
  </si>
  <si>
    <t>Stock fisico Mina (14/04/2025)</t>
  </si>
  <si>
    <t>Stock fisico (21/04/2025)</t>
  </si>
  <si>
    <t>Stock fisico Mina (21/04/2025)</t>
  </si>
  <si>
    <t>Cantidad sistema (17/03/2025)</t>
  </si>
  <si>
    <t>Cantidad sistema (10/03/2025)</t>
  </si>
  <si>
    <t>Cantidad sistema (03/03/2025)</t>
  </si>
  <si>
    <t>Cantidad sistema (14/04/2025)</t>
  </si>
  <si>
    <t>Cantidad sistema (21/04/2025)</t>
  </si>
  <si>
    <t>Cantidad sistema (07/04/2025)</t>
  </si>
  <si>
    <t>Cantidad sistema (28/04/2025)</t>
  </si>
  <si>
    <t>Stock fisico (28/04/2025)</t>
  </si>
  <si>
    <t>Cantidad sistema (05/05/2025)</t>
  </si>
  <si>
    <t>Stock fisico Mina (05/05/2025)</t>
  </si>
  <si>
    <t>Cantidad sistema (12/05/2025)</t>
  </si>
  <si>
    <t>Cantidad sistema (19/05/2025)</t>
  </si>
  <si>
    <t>Stock fisico Mina (13/05/2025)</t>
  </si>
  <si>
    <t>Stock fisico Mina (19/05/2025)</t>
  </si>
  <si>
    <t>Stock fisico (27/04/2025)</t>
  </si>
  <si>
    <t>Cantidad sistema (27/05/2025)</t>
  </si>
  <si>
    <t>Stock fisico Mina (27/05/2025)</t>
  </si>
  <si>
    <t>Proveedor</t>
  </si>
  <si>
    <t>Cantidad sistema (02/06/2025)</t>
  </si>
  <si>
    <t>Stock fisico Mina (02/06/2025)</t>
  </si>
  <si>
    <t>Cantidad sistema (09/06/2025)</t>
  </si>
  <si>
    <t>Cantidad sistema (16/06/2025)</t>
  </si>
  <si>
    <t>Stock fisico Mina (17/06/2025)</t>
  </si>
  <si>
    <t>Stock fisico Mina (23/06/2025)</t>
  </si>
  <si>
    <t>Cantidad sistema (24/06/2025)</t>
  </si>
  <si>
    <t>Stock fisico Mina (30/06/2025)</t>
  </si>
  <si>
    <t>Stock fisico (01/07/2025)</t>
  </si>
  <si>
    <t>Stock fisico (07/07/2025)</t>
  </si>
  <si>
    <t>Stock fisico Mina (07/07/2025)</t>
  </si>
  <si>
    <t>Stock fisico Mina (14/07/2025)</t>
  </si>
  <si>
    <t>TRiCONO</t>
  </si>
  <si>
    <t>PV 05</t>
  </si>
  <si>
    <t>PE 6 Y 7 DE BAJA</t>
  </si>
  <si>
    <t>PE 9 Y 10</t>
  </si>
  <si>
    <t>PE 12 Y 13</t>
  </si>
  <si>
    <t>x</t>
  </si>
  <si>
    <t>Material</t>
  </si>
  <si>
    <t>Nº antiguo material</t>
  </si>
  <si>
    <t>Stock total</t>
  </si>
  <si>
    <t>Unidad medida base</t>
  </si>
  <si>
    <t>Fisico</t>
  </si>
  <si>
    <t>Valor total</t>
  </si>
  <si>
    <t>Moneda</t>
  </si>
  <si>
    <t>1051717</t>
  </si>
  <si>
    <t>BROCA PERFORCN;DIA 5-1/2 IN,CUPULA</t>
  </si>
  <si>
    <t>PAT0203P01</t>
  </si>
  <si>
    <t>CH273656</t>
  </si>
  <si>
    <t/>
  </si>
  <si>
    <t>CLP</t>
  </si>
  <si>
    <t>BROCA PERFORCN;DIA 10 IN,9.1,DRIL</t>
  </si>
  <si>
    <t>PAT0206E01</t>
  </si>
  <si>
    <t>CH300012</t>
  </si>
  <si>
    <t>C/U</t>
  </si>
  <si>
    <t>PORTAHERRA MECANIZ;DRIL,0101090-160003</t>
  </si>
  <si>
    <t>CH300020</t>
  </si>
  <si>
    <t>BROCA PERFORCN;DIA 9-1/2 IN,DRIL</t>
  </si>
  <si>
    <t>CH300038</t>
  </si>
  <si>
    <t>PORTADOR;0106060-170019</t>
  </si>
  <si>
    <t>CH300046</t>
  </si>
  <si>
    <t>PATIO10B08</t>
  </si>
  <si>
    <t>CH273664</t>
  </si>
  <si>
    <t>USD</t>
  </si>
  <si>
    <t>CH273672</t>
  </si>
  <si>
    <t>CH273698</t>
  </si>
  <si>
    <t>CH273702</t>
  </si>
  <si>
    <t>CH425427</t>
  </si>
  <si>
    <t>CH606628</t>
  </si>
  <si>
    <t>CH606636</t>
  </si>
  <si>
    <t>CH606662</t>
  </si>
  <si>
    <t>CH606699</t>
  </si>
  <si>
    <t>CH606701</t>
  </si>
  <si>
    <t>CH606731</t>
  </si>
  <si>
    <t>CH671776</t>
  </si>
  <si>
    <t>CH676452</t>
  </si>
  <si>
    <t>CH676460</t>
  </si>
  <si>
    <t>CH676486</t>
  </si>
  <si>
    <t>LB-GGC-240508-001</t>
  </si>
  <si>
    <t>LB-GGC-240508-002</t>
  </si>
  <si>
    <t>LB-GGC-240508-004</t>
  </si>
  <si>
    <t>LB-GGC-240508-005</t>
  </si>
  <si>
    <t>PATIO10E12</t>
  </si>
  <si>
    <t>CH273680</t>
  </si>
  <si>
    <t>PATIO10I04</t>
  </si>
  <si>
    <t>CH606590</t>
  </si>
  <si>
    <t>LB-GGC-240508-003</t>
  </si>
  <si>
    <t>MARTILLO;DRILLCOT,5-1/4 IN,9.1 W HILO</t>
  </si>
  <si>
    <t>PATPLAST01</t>
  </si>
  <si>
    <t>CH300053</t>
  </si>
  <si>
    <t>PORTON3A01</t>
  </si>
  <si>
    <t>CH676445</t>
  </si>
  <si>
    <t>Cantidad sistema (16/07/2025)</t>
  </si>
  <si>
    <t>Stock fisico (16/07/2025)</t>
  </si>
  <si>
    <t>Stock fisico Mina (21/07/2025)</t>
  </si>
  <si>
    <t>Cantidad sistema (04/08/2025)</t>
  </si>
  <si>
    <t>Stock fisico (05/08/2025)</t>
  </si>
  <si>
    <t>Stock fisico Mina (05/08/2025)</t>
  </si>
  <si>
    <t>tricono</t>
  </si>
  <si>
    <t>pv 5</t>
  </si>
  <si>
    <t>6 y 7</t>
  </si>
  <si>
    <t>9 y 10</t>
  </si>
  <si>
    <t>12 y 13</t>
  </si>
  <si>
    <t>N° SAP</t>
  </si>
  <si>
    <t>Item</t>
  </si>
  <si>
    <t>Categoria</t>
  </si>
  <si>
    <t>ROC 8,11 y 14</t>
  </si>
  <si>
    <t>TRiCONOS</t>
  </si>
  <si>
    <t>Bodega Central</t>
  </si>
  <si>
    <t>Bodega 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</si>
</sst>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41" formatCode="_ * #,##0_ ;_ * \-#,##0_ ;_ * &quot;-&quot;_ ;_ @_ "/>
    <numFmt numFmtId="164" formatCode="0.000"/>
    <numFmt numFmtId="165" formatCode="0.0"/>
  </numFmts>
  <fonts count="49" x14ac:knownFonts="1">
    <font>
      <sz val="11"/>
      <color theme="1"/>
      <name val="Calibri"/>
      <family val="2"/>
      <scheme val="minor"/>
    </font>
    <font>
      <sz val="11"/>
      <color rgb="FF1F497D"/>
      <name val="Calibri"/>
      <family val="2"/>
    </font>
    <font>
      <b/>
      <sz val="10"/>
      <color rgb="FF000000"/>
      <name val="Noa LT Std Light"/>
    </font>
    <font>
      <sz val="10"/>
      <color rgb="FF000000"/>
      <name val="Noa LT Std Light"/>
    </font>
    <font>
      <sz val="11"/>
      <color theme="1"/>
      <name val="Arial Narrow"/>
      <family val="2"/>
    </font>
    <font>
      <b/>
      <sz val="10"/>
      <color rgb="FF000000"/>
      <name val="Calibri"/>
      <family val="2"/>
      <scheme val="minor"/>
    </font>
    <font>
      <b/>
      <sz val="10"/>
      <color rgb="FFFF0000"/>
      <name val="Noa LT Std Light"/>
      <family val="2"/>
    </font>
    <font>
      <sz val="10"/>
      <color theme="1"/>
      <name val="Noa LT Std Light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Noa LT Std Light"/>
      <family val="2"/>
    </font>
    <font>
      <sz val="10"/>
      <color rgb="FF000000"/>
      <name val="Noa LT Std Light"/>
      <family val="2"/>
    </font>
    <font>
      <b/>
      <sz val="10"/>
      <color theme="1"/>
      <name val="Noa LT Std Light"/>
      <family val="2"/>
    </font>
    <font>
      <b/>
      <sz val="10"/>
      <color theme="4"/>
      <name val="Noa LT Std Light"/>
      <family val="2"/>
    </font>
    <font>
      <b/>
      <sz val="10"/>
      <name val="Noa LT Std Light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0"/>
      <color rgb="FFFF0000"/>
      <name val="Noa LT Std Light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Noa LT Std Light"/>
      <family val="2"/>
    </font>
    <font>
      <sz val="11"/>
      <color theme="1"/>
      <name val="Noa LT Std Light"/>
      <family val="2"/>
    </font>
    <font>
      <b/>
      <sz val="11"/>
      <color rgb="FFFF0000"/>
      <name val="Noa LT Std Light"/>
      <family val="2"/>
    </font>
    <font>
      <sz val="11"/>
      <color rgb="FF000000"/>
      <name val="Noa LT Std Light"/>
      <family val="2"/>
    </font>
    <font>
      <b/>
      <sz val="11"/>
      <color rgb="FF000000"/>
      <name val="Noa LT Std Light"/>
      <family val="2"/>
    </font>
    <font>
      <b/>
      <sz val="11"/>
      <color theme="5" tint="-0.499984740745262"/>
      <name val="Noa LT Std Light"/>
      <family val="2"/>
    </font>
    <font>
      <b/>
      <sz val="11"/>
      <color theme="3"/>
      <name val="Noa LT Std Light"/>
      <family val="2"/>
    </font>
    <font>
      <sz val="12"/>
      <color rgb="FF000000"/>
      <name val="Times New Roman"/>
      <family val="1"/>
    </font>
    <font>
      <b/>
      <sz val="11"/>
      <color theme="0"/>
      <name val="Noa LT Std Light"/>
      <family val="2"/>
    </font>
    <font>
      <b/>
      <sz val="14"/>
      <color rgb="FF000000"/>
      <name val="Noa LT Std Light"/>
      <family val="2"/>
    </font>
    <font>
      <sz val="14"/>
      <color rgb="FF000000"/>
      <name val="Noa LT Std Light"/>
      <family val="2"/>
    </font>
    <font>
      <b/>
      <sz val="14"/>
      <color rgb="FF000000"/>
      <name val="Candara"/>
      <family val="2"/>
    </font>
    <font>
      <b/>
      <sz val="22"/>
      <color theme="1"/>
      <name val="Calibri"/>
      <family val="2"/>
      <scheme val="minor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b/>
      <sz val="10"/>
      <color theme="1"/>
      <name val="Noa LT Std Light"/>
    </font>
    <font>
      <b/>
      <sz val="11"/>
      <color theme="1"/>
      <name val="Noa LT Std Light"/>
    </font>
    <font>
      <sz val="11"/>
      <color rgb="FF000000"/>
      <name val="Calibri"/>
      <family val="2"/>
      <scheme val="minor"/>
    </font>
    <font>
      <b/>
      <sz val="11"/>
      <color rgb="FF000000"/>
      <name val="Noa LT Std Light"/>
    </font>
    <font>
      <b/>
      <sz val="10"/>
      <name val="Noa LT Std Light"/>
    </font>
    <font>
      <b/>
      <sz val="10"/>
      <color rgb="FF000000"/>
      <name val="Arial Narrow"/>
      <family val="2"/>
    </font>
    <font>
      <sz val="10"/>
      <color theme="1"/>
      <name val="Calibri"/>
      <family val="2"/>
      <scheme val="minor"/>
    </font>
    <font>
      <sz val="10"/>
      <color rgb="FF000000"/>
      <name val="Arial Narrow"/>
      <family val="2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CE6F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</borders>
  <cellStyleXfs count="4">
    <xf numFmtId="0" fontId="0" fillId="0" borderId="0"/>
    <xf numFmtId="42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41" fontId="22" fillId="0" borderId="0" applyFont="0" applyFill="0" applyBorder="0" applyAlignment="0" applyProtection="0"/>
  </cellStyleXfs>
  <cellXfs count="492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4" fontId="1" fillId="0" borderId="0" xfId="0" applyNumberFormat="1" applyFont="1" applyAlignment="1">
      <alignment vertical="center"/>
    </xf>
    <xf numFmtId="14" fontId="0" fillId="0" borderId="0" xfId="0" applyNumberFormat="1"/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/>
    </xf>
    <xf numFmtId="0" fontId="7" fillId="0" borderId="0" xfId="0" applyFont="1"/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1" fontId="10" fillId="3" borderId="19" xfId="0" applyNumberFormat="1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3" borderId="23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14" fontId="19" fillId="0" borderId="0" xfId="0" applyNumberFormat="1" applyFont="1" applyAlignment="1">
      <alignment horizontal="right" vertical="center"/>
    </xf>
    <xf numFmtId="0" fontId="0" fillId="0" borderId="26" xfId="0" applyBorder="1"/>
    <xf numFmtId="0" fontId="0" fillId="0" borderId="0" xfId="0" applyAlignment="1">
      <alignment horizontal="center"/>
    </xf>
    <xf numFmtId="0" fontId="21" fillId="0" borderId="0" xfId="0" applyFont="1"/>
    <xf numFmtId="9" fontId="24" fillId="0" borderId="0" xfId="2" applyFont="1"/>
    <xf numFmtId="0" fontId="2" fillId="2" borderId="2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3" xfId="0" applyBorder="1"/>
    <xf numFmtId="0" fontId="25" fillId="6" borderId="1" xfId="0" applyFont="1" applyFill="1" applyBorder="1" applyAlignment="1">
      <alignment horizontal="center" vertical="center" wrapText="1"/>
    </xf>
    <xf numFmtId="0" fontId="0" fillId="8" borderId="32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26" fillId="9" borderId="19" xfId="0" applyFont="1" applyFill="1" applyBorder="1" applyAlignment="1">
      <alignment horizontal="center" vertical="center" wrapText="1"/>
    </xf>
    <xf numFmtId="17" fontId="26" fillId="9" borderId="19" xfId="0" applyNumberFormat="1" applyFont="1" applyFill="1" applyBorder="1" applyAlignment="1">
      <alignment horizontal="center" vertical="center" wrapText="1"/>
    </xf>
    <xf numFmtId="0" fontId="26" fillId="2" borderId="19" xfId="0" applyFont="1" applyFill="1" applyBorder="1" applyAlignment="1">
      <alignment horizontal="center" vertical="center" wrapText="1"/>
    </xf>
    <xf numFmtId="0" fontId="27" fillId="0" borderId="0" xfId="0" applyFont="1"/>
    <xf numFmtId="0" fontId="28" fillId="0" borderId="19" xfId="0" applyFont="1" applyBorder="1" applyAlignment="1">
      <alignment horizontal="center"/>
    </xf>
    <xf numFmtId="14" fontId="27" fillId="0" borderId="0" xfId="0" applyNumberFormat="1" applyFont="1"/>
    <xf numFmtId="0" fontId="29" fillId="0" borderId="19" xfId="0" applyFont="1" applyBorder="1" applyAlignment="1">
      <alignment vertical="center"/>
    </xf>
    <xf numFmtId="1" fontId="27" fillId="0" borderId="19" xfId="0" applyNumberFormat="1" applyFont="1" applyBorder="1" applyAlignment="1">
      <alignment horizontal="center"/>
    </xf>
    <xf numFmtId="1" fontId="30" fillId="2" borderId="19" xfId="0" applyNumberFormat="1" applyFont="1" applyFill="1" applyBorder="1" applyAlignment="1">
      <alignment horizontal="center" vertical="center"/>
    </xf>
    <xf numFmtId="3" fontId="26" fillId="0" borderId="19" xfId="0" applyNumberFormat="1" applyFont="1" applyBorder="1" applyAlignment="1">
      <alignment horizontal="center"/>
    </xf>
    <xf numFmtId="0" fontId="28" fillId="0" borderId="0" xfId="0" applyFont="1"/>
    <xf numFmtId="3" fontId="28" fillId="0" borderId="19" xfId="0" applyNumberFormat="1" applyFont="1" applyBorder="1" applyAlignment="1">
      <alignment horizontal="center"/>
    </xf>
    <xf numFmtId="0" fontId="31" fillId="0" borderId="0" xfId="0" applyFont="1"/>
    <xf numFmtId="0" fontId="28" fillId="0" borderId="19" xfId="0" applyFont="1" applyBorder="1"/>
    <xf numFmtId="0" fontId="29" fillId="0" borderId="0" xfId="0" applyFont="1" applyAlignment="1">
      <alignment vertical="center"/>
    </xf>
    <xf numFmtId="1" fontId="30" fillId="0" borderId="0" xfId="0" applyNumberFormat="1" applyFont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3" fontId="32" fillId="0" borderId="0" xfId="0" applyNumberFormat="1" applyFont="1" applyAlignment="1">
      <alignment horizontal="center"/>
    </xf>
    <xf numFmtId="9" fontId="27" fillId="0" borderId="0" xfId="2" applyFont="1" applyAlignment="1">
      <alignment horizontal="center"/>
    </xf>
    <xf numFmtId="0" fontId="27" fillId="0" borderId="19" xfId="0" applyFont="1" applyBorder="1" applyAlignment="1">
      <alignment horizontal="center"/>
    </xf>
    <xf numFmtId="1" fontId="11" fillId="0" borderId="0" xfId="0" applyNumberFormat="1" applyFont="1" applyAlignment="1">
      <alignment horizontal="center"/>
    </xf>
    <xf numFmtId="0" fontId="29" fillId="0" borderId="13" xfId="0" applyFont="1" applyBorder="1" applyAlignment="1">
      <alignment vertical="center"/>
    </xf>
    <xf numFmtId="1" fontId="11" fillId="0" borderId="13" xfId="0" applyNumberFormat="1" applyFont="1" applyBorder="1" applyAlignment="1">
      <alignment horizontal="center"/>
    </xf>
    <xf numFmtId="0" fontId="30" fillId="0" borderId="13" xfId="0" applyFont="1" applyBorder="1" applyAlignment="1">
      <alignment horizontal="center" vertical="center"/>
    </xf>
    <xf numFmtId="1" fontId="28" fillId="0" borderId="13" xfId="0" applyNumberFormat="1" applyFont="1" applyBorder="1" applyAlignment="1">
      <alignment horizontal="center" vertical="center"/>
    </xf>
    <xf numFmtId="3" fontId="32" fillId="0" borderId="13" xfId="0" applyNumberFormat="1" applyFont="1" applyBorder="1" applyAlignment="1">
      <alignment horizontal="center"/>
    </xf>
    <xf numFmtId="9" fontId="27" fillId="0" borderId="13" xfId="2" applyFont="1" applyBorder="1" applyAlignment="1">
      <alignment horizontal="center"/>
    </xf>
    <xf numFmtId="14" fontId="28" fillId="0" borderId="0" xfId="0" applyNumberFormat="1" applyFont="1"/>
    <xf numFmtId="0" fontId="26" fillId="0" borderId="0" xfId="0" applyFont="1"/>
    <xf numFmtId="0" fontId="26" fillId="0" borderId="19" xfId="0" applyFont="1" applyBorder="1" applyAlignment="1">
      <alignment horizontal="center"/>
    </xf>
    <xf numFmtId="3" fontId="27" fillId="0" borderId="19" xfId="0" applyNumberFormat="1" applyFont="1" applyBorder="1" applyAlignment="1">
      <alignment horizontal="center"/>
    </xf>
    <xf numFmtId="3" fontId="27" fillId="0" borderId="0" xfId="0" applyNumberFormat="1" applyFont="1"/>
    <xf numFmtId="0" fontId="33" fillId="3" borderId="4" xfId="0" applyFont="1" applyFill="1" applyBorder="1" applyAlignment="1">
      <alignment horizontal="center" vertical="center"/>
    </xf>
    <xf numFmtId="165" fontId="0" fillId="8" borderId="32" xfId="0" applyNumberFormat="1" applyFill="1" applyBorder="1" applyAlignment="1">
      <alignment horizontal="center"/>
    </xf>
    <xf numFmtId="165" fontId="0" fillId="0" borderId="32" xfId="0" applyNumberFormat="1" applyBorder="1" applyAlignment="1">
      <alignment horizontal="center"/>
    </xf>
    <xf numFmtId="165" fontId="0" fillId="8" borderId="24" xfId="0" applyNumberFormat="1" applyFill="1" applyBorder="1" applyAlignment="1">
      <alignment horizontal="center"/>
    </xf>
    <xf numFmtId="165" fontId="0" fillId="8" borderId="3" xfId="0" applyNumberFormat="1" applyFill="1" applyBorder="1" applyAlignment="1">
      <alignment horizontal="center"/>
    </xf>
    <xf numFmtId="42" fontId="21" fillId="0" borderId="38" xfId="1" applyFont="1" applyBorder="1" applyAlignment="1">
      <alignment horizontal="center"/>
    </xf>
    <xf numFmtId="42" fontId="21" fillId="0" borderId="39" xfId="1" applyFont="1" applyBorder="1" applyAlignment="1">
      <alignment horizontal="center"/>
    </xf>
    <xf numFmtId="42" fontId="21" fillId="0" borderId="3" xfId="1" applyFont="1" applyBorder="1" applyAlignment="1">
      <alignment horizontal="center"/>
    </xf>
    <xf numFmtId="0" fontId="0" fillId="0" borderId="35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1" xfId="0" applyBorder="1"/>
    <xf numFmtId="9" fontId="23" fillId="0" borderId="0" xfId="2" applyFont="1" applyBorder="1"/>
    <xf numFmtId="0" fontId="0" fillId="0" borderId="36" xfId="0" applyBorder="1"/>
    <xf numFmtId="9" fontId="23" fillId="0" borderId="13" xfId="2" applyFont="1" applyBorder="1"/>
    <xf numFmtId="0" fontId="0" fillId="0" borderId="13" xfId="0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25" fillId="10" borderId="42" xfId="0" applyFont="1" applyFill="1" applyBorder="1" applyAlignment="1">
      <alignment horizontal="center" vertical="center" wrapText="1"/>
    </xf>
    <xf numFmtId="0" fontId="25" fillId="10" borderId="43" xfId="0" applyFont="1" applyFill="1" applyBorder="1" applyAlignment="1">
      <alignment horizontal="center" vertical="center" wrapText="1"/>
    </xf>
    <xf numFmtId="0" fontId="0" fillId="11" borderId="41" xfId="0" applyFill="1" applyBorder="1"/>
    <xf numFmtId="0" fontId="0" fillId="11" borderId="0" xfId="0" applyFill="1"/>
    <xf numFmtId="0" fontId="0" fillId="11" borderId="36" xfId="0" applyFill="1" applyBorder="1"/>
    <xf numFmtId="0" fontId="0" fillId="11" borderId="13" xfId="0" applyFill="1" applyBorder="1"/>
    <xf numFmtId="0" fontId="0" fillId="0" borderId="40" xfId="0" applyBorder="1"/>
    <xf numFmtId="0" fontId="25" fillId="10" borderId="44" xfId="0" applyFont="1" applyFill="1" applyBorder="1" applyAlignment="1">
      <alignment horizontal="center" vertical="center" wrapText="1"/>
    </xf>
    <xf numFmtId="3" fontId="0" fillId="11" borderId="45" xfId="0" applyNumberFormat="1" applyFill="1" applyBorder="1"/>
    <xf numFmtId="3" fontId="0" fillId="0" borderId="45" xfId="0" applyNumberFormat="1" applyBorder="1"/>
    <xf numFmtId="3" fontId="0" fillId="11" borderId="4" xfId="0" applyNumberFormat="1" applyFill="1" applyBorder="1"/>
    <xf numFmtId="0" fontId="30" fillId="2" borderId="0" xfId="0" applyFont="1" applyFill="1" applyAlignment="1">
      <alignment horizontal="center" vertical="center"/>
    </xf>
    <xf numFmtId="0" fontId="30" fillId="2" borderId="13" xfId="0" applyFont="1" applyFill="1" applyBorder="1" applyAlignment="1">
      <alignment horizontal="center" vertical="center"/>
    </xf>
    <xf numFmtId="1" fontId="27" fillId="0" borderId="0" xfId="0" applyNumberFormat="1" applyFont="1" applyAlignment="1">
      <alignment horizontal="center"/>
    </xf>
    <xf numFmtId="17" fontId="34" fillId="6" borderId="19" xfId="0" applyNumberFormat="1" applyFont="1" applyFill="1" applyBorder="1" applyAlignment="1">
      <alignment horizontal="center" vertical="center" wrapText="1"/>
    </xf>
    <xf numFmtId="0" fontId="25" fillId="10" borderId="35" xfId="0" applyFont="1" applyFill="1" applyBorder="1" applyAlignment="1">
      <alignment horizontal="center" vertical="center" wrapText="1"/>
    </xf>
    <xf numFmtId="17" fontId="34" fillId="6" borderId="33" xfId="0" applyNumberFormat="1" applyFont="1" applyFill="1" applyBorder="1" applyAlignment="1">
      <alignment horizontal="center" vertical="center" wrapText="1"/>
    </xf>
    <xf numFmtId="0" fontId="26" fillId="2" borderId="33" xfId="0" applyFont="1" applyFill="1" applyBorder="1" applyAlignment="1">
      <alignment horizontal="center" vertical="center" wrapText="1"/>
    </xf>
    <xf numFmtId="0" fontId="29" fillId="0" borderId="25" xfId="0" applyFont="1" applyBorder="1" applyAlignment="1">
      <alignment horizontal="center" vertical="center"/>
    </xf>
    <xf numFmtId="3" fontId="30" fillId="2" borderId="27" xfId="0" applyNumberFormat="1" applyFont="1" applyFill="1" applyBorder="1" applyAlignment="1">
      <alignment horizontal="center" vertical="center"/>
    </xf>
    <xf numFmtId="0" fontId="29" fillId="0" borderId="28" xfId="0" applyFont="1" applyBorder="1" applyAlignment="1">
      <alignment horizontal="center" vertical="center"/>
    </xf>
    <xf numFmtId="3" fontId="30" fillId="2" borderId="23" xfId="0" applyNumberFormat="1" applyFont="1" applyFill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3" fontId="27" fillId="0" borderId="31" xfId="0" applyNumberFormat="1" applyFont="1" applyBorder="1" applyAlignment="1">
      <alignment horizontal="center"/>
    </xf>
    <xf numFmtId="0" fontId="26" fillId="6" borderId="46" xfId="0" applyFont="1" applyFill="1" applyBorder="1" applyAlignment="1">
      <alignment horizontal="center" vertical="center" wrapText="1"/>
    </xf>
    <xf numFmtId="0" fontId="26" fillId="6" borderId="8" xfId="0" applyFont="1" applyFill="1" applyBorder="1" applyAlignment="1">
      <alignment horizontal="center" vertical="center" wrapText="1"/>
    </xf>
    <xf numFmtId="0" fontId="28" fillId="6" borderId="8" xfId="0" applyFont="1" applyFill="1" applyBorder="1" applyAlignment="1">
      <alignment horizontal="center" vertical="center" wrapText="1"/>
    </xf>
    <xf numFmtId="0" fontId="26" fillId="6" borderId="2" xfId="0" applyFont="1" applyFill="1" applyBorder="1" applyAlignment="1">
      <alignment horizontal="center" vertical="center" wrapText="1"/>
    </xf>
    <xf numFmtId="0" fontId="0" fillId="11" borderId="41" xfId="0" applyFill="1" applyBorder="1" applyAlignment="1">
      <alignment horizontal="left"/>
    </xf>
    <xf numFmtId="0" fontId="0" fillId="11" borderId="0" xfId="0" applyFill="1" applyAlignment="1">
      <alignment horizontal="left"/>
    </xf>
    <xf numFmtId="0" fontId="0" fillId="0" borderId="0" xfId="0" applyAlignment="1">
      <alignment horizontal="left"/>
    </xf>
    <xf numFmtId="3" fontId="0" fillId="11" borderId="0" xfId="0" applyNumberFormat="1" applyFill="1" applyAlignment="1">
      <alignment horizontal="left"/>
    </xf>
    <xf numFmtId="0" fontId="0" fillId="0" borderId="41" xfId="0" applyBorder="1" applyAlignment="1">
      <alignment horizontal="left"/>
    </xf>
    <xf numFmtId="3" fontId="0" fillId="0" borderId="0" xfId="0" applyNumberFormat="1" applyAlignment="1">
      <alignment horizontal="left"/>
    </xf>
    <xf numFmtId="0" fontId="0" fillId="11" borderId="36" xfId="0" applyFill="1" applyBorder="1" applyAlignment="1">
      <alignment horizontal="left"/>
    </xf>
    <xf numFmtId="0" fontId="0" fillId="11" borderId="13" xfId="0" applyFill="1" applyBorder="1" applyAlignment="1">
      <alignment horizontal="left"/>
    </xf>
    <xf numFmtId="0" fontId="0" fillId="0" borderId="13" xfId="0" applyBorder="1" applyAlignment="1">
      <alignment horizontal="left"/>
    </xf>
    <xf numFmtId="3" fontId="0" fillId="11" borderId="13" xfId="0" applyNumberFormat="1" applyFill="1" applyBorder="1" applyAlignment="1">
      <alignment horizontal="left"/>
    </xf>
    <xf numFmtId="9" fontId="0" fillId="11" borderId="0" xfId="2" applyFont="1" applyFill="1" applyBorder="1" applyAlignment="1">
      <alignment horizontal="left"/>
    </xf>
    <xf numFmtId="9" fontId="0" fillId="0" borderId="0" xfId="2" applyFont="1" applyBorder="1" applyAlignment="1">
      <alignment horizontal="left"/>
    </xf>
    <xf numFmtId="9" fontId="0" fillId="11" borderId="13" xfId="2" applyFont="1" applyFill="1" applyBorder="1" applyAlignment="1">
      <alignment horizontal="left"/>
    </xf>
    <xf numFmtId="0" fontId="25" fillId="10" borderId="46" xfId="0" applyFont="1" applyFill="1" applyBorder="1" applyAlignment="1">
      <alignment horizontal="left" vertical="center" wrapText="1"/>
    </xf>
    <xf numFmtId="0" fontId="25" fillId="10" borderId="8" xfId="0" applyFont="1" applyFill="1" applyBorder="1" applyAlignment="1">
      <alignment horizontal="left" vertical="center" wrapText="1"/>
    </xf>
    <xf numFmtId="0" fontId="0" fillId="0" borderId="8" xfId="0" applyBorder="1" applyAlignment="1">
      <alignment horizontal="left"/>
    </xf>
    <xf numFmtId="0" fontId="25" fillId="10" borderId="8" xfId="0" applyFont="1" applyFill="1" applyBorder="1" applyAlignment="1">
      <alignment horizontal="center" vertical="center" wrapText="1"/>
    </xf>
    <xf numFmtId="164" fontId="28" fillId="0" borderId="0" xfId="0" applyNumberFormat="1" applyFont="1"/>
    <xf numFmtId="1" fontId="27" fillId="0" borderId="0" xfId="0" applyNumberFormat="1" applyFont="1"/>
    <xf numFmtId="165" fontId="27" fillId="0" borderId="0" xfId="0" applyNumberFormat="1" applyFont="1"/>
    <xf numFmtId="0" fontId="27" fillId="0" borderId="0" xfId="0" applyFont="1" applyAlignment="1">
      <alignment horizontal="center"/>
    </xf>
    <xf numFmtId="14" fontId="27" fillId="0" borderId="0" xfId="0" applyNumberFormat="1" applyFont="1" applyAlignment="1">
      <alignment horizontal="center"/>
    </xf>
    <xf numFmtId="0" fontId="35" fillId="9" borderId="0" xfId="0" applyFont="1" applyFill="1" applyAlignment="1">
      <alignment horizontal="left" vertical="top" wrapText="1" readingOrder="1"/>
    </xf>
    <xf numFmtId="0" fontId="35" fillId="9" borderId="0" xfId="0" applyFont="1" applyFill="1" applyAlignment="1">
      <alignment horizontal="center" vertical="top" wrapText="1" readingOrder="1"/>
    </xf>
    <xf numFmtId="0" fontId="36" fillId="0" borderId="0" xfId="0" applyFont="1" applyAlignment="1">
      <alignment horizontal="left" wrapText="1" readingOrder="1"/>
    </xf>
    <xf numFmtId="14" fontId="36" fillId="0" borderId="0" xfId="0" applyNumberFormat="1" applyFont="1" applyAlignment="1">
      <alignment horizontal="center" wrapText="1" readingOrder="1"/>
    </xf>
    <xf numFmtId="0" fontId="36" fillId="0" borderId="0" xfId="0" applyFont="1" applyAlignment="1">
      <alignment horizontal="center" wrapText="1" readingOrder="1"/>
    </xf>
    <xf numFmtId="1" fontId="36" fillId="0" borderId="0" xfId="0" applyNumberFormat="1" applyFont="1" applyAlignment="1">
      <alignment horizontal="center" wrapText="1" readingOrder="1"/>
    </xf>
    <xf numFmtId="0" fontId="37" fillId="12" borderId="0" xfId="0" applyFont="1" applyFill="1" applyAlignment="1">
      <alignment horizontal="left" wrapText="1" readingOrder="1"/>
    </xf>
    <xf numFmtId="0" fontId="37" fillId="12" borderId="0" xfId="0" applyFont="1" applyFill="1" applyAlignment="1">
      <alignment horizontal="center" wrapText="1" readingOrder="1"/>
    </xf>
    <xf numFmtId="1" fontId="0" fillId="0" borderId="0" xfId="0" applyNumberFormat="1"/>
    <xf numFmtId="0" fontId="0" fillId="2" borderId="0" xfId="0" applyFill="1" applyAlignment="1">
      <alignment horizontal="center"/>
    </xf>
    <xf numFmtId="0" fontId="29" fillId="0" borderId="41" xfId="0" applyFont="1" applyBorder="1" applyAlignment="1">
      <alignment vertical="center"/>
    </xf>
    <xf numFmtId="0" fontId="30" fillId="0" borderId="0" xfId="0" applyFont="1" applyAlignment="1">
      <alignment horizontal="center" vertical="center"/>
    </xf>
    <xf numFmtId="9" fontId="27" fillId="0" borderId="45" xfId="2" applyFont="1" applyBorder="1" applyAlignment="1">
      <alignment horizontal="center"/>
    </xf>
    <xf numFmtId="9" fontId="27" fillId="0" borderId="45" xfId="2" applyFont="1" applyFill="1" applyBorder="1" applyAlignment="1">
      <alignment horizontal="center"/>
    </xf>
    <xf numFmtId="0" fontId="29" fillId="0" borderId="36" xfId="0" applyFont="1" applyBorder="1" applyAlignment="1">
      <alignment vertical="center"/>
    </xf>
    <xf numFmtId="9" fontId="27" fillId="0" borderId="4" xfId="2" applyFont="1" applyBorder="1" applyAlignment="1">
      <alignment horizontal="center"/>
    </xf>
    <xf numFmtId="41" fontId="27" fillId="0" borderId="0" xfId="3" applyFont="1" applyAlignment="1">
      <alignment horizontal="center"/>
    </xf>
    <xf numFmtId="0" fontId="0" fillId="0" borderId="40" xfId="0" applyBorder="1" applyAlignment="1">
      <alignment horizontal="center"/>
    </xf>
    <xf numFmtId="0" fontId="25" fillId="6" borderId="2" xfId="0" applyFont="1" applyFill="1" applyBorder="1" applyAlignment="1">
      <alignment horizontal="center" vertical="center" wrapText="1"/>
    </xf>
    <xf numFmtId="0" fontId="0" fillId="8" borderId="45" xfId="0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25" fillId="6" borderId="24" xfId="0" applyFont="1" applyFill="1" applyBorder="1" applyAlignment="1">
      <alignment horizontal="center" vertical="center" wrapText="1"/>
    </xf>
    <xf numFmtId="0" fontId="25" fillId="10" borderId="40" xfId="0" applyFont="1" applyFill="1" applyBorder="1" applyAlignment="1">
      <alignment horizontal="center" vertical="center" wrapText="1"/>
    </xf>
    <xf numFmtId="0" fontId="25" fillId="10" borderId="20" xfId="0" applyFont="1" applyFill="1" applyBorder="1" applyAlignment="1">
      <alignment horizontal="center" vertical="center" wrapText="1"/>
    </xf>
    <xf numFmtId="0" fontId="25" fillId="6" borderId="20" xfId="0" applyFont="1" applyFill="1" applyBorder="1" applyAlignment="1">
      <alignment horizontal="center" vertical="center" wrapText="1"/>
    </xf>
    <xf numFmtId="0" fontId="0" fillId="14" borderId="19" xfId="0" applyFill="1" applyBorder="1" applyAlignment="1">
      <alignment horizontal="center"/>
    </xf>
    <xf numFmtId="0" fontId="0" fillId="13" borderId="19" xfId="0" applyFill="1" applyBorder="1" applyAlignment="1">
      <alignment horizontal="center"/>
    </xf>
    <xf numFmtId="165" fontId="0" fillId="13" borderId="19" xfId="0" applyNumberFormat="1" applyFill="1" applyBorder="1" applyAlignment="1">
      <alignment horizontal="center"/>
    </xf>
    <xf numFmtId="0" fontId="0" fillId="0" borderId="0" xfId="0" pivotButton="1"/>
    <xf numFmtId="0" fontId="0" fillId="0" borderId="0" xfId="0" applyNumberFormat="1"/>
    <xf numFmtId="11" fontId="3" fillId="3" borderId="4" xfId="0" applyNumberFormat="1" applyFont="1" applyFill="1" applyBorder="1" applyAlignment="1">
      <alignment horizontal="center" vertical="center"/>
    </xf>
    <xf numFmtId="14" fontId="0" fillId="0" borderId="0" xfId="0" applyNumberFormat="1" applyBorder="1"/>
    <xf numFmtId="0" fontId="2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2"/>
    </xf>
    <xf numFmtId="0" fontId="2" fillId="5" borderId="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15" borderId="4" xfId="0" applyFont="1" applyFill="1" applyBorder="1" applyAlignment="1">
      <alignment horizontal="center" vertical="center"/>
    </xf>
    <xf numFmtId="0" fontId="7" fillId="16" borderId="0" xfId="0" applyFont="1" applyFill="1"/>
    <xf numFmtId="0" fontId="27" fillId="0" borderId="19" xfId="0" applyFont="1" applyBorder="1" applyAlignment="1">
      <alignment horizontal="center"/>
    </xf>
    <xf numFmtId="0" fontId="26" fillId="0" borderId="19" xfId="0" applyFont="1" applyBorder="1" applyAlignment="1">
      <alignment horizontal="center"/>
    </xf>
    <xf numFmtId="3" fontId="27" fillId="0" borderId="47" xfId="0" applyNumberFormat="1" applyFont="1" applyBorder="1" applyAlignment="1">
      <alignment horizontal="center"/>
    </xf>
    <xf numFmtId="3" fontId="27" fillId="0" borderId="48" xfId="0" applyNumberFormat="1" applyFont="1" applyBorder="1" applyAlignment="1">
      <alignment horizontal="center"/>
    </xf>
    <xf numFmtId="0" fontId="3" fillId="3" borderId="13" xfId="0" applyFont="1" applyFill="1" applyBorder="1" applyAlignment="1">
      <alignment horizontal="center" vertical="center"/>
    </xf>
    <xf numFmtId="11" fontId="3" fillId="3" borderId="13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horizontal="center" vertical="center"/>
    </xf>
    <xf numFmtId="0" fontId="2" fillId="3" borderId="50" xfId="0" applyFont="1" applyFill="1" applyBorder="1" applyAlignment="1">
      <alignment horizontal="center" vertical="center"/>
    </xf>
    <xf numFmtId="0" fontId="2" fillId="3" borderId="51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2" fillId="5" borderId="26" xfId="0" applyFont="1" applyFill="1" applyBorder="1" applyAlignment="1">
      <alignment horizontal="center" vertical="center"/>
    </xf>
    <xf numFmtId="0" fontId="2" fillId="5" borderId="49" xfId="0" applyFont="1" applyFill="1" applyBorder="1" applyAlignment="1">
      <alignment horizontal="center" vertical="center"/>
    </xf>
    <xf numFmtId="0" fontId="2" fillId="17" borderId="25" xfId="0" applyFont="1" applyFill="1" applyBorder="1" applyAlignment="1">
      <alignment horizontal="center" vertical="center"/>
    </xf>
    <xf numFmtId="0" fontId="2" fillId="17" borderId="27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1" fontId="3" fillId="3" borderId="0" xfId="0" applyNumberFormat="1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1" fontId="3" fillId="3" borderId="0" xfId="0" applyNumberFormat="1" applyFont="1" applyFill="1" applyBorder="1" applyAlignment="1">
      <alignment horizontal="center" vertical="center"/>
    </xf>
    <xf numFmtId="1" fontId="3" fillId="3" borderId="13" xfId="0" applyNumberFormat="1" applyFont="1" applyFill="1" applyBorder="1" applyAlignment="1">
      <alignment horizontal="center" vertical="center"/>
    </xf>
    <xf numFmtId="0" fontId="5" fillId="3" borderId="46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5" fillId="3" borderId="53" xfId="0" applyFont="1" applyFill="1" applyBorder="1" applyAlignment="1">
      <alignment horizontal="center" vertical="center"/>
    </xf>
    <xf numFmtId="0" fontId="2" fillId="18" borderId="26" xfId="0" applyFont="1" applyFill="1" applyBorder="1" applyAlignment="1">
      <alignment horizontal="center" vertical="center"/>
    </xf>
    <xf numFmtId="0" fontId="2" fillId="19" borderId="19" xfId="0" applyFont="1" applyFill="1" applyBorder="1" applyAlignment="1">
      <alignment horizontal="center" vertical="center"/>
    </xf>
    <xf numFmtId="0" fontId="2" fillId="19" borderId="50" xfId="0" applyFont="1" applyFill="1" applyBorder="1" applyAlignment="1">
      <alignment horizontal="center" vertical="center"/>
    </xf>
    <xf numFmtId="0" fontId="2" fillId="19" borderId="51" xfId="0" applyFont="1" applyFill="1" applyBorder="1" applyAlignment="1">
      <alignment horizontal="center" vertical="center"/>
    </xf>
    <xf numFmtId="0" fontId="2" fillId="19" borderId="22" xfId="0" applyFont="1" applyFill="1" applyBorder="1" applyAlignment="1">
      <alignment horizontal="center" vertical="center"/>
    </xf>
    <xf numFmtId="0" fontId="2" fillId="5" borderId="50" xfId="0" applyFont="1" applyFill="1" applyBorder="1" applyAlignment="1">
      <alignment horizontal="center" vertical="center"/>
    </xf>
    <xf numFmtId="0" fontId="2" fillId="5" borderId="51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20" borderId="29" xfId="0" applyFont="1" applyFill="1" applyBorder="1" applyAlignment="1">
      <alignment horizontal="center" vertical="center"/>
    </xf>
    <xf numFmtId="0" fontId="2" fillId="20" borderId="19" xfId="0" applyFont="1" applyFill="1" applyBorder="1" applyAlignment="1">
      <alignment horizontal="center" vertical="center"/>
    </xf>
    <xf numFmtId="0" fontId="2" fillId="20" borderId="50" xfId="0" applyFont="1" applyFill="1" applyBorder="1" applyAlignment="1">
      <alignment horizontal="center" vertical="center"/>
    </xf>
    <xf numFmtId="0" fontId="2" fillId="20" borderId="28" xfId="0" applyFont="1" applyFill="1" applyBorder="1" applyAlignment="1">
      <alignment horizontal="center" vertical="center"/>
    </xf>
    <xf numFmtId="0" fontId="2" fillId="20" borderId="22" xfId="0" applyFont="1" applyFill="1" applyBorder="1" applyAlignment="1">
      <alignment horizontal="center" vertical="center"/>
    </xf>
    <xf numFmtId="0" fontId="2" fillId="20" borderId="51" xfId="0" applyFont="1" applyFill="1" applyBorder="1" applyAlignment="1">
      <alignment horizontal="center" vertical="center"/>
    </xf>
    <xf numFmtId="0" fontId="2" fillId="4" borderId="29" xfId="0" applyFont="1" applyFill="1" applyBorder="1" applyAlignment="1">
      <alignment horizontal="center" vertical="center"/>
    </xf>
    <xf numFmtId="0" fontId="2" fillId="4" borderId="28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9" borderId="29" xfId="0" applyFont="1" applyFill="1" applyBorder="1" applyAlignment="1">
      <alignment horizontal="center" vertical="center"/>
    </xf>
    <xf numFmtId="0" fontId="2" fillId="9" borderId="19" xfId="0" applyFont="1" applyFill="1" applyBorder="1" applyAlignment="1">
      <alignment horizontal="center" vertical="center"/>
    </xf>
    <xf numFmtId="0" fontId="2" fillId="9" borderId="50" xfId="0" applyFont="1" applyFill="1" applyBorder="1" applyAlignment="1">
      <alignment horizontal="center" vertical="center"/>
    </xf>
    <xf numFmtId="0" fontId="2" fillId="9" borderId="28" xfId="0" applyFont="1" applyFill="1" applyBorder="1" applyAlignment="1">
      <alignment horizontal="center" vertical="center"/>
    </xf>
    <xf numFmtId="0" fontId="2" fillId="9" borderId="22" xfId="0" applyFont="1" applyFill="1" applyBorder="1" applyAlignment="1">
      <alignment horizontal="center" vertical="center"/>
    </xf>
    <xf numFmtId="0" fontId="2" fillId="9" borderId="51" xfId="0" applyFont="1" applyFill="1" applyBorder="1" applyAlignment="1">
      <alignment horizontal="center" vertical="center"/>
    </xf>
    <xf numFmtId="0" fontId="39" fillId="2" borderId="1" xfId="0" applyFont="1" applyFill="1" applyBorder="1" applyAlignment="1">
      <alignment horizontal="center" vertical="center"/>
    </xf>
    <xf numFmtId="0" fontId="39" fillId="2" borderId="2" xfId="0" applyFont="1" applyFill="1" applyBorder="1" applyAlignment="1">
      <alignment horizontal="center" vertical="center"/>
    </xf>
    <xf numFmtId="0" fontId="40" fillId="3" borderId="3" xfId="0" applyFont="1" applyFill="1" applyBorder="1" applyAlignment="1">
      <alignment horizontal="center" vertical="center"/>
    </xf>
    <xf numFmtId="0" fontId="40" fillId="3" borderId="4" xfId="0" applyFont="1" applyFill="1" applyBorder="1" applyAlignment="1">
      <alignment horizontal="center" vertical="center"/>
    </xf>
    <xf numFmtId="11" fontId="40" fillId="3" borderId="4" xfId="0" applyNumberFormat="1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165" fontId="7" fillId="4" borderId="41" xfId="0" applyNumberFormat="1" applyFont="1" applyFill="1" applyBorder="1" applyAlignment="1">
      <alignment horizontal="center" vertical="center"/>
    </xf>
    <xf numFmtId="165" fontId="7" fillId="4" borderId="0" xfId="0" applyNumberFormat="1" applyFont="1" applyFill="1" applyBorder="1" applyAlignment="1">
      <alignment horizontal="center" vertical="center"/>
    </xf>
    <xf numFmtId="9" fontId="7" fillId="4" borderId="0" xfId="2" applyFont="1" applyFill="1" applyBorder="1" applyAlignment="1">
      <alignment horizontal="center" vertical="center"/>
    </xf>
    <xf numFmtId="0" fontId="7" fillId="4" borderId="45" xfId="0" applyFont="1" applyFill="1" applyBorder="1" applyAlignment="1">
      <alignment horizontal="center" vertical="center"/>
    </xf>
    <xf numFmtId="0" fontId="7" fillId="4" borderId="41" xfId="0" applyFont="1" applyFill="1" applyBorder="1" applyAlignment="1">
      <alignment horizontal="center" vertical="center"/>
    </xf>
    <xf numFmtId="0" fontId="7" fillId="4" borderId="36" xfId="0" applyFont="1" applyFill="1" applyBorder="1" applyAlignment="1">
      <alignment horizontal="center" vertical="center"/>
    </xf>
    <xf numFmtId="165" fontId="7" fillId="4" borderId="13" xfId="0" applyNumberFormat="1" applyFont="1" applyFill="1" applyBorder="1" applyAlignment="1">
      <alignment horizontal="center" vertical="center"/>
    </xf>
    <xf numFmtId="9" fontId="7" fillId="4" borderId="13" xfId="2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16" borderId="0" xfId="0" applyFont="1" applyFill="1" applyAlignment="1">
      <alignment horizontal="center" vertical="center"/>
    </xf>
    <xf numFmtId="9" fontId="7" fillId="0" borderId="0" xfId="2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1" fontId="7" fillId="4" borderId="19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" fontId="6" fillId="0" borderId="19" xfId="0" applyNumberFormat="1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7" fillId="4" borderId="0" xfId="0" applyNumberFormat="1" applyFont="1" applyFill="1" applyBorder="1" applyAlignment="1">
      <alignment horizontal="center" vertical="center"/>
    </xf>
    <xf numFmtId="1" fontId="6" fillId="4" borderId="19" xfId="0" applyNumberFormat="1" applyFont="1" applyFill="1" applyBorder="1" applyAlignment="1">
      <alignment horizontal="center" vertical="center"/>
    </xf>
    <xf numFmtId="1" fontId="6" fillId="4" borderId="0" xfId="0" applyNumberFormat="1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1" fontId="7" fillId="4" borderId="22" xfId="0" applyNumberFormat="1" applyFont="1" applyFill="1" applyBorder="1" applyAlignment="1">
      <alignment horizontal="center" vertical="center"/>
    </xf>
    <xf numFmtId="1" fontId="7" fillId="4" borderId="13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7" fillId="0" borderId="19" xfId="0" applyNumberFormat="1" applyFont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" fontId="12" fillId="4" borderId="19" xfId="0" applyNumberFormat="1" applyFont="1" applyFill="1" applyBorder="1" applyAlignment="1">
      <alignment horizontal="center" vertical="center"/>
    </xf>
    <xf numFmtId="1" fontId="12" fillId="0" borderId="19" xfId="0" applyNumberFormat="1" applyFont="1" applyBorder="1" applyAlignment="1">
      <alignment horizontal="center" vertical="center"/>
    </xf>
    <xf numFmtId="1" fontId="11" fillId="4" borderId="19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1" fontId="11" fillId="0" borderId="19" xfId="0" applyNumberFormat="1" applyFont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1" fontId="7" fillId="2" borderId="19" xfId="0" applyNumberFormat="1" applyFont="1" applyFill="1" applyBorder="1" applyAlignment="1">
      <alignment horizontal="center" vertical="center"/>
    </xf>
    <xf numFmtId="1" fontId="11" fillId="2" borderId="19" xfId="0" applyNumberFormat="1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41" fontId="11" fillId="0" borderId="19" xfId="0" applyNumberFormat="1" applyFont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  <xf numFmtId="16" fontId="7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" fontId="11" fillId="0" borderId="0" xfId="0" applyNumberFormat="1" applyFont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39" fillId="2" borderId="2" xfId="0" applyFont="1" applyFill="1" applyBorder="1" applyAlignment="1">
      <alignment horizontal="center" vertical="center" wrapText="1"/>
    </xf>
    <xf numFmtId="0" fontId="2" fillId="9" borderId="0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40" fillId="3" borderId="1" xfId="0" applyFont="1" applyFill="1" applyBorder="1" applyAlignment="1">
      <alignment horizontal="center" vertical="center"/>
    </xf>
    <xf numFmtId="0" fontId="39" fillId="2" borderId="35" xfId="0" applyFont="1" applyFill="1" applyBorder="1" applyAlignment="1">
      <alignment vertical="center"/>
    </xf>
    <xf numFmtId="0" fontId="39" fillId="2" borderId="8" xfId="0" applyFont="1" applyFill="1" applyBorder="1" applyAlignment="1">
      <alignment vertical="center"/>
    </xf>
    <xf numFmtId="0" fontId="39" fillId="2" borderId="2" xfId="0" applyFont="1" applyFill="1" applyBorder="1" applyAlignment="1">
      <alignment vertical="center"/>
    </xf>
    <xf numFmtId="0" fontId="40" fillId="3" borderId="13" xfId="0" applyFont="1" applyFill="1" applyBorder="1" applyAlignment="1">
      <alignment horizontal="center" vertical="center"/>
    </xf>
    <xf numFmtId="0" fontId="39" fillId="2" borderId="1" xfId="0" applyFont="1" applyFill="1" applyBorder="1" applyAlignment="1">
      <alignment vertical="center"/>
    </xf>
    <xf numFmtId="0" fontId="40" fillId="3" borderId="32" xfId="0" applyFont="1" applyFill="1" applyBorder="1" applyAlignment="1">
      <alignment horizontal="center" vertical="center"/>
    </xf>
    <xf numFmtId="1" fontId="3" fillId="3" borderId="32" xfId="0" applyNumberFormat="1" applyFont="1" applyFill="1" applyBorder="1" applyAlignment="1">
      <alignment horizontal="center" vertical="center"/>
    </xf>
    <xf numFmtId="1" fontId="3" fillId="3" borderId="3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2" fillId="21" borderId="0" xfId="0" applyFont="1" applyFill="1" applyBorder="1" applyAlignment="1">
      <alignment horizontal="center" vertical="center"/>
    </xf>
    <xf numFmtId="0" fontId="39" fillId="21" borderId="8" xfId="0" applyFont="1" applyFill="1" applyBorder="1" applyAlignment="1">
      <alignment vertical="center"/>
    </xf>
    <xf numFmtId="0" fontId="2" fillId="21" borderId="29" xfId="0" applyFont="1" applyFill="1" applyBorder="1" applyAlignment="1">
      <alignment horizontal="center" vertical="center"/>
    </xf>
    <xf numFmtId="0" fontId="39" fillId="2" borderId="40" xfId="0" applyFont="1" applyFill="1" applyBorder="1" applyAlignment="1">
      <alignment vertical="center"/>
    </xf>
    <xf numFmtId="0" fontId="39" fillId="2" borderId="13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50" xfId="0" applyFont="1" applyFill="1" applyBorder="1" applyAlignment="1">
      <alignment horizontal="center" vertical="center"/>
    </xf>
    <xf numFmtId="0" fontId="2" fillId="4" borderId="51" xfId="0" applyFont="1" applyFill="1" applyBorder="1" applyAlignment="1">
      <alignment horizontal="center" vertical="center"/>
    </xf>
    <xf numFmtId="0" fontId="40" fillId="15" borderId="1" xfId="0" applyFont="1" applyFill="1" applyBorder="1" applyAlignment="1">
      <alignment horizontal="center" vertical="center"/>
    </xf>
    <xf numFmtId="0" fontId="40" fillId="15" borderId="3" xfId="0" applyFont="1" applyFill="1" applyBorder="1" applyAlignment="1">
      <alignment horizontal="center" vertical="center"/>
    </xf>
    <xf numFmtId="0" fontId="40" fillId="15" borderId="13" xfId="0" applyFont="1" applyFill="1" applyBorder="1" applyAlignment="1">
      <alignment horizontal="center" vertical="center"/>
    </xf>
    <xf numFmtId="0" fontId="40" fillId="15" borderId="32" xfId="0" applyFont="1" applyFill="1" applyBorder="1" applyAlignment="1">
      <alignment horizontal="center" vertical="center"/>
    </xf>
    <xf numFmtId="1" fontId="3" fillId="15" borderId="32" xfId="0" applyNumberFormat="1" applyFont="1" applyFill="1" applyBorder="1" applyAlignment="1">
      <alignment horizontal="center" vertical="center"/>
    </xf>
    <xf numFmtId="0" fontId="2" fillId="15" borderId="0" xfId="0" applyFont="1" applyFill="1" applyBorder="1" applyAlignment="1">
      <alignment horizontal="center" vertical="center"/>
    </xf>
    <xf numFmtId="0" fontId="7" fillId="15" borderId="0" xfId="0" applyFont="1" applyFill="1" applyBorder="1" applyAlignment="1">
      <alignment horizontal="center" vertical="center"/>
    </xf>
    <xf numFmtId="165" fontId="7" fillId="15" borderId="0" xfId="0" applyNumberFormat="1" applyFont="1" applyFill="1" applyBorder="1" applyAlignment="1">
      <alignment horizontal="center" vertical="center"/>
    </xf>
    <xf numFmtId="9" fontId="7" fillId="15" borderId="0" xfId="2" applyFont="1" applyFill="1" applyBorder="1" applyAlignment="1">
      <alignment horizontal="center" vertical="center"/>
    </xf>
    <xf numFmtId="0" fontId="7" fillId="15" borderId="0" xfId="0" applyFont="1" applyFill="1" applyAlignment="1">
      <alignment horizontal="center" vertical="center"/>
    </xf>
    <xf numFmtId="0" fontId="39" fillId="2" borderId="40" xfId="0" applyFont="1" applyFill="1" applyBorder="1" applyAlignment="1">
      <alignment horizontal="center" vertical="center" wrapText="1"/>
    </xf>
    <xf numFmtId="0" fontId="2" fillId="3" borderId="54" xfId="0" applyFont="1" applyFill="1" applyBorder="1" applyAlignment="1">
      <alignment horizontal="center" vertical="center"/>
    </xf>
    <xf numFmtId="0" fontId="2" fillId="3" borderId="55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center" vertical="center" wrapText="1"/>
    </xf>
    <xf numFmtId="0" fontId="16" fillId="3" borderId="0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9" xfId="0" applyFont="1" applyFill="1" applyBorder="1" applyAlignment="1">
      <alignment horizontal="center" vertical="center" wrapText="1"/>
    </xf>
    <xf numFmtId="0" fontId="5" fillId="3" borderId="60" xfId="0" applyFont="1" applyFill="1" applyBorder="1" applyAlignment="1">
      <alignment horizontal="center" vertical="center"/>
    </xf>
    <xf numFmtId="0" fontId="5" fillId="3" borderId="61" xfId="0" applyFont="1" applyFill="1" applyBorder="1" applyAlignment="1">
      <alignment horizontal="center" vertical="center"/>
    </xf>
    <xf numFmtId="0" fontId="2" fillId="5" borderId="54" xfId="0" applyFont="1" applyFill="1" applyBorder="1" applyAlignment="1">
      <alignment horizontal="center" vertical="center"/>
    </xf>
    <xf numFmtId="0" fontId="2" fillId="5" borderId="55" xfId="0" applyFont="1" applyFill="1" applyBorder="1" applyAlignment="1">
      <alignment horizontal="center" vertical="center"/>
    </xf>
    <xf numFmtId="0" fontId="39" fillId="5" borderId="8" xfId="0" applyFont="1" applyFill="1" applyBorder="1" applyAlignment="1">
      <alignment vertical="center"/>
    </xf>
    <xf numFmtId="0" fontId="2" fillId="5" borderId="0" xfId="0" applyFont="1" applyFill="1" applyBorder="1" applyAlignment="1">
      <alignment horizontal="center" vertical="center"/>
    </xf>
    <xf numFmtId="0" fontId="29" fillId="0" borderId="19" xfId="0" applyFont="1" applyBorder="1" applyAlignment="1">
      <alignment horizontal="left" vertical="center"/>
    </xf>
    <xf numFmtId="0" fontId="29" fillId="0" borderId="0" xfId="0" applyFont="1" applyBorder="1" applyAlignment="1">
      <alignment vertical="center"/>
    </xf>
    <xf numFmtId="1" fontId="27" fillId="0" borderId="0" xfId="0" applyNumberFormat="1" applyFont="1" applyBorder="1" applyAlignment="1">
      <alignment horizontal="center"/>
    </xf>
    <xf numFmtId="1" fontId="30" fillId="2" borderId="0" xfId="0" applyNumberFormat="1" applyFont="1" applyFill="1" applyBorder="1" applyAlignment="1">
      <alignment horizontal="center" vertical="center"/>
    </xf>
    <xf numFmtId="0" fontId="25" fillId="10" borderId="19" xfId="0" applyFont="1" applyFill="1" applyBorder="1" applyAlignment="1">
      <alignment horizontal="left" vertical="center" wrapText="1"/>
    </xf>
    <xf numFmtId="165" fontId="0" fillId="13" borderId="0" xfId="0" applyNumberFormat="1" applyFill="1" applyBorder="1" applyAlignment="1">
      <alignment horizontal="center"/>
    </xf>
    <xf numFmtId="0" fontId="29" fillId="0" borderId="0" xfId="0" applyFont="1" applyBorder="1" applyAlignment="1">
      <alignment horizontal="center" vertical="center"/>
    </xf>
    <xf numFmtId="3" fontId="27" fillId="0" borderId="0" xfId="0" applyNumberFormat="1" applyFont="1" applyBorder="1" applyAlignment="1">
      <alignment horizontal="center"/>
    </xf>
    <xf numFmtId="3" fontId="30" fillId="2" borderId="0" xfId="0" applyNumberFormat="1" applyFont="1" applyFill="1" applyBorder="1" applyAlignment="1">
      <alignment horizontal="center" vertical="center"/>
    </xf>
    <xf numFmtId="3" fontId="27" fillId="0" borderId="54" xfId="0" applyNumberFormat="1" applyFont="1" applyBorder="1" applyAlignment="1">
      <alignment horizontal="center"/>
    </xf>
    <xf numFmtId="0" fontId="29" fillId="0" borderId="56" xfId="0" applyFont="1" applyBorder="1" applyAlignment="1">
      <alignment horizontal="center" vertical="center"/>
    </xf>
    <xf numFmtId="0" fontId="29" fillId="0" borderId="57" xfId="0" applyFont="1" applyBorder="1" applyAlignment="1">
      <alignment horizontal="center" vertical="center"/>
    </xf>
    <xf numFmtId="0" fontId="29" fillId="0" borderId="63" xfId="0" applyFont="1" applyBorder="1" applyAlignment="1">
      <alignment horizontal="center" vertical="center"/>
    </xf>
    <xf numFmtId="3" fontId="44" fillId="2" borderId="23" xfId="0" applyNumberFormat="1" applyFont="1" applyFill="1" applyBorder="1" applyAlignment="1">
      <alignment horizontal="center" vertical="center"/>
    </xf>
    <xf numFmtId="0" fontId="44" fillId="2" borderId="30" xfId="0" applyFont="1" applyFill="1" applyBorder="1" applyAlignment="1">
      <alignment horizontal="center" vertical="center"/>
    </xf>
    <xf numFmtId="3" fontId="42" fillId="2" borderId="31" xfId="0" applyNumberFormat="1" applyFont="1" applyFill="1" applyBorder="1" applyAlignment="1">
      <alignment horizontal="center"/>
    </xf>
    <xf numFmtId="0" fontId="44" fillId="2" borderId="62" xfId="0" applyFont="1" applyFill="1" applyBorder="1" applyAlignment="1">
      <alignment horizontal="center" vertical="center"/>
    </xf>
    <xf numFmtId="0" fontId="2" fillId="19" borderId="0" xfId="0" applyFont="1" applyFill="1" applyBorder="1" applyAlignment="1">
      <alignment horizontal="center" vertical="center"/>
    </xf>
    <xf numFmtId="0" fontId="45" fillId="19" borderId="29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47" fillId="0" borderId="19" xfId="0" applyFont="1" applyBorder="1"/>
    <xf numFmtId="0" fontId="48" fillId="0" borderId="19" xfId="0" applyFont="1" applyFill="1" applyBorder="1" applyAlignment="1">
      <alignment horizontal="center" vertical="center"/>
    </xf>
    <xf numFmtId="0" fontId="2" fillId="19" borderId="29" xfId="0" applyFont="1" applyFill="1" applyBorder="1" applyAlignment="1">
      <alignment horizontal="center" vertical="center"/>
    </xf>
    <xf numFmtId="0" fontId="45" fillId="4" borderId="29" xfId="0" applyFont="1" applyFill="1" applyBorder="1" applyAlignment="1">
      <alignment horizontal="center" vertical="center"/>
    </xf>
    <xf numFmtId="0" fontId="48" fillId="0" borderId="33" xfId="0" applyFont="1" applyFill="1" applyBorder="1" applyAlignment="1">
      <alignment horizontal="center" vertical="center"/>
    </xf>
    <xf numFmtId="0" fontId="47" fillId="0" borderId="33" xfId="0" applyFont="1" applyBorder="1"/>
    <xf numFmtId="0" fontId="48" fillId="0" borderId="34" xfId="0" applyFont="1" applyFill="1" applyBorder="1" applyAlignment="1">
      <alignment horizontal="center" vertical="center"/>
    </xf>
    <xf numFmtId="0" fontId="47" fillId="0" borderId="34" xfId="0" applyFont="1" applyBorder="1"/>
    <xf numFmtId="0" fontId="46" fillId="0" borderId="34" xfId="0" applyFont="1" applyFill="1" applyBorder="1" applyAlignment="1">
      <alignment horizontal="center" vertical="center"/>
    </xf>
    <xf numFmtId="0" fontId="7" fillId="0" borderId="41" xfId="0" applyFont="1" applyFill="1" applyBorder="1"/>
    <xf numFmtId="0" fontId="48" fillId="0" borderId="22" xfId="0" applyFont="1" applyFill="1" applyBorder="1" applyAlignment="1">
      <alignment horizontal="center" vertical="center"/>
    </xf>
    <xf numFmtId="0" fontId="47" fillId="0" borderId="22" xfId="0" applyFont="1" applyBorder="1"/>
    <xf numFmtId="0" fontId="16" fillId="2" borderId="0" xfId="0" applyFont="1" applyFill="1" applyBorder="1" applyAlignment="1">
      <alignment horizontal="center" vertical="center"/>
    </xf>
    <xf numFmtId="0" fontId="2" fillId="2" borderId="65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66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45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43" fillId="22" borderId="19" xfId="0" applyFont="1" applyFill="1" applyBorder="1" applyAlignment="1">
      <alignment horizontal="center" vertical="center"/>
    </xf>
    <xf numFmtId="0" fontId="43" fillId="22" borderId="19" xfId="0" applyFont="1" applyFill="1" applyBorder="1" applyAlignment="1">
      <alignment horizontal="center" vertical="center" wrapText="1"/>
    </xf>
    <xf numFmtId="0" fontId="43" fillId="0" borderId="19" xfId="0" applyFont="1" applyBorder="1" applyAlignment="1">
      <alignment horizontal="center" vertical="center"/>
    </xf>
    <xf numFmtId="3" fontId="43" fillId="0" borderId="19" xfId="0" applyNumberFormat="1" applyFont="1" applyBorder="1" applyAlignment="1">
      <alignment horizontal="center" vertical="center"/>
    </xf>
    <xf numFmtId="4" fontId="43" fillId="0" borderId="19" xfId="0" applyNumberFormat="1" applyFont="1" applyBorder="1" applyAlignment="1">
      <alignment horizontal="center" vertical="center"/>
    </xf>
    <xf numFmtId="0" fontId="2" fillId="23" borderId="19" xfId="0" applyFont="1" applyFill="1" applyBorder="1" applyAlignment="1">
      <alignment horizontal="center" vertical="center"/>
    </xf>
    <xf numFmtId="0" fontId="2" fillId="23" borderId="22" xfId="0" applyFont="1" applyFill="1" applyBorder="1" applyAlignment="1">
      <alignment horizontal="center" vertical="center"/>
    </xf>
    <xf numFmtId="0" fontId="2" fillId="23" borderId="0" xfId="0" applyFont="1" applyFill="1" applyBorder="1" applyAlignment="1">
      <alignment horizontal="center" vertical="center"/>
    </xf>
    <xf numFmtId="0" fontId="0" fillId="24" borderId="0" xfId="0" applyFill="1" applyAlignment="1">
      <alignment vertical="top"/>
    </xf>
    <xf numFmtId="0" fontId="43" fillId="24" borderId="19" xfId="0" applyFont="1" applyFill="1" applyBorder="1" applyAlignment="1">
      <alignment horizontal="center" vertical="center"/>
    </xf>
    <xf numFmtId="3" fontId="43" fillId="24" borderId="19" xfId="0" applyNumberFormat="1" applyFont="1" applyFill="1" applyBorder="1" applyAlignment="1">
      <alignment horizontal="center" vertical="center"/>
    </xf>
    <xf numFmtId="4" fontId="43" fillId="24" borderId="19" xfId="0" applyNumberFormat="1" applyFont="1" applyFill="1" applyBorder="1" applyAlignment="1">
      <alignment horizontal="center" vertical="center"/>
    </xf>
    <xf numFmtId="0" fontId="40" fillId="24" borderId="4" xfId="0" applyFont="1" applyFill="1" applyBorder="1" applyAlignment="1">
      <alignment horizontal="center" vertical="center"/>
    </xf>
    <xf numFmtId="0" fontId="40" fillId="24" borderId="13" xfId="0" applyFont="1" applyFill="1" applyBorder="1" applyAlignment="1">
      <alignment horizontal="center" vertical="center"/>
    </xf>
    <xf numFmtId="0" fontId="38" fillId="4" borderId="46" xfId="0" applyFont="1" applyFill="1" applyBorder="1" applyAlignment="1">
      <alignment horizontal="center"/>
    </xf>
    <xf numFmtId="0" fontId="38" fillId="4" borderId="8" xfId="0" applyFont="1" applyFill="1" applyBorder="1" applyAlignment="1">
      <alignment horizontal="center"/>
    </xf>
    <xf numFmtId="0" fontId="38" fillId="4" borderId="2" xfId="0" applyFont="1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41" fillId="0" borderId="35" xfId="0" applyFont="1" applyFill="1" applyBorder="1" applyAlignment="1">
      <alignment horizontal="center" vertical="center" textRotation="90"/>
    </xf>
    <xf numFmtId="0" fontId="41" fillId="0" borderId="41" xfId="0" applyFont="1" applyFill="1" applyBorder="1" applyAlignment="1">
      <alignment horizontal="center" vertical="center" textRotation="90"/>
    </xf>
    <xf numFmtId="0" fontId="41" fillId="0" borderId="36" xfId="0" applyFont="1" applyFill="1" applyBorder="1" applyAlignment="1">
      <alignment horizontal="center" vertical="center" textRotation="90"/>
    </xf>
    <xf numFmtId="0" fontId="46" fillId="0" borderId="50" xfId="0" applyFont="1" applyFill="1" applyBorder="1" applyAlignment="1">
      <alignment horizontal="center" vertical="center"/>
    </xf>
    <xf numFmtId="0" fontId="46" fillId="0" borderId="64" xfId="0" applyFont="1" applyFill="1" applyBorder="1" applyAlignment="1">
      <alignment horizontal="center" vertical="center"/>
    </xf>
    <xf numFmtId="0" fontId="46" fillId="0" borderId="19" xfId="0" applyFont="1" applyFill="1" applyBorder="1" applyAlignment="1">
      <alignment horizontal="center" vertical="center"/>
    </xf>
    <xf numFmtId="0" fontId="42" fillId="0" borderId="24" xfId="0" applyFont="1" applyBorder="1" applyAlignment="1">
      <alignment horizontal="center" vertical="center" textRotation="90"/>
    </xf>
    <xf numFmtId="0" fontId="42" fillId="0" borderId="32" xfId="0" applyFont="1" applyBorder="1" applyAlignment="1">
      <alignment horizontal="center" vertical="center" textRotation="90"/>
    </xf>
    <xf numFmtId="0" fontId="42" fillId="0" borderId="3" xfId="0" applyFont="1" applyBorder="1" applyAlignment="1">
      <alignment horizontal="center" vertical="center" textRotation="90"/>
    </xf>
    <xf numFmtId="0" fontId="41" fillId="0" borderId="24" xfId="0" applyFont="1" applyBorder="1" applyAlignment="1">
      <alignment horizontal="center" vertical="center" textRotation="90"/>
    </xf>
    <xf numFmtId="0" fontId="41" fillId="0" borderId="32" xfId="0" applyFont="1" applyBorder="1" applyAlignment="1">
      <alignment horizontal="center" vertical="center" textRotation="90"/>
    </xf>
    <xf numFmtId="0" fontId="41" fillId="0" borderId="3" xfId="0" applyFont="1" applyBorder="1" applyAlignment="1">
      <alignment horizontal="center" vertical="center" textRotation="90"/>
    </xf>
    <xf numFmtId="0" fontId="2" fillId="2" borderId="2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5" xfId="0" applyBorder="1" applyAlignment="1">
      <alignment horizontal="center" vertical="center" wrapText="1"/>
    </xf>
    <xf numFmtId="0" fontId="25" fillId="10" borderId="8" xfId="0" applyFont="1" applyFill="1" applyBorder="1" applyAlignment="1">
      <alignment horizontal="left" vertical="center" wrapText="1"/>
    </xf>
    <xf numFmtId="0" fontId="25" fillId="10" borderId="2" xfId="0" applyFont="1" applyFill="1" applyBorder="1" applyAlignment="1">
      <alignment horizontal="left" vertical="center" wrapText="1"/>
    </xf>
    <xf numFmtId="3" fontId="0" fillId="0" borderId="0" xfId="0" applyNumberFormat="1" applyAlignment="1">
      <alignment horizontal="left"/>
    </xf>
    <xf numFmtId="3" fontId="0" fillId="0" borderId="45" xfId="0" applyNumberFormat="1" applyBorder="1" applyAlignment="1">
      <alignment horizontal="left"/>
    </xf>
    <xf numFmtId="3" fontId="0" fillId="11" borderId="13" xfId="0" applyNumberFormat="1" applyFill="1" applyBorder="1" applyAlignment="1">
      <alignment horizontal="left"/>
    </xf>
    <xf numFmtId="3" fontId="0" fillId="11" borderId="4" xfId="0" applyNumberFormat="1" applyFill="1" applyBorder="1" applyAlignment="1">
      <alignment horizontal="left"/>
    </xf>
    <xf numFmtId="3" fontId="0" fillId="11" borderId="40" xfId="0" applyNumberFormat="1" applyFill="1" applyBorder="1" applyAlignment="1">
      <alignment horizontal="center" vertical="center" wrapText="1"/>
    </xf>
    <xf numFmtId="3" fontId="0" fillId="11" borderId="20" xfId="0" applyNumberFormat="1" applyFill="1" applyBorder="1" applyAlignment="1">
      <alignment horizontal="center" vertical="center" wrapText="1"/>
    </xf>
    <xf numFmtId="3" fontId="0" fillId="11" borderId="0" xfId="0" applyNumberFormat="1" applyFill="1" applyAlignment="1">
      <alignment horizontal="center" vertical="center" wrapText="1"/>
    </xf>
    <xf numFmtId="3" fontId="0" fillId="11" borderId="45" xfId="0" applyNumberFormat="1" applyFill="1" applyBorder="1" applyAlignment="1">
      <alignment horizontal="center" vertical="center" wrapText="1"/>
    </xf>
    <xf numFmtId="0" fontId="29" fillId="0" borderId="19" xfId="0" applyFont="1" applyBorder="1" applyAlignment="1">
      <alignment horizontal="left" vertical="center"/>
    </xf>
    <xf numFmtId="0" fontId="28" fillId="0" borderId="19" xfId="0" applyFont="1" applyBorder="1" applyAlignment="1">
      <alignment horizontal="left"/>
    </xf>
    <xf numFmtId="0" fontId="26" fillId="0" borderId="33" xfId="0" applyFont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/>
    </xf>
    <xf numFmtId="0" fontId="26" fillId="0" borderId="19" xfId="0" applyFont="1" applyBorder="1" applyAlignment="1">
      <alignment horizontal="center"/>
    </xf>
  </cellXfs>
  <cellStyles count="4">
    <cellStyle name="Millares [0]" xfId="3" builtinId="6"/>
    <cellStyle name="Moneda [0]" xfId="1" builtinId="7"/>
    <cellStyle name="Normal" xfId="0" builtinId="0"/>
    <cellStyle name="Porcentaje" xfId="2" builtinId="5"/>
  </cellStyles>
  <dxfs count="5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scheme val="minor"/>
      </font>
      <numFmt numFmtId="13" formatCode="0%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scheme val="minor"/>
      </font>
      <numFmt numFmtId="13" formatCode="0%"/>
    </dxf>
    <dxf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scheme val="minor"/>
      </font>
      <numFmt numFmtId="13" formatCode="0%"/>
    </dxf>
    <dxf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Noa LT Std Light"/>
        <scheme val="none"/>
      </font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Noa LT Std Light"/>
        <scheme val="none"/>
      </font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Noa LT Std Light"/>
        <scheme val="none"/>
      </font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7D1F5"/>
      <color rgb="FFFF9999"/>
      <color rgb="FFFFBD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1/relationships/timelineCache" Target="timelineCaches/timeline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Evolucion Inventario aceros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1.5795431843050271E-2"/>
          <c:y val="0.12210153260334407"/>
          <c:w val="0.98046682686524012"/>
          <c:h val="0.69988270513471407"/>
        </c:manualLayout>
      </c:layout>
      <c:lineChart>
        <c:grouping val="standard"/>
        <c:varyColors val="0"/>
        <c:ser>
          <c:idx val="0"/>
          <c:order val="0"/>
          <c:tx>
            <c:strRef>
              <c:f>'Resumen stock2023'!$D$4</c:f>
              <c:strCache>
                <c:ptCount val="1"/>
                <c:pt idx="0">
                  <c:v>Mart PM6.2EX HDW Ret QL-6 3 1/2"Reg M 3E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'Resumen stock2023'!$AP$3:$BZ$3</c:f>
              <c:numCache>
                <c:formatCode>m/d/yyyy</c:formatCode>
                <c:ptCount val="37"/>
                <c:pt idx="0">
                  <c:v>44928</c:v>
                </c:pt>
                <c:pt idx="1">
                  <c:v>44935</c:v>
                </c:pt>
                <c:pt idx="2">
                  <c:v>44942</c:v>
                </c:pt>
                <c:pt idx="3">
                  <c:v>44949</c:v>
                </c:pt>
                <c:pt idx="4">
                  <c:v>44956</c:v>
                </c:pt>
                <c:pt idx="5">
                  <c:v>44963</c:v>
                </c:pt>
                <c:pt idx="6">
                  <c:v>44980</c:v>
                </c:pt>
                <c:pt idx="7">
                  <c:v>44998</c:v>
                </c:pt>
                <c:pt idx="8">
                  <c:v>45012</c:v>
                </c:pt>
                <c:pt idx="9">
                  <c:v>45019</c:v>
                </c:pt>
                <c:pt idx="10">
                  <c:v>45026</c:v>
                </c:pt>
                <c:pt idx="11">
                  <c:v>45040</c:v>
                </c:pt>
                <c:pt idx="12">
                  <c:v>45047</c:v>
                </c:pt>
                <c:pt idx="13">
                  <c:v>45054</c:v>
                </c:pt>
                <c:pt idx="14">
                  <c:v>45061</c:v>
                </c:pt>
                <c:pt idx="15">
                  <c:v>45068</c:v>
                </c:pt>
                <c:pt idx="16">
                  <c:v>45075</c:v>
                </c:pt>
                <c:pt idx="17">
                  <c:v>45082</c:v>
                </c:pt>
                <c:pt idx="18">
                  <c:v>45096</c:v>
                </c:pt>
                <c:pt idx="19">
                  <c:v>45103</c:v>
                </c:pt>
                <c:pt idx="20">
                  <c:v>45110</c:v>
                </c:pt>
                <c:pt idx="21">
                  <c:v>45117</c:v>
                </c:pt>
                <c:pt idx="22">
                  <c:v>45138</c:v>
                </c:pt>
                <c:pt idx="23">
                  <c:v>45145</c:v>
                </c:pt>
                <c:pt idx="24">
                  <c:v>45166</c:v>
                </c:pt>
                <c:pt idx="25">
                  <c:v>45173</c:v>
                </c:pt>
                <c:pt idx="26">
                  <c:v>45180</c:v>
                </c:pt>
                <c:pt idx="27">
                  <c:v>45187</c:v>
                </c:pt>
                <c:pt idx="28">
                  <c:v>45194</c:v>
                </c:pt>
                <c:pt idx="29">
                  <c:v>45201</c:v>
                </c:pt>
                <c:pt idx="30">
                  <c:v>45208</c:v>
                </c:pt>
                <c:pt idx="31">
                  <c:v>45215</c:v>
                </c:pt>
                <c:pt idx="32">
                  <c:v>45222</c:v>
                </c:pt>
                <c:pt idx="33">
                  <c:v>45229</c:v>
                </c:pt>
                <c:pt idx="34">
                  <c:v>45236</c:v>
                </c:pt>
                <c:pt idx="35">
                  <c:v>45243</c:v>
                </c:pt>
                <c:pt idx="36">
                  <c:v>45250</c:v>
                </c:pt>
              </c:numCache>
            </c:numRef>
          </c:cat>
          <c:val>
            <c:numRef>
              <c:f>'Resumen stock2023'!$AP$4:$BZ$4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13</c:v>
                </c:pt>
                <c:pt idx="18">
                  <c:v>13</c:v>
                </c:pt>
                <c:pt idx="19">
                  <c:v>13</c:v>
                </c:pt>
                <c:pt idx="20">
                  <c:v>13</c:v>
                </c:pt>
                <c:pt idx="21">
                  <c:v>13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15-40BD-9BC9-077577C9EC75}"/>
            </c:ext>
          </c:extLst>
        </c:ser>
        <c:ser>
          <c:idx val="1"/>
          <c:order val="1"/>
          <c:tx>
            <c:strRef>
              <c:f>'Resumen stock2023'!$D$5</c:f>
              <c:strCache>
                <c:ptCount val="1"/>
                <c:pt idx="0">
                  <c:v>Bit QL-6 Ø6 1/2" Cara Plana Welding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'Resumen stock2023'!$AP$3:$BZ$3</c:f>
              <c:numCache>
                <c:formatCode>m/d/yyyy</c:formatCode>
                <c:ptCount val="37"/>
                <c:pt idx="0">
                  <c:v>44928</c:v>
                </c:pt>
                <c:pt idx="1">
                  <c:v>44935</c:v>
                </c:pt>
                <c:pt idx="2">
                  <c:v>44942</c:v>
                </c:pt>
                <c:pt idx="3">
                  <c:v>44949</c:v>
                </c:pt>
                <c:pt idx="4">
                  <c:v>44956</c:v>
                </c:pt>
                <c:pt idx="5">
                  <c:v>44963</c:v>
                </c:pt>
                <c:pt idx="6">
                  <c:v>44980</c:v>
                </c:pt>
                <c:pt idx="7">
                  <c:v>44998</c:v>
                </c:pt>
                <c:pt idx="8">
                  <c:v>45012</c:v>
                </c:pt>
                <c:pt idx="9">
                  <c:v>45019</c:v>
                </c:pt>
                <c:pt idx="10">
                  <c:v>45026</c:v>
                </c:pt>
                <c:pt idx="11">
                  <c:v>45040</c:v>
                </c:pt>
                <c:pt idx="12">
                  <c:v>45047</c:v>
                </c:pt>
                <c:pt idx="13">
                  <c:v>45054</c:v>
                </c:pt>
                <c:pt idx="14">
                  <c:v>45061</c:v>
                </c:pt>
                <c:pt idx="15">
                  <c:v>45068</c:v>
                </c:pt>
                <c:pt idx="16">
                  <c:v>45075</c:v>
                </c:pt>
                <c:pt idx="17">
                  <c:v>45082</c:v>
                </c:pt>
                <c:pt idx="18">
                  <c:v>45096</c:v>
                </c:pt>
                <c:pt idx="19">
                  <c:v>45103</c:v>
                </c:pt>
                <c:pt idx="20">
                  <c:v>45110</c:v>
                </c:pt>
                <c:pt idx="21">
                  <c:v>45117</c:v>
                </c:pt>
                <c:pt idx="22">
                  <c:v>45138</c:v>
                </c:pt>
                <c:pt idx="23">
                  <c:v>45145</c:v>
                </c:pt>
                <c:pt idx="24">
                  <c:v>45166</c:v>
                </c:pt>
                <c:pt idx="25">
                  <c:v>45173</c:v>
                </c:pt>
                <c:pt idx="26">
                  <c:v>45180</c:v>
                </c:pt>
                <c:pt idx="27">
                  <c:v>45187</c:v>
                </c:pt>
                <c:pt idx="28">
                  <c:v>45194</c:v>
                </c:pt>
                <c:pt idx="29">
                  <c:v>45201</c:v>
                </c:pt>
                <c:pt idx="30">
                  <c:v>45208</c:v>
                </c:pt>
                <c:pt idx="31">
                  <c:v>45215</c:v>
                </c:pt>
                <c:pt idx="32">
                  <c:v>45222</c:v>
                </c:pt>
                <c:pt idx="33">
                  <c:v>45229</c:v>
                </c:pt>
                <c:pt idx="34">
                  <c:v>45236</c:v>
                </c:pt>
                <c:pt idx="35">
                  <c:v>45243</c:v>
                </c:pt>
                <c:pt idx="36">
                  <c:v>45250</c:v>
                </c:pt>
              </c:numCache>
            </c:numRef>
          </c:cat>
          <c:val>
            <c:numRef>
              <c:f>'Resumen stock2023'!$AP$5:$BZ$5</c:f>
              <c:numCache>
                <c:formatCode>General</c:formatCode>
                <c:ptCount val="37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18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42</c:v>
                </c:pt>
                <c:pt idx="8">
                  <c:v>42</c:v>
                </c:pt>
                <c:pt idx="9">
                  <c:v>42</c:v>
                </c:pt>
                <c:pt idx="10">
                  <c:v>42</c:v>
                </c:pt>
                <c:pt idx="11">
                  <c:v>36</c:v>
                </c:pt>
                <c:pt idx="12">
                  <c:v>46</c:v>
                </c:pt>
                <c:pt idx="13">
                  <c:v>46</c:v>
                </c:pt>
                <c:pt idx="14">
                  <c:v>46</c:v>
                </c:pt>
                <c:pt idx="15">
                  <c:v>46</c:v>
                </c:pt>
                <c:pt idx="16">
                  <c:v>46</c:v>
                </c:pt>
                <c:pt idx="17">
                  <c:v>42</c:v>
                </c:pt>
                <c:pt idx="18">
                  <c:v>42</c:v>
                </c:pt>
                <c:pt idx="19">
                  <c:v>42</c:v>
                </c:pt>
                <c:pt idx="20">
                  <c:v>42</c:v>
                </c:pt>
                <c:pt idx="21">
                  <c:v>42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  <c:pt idx="28">
                  <c:v>27</c:v>
                </c:pt>
                <c:pt idx="29">
                  <c:v>27</c:v>
                </c:pt>
                <c:pt idx="30">
                  <c:v>27</c:v>
                </c:pt>
                <c:pt idx="31">
                  <c:v>27</c:v>
                </c:pt>
                <c:pt idx="32">
                  <c:v>27</c:v>
                </c:pt>
                <c:pt idx="33">
                  <c:v>27</c:v>
                </c:pt>
                <c:pt idx="34">
                  <c:v>27</c:v>
                </c:pt>
                <c:pt idx="35">
                  <c:v>27</c:v>
                </c:pt>
                <c:pt idx="36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15-40BD-9BC9-077577C9EC75}"/>
            </c:ext>
          </c:extLst>
        </c:ser>
        <c:ser>
          <c:idx val="2"/>
          <c:order val="2"/>
          <c:tx>
            <c:strRef>
              <c:f>'Resumen stock2023'!$D$6</c:f>
              <c:strCache>
                <c:ptCount val="1"/>
                <c:pt idx="0">
                  <c:v>P6-8 Amort. HD 3 1/2" ATSM x 3 1/2" RegH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'Resumen stock2023'!$AP$3:$BZ$3</c:f>
              <c:numCache>
                <c:formatCode>m/d/yyyy</c:formatCode>
                <c:ptCount val="37"/>
                <c:pt idx="0">
                  <c:v>44928</c:v>
                </c:pt>
                <c:pt idx="1">
                  <c:v>44935</c:v>
                </c:pt>
                <c:pt idx="2">
                  <c:v>44942</c:v>
                </c:pt>
                <c:pt idx="3">
                  <c:v>44949</c:v>
                </c:pt>
                <c:pt idx="4">
                  <c:v>44956</c:v>
                </c:pt>
                <c:pt idx="5">
                  <c:v>44963</c:v>
                </c:pt>
                <c:pt idx="6">
                  <c:v>44980</c:v>
                </c:pt>
                <c:pt idx="7">
                  <c:v>44998</c:v>
                </c:pt>
                <c:pt idx="8">
                  <c:v>45012</c:v>
                </c:pt>
                <c:pt idx="9">
                  <c:v>45019</c:v>
                </c:pt>
                <c:pt idx="10">
                  <c:v>45026</c:v>
                </c:pt>
                <c:pt idx="11">
                  <c:v>45040</c:v>
                </c:pt>
                <c:pt idx="12">
                  <c:v>45047</c:v>
                </c:pt>
                <c:pt idx="13">
                  <c:v>45054</c:v>
                </c:pt>
                <c:pt idx="14">
                  <c:v>45061</c:v>
                </c:pt>
                <c:pt idx="15">
                  <c:v>45068</c:v>
                </c:pt>
                <c:pt idx="16">
                  <c:v>45075</c:v>
                </c:pt>
                <c:pt idx="17">
                  <c:v>45082</c:v>
                </c:pt>
                <c:pt idx="18">
                  <c:v>45096</c:v>
                </c:pt>
                <c:pt idx="19">
                  <c:v>45103</c:v>
                </c:pt>
                <c:pt idx="20">
                  <c:v>45110</c:v>
                </c:pt>
                <c:pt idx="21">
                  <c:v>45117</c:v>
                </c:pt>
                <c:pt idx="22">
                  <c:v>45138</c:v>
                </c:pt>
                <c:pt idx="23">
                  <c:v>45145</c:v>
                </c:pt>
                <c:pt idx="24">
                  <c:v>45166</c:v>
                </c:pt>
                <c:pt idx="25">
                  <c:v>45173</c:v>
                </c:pt>
                <c:pt idx="26">
                  <c:v>45180</c:v>
                </c:pt>
                <c:pt idx="27">
                  <c:v>45187</c:v>
                </c:pt>
                <c:pt idx="28">
                  <c:v>45194</c:v>
                </c:pt>
                <c:pt idx="29">
                  <c:v>45201</c:v>
                </c:pt>
                <c:pt idx="30">
                  <c:v>45208</c:v>
                </c:pt>
                <c:pt idx="31">
                  <c:v>45215</c:v>
                </c:pt>
                <c:pt idx="32">
                  <c:v>45222</c:v>
                </c:pt>
                <c:pt idx="33">
                  <c:v>45229</c:v>
                </c:pt>
                <c:pt idx="34">
                  <c:v>45236</c:v>
                </c:pt>
                <c:pt idx="35">
                  <c:v>45243</c:v>
                </c:pt>
                <c:pt idx="36">
                  <c:v>45250</c:v>
                </c:pt>
              </c:numCache>
            </c:numRef>
          </c:cat>
          <c:val>
            <c:numRef>
              <c:f>'Resumen stock2023'!$AP$6:$BZ$6</c:f>
              <c:numCache>
                <c:formatCode>General</c:formatCode>
                <c:ptCount val="3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15-40BD-9BC9-077577C9EC75}"/>
            </c:ext>
          </c:extLst>
        </c:ser>
        <c:ser>
          <c:idx val="3"/>
          <c:order val="3"/>
          <c:tx>
            <c:strRef>
              <c:f>'Resumen stock2023'!$D$7</c:f>
              <c:strCache>
                <c:ptCount val="1"/>
                <c:pt idx="0">
                  <c:v>Ø114.3 3 beco M x 3 beco H L=305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'Resumen stock2023'!$AP$3:$BZ$3</c:f>
              <c:numCache>
                <c:formatCode>m/d/yyyy</c:formatCode>
                <c:ptCount val="37"/>
                <c:pt idx="0">
                  <c:v>44928</c:v>
                </c:pt>
                <c:pt idx="1">
                  <c:v>44935</c:v>
                </c:pt>
                <c:pt idx="2">
                  <c:v>44942</c:v>
                </c:pt>
                <c:pt idx="3">
                  <c:v>44949</c:v>
                </c:pt>
                <c:pt idx="4">
                  <c:v>44956</c:v>
                </c:pt>
                <c:pt idx="5">
                  <c:v>44963</c:v>
                </c:pt>
                <c:pt idx="6">
                  <c:v>44980</c:v>
                </c:pt>
                <c:pt idx="7">
                  <c:v>44998</c:v>
                </c:pt>
                <c:pt idx="8">
                  <c:v>45012</c:v>
                </c:pt>
                <c:pt idx="9">
                  <c:v>45019</c:v>
                </c:pt>
                <c:pt idx="10">
                  <c:v>45026</c:v>
                </c:pt>
                <c:pt idx="11">
                  <c:v>45040</c:v>
                </c:pt>
                <c:pt idx="12">
                  <c:v>45047</c:v>
                </c:pt>
                <c:pt idx="13">
                  <c:v>45054</c:v>
                </c:pt>
                <c:pt idx="14">
                  <c:v>45061</c:v>
                </c:pt>
                <c:pt idx="15">
                  <c:v>45068</c:v>
                </c:pt>
                <c:pt idx="16">
                  <c:v>45075</c:v>
                </c:pt>
                <c:pt idx="17">
                  <c:v>45082</c:v>
                </c:pt>
                <c:pt idx="18">
                  <c:v>45096</c:v>
                </c:pt>
                <c:pt idx="19">
                  <c:v>45103</c:v>
                </c:pt>
                <c:pt idx="20">
                  <c:v>45110</c:v>
                </c:pt>
                <c:pt idx="21">
                  <c:v>45117</c:v>
                </c:pt>
                <c:pt idx="22">
                  <c:v>45138</c:v>
                </c:pt>
                <c:pt idx="23">
                  <c:v>45145</c:v>
                </c:pt>
                <c:pt idx="24">
                  <c:v>45166</c:v>
                </c:pt>
                <c:pt idx="25">
                  <c:v>45173</c:v>
                </c:pt>
                <c:pt idx="26">
                  <c:v>45180</c:v>
                </c:pt>
                <c:pt idx="27">
                  <c:v>45187</c:v>
                </c:pt>
                <c:pt idx="28">
                  <c:v>45194</c:v>
                </c:pt>
                <c:pt idx="29">
                  <c:v>45201</c:v>
                </c:pt>
                <c:pt idx="30">
                  <c:v>45208</c:v>
                </c:pt>
                <c:pt idx="31">
                  <c:v>45215</c:v>
                </c:pt>
                <c:pt idx="32">
                  <c:v>45222</c:v>
                </c:pt>
                <c:pt idx="33">
                  <c:v>45229</c:v>
                </c:pt>
                <c:pt idx="34">
                  <c:v>45236</c:v>
                </c:pt>
                <c:pt idx="35">
                  <c:v>45243</c:v>
                </c:pt>
                <c:pt idx="36">
                  <c:v>45250</c:v>
                </c:pt>
              </c:numCache>
            </c:numRef>
          </c:cat>
          <c:val>
            <c:numRef>
              <c:f>'Resumen stock2023'!$AP$7:$BZ$7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15-40BD-9BC9-077577C9EC75}"/>
            </c:ext>
          </c:extLst>
        </c:ser>
        <c:ser>
          <c:idx val="4"/>
          <c:order val="4"/>
          <c:tx>
            <c:strRef>
              <c:f>'Resumen stock2023'!$D$8</c:f>
              <c:strCache>
                <c:ptCount val="1"/>
                <c:pt idx="0">
                  <c:v>Barras 4 ½ x 6000mm x 6.35 3 beco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'Resumen stock2023'!$AP$3:$BZ$3</c:f>
              <c:numCache>
                <c:formatCode>m/d/yyyy</c:formatCode>
                <c:ptCount val="37"/>
                <c:pt idx="0">
                  <c:v>44928</c:v>
                </c:pt>
                <c:pt idx="1">
                  <c:v>44935</c:v>
                </c:pt>
                <c:pt idx="2">
                  <c:v>44942</c:v>
                </c:pt>
                <c:pt idx="3">
                  <c:v>44949</c:v>
                </c:pt>
                <c:pt idx="4">
                  <c:v>44956</c:v>
                </c:pt>
                <c:pt idx="5">
                  <c:v>44963</c:v>
                </c:pt>
                <c:pt idx="6">
                  <c:v>44980</c:v>
                </c:pt>
                <c:pt idx="7">
                  <c:v>44998</c:v>
                </c:pt>
                <c:pt idx="8">
                  <c:v>45012</c:v>
                </c:pt>
                <c:pt idx="9">
                  <c:v>45019</c:v>
                </c:pt>
                <c:pt idx="10">
                  <c:v>45026</c:v>
                </c:pt>
                <c:pt idx="11">
                  <c:v>45040</c:v>
                </c:pt>
                <c:pt idx="12">
                  <c:v>45047</c:v>
                </c:pt>
                <c:pt idx="13">
                  <c:v>45054</c:v>
                </c:pt>
                <c:pt idx="14">
                  <c:v>45061</c:v>
                </c:pt>
                <c:pt idx="15">
                  <c:v>45068</c:v>
                </c:pt>
                <c:pt idx="16">
                  <c:v>45075</c:v>
                </c:pt>
                <c:pt idx="17">
                  <c:v>45082</c:v>
                </c:pt>
                <c:pt idx="18">
                  <c:v>45096</c:v>
                </c:pt>
                <c:pt idx="19">
                  <c:v>45103</c:v>
                </c:pt>
                <c:pt idx="20">
                  <c:v>45110</c:v>
                </c:pt>
                <c:pt idx="21">
                  <c:v>45117</c:v>
                </c:pt>
                <c:pt idx="22">
                  <c:v>45138</c:v>
                </c:pt>
                <c:pt idx="23">
                  <c:v>45145</c:v>
                </c:pt>
                <c:pt idx="24">
                  <c:v>45166</c:v>
                </c:pt>
                <c:pt idx="25">
                  <c:v>45173</c:v>
                </c:pt>
                <c:pt idx="26">
                  <c:v>45180</c:v>
                </c:pt>
                <c:pt idx="27">
                  <c:v>45187</c:v>
                </c:pt>
                <c:pt idx="28">
                  <c:v>45194</c:v>
                </c:pt>
                <c:pt idx="29">
                  <c:v>45201</c:v>
                </c:pt>
                <c:pt idx="30">
                  <c:v>45208</c:v>
                </c:pt>
                <c:pt idx="31">
                  <c:v>45215</c:v>
                </c:pt>
                <c:pt idx="32">
                  <c:v>45222</c:v>
                </c:pt>
                <c:pt idx="33">
                  <c:v>45229</c:v>
                </c:pt>
                <c:pt idx="34">
                  <c:v>45236</c:v>
                </c:pt>
                <c:pt idx="35">
                  <c:v>45243</c:v>
                </c:pt>
                <c:pt idx="36">
                  <c:v>45250</c:v>
                </c:pt>
              </c:numCache>
            </c:numRef>
          </c:cat>
          <c:val>
            <c:numRef>
              <c:f>'Resumen stock2023'!$AP$8:$BZ$8</c:f>
              <c:numCache>
                <c:formatCode>General</c:formatCode>
                <c:ptCount val="3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7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14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16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15-40BD-9BC9-077577C9EC7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91622240"/>
        <c:axId val="691622632"/>
      </c:lineChart>
      <c:dateAx>
        <c:axId val="6916222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91622632"/>
        <c:crosses val="autoZero"/>
        <c:auto val="0"/>
        <c:lblOffset val="100"/>
        <c:baseTimeUnit val="days"/>
        <c:majorUnit val="7"/>
        <c:majorTimeUnit val="days"/>
        <c:minorUnit val="1"/>
        <c:minorTimeUnit val="days"/>
      </c:dateAx>
      <c:valAx>
        <c:axId val="691622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916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4.66259731113257E-2"/>
          <c:y val="0.11580860772659768"/>
          <c:w val="0.30959365296909913"/>
          <c:h val="0.256981514607419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[Inventario List.xlsx]Resumen stock2023!TablaDinámica16</c:name>
    <c:fmtId val="0"/>
  </c:pivotSource>
  <c:chart>
    <c:autoTitleDeleted val="1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'Resumen stock2023'!$B$15</c:f>
              <c:strCache>
                <c:ptCount val="1"/>
                <c:pt idx="0">
                  <c:v>Mart PM6.2EX HDW Ret QL-6 3 1/2"Reg M 3E.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'Resumen stock2023'!$A$16:$A$41</c:f>
              <c:multiLvlStrCache>
                <c:ptCount val="19"/>
                <c:lvl>
                  <c:pt idx="0">
                    <c:v>04-mar</c:v>
                  </c:pt>
                  <c:pt idx="1">
                    <c:v>11-mar</c:v>
                  </c:pt>
                  <c:pt idx="2">
                    <c:v>18-mar</c:v>
                  </c:pt>
                  <c:pt idx="3">
                    <c:v>25-mar</c:v>
                  </c:pt>
                  <c:pt idx="4">
                    <c:v>01-abr</c:v>
                  </c:pt>
                  <c:pt idx="5">
                    <c:v>08-abr</c:v>
                  </c:pt>
                  <c:pt idx="6">
                    <c:v>15-abr</c:v>
                  </c:pt>
                  <c:pt idx="7">
                    <c:v>22-abr</c:v>
                  </c:pt>
                  <c:pt idx="8">
                    <c:v>29-abr</c:v>
                  </c:pt>
                  <c:pt idx="9">
                    <c:v>06-may</c:v>
                  </c:pt>
                  <c:pt idx="10">
                    <c:v>13-may</c:v>
                  </c:pt>
                  <c:pt idx="11">
                    <c:v>20-may</c:v>
                  </c:pt>
                  <c:pt idx="12">
                    <c:v>27-may</c:v>
                  </c:pt>
                  <c:pt idx="13">
                    <c:v>03-jun</c:v>
                  </c:pt>
                  <c:pt idx="14">
                    <c:v>10-jun</c:v>
                  </c:pt>
                  <c:pt idx="15">
                    <c:v>17-jun</c:v>
                  </c:pt>
                  <c:pt idx="16">
                    <c:v>24-jun</c:v>
                  </c:pt>
                  <c:pt idx="17">
                    <c:v>01-jul</c:v>
                  </c:pt>
                  <c:pt idx="18">
                    <c:v>08-jul</c:v>
                  </c:pt>
                </c:lvl>
                <c:lvl>
                  <c:pt idx="0">
                    <c:v>mar</c:v>
                  </c:pt>
                  <c:pt idx="4">
                    <c:v>abr</c:v>
                  </c:pt>
                  <c:pt idx="9">
                    <c:v>may</c:v>
                  </c:pt>
                  <c:pt idx="13">
                    <c:v>jun</c:v>
                  </c:pt>
                  <c:pt idx="17">
                    <c:v>jul</c:v>
                  </c:pt>
                </c:lvl>
                <c:lvl>
                  <c:pt idx="0">
                    <c:v>2024</c:v>
                  </c:pt>
                </c:lvl>
              </c:multiLvlStrCache>
            </c:multiLvlStrRef>
          </c:cat>
          <c:val>
            <c:numRef>
              <c:f>'Resumen stock2023'!$B$16:$B$41</c:f>
              <c:numCache>
                <c:formatCode>General</c:formatCode>
                <c:ptCount val="19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4</c:v>
                </c:pt>
                <c:pt idx="8">
                  <c:v>4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B5-4821-8032-714244769FC7}"/>
            </c:ext>
          </c:extLst>
        </c:ser>
        <c:ser>
          <c:idx val="1"/>
          <c:order val="1"/>
          <c:tx>
            <c:strRef>
              <c:f>'Resumen stock2023'!$C$15</c:f>
              <c:strCache>
                <c:ptCount val="1"/>
                <c:pt idx="0">
                  <c:v>Bit QL-6 Ø6 1/2" Cara Plana Welding.</c:v>
                </c:pt>
              </c:strCache>
            </c:strRef>
          </c:tx>
          <c:spPr>
            <a:ln w="19050" cap="rnd" cmpd="sng" algn="ctr">
              <a:solidFill>
                <a:schemeClr val="accent2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'Resumen stock2023'!$A$16:$A$41</c:f>
              <c:multiLvlStrCache>
                <c:ptCount val="19"/>
                <c:lvl>
                  <c:pt idx="0">
                    <c:v>04-mar</c:v>
                  </c:pt>
                  <c:pt idx="1">
                    <c:v>11-mar</c:v>
                  </c:pt>
                  <c:pt idx="2">
                    <c:v>18-mar</c:v>
                  </c:pt>
                  <c:pt idx="3">
                    <c:v>25-mar</c:v>
                  </c:pt>
                  <c:pt idx="4">
                    <c:v>01-abr</c:v>
                  </c:pt>
                  <c:pt idx="5">
                    <c:v>08-abr</c:v>
                  </c:pt>
                  <c:pt idx="6">
                    <c:v>15-abr</c:v>
                  </c:pt>
                  <c:pt idx="7">
                    <c:v>22-abr</c:v>
                  </c:pt>
                  <c:pt idx="8">
                    <c:v>29-abr</c:v>
                  </c:pt>
                  <c:pt idx="9">
                    <c:v>06-may</c:v>
                  </c:pt>
                  <c:pt idx="10">
                    <c:v>13-may</c:v>
                  </c:pt>
                  <c:pt idx="11">
                    <c:v>20-may</c:v>
                  </c:pt>
                  <c:pt idx="12">
                    <c:v>27-may</c:v>
                  </c:pt>
                  <c:pt idx="13">
                    <c:v>03-jun</c:v>
                  </c:pt>
                  <c:pt idx="14">
                    <c:v>10-jun</c:v>
                  </c:pt>
                  <c:pt idx="15">
                    <c:v>17-jun</c:v>
                  </c:pt>
                  <c:pt idx="16">
                    <c:v>24-jun</c:v>
                  </c:pt>
                  <c:pt idx="17">
                    <c:v>01-jul</c:v>
                  </c:pt>
                  <c:pt idx="18">
                    <c:v>08-jul</c:v>
                  </c:pt>
                </c:lvl>
                <c:lvl>
                  <c:pt idx="0">
                    <c:v>mar</c:v>
                  </c:pt>
                  <c:pt idx="4">
                    <c:v>abr</c:v>
                  </c:pt>
                  <c:pt idx="9">
                    <c:v>may</c:v>
                  </c:pt>
                  <c:pt idx="13">
                    <c:v>jun</c:v>
                  </c:pt>
                  <c:pt idx="17">
                    <c:v>jul</c:v>
                  </c:pt>
                </c:lvl>
                <c:lvl>
                  <c:pt idx="0">
                    <c:v>2024</c:v>
                  </c:pt>
                </c:lvl>
              </c:multiLvlStrCache>
            </c:multiLvlStrRef>
          </c:cat>
          <c:val>
            <c:numRef>
              <c:f>'Resumen stock2023'!$C$16:$C$41</c:f>
              <c:numCache>
                <c:formatCode>General</c:formatCode>
                <c:ptCount val="19"/>
                <c:pt idx="0">
                  <c:v>8</c:v>
                </c:pt>
                <c:pt idx="1">
                  <c:v>8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10</c:v>
                </c:pt>
                <c:pt idx="7">
                  <c:v>4</c:v>
                </c:pt>
                <c:pt idx="8">
                  <c:v>4</c:v>
                </c:pt>
                <c:pt idx="9">
                  <c:v>0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B5-4821-8032-714244769FC7}"/>
            </c:ext>
          </c:extLst>
        </c:ser>
        <c:ser>
          <c:idx val="2"/>
          <c:order val="2"/>
          <c:tx>
            <c:strRef>
              <c:f>'Resumen stock2023'!$D$15</c:f>
              <c:strCache>
                <c:ptCount val="1"/>
                <c:pt idx="0">
                  <c:v>P6-8 Amort. HD 3 1/2" ATSM x 3 1/2" RegH.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'Resumen stock2023'!$A$16:$A$41</c:f>
              <c:multiLvlStrCache>
                <c:ptCount val="19"/>
                <c:lvl>
                  <c:pt idx="0">
                    <c:v>04-mar</c:v>
                  </c:pt>
                  <c:pt idx="1">
                    <c:v>11-mar</c:v>
                  </c:pt>
                  <c:pt idx="2">
                    <c:v>18-mar</c:v>
                  </c:pt>
                  <c:pt idx="3">
                    <c:v>25-mar</c:v>
                  </c:pt>
                  <c:pt idx="4">
                    <c:v>01-abr</c:v>
                  </c:pt>
                  <c:pt idx="5">
                    <c:v>08-abr</c:v>
                  </c:pt>
                  <c:pt idx="6">
                    <c:v>15-abr</c:v>
                  </c:pt>
                  <c:pt idx="7">
                    <c:v>22-abr</c:v>
                  </c:pt>
                  <c:pt idx="8">
                    <c:v>29-abr</c:v>
                  </c:pt>
                  <c:pt idx="9">
                    <c:v>06-may</c:v>
                  </c:pt>
                  <c:pt idx="10">
                    <c:v>13-may</c:v>
                  </c:pt>
                  <c:pt idx="11">
                    <c:v>20-may</c:v>
                  </c:pt>
                  <c:pt idx="12">
                    <c:v>27-may</c:v>
                  </c:pt>
                  <c:pt idx="13">
                    <c:v>03-jun</c:v>
                  </c:pt>
                  <c:pt idx="14">
                    <c:v>10-jun</c:v>
                  </c:pt>
                  <c:pt idx="15">
                    <c:v>17-jun</c:v>
                  </c:pt>
                  <c:pt idx="16">
                    <c:v>24-jun</c:v>
                  </c:pt>
                  <c:pt idx="17">
                    <c:v>01-jul</c:v>
                  </c:pt>
                  <c:pt idx="18">
                    <c:v>08-jul</c:v>
                  </c:pt>
                </c:lvl>
                <c:lvl>
                  <c:pt idx="0">
                    <c:v>mar</c:v>
                  </c:pt>
                  <c:pt idx="4">
                    <c:v>abr</c:v>
                  </c:pt>
                  <c:pt idx="9">
                    <c:v>may</c:v>
                  </c:pt>
                  <c:pt idx="13">
                    <c:v>jun</c:v>
                  </c:pt>
                  <c:pt idx="17">
                    <c:v>jul</c:v>
                  </c:pt>
                </c:lvl>
                <c:lvl>
                  <c:pt idx="0">
                    <c:v>2024</c:v>
                  </c:pt>
                </c:lvl>
              </c:multiLvlStrCache>
            </c:multiLvlStrRef>
          </c:cat>
          <c:val>
            <c:numRef>
              <c:f>'Resumen stock2023'!$D$16:$D$41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B5-4821-8032-714244769FC7}"/>
            </c:ext>
          </c:extLst>
        </c:ser>
        <c:ser>
          <c:idx val="3"/>
          <c:order val="3"/>
          <c:tx>
            <c:strRef>
              <c:f>'Resumen stock2023'!$E$15</c:f>
              <c:strCache>
                <c:ptCount val="1"/>
                <c:pt idx="0">
                  <c:v>Ø114.3 3 beco M x 3 beco H L=305.</c:v>
                </c:pt>
              </c:strCache>
            </c:strRef>
          </c:tx>
          <c:spPr>
            <a:ln w="19050" cap="rnd" cmpd="sng" algn="ctr">
              <a:solidFill>
                <a:schemeClr val="accent4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'Resumen stock2023'!$A$16:$A$41</c:f>
              <c:multiLvlStrCache>
                <c:ptCount val="19"/>
                <c:lvl>
                  <c:pt idx="0">
                    <c:v>04-mar</c:v>
                  </c:pt>
                  <c:pt idx="1">
                    <c:v>11-mar</c:v>
                  </c:pt>
                  <c:pt idx="2">
                    <c:v>18-mar</c:v>
                  </c:pt>
                  <c:pt idx="3">
                    <c:v>25-mar</c:v>
                  </c:pt>
                  <c:pt idx="4">
                    <c:v>01-abr</c:v>
                  </c:pt>
                  <c:pt idx="5">
                    <c:v>08-abr</c:v>
                  </c:pt>
                  <c:pt idx="6">
                    <c:v>15-abr</c:v>
                  </c:pt>
                  <c:pt idx="7">
                    <c:v>22-abr</c:v>
                  </c:pt>
                  <c:pt idx="8">
                    <c:v>29-abr</c:v>
                  </c:pt>
                  <c:pt idx="9">
                    <c:v>06-may</c:v>
                  </c:pt>
                  <c:pt idx="10">
                    <c:v>13-may</c:v>
                  </c:pt>
                  <c:pt idx="11">
                    <c:v>20-may</c:v>
                  </c:pt>
                  <c:pt idx="12">
                    <c:v>27-may</c:v>
                  </c:pt>
                  <c:pt idx="13">
                    <c:v>03-jun</c:v>
                  </c:pt>
                  <c:pt idx="14">
                    <c:v>10-jun</c:v>
                  </c:pt>
                  <c:pt idx="15">
                    <c:v>17-jun</c:v>
                  </c:pt>
                  <c:pt idx="16">
                    <c:v>24-jun</c:v>
                  </c:pt>
                  <c:pt idx="17">
                    <c:v>01-jul</c:v>
                  </c:pt>
                  <c:pt idx="18">
                    <c:v>08-jul</c:v>
                  </c:pt>
                </c:lvl>
                <c:lvl>
                  <c:pt idx="0">
                    <c:v>mar</c:v>
                  </c:pt>
                  <c:pt idx="4">
                    <c:v>abr</c:v>
                  </c:pt>
                  <c:pt idx="9">
                    <c:v>may</c:v>
                  </c:pt>
                  <c:pt idx="13">
                    <c:v>jun</c:v>
                  </c:pt>
                  <c:pt idx="17">
                    <c:v>jul</c:v>
                  </c:pt>
                </c:lvl>
                <c:lvl>
                  <c:pt idx="0">
                    <c:v>2024</c:v>
                  </c:pt>
                </c:lvl>
              </c:multiLvlStrCache>
            </c:multiLvlStrRef>
          </c:cat>
          <c:val>
            <c:numRef>
              <c:f>'Resumen stock2023'!$E$16:$E$41</c:f>
              <c:numCache>
                <c:formatCode>General</c:formatCode>
                <c:ptCount val="1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B5-4821-8032-714244769FC7}"/>
            </c:ext>
          </c:extLst>
        </c:ser>
        <c:ser>
          <c:idx val="4"/>
          <c:order val="4"/>
          <c:tx>
            <c:strRef>
              <c:f>'Resumen stock2023'!$F$15</c:f>
              <c:strCache>
                <c:ptCount val="1"/>
                <c:pt idx="0">
                  <c:v>Barras 4 ½ x 6000mm x 6.35 3 beco.</c:v>
                </c:pt>
              </c:strCache>
            </c:strRef>
          </c:tx>
          <c:spPr>
            <a:ln w="19050" cap="rnd" cmpd="sng" algn="ctr">
              <a:solidFill>
                <a:schemeClr val="accent5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'Resumen stock2023'!$A$16:$A$41</c:f>
              <c:multiLvlStrCache>
                <c:ptCount val="19"/>
                <c:lvl>
                  <c:pt idx="0">
                    <c:v>04-mar</c:v>
                  </c:pt>
                  <c:pt idx="1">
                    <c:v>11-mar</c:v>
                  </c:pt>
                  <c:pt idx="2">
                    <c:v>18-mar</c:v>
                  </c:pt>
                  <c:pt idx="3">
                    <c:v>25-mar</c:v>
                  </c:pt>
                  <c:pt idx="4">
                    <c:v>01-abr</c:v>
                  </c:pt>
                  <c:pt idx="5">
                    <c:v>08-abr</c:v>
                  </c:pt>
                  <c:pt idx="6">
                    <c:v>15-abr</c:v>
                  </c:pt>
                  <c:pt idx="7">
                    <c:v>22-abr</c:v>
                  </c:pt>
                  <c:pt idx="8">
                    <c:v>29-abr</c:v>
                  </c:pt>
                  <c:pt idx="9">
                    <c:v>06-may</c:v>
                  </c:pt>
                  <c:pt idx="10">
                    <c:v>13-may</c:v>
                  </c:pt>
                  <c:pt idx="11">
                    <c:v>20-may</c:v>
                  </c:pt>
                  <c:pt idx="12">
                    <c:v>27-may</c:v>
                  </c:pt>
                  <c:pt idx="13">
                    <c:v>03-jun</c:v>
                  </c:pt>
                  <c:pt idx="14">
                    <c:v>10-jun</c:v>
                  </c:pt>
                  <c:pt idx="15">
                    <c:v>17-jun</c:v>
                  </c:pt>
                  <c:pt idx="16">
                    <c:v>24-jun</c:v>
                  </c:pt>
                  <c:pt idx="17">
                    <c:v>01-jul</c:v>
                  </c:pt>
                  <c:pt idx="18">
                    <c:v>08-jul</c:v>
                  </c:pt>
                </c:lvl>
                <c:lvl>
                  <c:pt idx="0">
                    <c:v>mar</c:v>
                  </c:pt>
                  <c:pt idx="4">
                    <c:v>abr</c:v>
                  </c:pt>
                  <c:pt idx="9">
                    <c:v>may</c:v>
                  </c:pt>
                  <c:pt idx="13">
                    <c:v>jun</c:v>
                  </c:pt>
                  <c:pt idx="17">
                    <c:v>jul</c:v>
                  </c:pt>
                </c:lvl>
                <c:lvl>
                  <c:pt idx="0">
                    <c:v>2024</c:v>
                  </c:pt>
                </c:lvl>
              </c:multiLvlStrCache>
            </c:multiLvlStrRef>
          </c:cat>
          <c:val>
            <c:numRef>
              <c:f>'Resumen stock2023'!$F$16:$F$41</c:f>
              <c:numCache>
                <c:formatCode>General</c:formatCode>
                <c:ptCount val="19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2B5-4821-8032-714244769FC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21829888"/>
        <c:axId val="1162388256"/>
      </c:lineChart>
      <c:catAx>
        <c:axId val="1621829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62388256"/>
        <c:crosses val="autoZero"/>
        <c:auto val="1"/>
        <c:lblAlgn val="ctr"/>
        <c:lblOffset val="100"/>
        <c:tickMarkSkip val="10"/>
        <c:noMultiLvlLbl val="0"/>
      </c:catAx>
      <c:valAx>
        <c:axId val="11623882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2182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6314908204904959E-2"/>
          <c:y val="0.83815884196925361"/>
          <c:w val="0.9"/>
          <c:h val="7.00470488189673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1.5795431843050271E-2"/>
          <c:y val="0.12210153260334407"/>
          <c:w val="0.98046682686524012"/>
          <c:h val="0.69988270513471407"/>
        </c:manualLayout>
      </c:layout>
      <c:lineChart>
        <c:grouping val="standard"/>
        <c:varyColors val="0"/>
        <c:ser>
          <c:idx val="0"/>
          <c:order val="0"/>
          <c:tx>
            <c:strRef>
              <c:f>'Resumen stock2022'!$D$4</c:f>
              <c:strCache>
                <c:ptCount val="1"/>
                <c:pt idx="0">
                  <c:v>Mart PM6.2EX HDW Ret QL-6 3 1/2"Reg M 3E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'Resumen stock2022'!$E$3:$BD$3</c:f>
              <c:numCache>
                <c:formatCode>m/d/yyyy</c:formatCode>
                <c:ptCount val="52"/>
                <c:pt idx="0">
                  <c:v>44634</c:v>
                </c:pt>
                <c:pt idx="1">
                  <c:v>44641</c:v>
                </c:pt>
                <c:pt idx="2">
                  <c:v>44648</c:v>
                </c:pt>
                <c:pt idx="3">
                  <c:v>44655</c:v>
                </c:pt>
                <c:pt idx="4">
                  <c:v>44662</c:v>
                </c:pt>
                <c:pt idx="5">
                  <c:v>44669</c:v>
                </c:pt>
                <c:pt idx="6">
                  <c:v>44676</c:v>
                </c:pt>
                <c:pt idx="7">
                  <c:v>44683</c:v>
                </c:pt>
                <c:pt idx="8">
                  <c:v>44690</c:v>
                </c:pt>
                <c:pt idx="9">
                  <c:v>44697</c:v>
                </c:pt>
                <c:pt idx="10">
                  <c:v>44704</c:v>
                </c:pt>
                <c:pt idx="11">
                  <c:v>44711</c:v>
                </c:pt>
                <c:pt idx="12">
                  <c:v>44718</c:v>
                </c:pt>
                <c:pt idx="13">
                  <c:v>44725</c:v>
                </c:pt>
                <c:pt idx="14">
                  <c:v>44732</c:v>
                </c:pt>
                <c:pt idx="15">
                  <c:v>44739</c:v>
                </c:pt>
                <c:pt idx="16">
                  <c:v>44746</c:v>
                </c:pt>
                <c:pt idx="17">
                  <c:v>44753</c:v>
                </c:pt>
                <c:pt idx="18">
                  <c:v>44760</c:v>
                </c:pt>
                <c:pt idx="19">
                  <c:v>44767</c:v>
                </c:pt>
                <c:pt idx="20">
                  <c:v>44774</c:v>
                </c:pt>
                <c:pt idx="21">
                  <c:v>44781</c:v>
                </c:pt>
                <c:pt idx="22">
                  <c:v>44788</c:v>
                </c:pt>
                <c:pt idx="23">
                  <c:v>44795</c:v>
                </c:pt>
                <c:pt idx="24">
                  <c:v>44802</c:v>
                </c:pt>
                <c:pt idx="25">
                  <c:v>44809</c:v>
                </c:pt>
                <c:pt idx="26">
                  <c:v>44816</c:v>
                </c:pt>
                <c:pt idx="27">
                  <c:v>44823</c:v>
                </c:pt>
                <c:pt idx="28">
                  <c:v>44830</c:v>
                </c:pt>
                <c:pt idx="29">
                  <c:v>44837</c:v>
                </c:pt>
                <c:pt idx="30">
                  <c:v>44844</c:v>
                </c:pt>
                <c:pt idx="31">
                  <c:v>44851</c:v>
                </c:pt>
                <c:pt idx="32">
                  <c:v>44872</c:v>
                </c:pt>
                <c:pt idx="33">
                  <c:v>44893</c:v>
                </c:pt>
                <c:pt idx="34">
                  <c:v>44900</c:v>
                </c:pt>
                <c:pt idx="35">
                  <c:v>44907</c:v>
                </c:pt>
                <c:pt idx="36">
                  <c:v>44914</c:v>
                </c:pt>
                <c:pt idx="37">
                  <c:v>44928</c:v>
                </c:pt>
                <c:pt idx="38">
                  <c:v>44935</c:v>
                </c:pt>
                <c:pt idx="39">
                  <c:v>44942</c:v>
                </c:pt>
                <c:pt idx="40">
                  <c:v>44949</c:v>
                </c:pt>
                <c:pt idx="41">
                  <c:v>44956</c:v>
                </c:pt>
                <c:pt idx="42">
                  <c:v>44963</c:v>
                </c:pt>
                <c:pt idx="43">
                  <c:v>44980</c:v>
                </c:pt>
                <c:pt idx="44">
                  <c:v>44998</c:v>
                </c:pt>
                <c:pt idx="45">
                  <c:v>45012</c:v>
                </c:pt>
                <c:pt idx="46">
                  <c:v>45019</c:v>
                </c:pt>
                <c:pt idx="47">
                  <c:v>45026</c:v>
                </c:pt>
                <c:pt idx="48">
                  <c:v>45040</c:v>
                </c:pt>
                <c:pt idx="49">
                  <c:v>45047</c:v>
                </c:pt>
                <c:pt idx="50">
                  <c:v>45054</c:v>
                </c:pt>
                <c:pt idx="51">
                  <c:v>45061</c:v>
                </c:pt>
              </c:numCache>
            </c:numRef>
          </c:cat>
          <c:val>
            <c:numRef>
              <c:f>'Resumen stock2022'!$E$4:$BE$4</c:f>
              <c:numCache>
                <c:formatCode>General</c:formatCode>
                <c:ptCount val="53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5</c:v>
                </c:pt>
                <c:pt idx="6">
                  <c:v>5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6</c:v>
                </c:pt>
                <c:pt idx="23">
                  <c:v>7</c:v>
                </c:pt>
                <c:pt idx="24">
                  <c:v>7</c:v>
                </c:pt>
                <c:pt idx="25">
                  <c:v>6</c:v>
                </c:pt>
                <c:pt idx="26">
                  <c:v>9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5</c:v>
                </c:pt>
                <c:pt idx="32">
                  <c:v>5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2</c:v>
                </c:pt>
                <c:pt idx="43">
                  <c:v>15</c:v>
                </c:pt>
                <c:pt idx="44">
                  <c:v>15</c:v>
                </c:pt>
                <c:pt idx="45">
                  <c:v>15</c:v>
                </c:pt>
                <c:pt idx="46">
                  <c:v>15</c:v>
                </c:pt>
                <c:pt idx="47">
                  <c:v>15</c:v>
                </c:pt>
                <c:pt idx="48">
                  <c:v>13</c:v>
                </c:pt>
                <c:pt idx="49">
                  <c:v>13</c:v>
                </c:pt>
                <c:pt idx="50">
                  <c:v>13</c:v>
                </c:pt>
                <c:pt idx="51">
                  <c:v>13</c:v>
                </c:pt>
                <c:pt idx="52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F4-4C69-9DC5-C5B3896F5BE9}"/>
            </c:ext>
          </c:extLst>
        </c:ser>
        <c:ser>
          <c:idx val="1"/>
          <c:order val="1"/>
          <c:tx>
            <c:strRef>
              <c:f>'Resumen stock2022'!$D$5</c:f>
              <c:strCache>
                <c:ptCount val="1"/>
                <c:pt idx="0">
                  <c:v>Bit QL-6 Ø6 1/2" Cara Plana Welding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'Resumen stock2022'!$E$3:$BD$3</c:f>
              <c:numCache>
                <c:formatCode>m/d/yyyy</c:formatCode>
                <c:ptCount val="52"/>
                <c:pt idx="0">
                  <c:v>44634</c:v>
                </c:pt>
                <c:pt idx="1">
                  <c:v>44641</c:v>
                </c:pt>
                <c:pt idx="2">
                  <c:v>44648</c:v>
                </c:pt>
                <c:pt idx="3">
                  <c:v>44655</c:v>
                </c:pt>
                <c:pt idx="4">
                  <c:v>44662</c:v>
                </c:pt>
                <c:pt idx="5">
                  <c:v>44669</c:v>
                </c:pt>
                <c:pt idx="6">
                  <c:v>44676</c:v>
                </c:pt>
                <c:pt idx="7">
                  <c:v>44683</c:v>
                </c:pt>
                <c:pt idx="8">
                  <c:v>44690</c:v>
                </c:pt>
                <c:pt idx="9">
                  <c:v>44697</c:v>
                </c:pt>
                <c:pt idx="10">
                  <c:v>44704</c:v>
                </c:pt>
                <c:pt idx="11">
                  <c:v>44711</c:v>
                </c:pt>
                <c:pt idx="12">
                  <c:v>44718</c:v>
                </c:pt>
                <c:pt idx="13">
                  <c:v>44725</c:v>
                </c:pt>
                <c:pt idx="14">
                  <c:v>44732</c:v>
                </c:pt>
                <c:pt idx="15">
                  <c:v>44739</c:v>
                </c:pt>
                <c:pt idx="16">
                  <c:v>44746</c:v>
                </c:pt>
                <c:pt idx="17">
                  <c:v>44753</c:v>
                </c:pt>
                <c:pt idx="18">
                  <c:v>44760</c:v>
                </c:pt>
                <c:pt idx="19">
                  <c:v>44767</c:v>
                </c:pt>
                <c:pt idx="20">
                  <c:v>44774</c:v>
                </c:pt>
                <c:pt idx="21">
                  <c:v>44781</c:v>
                </c:pt>
                <c:pt idx="22">
                  <c:v>44788</c:v>
                </c:pt>
                <c:pt idx="23">
                  <c:v>44795</c:v>
                </c:pt>
                <c:pt idx="24">
                  <c:v>44802</c:v>
                </c:pt>
                <c:pt idx="25">
                  <c:v>44809</c:v>
                </c:pt>
                <c:pt idx="26">
                  <c:v>44816</c:v>
                </c:pt>
                <c:pt idx="27">
                  <c:v>44823</c:v>
                </c:pt>
                <c:pt idx="28">
                  <c:v>44830</c:v>
                </c:pt>
                <c:pt idx="29">
                  <c:v>44837</c:v>
                </c:pt>
                <c:pt idx="30">
                  <c:v>44844</c:v>
                </c:pt>
                <c:pt idx="31">
                  <c:v>44851</c:v>
                </c:pt>
                <c:pt idx="32">
                  <c:v>44872</c:v>
                </c:pt>
                <c:pt idx="33">
                  <c:v>44893</c:v>
                </c:pt>
                <c:pt idx="34">
                  <c:v>44900</c:v>
                </c:pt>
                <c:pt idx="35">
                  <c:v>44907</c:v>
                </c:pt>
                <c:pt idx="36">
                  <c:v>44914</c:v>
                </c:pt>
                <c:pt idx="37">
                  <c:v>44928</c:v>
                </c:pt>
                <c:pt idx="38">
                  <c:v>44935</c:v>
                </c:pt>
                <c:pt idx="39">
                  <c:v>44942</c:v>
                </c:pt>
                <c:pt idx="40">
                  <c:v>44949</c:v>
                </c:pt>
                <c:pt idx="41">
                  <c:v>44956</c:v>
                </c:pt>
                <c:pt idx="42">
                  <c:v>44963</c:v>
                </c:pt>
                <c:pt idx="43">
                  <c:v>44980</c:v>
                </c:pt>
                <c:pt idx="44">
                  <c:v>44998</c:v>
                </c:pt>
                <c:pt idx="45">
                  <c:v>45012</c:v>
                </c:pt>
                <c:pt idx="46">
                  <c:v>45019</c:v>
                </c:pt>
                <c:pt idx="47">
                  <c:v>45026</c:v>
                </c:pt>
                <c:pt idx="48">
                  <c:v>45040</c:v>
                </c:pt>
                <c:pt idx="49">
                  <c:v>45047</c:v>
                </c:pt>
                <c:pt idx="50">
                  <c:v>45054</c:v>
                </c:pt>
                <c:pt idx="51">
                  <c:v>45061</c:v>
                </c:pt>
              </c:numCache>
            </c:numRef>
          </c:cat>
          <c:val>
            <c:numRef>
              <c:f>'Resumen stock2022'!$E$5:$BE$5</c:f>
              <c:numCache>
                <c:formatCode>General</c:formatCode>
                <c:ptCount val="53"/>
                <c:pt idx="0">
                  <c:v>5</c:v>
                </c:pt>
                <c:pt idx="1">
                  <c:v>3</c:v>
                </c:pt>
                <c:pt idx="2">
                  <c:v>0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10</c:v>
                </c:pt>
                <c:pt idx="8">
                  <c:v>8</c:v>
                </c:pt>
                <c:pt idx="9">
                  <c:v>12</c:v>
                </c:pt>
                <c:pt idx="10">
                  <c:v>14</c:v>
                </c:pt>
                <c:pt idx="11">
                  <c:v>14</c:v>
                </c:pt>
                <c:pt idx="12">
                  <c:v>12</c:v>
                </c:pt>
                <c:pt idx="13">
                  <c:v>12</c:v>
                </c:pt>
                <c:pt idx="14">
                  <c:v>14</c:v>
                </c:pt>
                <c:pt idx="15">
                  <c:v>16</c:v>
                </c:pt>
                <c:pt idx="16">
                  <c:v>14</c:v>
                </c:pt>
                <c:pt idx="17">
                  <c:v>16</c:v>
                </c:pt>
                <c:pt idx="18">
                  <c:v>19</c:v>
                </c:pt>
                <c:pt idx="19">
                  <c:v>19</c:v>
                </c:pt>
                <c:pt idx="20">
                  <c:v>17</c:v>
                </c:pt>
                <c:pt idx="21">
                  <c:v>17</c:v>
                </c:pt>
                <c:pt idx="22">
                  <c:v>16</c:v>
                </c:pt>
                <c:pt idx="23">
                  <c:v>16</c:v>
                </c:pt>
                <c:pt idx="24">
                  <c:v>13</c:v>
                </c:pt>
                <c:pt idx="25">
                  <c:v>11</c:v>
                </c:pt>
                <c:pt idx="26">
                  <c:v>9</c:v>
                </c:pt>
                <c:pt idx="27">
                  <c:v>9</c:v>
                </c:pt>
                <c:pt idx="28">
                  <c:v>20</c:v>
                </c:pt>
                <c:pt idx="29">
                  <c:v>20</c:v>
                </c:pt>
                <c:pt idx="30">
                  <c:v>35</c:v>
                </c:pt>
                <c:pt idx="31">
                  <c:v>35</c:v>
                </c:pt>
                <c:pt idx="32">
                  <c:v>39</c:v>
                </c:pt>
                <c:pt idx="33">
                  <c:v>35</c:v>
                </c:pt>
                <c:pt idx="34">
                  <c:v>27</c:v>
                </c:pt>
                <c:pt idx="35">
                  <c:v>27</c:v>
                </c:pt>
                <c:pt idx="36">
                  <c:v>27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18</c:v>
                </c:pt>
                <c:pt idx="41">
                  <c:v>18</c:v>
                </c:pt>
                <c:pt idx="42">
                  <c:v>20</c:v>
                </c:pt>
                <c:pt idx="43">
                  <c:v>22</c:v>
                </c:pt>
                <c:pt idx="44">
                  <c:v>42</c:v>
                </c:pt>
                <c:pt idx="45">
                  <c:v>42</c:v>
                </c:pt>
                <c:pt idx="46">
                  <c:v>42</c:v>
                </c:pt>
                <c:pt idx="47">
                  <c:v>42</c:v>
                </c:pt>
                <c:pt idx="48">
                  <c:v>36</c:v>
                </c:pt>
                <c:pt idx="49">
                  <c:v>46</c:v>
                </c:pt>
                <c:pt idx="50">
                  <c:v>46</c:v>
                </c:pt>
                <c:pt idx="51">
                  <c:v>46</c:v>
                </c:pt>
                <c:pt idx="52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F4-4C69-9DC5-C5B3896F5BE9}"/>
            </c:ext>
          </c:extLst>
        </c:ser>
        <c:ser>
          <c:idx val="2"/>
          <c:order val="2"/>
          <c:tx>
            <c:strRef>
              <c:f>'Resumen stock2022'!$D$6</c:f>
              <c:strCache>
                <c:ptCount val="1"/>
                <c:pt idx="0">
                  <c:v>P6-8 Amort. HD 3 1/2" ATSM x 3 1/2" RegH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'Resumen stock2022'!$E$3:$BD$3</c:f>
              <c:numCache>
                <c:formatCode>m/d/yyyy</c:formatCode>
                <c:ptCount val="52"/>
                <c:pt idx="0">
                  <c:v>44634</c:v>
                </c:pt>
                <c:pt idx="1">
                  <c:v>44641</c:v>
                </c:pt>
                <c:pt idx="2">
                  <c:v>44648</c:v>
                </c:pt>
                <c:pt idx="3">
                  <c:v>44655</c:v>
                </c:pt>
                <c:pt idx="4">
                  <c:v>44662</c:v>
                </c:pt>
                <c:pt idx="5">
                  <c:v>44669</c:v>
                </c:pt>
                <c:pt idx="6">
                  <c:v>44676</c:v>
                </c:pt>
                <c:pt idx="7">
                  <c:v>44683</c:v>
                </c:pt>
                <c:pt idx="8">
                  <c:v>44690</c:v>
                </c:pt>
                <c:pt idx="9">
                  <c:v>44697</c:v>
                </c:pt>
                <c:pt idx="10">
                  <c:v>44704</c:v>
                </c:pt>
                <c:pt idx="11">
                  <c:v>44711</c:v>
                </c:pt>
                <c:pt idx="12">
                  <c:v>44718</c:v>
                </c:pt>
                <c:pt idx="13">
                  <c:v>44725</c:v>
                </c:pt>
                <c:pt idx="14">
                  <c:v>44732</c:v>
                </c:pt>
                <c:pt idx="15">
                  <c:v>44739</c:v>
                </c:pt>
                <c:pt idx="16">
                  <c:v>44746</c:v>
                </c:pt>
                <c:pt idx="17">
                  <c:v>44753</c:v>
                </c:pt>
                <c:pt idx="18">
                  <c:v>44760</c:v>
                </c:pt>
                <c:pt idx="19">
                  <c:v>44767</c:v>
                </c:pt>
                <c:pt idx="20">
                  <c:v>44774</c:v>
                </c:pt>
                <c:pt idx="21">
                  <c:v>44781</c:v>
                </c:pt>
                <c:pt idx="22">
                  <c:v>44788</c:v>
                </c:pt>
                <c:pt idx="23">
                  <c:v>44795</c:v>
                </c:pt>
                <c:pt idx="24">
                  <c:v>44802</c:v>
                </c:pt>
                <c:pt idx="25">
                  <c:v>44809</c:v>
                </c:pt>
                <c:pt idx="26">
                  <c:v>44816</c:v>
                </c:pt>
                <c:pt idx="27">
                  <c:v>44823</c:v>
                </c:pt>
                <c:pt idx="28">
                  <c:v>44830</c:v>
                </c:pt>
                <c:pt idx="29">
                  <c:v>44837</c:v>
                </c:pt>
                <c:pt idx="30">
                  <c:v>44844</c:v>
                </c:pt>
                <c:pt idx="31">
                  <c:v>44851</c:v>
                </c:pt>
                <c:pt idx="32">
                  <c:v>44872</c:v>
                </c:pt>
                <c:pt idx="33">
                  <c:v>44893</c:v>
                </c:pt>
                <c:pt idx="34">
                  <c:v>44900</c:v>
                </c:pt>
                <c:pt idx="35">
                  <c:v>44907</c:v>
                </c:pt>
                <c:pt idx="36">
                  <c:v>44914</c:v>
                </c:pt>
                <c:pt idx="37">
                  <c:v>44928</c:v>
                </c:pt>
                <c:pt idx="38">
                  <c:v>44935</c:v>
                </c:pt>
                <c:pt idx="39">
                  <c:v>44942</c:v>
                </c:pt>
                <c:pt idx="40">
                  <c:v>44949</c:v>
                </c:pt>
                <c:pt idx="41">
                  <c:v>44956</c:v>
                </c:pt>
                <c:pt idx="42">
                  <c:v>44963</c:v>
                </c:pt>
                <c:pt idx="43">
                  <c:v>44980</c:v>
                </c:pt>
                <c:pt idx="44">
                  <c:v>44998</c:v>
                </c:pt>
                <c:pt idx="45">
                  <c:v>45012</c:v>
                </c:pt>
                <c:pt idx="46">
                  <c:v>45019</c:v>
                </c:pt>
                <c:pt idx="47">
                  <c:v>45026</c:v>
                </c:pt>
                <c:pt idx="48">
                  <c:v>45040</c:v>
                </c:pt>
                <c:pt idx="49">
                  <c:v>45047</c:v>
                </c:pt>
                <c:pt idx="50">
                  <c:v>45054</c:v>
                </c:pt>
                <c:pt idx="51">
                  <c:v>45061</c:v>
                </c:pt>
              </c:numCache>
            </c:numRef>
          </c:cat>
          <c:val>
            <c:numRef>
              <c:f>'Resumen stock2022'!$E$6:$BE$6</c:f>
              <c:numCache>
                <c:formatCode>General</c:formatCode>
                <c:ptCount val="53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F4-4C69-9DC5-C5B3896F5BE9}"/>
            </c:ext>
          </c:extLst>
        </c:ser>
        <c:ser>
          <c:idx val="3"/>
          <c:order val="3"/>
          <c:tx>
            <c:strRef>
              <c:f>'Resumen stock2022'!$D$7</c:f>
              <c:strCache>
                <c:ptCount val="1"/>
                <c:pt idx="0">
                  <c:v>Ø114.3 3 beco M x 3 beco H L=305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'Resumen stock2022'!$E$3:$BD$3</c:f>
              <c:numCache>
                <c:formatCode>m/d/yyyy</c:formatCode>
                <c:ptCount val="52"/>
                <c:pt idx="0">
                  <c:v>44634</c:v>
                </c:pt>
                <c:pt idx="1">
                  <c:v>44641</c:v>
                </c:pt>
                <c:pt idx="2">
                  <c:v>44648</c:v>
                </c:pt>
                <c:pt idx="3">
                  <c:v>44655</c:v>
                </c:pt>
                <c:pt idx="4">
                  <c:v>44662</c:v>
                </c:pt>
                <c:pt idx="5">
                  <c:v>44669</c:v>
                </c:pt>
                <c:pt idx="6">
                  <c:v>44676</c:v>
                </c:pt>
                <c:pt idx="7">
                  <c:v>44683</c:v>
                </c:pt>
                <c:pt idx="8">
                  <c:v>44690</c:v>
                </c:pt>
                <c:pt idx="9">
                  <c:v>44697</c:v>
                </c:pt>
                <c:pt idx="10">
                  <c:v>44704</c:v>
                </c:pt>
                <c:pt idx="11">
                  <c:v>44711</c:v>
                </c:pt>
                <c:pt idx="12">
                  <c:v>44718</c:v>
                </c:pt>
                <c:pt idx="13">
                  <c:v>44725</c:v>
                </c:pt>
                <c:pt idx="14">
                  <c:v>44732</c:v>
                </c:pt>
                <c:pt idx="15">
                  <c:v>44739</c:v>
                </c:pt>
                <c:pt idx="16">
                  <c:v>44746</c:v>
                </c:pt>
                <c:pt idx="17">
                  <c:v>44753</c:v>
                </c:pt>
                <c:pt idx="18">
                  <c:v>44760</c:v>
                </c:pt>
                <c:pt idx="19">
                  <c:v>44767</c:v>
                </c:pt>
                <c:pt idx="20">
                  <c:v>44774</c:v>
                </c:pt>
                <c:pt idx="21">
                  <c:v>44781</c:v>
                </c:pt>
                <c:pt idx="22">
                  <c:v>44788</c:v>
                </c:pt>
                <c:pt idx="23">
                  <c:v>44795</c:v>
                </c:pt>
                <c:pt idx="24">
                  <c:v>44802</c:v>
                </c:pt>
                <c:pt idx="25">
                  <c:v>44809</c:v>
                </c:pt>
                <c:pt idx="26">
                  <c:v>44816</c:v>
                </c:pt>
                <c:pt idx="27">
                  <c:v>44823</c:v>
                </c:pt>
                <c:pt idx="28">
                  <c:v>44830</c:v>
                </c:pt>
                <c:pt idx="29">
                  <c:v>44837</c:v>
                </c:pt>
                <c:pt idx="30">
                  <c:v>44844</c:v>
                </c:pt>
                <c:pt idx="31">
                  <c:v>44851</c:v>
                </c:pt>
                <c:pt idx="32">
                  <c:v>44872</c:v>
                </c:pt>
                <c:pt idx="33">
                  <c:v>44893</c:v>
                </c:pt>
                <c:pt idx="34">
                  <c:v>44900</c:v>
                </c:pt>
                <c:pt idx="35">
                  <c:v>44907</c:v>
                </c:pt>
                <c:pt idx="36">
                  <c:v>44914</c:v>
                </c:pt>
                <c:pt idx="37">
                  <c:v>44928</c:v>
                </c:pt>
                <c:pt idx="38">
                  <c:v>44935</c:v>
                </c:pt>
                <c:pt idx="39">
                  <c:v>44942</c:v>
                </c:pt>
                <c:pt idx="40">
                  <c:v>44949</c:v>
                </c:pt>
                <c:pt idx="41">
                  <c:v>44956</c:v>
                </c:pt>
                <c:pt idx="42">
                  <c:v>44963</c:v>
                </c:pt>
                <c:pt idx="43">
                  <c:v>44980</c:v>
                </c:pt>
                <c:pt idx="44">
                  <c:v>44998</c:v>
                </c:pt>
                <c:pt idx="45">
                  <c:v>45012</c:v>
                </c:pt>
                <c:pt idx="46">
                  <c:v>45019</c:v>
                </c:pt>
                <c:pt idx="47">
                  <c:v>45026</c:v>
                </c:pt>
                <c:pt idx="48">
                  <c:v>45040</c:v>
                </c:pt>
                <c:pt idx="49">
                  <c:v>45047</c:v>
                </c:pt>
                <c:pt idx="50">
                  <c:v>45054</c:v>
                </c:pt>
                <c:pt idx="51">
                  <c:v>45061</c:v>
                </c:pt>
              </c:numCache>
            </c:numRef>
          </c:cat>
          <c:val>
            <c:numRef>
              <c:f>'Resumen stock2022'!$E$7:$BE$7</c:f>
              <c:numCache>
                <c:formatCode>General</c:formatCode>
                <c:ptCount val="53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5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5</c:v>
                </c:pt>
                <c:pt idx="33">
                  <c:v>4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F4-4C69-9DC5-C5B3896F5BE9}"/>
            </c:ext>
          </c:extLst>
        </c:ser>
        <c:ser>
          <c:idx val="4"/>
          <c:order val="4"/>
          <c:tx>
            <c:strRef>
              <c:f>'Resumen stock2022'!$D$8</c:f>
              <c:strCache>
                <c:ptCount val="1"/>
                <c:pt idx="0">
                  <c:v>Barras 4 ½ x 6000mm x 6.35 3 beco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'Resumen stock2022'!$E$3:$BD$3</c:f>
              <c:numCache>
                <c:formatCode>m/d/yyyy</c:formatCode>
                <c:ptCount val="52"/>
                <c:pt idx="0">
                  <c:v>44634</c:v>
                </c:pt>
                <c:pt idx="1">
                  <c:v>44641</c:v>
                </c:pt>
                <c:pt idx="2">
                  <c:v>44648</c:v>
                </c:pt>
                <c:pt idx="3">
                  <c:v>44655</c:v>
                </c:pt>
                <c:pt idx="4">
                  <c:v>44662</c:v>
                </c:pt>
                <c:pt idx="5">
                  <c:v>44669</c:v>
                </c:pt>
                <c:pt idx="6">
                  <c:v>44676</c:v>
                </c:pt>
                <c:pt idx="7">
                  <c:v>44683</c:v>
                </c:pt>
                <c:pt idx="8">
                  <c:v>44690</c:v>
                </c:pt>
                <c:pt idx="9">
                  <c:v>44697</c:v>
                </c:pt>
                <c:pt idx="10">
                  <c:v>44704</c:v>
                </c:pt>
                <c:pt idx="11">
                  <c:v>44711</c:v>
                </c:pt>
                <c:pt idx="12">
                  <c:v>44718</c:v>
                </c:pt>
                <c:pt idx="13">
                  <c:v>44725</c:v>
                </c:pt>
                <c:pt idx="14">
                  <c:v>44732</c:v>
                </c:pt>
                <c:pt idx="15">
                  <c:v>44739</c:v>
                </c:pt>
                <c:pt idx="16">
                  <c:v>44746</c:v>
                </c:pt>
                <c:pt idx="17">
                  <c:v>44753</c:v>
                </c:pt>
                <c:pt idx="18">
                  <c:v>44760</c:v>
                </c:pt>
                <c:pt idx="19">
                  <c:v>44767</c:v>
                </c:pt>
                <c:pt idx="20">
                  <c:v>44774</c:v>
                </c:pt>
                <c:pt idx="21">
                  <c:v>44781</c:v>
                </c:pt>
                <c:pt idx="22">
                  <c:v>44788</c:v>
                </c:pt>
                <c:pt idx="23">
                  <c:v>44795</c:v>
                </c:pt>
                <c:pt idx="24">
                  <c:v>44802</c:v>
                </c:pt>
                <c:pt idx="25">
                  <c:v>44809</c:v>
                </c:pt>
                <c:pt idx="26">
                  <c:v>44816</c:v>
                </c:pt>
                <c:pt idx="27">
                  <c:v>44823</c:v>
                </c:pt>
                <c:pt idx="28">
                  <c:v>44830</c:v>
                </c:pt>
                <c:pt idx="29">
                  <c:v>44837</c:v>
                </c:pt>
                <c:pt idx="30">
                  <c:v>44844</c:v>
                </c:pt>
                <c:pt idx="31">
                  <c:v>44851</c:v>
                </c:pt>
                <c:pt idx="32">
                  <c:v>44872</c:v>
                </c:pt>
                <c:pt idx="33">
                  <c:v>44893</c:v>
                </c:pt>
                <c:pt idx="34">
                  <c:v>44900</c:v>
                </c:pt>
                <c:pt idx="35">
                  <c:v>44907</c:v>
                </c:pt>
                <c:pt idx="36">
                  <c:v>44914</c:v>
                </c:pt>
                <c:pt idx="37">
                  <c:v>44928</c:v>
                </c:pt>
                <c:pt idx="38">
                  <c:v>44935</c:v>
                </c:pt>
                <c:pt idx="39">
                  <c:v>44942</c:v>
                </c:pt>
                <c:pt idx="40">
                  <c:v>44949</c:v>
                </c:pt>
                <c:pt idx="41">
                  <c:v>44956</c:v>
                </c:pt>
                <c:pt idx="42">
                  <c:v>44963</c:v>
                </c:pt>
                <c:pt idx="43">
                  <c:v>44980</c:v>
                </c:pt>
                <c:pt idx="44">
                  <c:v>44998</c:v>
                </c:pt>
                <c:pt idx="45">
                  <c:v>45012</c:v>
                </c:pt>
                <c:pt idx="46">
                  <c:v>45019</c:v>
                </c:pt>
                <c:pt idx="47">
                  <c:v>45026</c:v>
                </c:pt>
                <c:pt idx="48">
                  <c:v>45040</c:v>
                </c:pt>
                <c:pt idx="49">
                  <c:v>45047</c:v>
                </c:pt>
                <c:pt idx="50">
                  <c:v>45054</c:v>
                </c:pt>
                <c:pt idx="51">
                  <c:v>45061</c:v>
                </c:pt>
              </c:numCache>
            </c:numRef>
          </c:cat>
          <c:val>
            <c:numRef>
              <c:f>'Resumen stock2022'!$E$8:$BE$8</c:f>
              <c:numCache>
                <c:formatCode>General</c:formatCode>
                <c:ptCount val="5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15</c:v>
                </c:pt>
                <c:pt idx="5">
                  <c:v>17</c:v>
                </c:pt>
                <c:pt idx="6">
                  <c:v>17</c:v>
                </c:pt>
                <c:pt idx="7">
                  <c:v>17</c:v>
                </c:pt>
                <c:pt idx="8">
                  <c:v>17</c:v>
                </c:pt>
                <c:pt idx="9">
                  <c:v>17</c:v>
                </c:pt>
                <c:pt idx="10">
                  <c:v>13</c:v>
                </c:pt>
                <c:pt idx="11">
                  <c:v>13</c:v>
                </c:pt>
                <c:pt idx="12">
                  <c:v>13</c:v>
                </c:pt>
                <c:pt idx="13">
                  <c:v>18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16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7</c:v>
                </c:pt>
                <c:pt idx="52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FF4-4C69-9DC5-C5B3896F5BE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91622240"/>
        <c:axId val="691622632"/>
      </c:lineChart>
      <c:dateAx>
        <c:axId val="6916222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91622632"/>
        <c:crosses val="autoZero"/>
        <c:auto val="1"/>
        <c:lblOffset val="100"/>
        <c:baseTimeUnit val="days"/>
      </c:dateAx>
      <c:valAx>
        <c:axId val="691622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916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9.1454447868024882E-2"/>
          <c:y val="0.11580871464156961"/>
          <c:w val="0.30959365296909913"/>
          <c:h val="0.256981514607419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'CONSUMO 2023'!$C$21</c:f>
              <c:strCache>
                <c:ptCount val="1"/>
                <c:pt idx="0">
                  <c:v>P-08</c:v>
                </c:pt>
              </c:strCache>
            </c:strRef>
          </c:tx>
          <c:spPr>
            <a:gradFill>
              <a:gsLst>
                <a:gs pos="100000">
                  <a:srgbClr val="F7D1F5">
                    <a:lumMod val="94000"/>
                  </a:srgbClr>
                </a:gs>
                <a:gs pos="0">
                  <a:srgbClr val="7030A0"/>
                </a:gs>
              </a:gsLst>
              <a:lin ang="5400000" scaled="1"/>
            </a:gra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'CONSUMO 2023'!$P$20:$S$20</c:f>
              <c:numCache>
                <c:formatCode>mmm\-yy</c:formatCode>
                <c:ptCount val="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</c:numCache>
            </c:numRef>
          </c:cat>
          <c:val>
            <c:numRef>
              <c:f>'CONSUMO 2023'!$P$21:$S$21</c:f>
              <c:numCache>
                <c:formatCode>#,##0</c:formatCode>
                <c:ptCount val="4"/>
                <c:pt idx="0">
                  <c:v>7699</c:v>
                </c:pt>
                <c:pt idx="1">
                  <c:v>7543</c:v>
                </c:pt>
                <c:pt idx="2">
                  <c:v>12878</c:v>
                </c:pt>
                <c:pt idx="3">
                  <c:v>6131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D3-4477-82F5-09146104DA3B}"/>
            </c:ext>
          </c:extLst>
        </c:ser>
        <c:ser>
          <c:idx val="1"/>
          <c:order val="1"/>
          <c:tx>
            <c:strRef>
              <c:f>'CONSUMO 2023'!$C$22</c:f>
              <c:strCache>
                <c:ptCount val="1"/>
                <c:pt idx="0">
                  <c:v>P-11</c:v>
                </c:pt>
              </c:strCache>
            </c:strRef>
          </c:tx>
          <c:spPr>
            <a:gradFill>
              <a:gsLst>
                <a:gs pos="100000">
                  <a:schemeClr val="accent1">
                    <a:lumMod val="20000"/>
                    <a:lumOff val="80000"/>
                  </a:schemeClr>
                </a:gs>
                <a:gs pos="0">
                  <a:schemeClr val="accent1">
                    <a:lumMod val="75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'CONSUMO 2023'!$P$20:$S$20</c:f>
              <c:numCache>
                <c:formatCode>mmm\-yy</c:formatCode>
                <c:ptCount val="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</c:numCache>
            </c:numRef>
          </c:cat>
          <c:val>
            <c:numRef>
              <c:f>'CONSUMO 2023'!$P$22:$S$22</c:f>
              <c:numCache>
                <c:formatCode>#,##0</c:formatCode>
                <c:ptCount val="4"/>
                <c:pt idx="0">
                  <c:v>9274</c:v>
                </c:pt>
                <c:pt idx="1">
                  <c:v>7952</c:v>
                </c:pt>
                <c:pt idx="2">
                  <c:v>6271</c:v>
                </c:pt>
                <c:pt idx="3">
                  <c:v>8116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D3-4477-82F5-09146104D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11443520"/>
        <c:axId val="711444176"/>
      </c:barChart>
      <c:lineChart>
        <c:grouping val="standard"/>
        <c:varyColors val="0"/>
        <c:ser>
          <c:idx val="2"/>
          <c:order val="2"/>
          <c:tx>
            <c:strRef>
              <c:f>'CONSUMO 2023'!$C$23</c:f>
              <c:strCache>
                <c:ptCount val="1"/>
                <c:pt idx="0">
                  <c:v>Total</c:v>
                </c:pt>
              </c:strCache>
            </c:strRef>
          </c:tx>
          <c:spPr>
            <a:ln w="158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'CONSUMO 2023'!$P$20:$R$20</c:f>
              <c:numCache>
                <c:formatCode>mmm\-yy</c:formatCode>
                <c:ptCount val="3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</c:numCache>
            </c:numRef>
          </c:cat>
          <c:val>
            <c:numRef>
              <c:f>'CONSUMO 2023'!$P$23:$S$23</c:f>
              <c:numCache>
                <c:formatCode>#,##0</c:formatCode>
                <c:ptCount val="4"/>
                <c:pt idx="0">
                  <c:v>16973</c:v>
                </c:pt>
                <c:pt idx="1">
                  <c:v>15495</c:v>
                </c:pt>
                <c:pt idx="2">
                  <c:v>19149</c:v>
                </c:pt>
                <c:pt idx="3">
                  <c:v>14247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CD3-4477-82F5-09146104D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1443520"/>
        <c:axId val="711444176"/>
      </c:lineChart>
      <c:dateAx>
        <c:axId val="7114435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11444176"/>
        <c:crosses val="autoZero"/>
        <c:auto val="1"/>
        <c:lblOffset val="100"/>
        <c:baseTimeUnit val="months"/>
      </c:dateAx>
      <c:valAx>
        <c:axId val="71144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11443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'CONSUMO 2024'!$C$80</c:f>
              <c:strCache>
                <c:ptCount val="1"/>
                <c:pt idx="0">
                  <c:v>P-08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75000"/>
                  </a:schemeClr>
                </a:gs>
                <a:gs pos="100000">
                  <a:schemeClr val="accent6">
                    <a:lumMod val="20000"/>
                    <a:lumOff val="8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'CONSUMO 2024'!$K$79:$M$79</c:f>
              <c:numCache>
                <c:formatCode>mmm\-yy</c:formatCode>
                <c:ptCount val="3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</c:numCache>
            </c:numRef>
          </c:cat>
          <c:val>
            <c:numRef>
              <c:f>'CONSUMO 2024'!$K$80:$M$80</c:f>
              <c:numCache>
                <c:formatCode>#,##0</c:formatCode>
                <c:ptCount val="3"/>
                <c:pt idx="0">
                  <c:v>9256</c:v>
                </c:pt>
                <c:pt idx="1">
                  <c:v>4121</c:v>
                </c:pt>
                <c:pt idx="2">
                  <c:v>1158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49-4B1A-8E74-D7C081264940}"/>
            </c:ext>
          </c:extLst>
        </c:ser>
        <c:ser>
          <c:idx val="1"/>
          <c:order val="1"/>
          <c:tx>
            <c:strRef>
              <c:f>'CONSUMO 2024'!$C$81</c:f>
              <c:strCache>
                <c:ptCount val="1"/>
                <c:pt idx="0">
                  <c:v>P-11</c:v>
                </c:pt>
              </c:strCache>
            </c:strRef>
          </c:tx>
          <c:spPr>
            <a:gradFill>
              <a:gsLst>
                <a:gs pos="100000">
                  <a:schemeClr val="accent1">
                    <a:lumMod val="20000"/>
                    <a:lumOff val="80000"/>
                  </a:schemeClr>
                </a:gs>
                <a:gs pos="0">
                  <a:schemeClr val="accent1">
                    <a:lumMod val="75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'CONSUMO 2024'!$K$79:$M$79</c:f>
              <c:numCache>
                <c:formatCode>mmm\-yy</c:formatCode>
                <c:ptCount val="3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</c:numCache>
            </c:numRef>
          </c:cat>
          <c:val>
            <c:numRef>
              <c:f>'CONSUMO 2024'!$K$81:$M$81</c:f>
              <c:numCache>
                <c:formatCode>#,##0</c:formatCode>
                <c:ptCount val="3"/>
                <c:pt idx="0">
                  <c:v>6945</c:v>
                </c:pt>
                <c:pt idx="1">
                  <c:v>3202</c:v>
                </c:pt>
                <c:pt idx="2">
                  <c:v>5029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49-4B1A-8E74-D7C081264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11443520"/>
        <c:axId val="711444176"/>
      </c:barChart>
      <c:lineChart>
        <c:grouping val="standard"/>
        <c:varyColors val="0"/>
        <c:ser>
          <c:idx val="2"/>
          <c:order val="2"/>
          <c:tx>
            <c:strRef>
              <c:f>'CONSUMO 2024'!$C$82</c:f>
              <c:strCache>
                <c:ptCount val="1"/>
                <c:pt idx="0">
                  <c:v>Total</c:v>
                </c:pt>
              </c:strCache>
            </c:strRef>
          </c:tx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'CONSUMO 2024'!$K$79:$M$79</c:f>
              <c:numCache>
                <c:formatCode>mmm\-yy</c:formatCode>
                <c:ptCount val="3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</c:numCache>
            </c:numRef>
          </c:cat>
          <c:val>
            <c:numRef>
              <c:f>'CONSUMO 2024'!$K$82:$M$82</c:f>
              <c:numCache>
                <c:formatCode>#,##0</c:formatCode>
                <c:ptCount val="3"/>
                <c:pt idx="0">
                  <c:v>16201</c:v>
                </c:pt>
                <c:pt idx="1">
                  <c:v>7323</c:v>
                </c:pt>
                <c:pt idx="2">
                  <c:v>6187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749-4B1A-8E74-D7C081264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1443520"/>
        <c:axId val="711444176"/>
      </c:lineChart>
      <c:dateAx>
        <c:axId val="7114435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11444176"/>
        <c:crosses val="autoZero"/>
        <c:auto val="1"/>
        <c:lblOffset val="100"/>
        <c:baseTimeUnit val="months"/>
      </c:dateAx>
      <c:valAx>
        <c:axId val="71144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11443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'CONSUMO 2024'!$C$85</c:f>
              <c:strCache>
                <c:ptCount val="1"/>
                <c:pt idx="0">
                  <c:v>P-05</c:v>
                </c:pt>
              </c:strCache>
            </c:strRef>
          </c:tx>
          <c:spPr>
            <a:gradFill>
              <a:gsLst>
                <a:gs pos="0">
                  <a:srgbClr val="FF0000"/>
                </a:gs>
                <a:gs pos="100000">
                  <a:schemeClr val="accent2">
                    <a:lumMod val="20000"/>
                    <a:lumOff val="8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'CONSUMO 2024'!$K$84:$M$84</c:f>
              <c:numCache>
                <c:formatCode>mmm\-yy</c:formatCode>
                <c:ptCount val="3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</c:numCache>
            </c:numRef>
          </c:cat>
          <c:val>
            <c:numRef>
              <c:f>'CONSUMO 2024'!$K$85:$M$85</c:f>
              <c:numCache>
                <c:formatCode>#,##0</c:formatCode>
                <c:ptCount val="3"/>
                <c:pt idx="1">
                  <c:v>5359</c:v>
                </c:pt>
                <c:pt idx="2">
                  <c:v>3300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C3-40AA-AE28-BCFDEF22CA94}"/>
            </c:ext>
          </c:extLst>
        </c:ser>
        <c:ser>
          <c:idx val="1"/>
          <c:order val="1"/>
          <c:tx>
            <c:strRef>
              <c:f>'CONSUMO 2024'!$C$86</c:f>
              <c:strCache>
                <c:ptCount val="1"/>
                <c:pt idx="0">
                  <c:v>P-09</c:v>
                </c:pt>
              </c:strCache>
            </c:strRef>
          </c:tx>
          <c:spPr>
            <a:gradFill>
              <a:gsLst>
                <a:gs pos="0">
                  <a:srgbClr val="00B050"/>
                </a:gs>
                <a:gs pos="100000">
                  <a:schemeClr val="accent6">
                    <a:lumMod val="20000"/>
                    <a:lumOff val="8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'CONSUMO 2024'!$K$84:$M$84</c:f>
              <c:numCache>
                <c:formatCode>mmm\-yy</c:formatCode>
                <c:ptCount val="3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</c:numCache>
            </c:numRef>
          </c:cat>
          <c:val>
            <c:numRef>
              <c:f>'CONSUMO 2024'!$K$86:$M$86</c:f>
              <c:numCache>
                <c:formatCode>#,##0</c:formatCode>
                <c:ptCount val="3"/>
                <c:pt idx="0">
                  <c:v>9280</c:v>
                </c:pt>
                <c:pt idx="1">
                  <c:v>11904</c:v>
                </c:pt>
                <c:pt idx="2">
                  <c:v>5872.6134994000004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C3-40AA-AE28-BCFDEF22CA94}"/>
            </c:ext>
          </c:extLst>
        </c:ser>
        <c:ser>
          <c:idx val="3"/>
          <c:order val="2"/>
          <c:tx>
            <c:strRef>
              <c:f>'CONSUMO 2024'!$C$87</c:f>
              <c:strCache>
                <c:ptCount val="1"/>
                <c:pt idx="0">
                  <c:v>P-10</c:v>
                </c:pt>
              </c:strCache>
            </c:strRef>
          </c:tx>
          <c:spPr>
            <a:gradFill>
              <a:gsLst>
                <a:gs pos="0">
                  <a:srgbClr val="002060"/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'CONSUMO 2024'!$K$87:$M$87</c:f>
              <c:numCache>
                <c:formatCode>#,##0</c:formatCode>
                <c:ptCount val="3"/>
                <c:pt idx="0">
                  <c:v>7839</c:v>
                </c:pt>
                <c:pt idx="1">
                  <c:v>8337</c:v>
                </c:pt>
                <c:pt idx="2">
                  <c:v>4569.3105000000032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9C3-40AA-AE28-BCFDEF22CA94}"/>
            </c:ext>
          </c:extLst>
        </c:ser>
        <c:ser>
          <c:idx val="4"/>
          <c:order val="3"/>
          <c:tx>
            <c:strRef>
              <c:f>'CONSUMO 2024'!$C$88</c:f>
              <c:strCache>
                <c:ptCount val="1"/>
                <c:pt idx="0">
                  <c:v>P-12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60000"/>
                    <a:lumOff val="4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'CONSUMO 2024'!$K$88:$M$88</c:f>
              <c:numCache>
                <c:formatCode>#,##0</c:formatCode>
                <c:ptCount val="3"/>
                <c:pt idx="1">
                  <c:v>4485</c:v>
                </c:pt>
                <c:pt idx="2">
                  <c:v>2335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9C3-40AA-AE28-BCFDEF22CA94}"/>
            </c:ext>
          </c:extLst>
        </c:ser>
        <c:ser>
          <c:idx val="5"/>
          <c:order val="5"/>
          <c:tx>
            <c:strRef>
              <c:f>'CONSUMO 2024'!$C$89</c:f>
              <c:strCache>
                <c:ptCount val="1"/>
                <c:pt idx="0">
                  <c:v>P-13</c:v>
                </c:pt>
              </c:strCache>
            </c:strRef>
          </c:tx>
          <c:spPr>
            <a:gradFill>
              <a:gsLst>
                <a:gs pos="0">
                  <a:srgbClr val="7030A0"/>
                </a:gs>
                <a:gs pos="100000">
                  <a:srgbClr val="F7D1F5"/>
                </a:gs>
              </a:gsLst>
              <a:lin ang="5400000" scaled="1"/>
            </a:gra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'CONSUMO 2024'!$K$89:$M$89</c:f>
              <c:numCache>
                <c:formatCode>#,##0</c:formatCode>
                <c:ptCount val="3"/>
                <c:pt idx="1">
                  <c:v>1288</c:v>
                </c:pt>
                <c:pt idx="2">
                  <c:v>3968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9C3-40AA-AE28-BCFDEF22C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1443520"/>
        <c:axId val="711444176"/>
      </c:barChart>
      <c:lineChart>
        <c:grouping val="standard"/>
        <c:varyColors val="0"/>
        <c:ser>
          <c:idx val="2"/>
          <c:order val="4"/>
          <c:tx>
            <c:strRef>
              <c:f>'CONSUMO 2024'!$C$90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'CONSUMO 2024'!$K$84:$M$84</c:f>
              <c:numCache>
                <c:formatCode>mmm\-yy</c:formatCode>
                <c:ptCount val="3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</c:numCache>
            </c:numRef>
          </c:cat>
          <c:val>
            <c:numRef>
              <c:f>'CONSUMO 2024'!$K$90:$M$90</c:f>
              <c:numCache>
                <c:formatCode>#,##0</c:formatCode>
                <c:ptCount val="3"/>
                <c:pt idx="0">
                  <c:v>17119</c:v>
                </c:pt>
                <c:pt idx="1">
                  <c:v>31373</c:v>
                </c:pt>
                <c:pt idx="2">
                  <c:v>20044.923999400002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9C3-40AA-AE28-BCFDEF22C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1443520"/>
        <c:axId val="711444176"/>
      </c:lineChart>
      <c:dateAx>
        <c:axId val="7114435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11444176"/>
        <c:crosses val="autoZero"/>
        <c:auto val="1"/>
        <c:lblOffset val="100"/>
        <c:baseTimeUnit val="months"/>
      </c:dateAx>
      <c:valAx>
        <c:axId val="71144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11443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AVANCE CTTO ACEROS DTH.</a:t>
            </a:r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 i="0"/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CTTO!$B$6:$B$7</c:f>
              <c:strCache>
                <c:ptCount val="2"/>
                <c:pt idx="0">
                  <c:v>AVANCE CTTO</c:v>
                </c:pt>
                <c:pt idx="1">
                  <c:v>TPO RESTANTE CTTO</c:v>
                </c:pt>
              </c:strCache>
            </c:strRef>
          </c:cat>
          <c:val>
            <c:numRef>
              <c:f>CTTO!$C$6:$C$7</c:f>
              <c:numCache>
                <c:formatCode>0</c:formatCode>
                <c:ptCount val="2"/>
                <c:pt idx="0">
                  <c:v>17.100000000000001</c:v>
                </c:pt>
                <c:pt idx="1">
                  <c:v>18.899999999999999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56-420F-8EEF-1971BCA8FF6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>
          <a:latin typeface="Noa LT Std Light" panose="020B04030400000200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794657</xdr:colOff>
      <xdr:row>8</xdr:row>
      <xdr:rowOff>136473</xdr:rowOff>
    </xdr:from>
    <xdr:to>
      <xdr:col>17</xdr:col>
      <xdr:colOff>44047</xdr:colOff>
      <xdr:row>11</xdr:row>
      <xdr:rowOff>170341</xdr:rowOff>
    </xdr:to>
    <xdr:pic>
      <xdr:nvPicPr>
        <xdr:cNvPr id="2" name="Imagen 1" descr="image007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6657" y="1693130"/>
          <a:ext cx="3843161" cy="589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39</xdr:col>
      <xdr:colOff>353677</xdr:colOff>
      <xdr:row>9</xdr:row>
      <xdr:rowOff>125976</xdr:rowOff>
    </xdr:from>
    <xdr:to>
      <xdr:col>55</xdr:col>
      <xdr:colOff>495795</xdr:colOff>
      <xdr:row>34</xdr:row>
      <xdr:rowOff>29524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1745677</xdr:colOff>
      <xdr:row>41</xdr:row>
      <xdr:rowOff>175507</xdr:rowOff>
    </xdr:from>
    <xdr:to>
      <xdr:col>45</xdr:col>
      <xdr:colOff>1496293</xdr:colOff>
      <xdr:row>73</xdr:row>
      <xdr:rowOff>100942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40</xdr:col>
      <xdr:colOff>1743149</xdr:colOff>
      <xdr:row>35</xdr:row>
      <xdr:rowOff>97971</xdr:rowOff>
    </xdr:from>
    <xdr:to>
      <xdr:col>45</xdr:col>
      <xdr:colOff>1491341</xdr:colOff>
      <xdr:row>43</xdr:row>
      <xdr:rowOff>97972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9" name="Fecha">
              <a:extLst>
                <a:ext uri="{FF2B5EF4-FFF2-40B4-BE49-F238E27FC236}">
                  <a16:creationId xmlns:a16="http://schemas.microsoft.com/office/drawing/2014/main" id="{00000000-0008-0000-0700-000009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801692" y="6651171"/>
              <a:ext cx="14716051" cy="148045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Escala de tiempo: funciona en Excel o versiones posteriores. No la mueva ni cambie su tamaño.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</xdr:colOff>
      <xdr:row>17</xdr:row>
      <xdr:rowOff>49388</xdr:rowOff>
    </xdr:from>
    <xdr:to>
      <xdr:col>10</xdr:col>
      <xdr:colOff>261762</xdr:colOff>
      <xdr:row>20</xdr:row>
      <xdr:rowOff>83256</xdr:rowOff>
    </xdr:to>
    <xdr:pic>
      <xdr:nvPicPr>
        <xdr:cNvPr id="2" name="Imagen 1" descr="image007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9112" y="3182055"/>
          <a:ext cx="4819650" cy="5842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366888</xdr:colOff>
      <xdr:row>10</xdr:row>
      <xdr:rowOff>56445</xdr:rowOff>
    </xdr:from>
    <xdr:to>
      <xdr:col>54</xdr:col>
      <xdr:colOff>613834</xdr:colOff>
      <xdr:row>33</xdr:row>
      <xdr:rowOff>7055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881745</xdr:colOff>
      <xdr:row>25</xdr:row>
      <xdr:rowOff>48984</xdr:rowOff>
    </xdr:from>
    <xdr:to>
      <xdr:col>21</xdr:col>
      <xdr:colOff>402773</xdr:colOff>
      <xdr:row>42</xdr:row>
      <xdr:rowOff>130629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586048</xdr:colOff>
      <xdr:row>63</xdr:row>
      <xdr:rowOff>176314</xdr:rowOff>
    </xdr:from>
    <xdr:to>
      <xdr:col>23</xdr:col>
      <xdr:colOff>265612</xdr:colOff>
      <xdr:row>82</xdr:row>
      <xdr:rowOff>48690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582706</xdr:colOff>
      <xdr:row>83</xdr:row>
      <xdr:rowOff>152400</xdr:rowOff>
    </xdr:from>
    <xdr:to>
      <xdr:col>23</xdr:col>
      <xdr:colOff>262270</xdr:colOff>
      <xdr:row>100</xdr:row>
      <xdr:rowOff>24776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239857</xdr:colOff>
      <xdr:row>1</xdr:row>
      <xdr:rowOff>152400</xdr:rowOff>
    </xdr:from>
    <xdr:to>
      <xdr:col>11</xdr:col>
      <xdr:colOff>239857</xdr:colOff>
      <xdr:row>14</xdr:row>
      <xdr:rowOff>96116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bastian Ocampos" refreshedDate="45484.4528587963" createdVersion="8" refreshedVersion="6" minRefreshableVersion="3" recordCount="122" xr:uid="{00000000-000A-0000-FFFF-FFFF29000000}">
  <cacheSource type="worksheet">
    <worksheetSource name="Tabla11"/>
  </cacheSource>
  <cacheFields count="8">
    <cacheField name="Fecha" numFmtId="14">
      <sharedItems containsSemiMixedTypes="0" containsNonDate="0" containsDate="1" containsString="0" minDate="2022-03-14T00:00:00" maxDate="2024-07-09T00:00:00" count="122">
        <d v="2022-03-14T00:00:00"/>
        <d v="2022-03-21T00:00:00"/>
        <d v="2022-03-28T00:00:00"/>
        <d v="2022-04-04T00:00:00"/>
        <d v="2022-04-11T00:00:00"/>
        <d v="2022-04-18T00:00:00"/>
        <d v="2022-04-25T00:00:00"/>
        <d v="2022-05-02T00:00:00"/>
        <d v="2022-05-09T00:00:00"/>
        <d v="2022-05-16T00:00:00"/>
        <d v="2022-05-23T00:00:00"/>
        <d v="2022-05-30T00:00:00"/>
        <d v="2022-06-06T00:00:00"/>
        <d v="2022-06-13T00:00:00"/>
        <d v="2022-06-20T00:00:00"/>
        <d v="2022-06-27T00:00:00"/>
        <d v="2022-07-04T00:00:00"/>
        <d v="2022-07-11T00:00:00"/>
        <d v="2022-07-18T00:00:00"/>
        <d v="2022-07-25T00:00:00"/>
        <d v="2022-08-01T00:00:00"/>
        <d v="2022-08-08T00:00:00"/>
        <d v="2022-08-15T00:00:00"/>
        <d v="2022-08-22T00:00:00"/>
        <d v="2022-08-29T00:00:00"/>
        <d v="2022-09-05T00:00:00"/>
        <d v="2022-09-12T00:00:00"/>
        <d v="2022-09-19T00:00:00"/>
        <d v="2022-09-26T00:00:00"/>
        <d v="2022-10-03T00:00:00"/>
        <d v="2022-10-10T00:00:00"/>
        <d v="2022-10-17T00:00:00"/>
        <d v="2022-10-24T00:00:00"/>
        <d v="2022-10-31T00:00:00"/>
        <d v="2022-11-07T00:00:00"/>
        <d v="2022-11-14T00:00:00"/>
        <d v="2022-11-21T00:00:00"/>
        <d v="2022-11-28T00:00:00"/>
        <d v="2022-12-05T00:00:00"/>
        <d v="2022-12-12T00:00:00"/>
        <d v="2022-12-19T00:00:00"/>
        <d v="2022-12-26T00:00:00"/>
        <d v="2023-01-02T00:00:00"/>
        <d v="2023-01-09T00:00:00"/>
        <d v="2023-01-16T00:00:00"/>
        <d v="2023-01-23T00:00:00"/>
        <d v="2023-01-30T00:00:00"/>
        <d v="2023-02-06T00:00:00"/>
        <d v="2023-02-13T00:00:00"/>
        <d v="2023-02-20T00:00:00"/>
        <d v="2023-02-27T00:00:00"/>
        <d v="2023-03-06T00:00:00"/>
        <d v="2023-03-13T00:00:00"/>
        <d v="2023-03-20T00:00:00"/>
        <d v="2023-03-27T00:00:00"/>
        <d v="2023-04-03T00:00:00"/>
        <d v="2023-04-10T00:00:00"/>
        <d v="2023-04-17T00:00:00"/>
        <d v="2023-04-24T00:00:00"/>
        <d v="2023-05-01T00:00:00"/>
        <d v="2023-05-08T00:00:00"/>
        <d v="2023-05-15T00:00:00"/>
        <d v="2023-05-22T00:00:00"/>
        <d v="2023-05-29T00:00:00"/>
        <d v="2023-06-05T00:00:00"/>
        <d v="2023-06-12T00:00:00"/>
        <d v="2023-06-19T00:00:00"/>
        <d v="2023-06-26T00:00:00"/>
        <d v="2023-07-03T00:00:00"/>
        <d v="2023-07-10T00:00:00"/>
        <d v="2023-07-17T00:00:00"/>
        <d v="2023-07-24T00:00:00"/>
        <d v="2023-07-31T00:00:00"/>
        <d v="2023-08-07T00:00:00"/>
        <d v="2023-08-14T00:00:00"/>
        <d v="2023-08-21T00:00:00"/>
        <d v="2023-08-28T00:00:00"/>
        <d v="2023-09-04T00:00:00"/>
        <d v="2023-09-11T00:00:00"/>
        <d v="2023-09-18T00:00:00"/>
        <d v="2023-09-25T00:00:00"/>
        <d v="2023-10-02T00:00:00"/>
        <d v="2023-10-09T00:00:00"/>
        <d v="2023-10-16T00:00:00"/>
        <d v="2023-10-23T00:00:00"/>
        <d v="2023-10-30T00:00:00"/>
        <d v="2023-11-06T00:00:00"/>
        <d v="2023-11-13T00:00:00"/>
        <d v="2023-11-20T00:00:00"/>
        <d v="2023-11-27T00:00:00"/>
        <d v="2023-12-04T00:00:00"/>
        <d v="2023-12-11T00:00:00"/>
        <d v="2023-12-18T00:00:00"/>
        <d v="2023-12-25T00:00:00"/>
        <d v="2024-01-01T00:00:00"/>
        <d v="2024-01-08T00:00:00"/>
        <d v="2024-01-15T00:00:00"/>
        <d v="2024-01-22T00:00:00"/>
        <d v="2024-01-29T00:00:00"/>
        <d v="2024-02-05T00:00:00"/>
        <d v="2024-02-12T00:00:00"/>
        <d v="2024-02-19T00:00:00"/>
        <d v="2024-02-26T00:00:00"/>
        <d v="2024-03-04T00:00:00"/>
        <d v="2024-03-11T00:00:00"/>
        <d v="2024-03-18T00:00:00"/>
        <d v="2024-03-25T00:00:00"/>
        <d v="2024-04-01T00:00:00"/>
        <d v="2024-04-08T00:00:00"/>
        <d v="2024-04-15T00:00:00"/>
        <d v="2024-04-22T00:00:00"/>
        <d v="2024-04-29T00:00:00"/>
        <d v="2024-05-06T00:00:00"/>
        <d v="2024-05-13T00:00:00"/>
        <d v="2024-05-20T00:00:00"/>
        <d v="2024-05-27T00:00:00"/>
        <d v="2024-06-03T00:00:00"/>
        <d v="2024-06-10T00:00:00"/>
        <d v="2024-06-17T00:00:00"/>
        <d v="2024-06-24T00:00:00"/>
        <d v="2024-07-01T00:00:00"/>
        <d v="2024-07-08T00:00:00"/>
      </sharedItems>
      <fieldGroup par="7" base="0">
        <rangePr groupBy="days" startDate="2022-03-14T00:00:00" endDate="2024-07-09T00:00:00"/>
        <groupItems count="368">
          <s v="&lt;14/03/2022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9/07/2024"/>
        </groupItems>
      </fieldGroup>
    </cacheField>
    <cacheField name="Mart PM6.2EX HDW Ret QL-6 3 1/2&quot;Reg M 3E" numFmtId="0">
      <sharedItems containsSemiMixedTypes="0" containsString="0" containsNumber="1" containsInteger="1" minValue="0" maxValue="15"/>
    </cacheField>
    <cacheField name="Bit QL-6 Ø6 1/2&quot; Cara Plana Welding" numFmtId="0">
      <sharedItems containsSemiMixedTypes="0" containsString="0" containsNumber="1" containsInteger="1" minValue="0" maxValue="46"/>
    </cacheField>
    <cacheField name="P6-8 Amort. HD 3 1/2&quot; ATSM x 3 1/2&quot; RegH" numFmtId="0">
      <sharedItems containsSemiMixedTypes="0" containsString="0" containsNumber="1" containsInteger="1" minValue="0" maxValue="3"/>
    </cacheField>
    <cacheField name="Ø114.3 3 beco M x 3 beco H L=305" numFmtId="0">
      <sharedItems containsSemiMixedTypes="0" containsString="0" containsNumber="1" containsInteger="1" minValue="0" maxValue="10"/>
    </cacheField>
    <cacheField name="Barras 4 ½ x 6000mm x 6.35 3 beco" numFmtId="0">
      <sharedItems containsSemiMixedTypes="0" containsString="0" containsNumber="1" containsInteger="1" minValue="0" maxValue="20"/>
    </cacheField>
    <cacheField name="Meses" numFmtId="0" databaseField="0">
      <fieldGroup base="0">
        <rangePr groupBy="months" startDate="2022-03-14T00:00:00" endDate="2024-07-09T00:00:00"/>
        <groupItems count="14">
          <s v="&lt;14/03/2022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09/07/2024"/>
        </groupItems>
      </fieldGroup>
    </cacheField>
    <cacheField name="Años" numFmtId="0" databaseField="0">
      <fieldGroup base="0">
        <rangePr groupBy="years" startDate="2022-03-14T00:00:00" endDate="2024-07-09T00:00:00"/>
        <groupItems count="5">
          <s v="&lt;14/03/2022"/>
          <s v="2022"/>
          <s v="2023"/>
          <s v="2024"/>
          <s v="&gt;09/07/2024"/>
        </groupItems>
      </fieldGroup>
    </cacheField>
  </cacheFields>
  <extLst>
    <ext xmlns:x14="http://schemas.microsoft.com/office/spreadsheetml/2009/9/main" uri="{725AE2AE-9491-48be-B2B4-4EB974FC3084}">
      <x14:pivotCacheDefinition pivotCacheId="91552389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2">
  <r>
    <x v="0"/>
    <n v="2"/>
    <n v="5"/>
    <n v="3"/>
    <n v="10"/>
    <n v="20"/>
  </r>
  <r>
    <x v="1"/>
    <n v="2"/>
    <n v="3"/>
    <n v="3"/>
    <n v="10"/>
    <n v="20"/>
  </r>
  <r>
    <x v="2"/>
    <n v="2"/>
    <n v="0"/>
    <n v="2"/>
    <n v="10"/>
    <n v="20"/>
  </r>
  <r>
    <x v="3"/>
    <n v="2"/>
    <n v="12"/>
    <n v="2"/>
    <n v="10"/>
    <n v="20"/>
  </r>
  <r>
    <x v="4"/>
    <n v="2"/>
    <n v="8"/>
    <n v="1"/>
    <n v="9"/>
    <n v="15"/>
  </r>
  <r>
    <x v="5"/>
    <n v="5"/>
    <n v="8"/>
    <n v="1"/>
    <n v="9"/>
    <n v="17"/>
  </r>
  <r>
    <x v="6"/>
    <n v="5"/>
    <n v="11"/>
    <n v="1"/>
    <n v="9"/>
    <n v="17"/>
  </r>
  <r>
    <x v="7"/>
    <n v="3"/>
    <n v="10"/>
    <n v="1"/>
    <n v="9"/>
    <n v="17"/>
  </r>
  <r>
    <x v="8"/>
    <n v="3"/>
    <n v="8"/>
    <n v="1"/>
    <n v="9"/>
    <n v="17"/>
  </r>
  <r>
    <x v="9"/>
    <n v="1"/>
    <n v="12"/>
    <n v="1"/>
    <n v="9"/>
    <n v="17"/>
  </r>
  <r>
    <x v="10"/>
    <n v="1"/>
    <n v="14"/>
    <n v="3"/>
    <n v="10"/>
    <n v="13"/>
  </r>
  <r>
    <x v="11"/>
    <n v="1"/>
    <n v="14"/>
    <n v="3"/>
    <n v="10"/>
    <n v="13"/>
  </r>
  <r>
    <x v="12"/>
    <n v="1"/>
    <n v="12"/>
    <n v="3"/>
    <n v="10"/>
    <n v="13"/>
  </r>
  <r>
    <x v="13"/>
    <n v="1"/>
    <n v="12"/>
    <n v="3"/>
    <n v="10"/>
    <n v="18"/>
  </r>
  <r>
    <x v="14"/>
    <n v="4"/>
    <n v="14"/>
    <n v="3"/>
    <n v="7"/>
    <n v="13"/>
  </r>
  <r>
    <x v="15"/>
    <n v="4"/>
    <n v="16"/>
    <n v="3"/>
    <n v="7"/>
    <n v="13"/>
  </r>
  <r>
    <x v="16"/>
    <n v="4"/>
    <n v="14"/>
    <n v="3"/>
    <n v="7"/>
    <n v="13"/>
  </r>
  <r>
    <x v="17"/>
    <n v="2"/>
    <n v="16"/>
    <n v="3"/>
    <n v="7"/>
    <n v="11"/>
  </r>
  <r>
    <x v="18"/>
    <n v="2"/>
    <n v="19"/>
    <n v="3"/>
    <n v="7"/>
    <n v="11"/>
  </r>
  <r>
    <x v="19"/>
    <n v="2"/>
    <n v="19"/>
    <n v="3"/>
    <n v="7"/>
    <n v="11"/>
  </r>
  <r>
    <x v="20"/>
    <n v="2"/>
    <n v="17"/>
    <n v="3"/>
    <n v="7"/>
    <n v="11"/>
  </r>
  <r>
    <x v="21"/>
    <n v="2"/>
    <n v="17"/>
    <n v="3"/>
    <n v="7"/>
    <n v="11"/>
  </r>
  <r>
    <x v="22"/>
    <n v="6"/>
    <n v="16"/>
    <n v="3"/>
    <n v="7"/>
    <n v="11"/>
  </r>
  <r>
    <x v="23"/>
    <n v="7"/>
    <n v="16"/>
    <n v="3"/>
    <n v="7"/>
    <n v="11"/>
  </r>
  <r>
    <x v="24"/>
    <n v="7"/>
    <n v="13"/>
    <n v="3"/>
    <n v="7"/>
    <n v="11"/>
  </r>
  <r>
    <x v="25"/>
    <n v="6"/>
    <n v="11"/>
    <n v="3"/>
    <n v="7"/>
    <n v="16"/>
  </r>
  <r>
    <x v="26"/>
    <n v="9"/>
    <n v="9"/>
    <n v="3"/>
    <n v="5"/>
    <n v="10"/>
  </r>
  <r>
    <x v="27"/>
    <n v="7"/>
    <n v="9"/>
    <n v="3"/>
    <n v="4"/>
    <n v="10"/>
  </r>
  <r>
    <x v="28"/>
    <n v="7"/>
    <n v="20"/>
    <n v="3"/>
    <n v="4"/>
    <n v="10"/>
  </r>
  <r>
    <x v="29"/>
    <n v="7"/>
    <n v="20"/>
    <n v="3"/>
    <n v="4"/>
    <n v="10"/>
  </r>
  <r>
    <x v="30"/>
    <n v="7"/>
    <n v="35"/>
    <n v="3"/>
    <n v="4"/>
    <n v="7"/>
  </r>
  <r>
    <x v="31"/>
    <n v="5"/>
    <n v="35"/>
    <n v="3"/>
    <n v="4"/>
    <n v="7"/>
  </r>
  <r>
    <x v="32"/>
    <n v="5"/>
    <n v="35"/>
    <n v="3"/>
    <n v="4"/>
    <n v="7"/>
  </r>
  <r>
    <x v="33"/>
    <n v="5"/>
    <n v="35"/>
    <n v="3"/>
    <n v="4"/>
    <n v="7"/>
  </r>
  <r>
    <x v="34"/>
    <n v="5"/>
    <n v="39"/>
    <n v="3"/>
    <n v="5"/>
    <n v="7"/>
  </r>
  <r>
    <x v="35"/>
    <n v="5"/>
    <n v="39"/>
    <n v="3"/>
    <n v="5"/>
    <n v="7"/>
  </r>
  <r>
    <x v="36"/>
    <n v="5"/>
    <n v="39"/>
    <n v="3"/>
    <n v="5"/>
    <n v="7"/>
  </r>
  <r>
    <x v="37"/>
    <n v="4"/>
    <n v="35"/>
    <n v="3"/>
    <n v="4"/>
    <n v="0"/>
  </r>
  <r>
    <x v="38"/>
    <n v="4"/>
    <n v="27"/>
    <n v="2"/>
    <n v="0"/>
    <n v="0"/>
  </r>
  <r>
    <x v="39"/>
    <n v="4"/>
    <n v="27"/>
    <n v="2"/>
    <n v="0"/>
    <n v="0"/>
  </r>
  <r>
    <x v="40"/>
    <n v="0"/>
    <n v="27"/>
    <n v="2"/>
    <n v="0"/>
    <n v="1"/>
  </r>
  <r>
    <x v="41"/>
    <n v="0"/>
    <n v="27"/>
    <n v="2"/>
    <n v="0"/>
    <n v="1"/>
  </r>
  <r>
    <x v="42"/>
    <n v="0"/>
    <n v="20"/>
    <n v="2"/>
    <n v="0"/>
    <n v="1"/>
  </r>
  <r>
    <x v="43"/>
    <n v="0"/>
    <n v="20"/>
    <n v="2"/>
    <n v="0"/>
    <n v="1"/>
  </r>
  <r>
    <x v="44"/>
    <n v="0"/>
    <n v="20"/>
    <n v="2"/>
    <n v="0"/>
    <n v="1"/>
  </r>
  <r>
    <x v="45"/>
    <n v="0"/>
    <n v="18"/>
    <n v="1"/>
    <n v="0"/>
    <n v="1"/>
  </r>
  <r>
    <x v="46"/>
    <n v="0"/>
    <n v="18"/>
    <n v="1"/>
    <n v="0"/>
    <n v="1"/>
  </r>
  <r>
    <x v="47"/>
    <n v="2"/>
    <n v="20"/>
    <n v="1"/>
    <n v="0"/>
    <n v="1"/>
  </r>
  <r>
    <x v="48"/>
    <n v="2"/>
    <n v="20"/>
    <n v="1"/>
    <n v="0"/>
    <n v="1"/>
  </r>
  <r>
    <x v="49"/>
    <n v="2"/>
    <n v="20"/>
    <n v="1"/>
    <n v="0"/>
    <n v="1"/>
  </r>
  <r>
    <x v="50"/>
    <n v="2"/>
    <n v="20"/>
    <n v="1"/>
    <n v="0"/>
    <n v="1"/>
  </r>
  <r>
    <x v="51"/>
    <n v="2"/>
    <n v="20"/>
    <n v="1"/>
    <n v="0"/>
    <n v="1"/>
  </r>
  <r>
    <x v="52"/>
    <n v="15"/>
    <n v="42"/>
    <n v="2"/>
    <n v="5"/>
    <n v="1"/>
  </r>
  <r>
    <x v="53"/>
    <n v="15"/>
    <n v="42"/>
    <n v="2"/>
    <n v="5"/>
    <n v="1"/>
  </r>
  <r>
    <x v="54"/>
    <n v="15"/>
    <n v="42"/>
    <n v="2"/>
    <n v="5"/>
    <n v="1"/>
  </r>
  <r>
    <x v="55"/>
    <n v="15"/>
    <n v="42"/>
    <n v="2"/>
    <n v="5"/>
    <n v="1"/>
  </r>
  <r>
    <x v="56"/>
    <n v="15"/>
    <n v="42"/>
    <n v="2"/>
    <n v="5"/>
    <n v="1"/>
  </r>
  <r>
    <x v="57"/>
    <n v="15"/>
    <n v="42"/>
    <n v="2"/>
    <n v="5"/>
    <n v="1"/>
  </r>
  <r>
    <x v="58"/>
    <n v="13"/>
    <n v="36"/>
    <n v="2"/>
    <n v="5"/>
    <n v="1"/>
  </r>
  <r>
    <x v="59"/>
    <n v="13"/>
    <n v="46"/>
    <n v="2"/>
    <n v="5"/>
    <n v="0"/>
  </r>
  <r>
    <x v="60"/>
    <n v="13"/>
    <n v="46"/>
    <n v="2"/>
    <n v="5"/>
    <n v="0"/>
  </r>
  <r>
    <x v="61"/>
    <n v="13"/>
    <n v="46"/>
    <n v="2"/>
    <n v="5"/>
    <n v="7"/>
  </r>
  <r>
    <x v="62"/>
    <n v="13"/>
    <n v="46"/>
    <n v="2"/>
    <n v="5"/>
    <n v="7"/>
  </r>
  <r>
    <x v="63"/>
    <n v="13"/>
    <n v="46"/>
    <n v="0"/>
    <n v="4"/>
    <n v="0"/>
  </r>
  <r>
    <x v="64"/>
    <n v="13"/>
    <n v="42"/>
    <n v="0"/>
    <n v="4"/>
    <n v="0"/>
  </r>
  <r>
    <x v="65"/>
    <n v="13"/>
    <n v="42"/>
    <n v="0"/>
    <n v="4"/>
    <n v="0"/>
  </r>
  <r>
    <x v="66"/>
    <n v="13"/>
    <n v="42"/>
    <n v="0"/>
    <n v="4"/>
    <n v="0"/>
  </r>
  <r>
    <x v="67"/>
    <n v="13"/>
    <n v="42"/>
    <n v="2"/>
    <n v="4"/>
    <n v="14"/>
  </r>
  <r>
    <x v="68"/>
    <n v="13"/>
    <n v="42"/>
    <n v="2"/>
    <n v="7"/>
    <n v="5"/>
  </r>
  <r>
    <x v="69"/>
    <n v="13"/>
    <n v="42"/>
    <n v="2"/>
    <n v="7"/>
    <n v="5"/>
  </r>
  <r>
    <x v="70"/>
    <n v="13"/>
    <n v="42"/>
    <n v="2"/>
    <n v="7"/>
    <n v="5"/>
  </r>
  <r>
    <x v="71"/>
    <n v="13"/>
    <n v="42"/>
    <n v="2"/>
    <n v="7"/>
    <n v="5"/>
  </r>
  <r>
    <x v="72"/>
    <n v="8"/>
    <n v="27"/>
    <n v="1"/>
    <n v="7"/>
    <n v="5"/>
  </r>
  <r>
    <x v="73"/>
    <n v="8"/>
    <n v="27"/>
    <n v="1"/>
    <n v="7"/>
    <n v="5"/>
  </r>
  <r>
    <x v="74"/>
    <n v="8"/>
    <n v="27"/>
    <n v="1"/>
    <n v="7"/>
    <n v="5"/>
  </r>
  <r>
    <x v="75"/>
    <n v="8"/>
    <n v="27"/>
    <n v="1"/>
    <n v="7"/>
    <n v="5"/>
  </r>
  <r>
    <x v="76"/>
    <n v="8"/>
    <n v="27"/>
    <n v="1"/>
    <n v="7"/>
    <n v="5"/>
  </r>
  <r>
    <x v="77"/>
    <n v="8"/>
    <n v="27"/>
    <n v="1"/>
    <n v="7"/>
    <n v="5"/>
  </r>
  <r>
    <x v="78"/>
    <n v="8"/>
    <n v="27"/>
    <n v="1"/>
    <n v="7"/>
    <n v="16"/>
  </r>
  <r>
    <x v="79"/>
    <n v="8"/>
    <n v="27"/>
    <n v="1"/>
    <n v="7"/>
    <n v="16"/>
  </r>
  <r>
    <x v="80"/>
    <n v="8"/>
    <n v="27"/>
    <n v="1"/>
    <n v="7"/>
    <n v="16"/>
  </r>
  <r>
    <x v="81"/>
    <n v="8"/>
    <n v="27"/>
    <n v="1"/>
    <n v="7"/>
    <n v="16"/>
  </r>
  <r>
    <x v="82"/>
    <n v="8"/>
    <n v="27"/>
    <n v="0"/>
    <n v="7"/>
    <n v="16"/>
  </r>
  <r>
    <x v="83"/>
    <n v="8"/>
    <n v="27"/>
    <n v="0"/>
    <n v="7"/>
    <n v="16"/>
  </r>
  <r>
    <x v="84"/>
    <n v="8"/>
    <n v="27"/>
    <n v="0"/>
    <n v="7"/>
    <n v="16"/>
  </r>
  <r>
    <x v="85"/>
    <n v="8"/>
    <n v="27"/>
    <n v="0"/>
    <n v="7"/>
    <n v="16"/>
  </r>
  <r>
    <x v="86"/>
    <n v="8"/>
    <n v="27"/>
    <n v="0"/>
    <n v="7"/>
    <n v="11"/>
  </r>
  <r>
    <x v="87"/>
    <n v="8"/>
    <n v="27"/>
    <n v="0"/>
    <n v="7"/>
    <n v="11"/>
  </r>
  <r>
    <x v="88"/>
    <n v="8"/>
    <n v="27"/>
    <n v="0"/>
    <n v="7"/>
    <n v="11"/>
  </r>
  <r>
    <x v="89"/>
    <n v="8"/>
    <n v="27"/>
    <n v="0"/>
    <n v="7"/>
    <n v="11"/>
  </r>
  <r>
    <x v="90"/>
    <n v="8"/>
    <n v="27"/>
    <n v="2"/>
    <n v="3"/>
    <n v="11"/>
  </r>
  <r>
    <x v="91"/>
    <n v="8"/>
    <n v="21"/>
    <n v="2"/>
    <n v="3"/>
    <n v="11"/>
  </r>
  <r>
    <x v="92"/>
    <n v="8"/>
    <n v="21"/>
    <n v="2"/>
    <n v="3"/>
    <n v="11"/>
  </r>
  <r>
    <x v="93"/>
    <n v="8"/>
    <n v="21"/>
    <n v="2"/>
    <n v="3"/>
    <n v="11"/>
  </r>
  <r>
    <x v="94"/>
    <n v="8"/>
    <n v="15"/>
    <n v="2"/>
    <n v="3"/>
    <n v="11"/>
  </r>
  <r>
    <x v="95"/>
    <n v="8"/>
    <n v="15"/>
    <n v="2"/>
    <n v="3"/>
    <n v="11"/>
  </r>
  <r>
    <x v="96"/>
    <n v="8"/>
    <n v="15"/>
    <n v="2"/>
    <n v="2"/>
    <n v="11"/>
  </r>
  <r>
    <x v="97"/>
    <n v="4"/>
    <n v="2"/>
    <n v="2"/>
    <n v="1"/>
    <n v="16"/>
  </r>
  <r>
    <x v="98"/>
    <n v="4"/>
    <n v="2"/>
    <n v="2"/>
    <n v="1"/>
    <n v="16"/>
  </r>
  <r>
    <x v="99"/>
    <n v="4"/>
    <n v="2"/>
    <n v="2"/>
    <n v="1"/>
    <n v="16"/>
  </r>
  <r>
    <x v="100"/>
    <n v="4"/>
    <n v="2"/>
    <n v="2"/>
    <n v="1"/>
    <n v="16"/>
  </r>
  <r>
    <x v="101"/>
    <n v="0"/>
    <n v="0"/>
    <n v="2"/>
    <n v="1"/>
    <n v="16"/>
  </r>
  <r>
    <x v="102"/>
    <n v="0"/>
    <n v="0"/>
    <n v="2"/>
    <n v="1"/>
    <n v="16"/>
  </r>
  <r>
    <x v="103"/>
    <n v="3"/>
    <n v="8"/>
    <n v="2"/>
    <n v="1"/>
    <n v="16"/>
  </r>
  <r>
    <x v="104"/>
    <n v="3"/>
    <n v="8"/>
    <n v="2"/>
    <n v="1"/>
    <n v="16"/>
  </r>
  <r>
    <x v="105"/>
    <n v="3"/>
    <n v="2"/>
    <n v="2"/>
    <n v="1"/>
    <n v="16"/>
  </r>
  <r>
    <x v="106"/>
    <n v="3"/>
    <n v="2"/>
    <n v="2"/>
    <n v="1"/>
    <n v="16"/>
  </r>
  <r>
    <x v="107"/>
    <n v="7"/>
    <n v="2"/>
    <n v="2"/>
    <n v="3"/>
    <n v="16"/>
  </r>
  <r>
    <x v="108"/>
    <n v="7"/>
    <n v="2"/>
    <n v="2"/>
    <n v="3"/>
    <n v="16"/>
  </r>
  <r>
    <x v="109"/>
    <n v="7"/>
    <n v="10"/>
    <n v="2"/>
    <n v="3"/>
    <n v="16"/>
  </r>
  <r>
    <x v="110"/>
    <n v="4"/>
    <n v="4"/>
    <n v="2"/>
    <n v="3"/>
    <n v="16"/>
  </r>
  <r>
    <x v="111"/>
    <n v="4"/>
    <n v="4"/>
    <n v="2"/>
    <n v="3"/>
    <n v="16"/>
  </r>
  <r>
    <x v="112"/>
    <n v="0"/>
    <n v="0"/>
    <n v="2"/>
    <n v="3"/>
    <n v="5"/>
  </r>
  <r>
    <x v="113"/>
    <n v="1"/>
    <n v="6"/>
    <n v="2"/>
    <n v="3"/>
    <n v="5"/>
  </r>
  <r>
    <x v="114"/>
    <n v="1"/>
    <n v="6"/>
    <n v="2"/>
    <n v="3"/>
    <n v="5"/>
  </r>
  <r>
    <x v="115"/>
    <n v="1"/>
    <n v="6"/>
    <n v="2"/>
    <n v="3"/>
    <n v="5"/>
  </r>
  <r>
    <x v="116"/>
    <n v="1"/>
    <n v="0"/>
    <n v="2"/>
    <n v="3"/>
    <n v="5"/>
  </r>
  <r>
    <x v="117"/>
    <n v="1"/>
    <n v="0"/>
    <n v="2"/>
    <n v="3"/>
    <n v="5"/>
  </r>
  <r>
    <x v="118"/>
    <n v="1"/>
    <n v="0"/>
    <n v="2"/>
    <n v="3"/>
    <n v="5"/>
  </r>
  <r>
    <x v="119"/>
    <n v="2"/>
    <n v="0"/>
    <n v="2"/>
    <n v="3"/>
    <n v="5"/>
  </r>
  <r>
    <x v="120"/>
    <n v="2"/>
    <n v="0"/>
    <n v="2"/>
    <n v="3"/>
    <n v="5"/>
  </r>
  <r>
    <x v="121"/>
    <n v="2"/>
    <n v="6"/>
    <n v="2"/>
    <n v="3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TablaDinámica16" cacheId="0" applyNumberFormats="0" applyBorderFormats="0" applyFontFormats="0" applyPatternFormats="0" applyAlignmentFormats="0" applyWidthHeightFormats="1" dataCaption="Valores" updatedVersion="6" minRefreshableVersion="5" useAutoFormatting="1" itemPrintTitles="1" createdVersion="8" indent="0" outline="1" outlineData="1" multipleFieldFilters="0" chartFormat="72">
  <location ref="A15:F41" firstHeaderRow="0" firstDataRow="1" firstDataCol="1"/>
  <pivotFields count="8"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showAll="0" defaultSubtotal="0">
      <items count="5">
        <item x="0"/>
        <item x="1"/>
        <item x="2"/>
        <item x="3"/>
        <item x="4"/>
      </items>
    </pivotField>
  </pivotFields>
  <rowFields count="3">
    <field x="7"/>
    <field x="6"/>
    <field x="0"/>
  </rowFields>
  <rowItems count="26">
    <i>
      <x v="3"/>
    </i>
    <i r="1">
      <x v="3"/>
    </i>
    <i r="2">
      <x v="64"/>
    </i>
    <i r="2">
      <x v="71"/>
    </i>
    <i r="2">
      <x v="78"/>
    </i>
    <i r="2">
      <x v="85"/>
    </i>
    <i r="1">
      <x v="4"/>
    </i>
    <i r="2">
      <x v="92"/>
    </i>
    <i r="2">
      <x v="99"/>
    </i>
    <i r="2">
      <x v="106"/>
    </i>
    <i r="2">
      <x v="113"/>
    </i>
    <i r="2">
      <x v="120"/>
    </i>
    <i r="1">
      <x v="5"/>
    </i>
    <i r="2">
      <x v="127"/>
    </i>
    <i r="2">
      <x v="134"/>
    </i>
    <i r="2">
      <x v="141"/>
    </i>
    <i r="2">
      <x v="148"/>
    </i>
    <i r="1">
      <x v="6"/>
    </i>
    <i r="2">
      <x v="155"/>
    </i>
    <i r="2">
      <x v="162"/>
    </i>
    <i r="2">
      <x v="169"/>
    </i>
    <i r="2">
      <x v="176"/>
    </i>
    <i r="1">
      <x v="7"/>
    </i>
    <i r="2">
      <x v="183"/>
    </i>
    <i r="2">
      <x v="19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Mart PM6.2EX HDW Ret QL-6 3 1/2&quot;Reg M 3E." fld="1" baseField="0" baseItem="0"/>
    <dataField name="Bit QL-6 Ø6 1/2&quot; Cara Plana Welding." fld="2" baseField="0" baseItem="0"/>
    <dataField name="P6-8 Amort. HD 3 1/2&quot; ATSM x 3 1/2&quot; RegH." fld="3" baseField="0" baseItem="0"/>
    <dataField name="Ø114.3 3 beco M x 3 beco H L=305." fld="4" baseField="0" baseItem="0"/>
    <dataField name="Barras 4 ½ x 6000mm x 6.35 3 beco." fld="5" baseField="0" baseItem="0"/>
  </dataFields>
  <chartFormats count="45">
    <chartFormat chart="0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3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5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" format="3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5" format="3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5" format="3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5" format="3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6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4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6" format="4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6" format="4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6" format="4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8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3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8" format="3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8" format="3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8" format="3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9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4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9" format="4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9" format="4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9" format="4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51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" format="3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1" format="3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1" format="3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1" format="3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52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" format="4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2" format="4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2" format="4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2" format="4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4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3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4" format="3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4" format="3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4" format="3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5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5" format="4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5" format="4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5" format="4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5" format="4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86" name="Fecha">
      <autoFilter ref="A1">
        <filterColumn colId="0">
          <customFilters and="1">
            <customFilter operator="greaterThanOrEqual" val="45352"/>
            <customFilter operator="lessThanOrEqual" val="4550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0000000}" name="Tabla11" displayName="Tabla11" ref="B2:G124" totalsRowShown="0" headerRowDxfId="52">
  <autoFilter ref="B2:G124" xr:uid="{00000000-0009-0000-0100-00000B000000}"/>
  <tableColumns count="6">
    <tableColumn id="1" xr3:uid="{00000000-0010-0000-0000-000001000000}" name="Fecha" dataDxfId="51">
      <calculatedColumnFormula>+B2+7</calculatedColumnFormula>
    </tableColumn>
    <tableColumn id="2" xr3:uid="{00000000-0010-0000-0000-000002000000}" name="Mart PM6.2EX HDW Ret QL-6 3 1/2&quot;Reg M 3E">
      <calculatedColumnFormula>_xlfn.XLOOKUP('Tabla Stock Inventario LB'!B3,'Resumen stock2023'!$E$3:$BV$3,'Resumen stock2023'!$E$4:$BV$4,C2)</calculatedColumnFormula>
    </tableColumn>
    <tableColumn id="3" xr3:uid="{00000000-0010-0000-0000-000003000000}" name="Bit QL-6 Ø6 1/2&quot; Cara Plana Welding">
      <calculatedColumnFormula>_xlfn.XLOOKUP('Tabla Stock Inventario LB'!B3,'Resumen stock2023'!$E$3:$BV$3,'Resumen stock2023'!$E$5:$BV$5,D2)</calculatedColumnFormula>
    </tableColumn>
    <tableColumn id="4" xr3:uid="{00000000-0010-0000-0000-000004000000}" name="P6-8 Amort. HD 3 1/2&quot; ATSM x 3 1/2&quot; RegH">
      <calculatedColumnFormula>_xlfn.XLOOKUP('Tabla Stock Inventario LB'!B3,'Resumen stock2023'!$E$3:$BV$3,'Resumen stock2023'!$E$6:$BV$6,E2)</calculatedColumnFormula>
    </tableColumn>
    <tableColumn id="5" xr3:uid="{00000000-0010-0000-0000-000005000000}" name="Ø114.3 3 beco M x 3 beco H L=305">
      <calculatedColumnFormula>_xlfn.XLOOKUP('Tabla Stock Inventario LB'!B3,'Resumen stock2023'!$E$3:$BV$3,'Resumen stock2023'!$E$7:$BV$7,F2)</calculatedColumnFormula>
    </tableColumn>
    <tableColumn id="6" xr3:uid="{00000000-0010-0000-0000-000006000000}" name="Barras 4 ½ x 6000mm x 6.35 3 beco">
      <calculatedColumnFormula>_xlfn.XLOOKUP('Tabla Stock Inventario LB'!B3,'Resumen stock2023'!$E$3:$BV$3,'Resumen stock2023'!$E$8:$BV$8,G2)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a115" displayName="Tabla115" ref="I2:N90" totalsRowShown="0" headerRowDxfId="50">
  <autoFilter ref="I2:N90" xr:uid="{00000000-0009-0000-0100-000004000000}"/>
  <tableColumns count="6">
    <tableColumn id="1" xr3:uid="{00000000-0010-0000-0100-000001000000}" name="Fecha" dataDxfId="49">
      <calculatedColumnFormula>+I2+7</calculatedColumnFormula>
    </tableColumn>
    <tableColumn id="2" xr3:uid="{00000000-0010-0000-0100-000002000000}" name="Mart PM6.2EX HDW Ret QL-6 3 1/2&quot;Reg M 3E">
      <calculatedColumnFormula>_xlfn.XLOOKUP('Tabla Stock Inventario LB'!I3,'Resumen stock2023'!$E$3:$BV$3,'Resumen stock2023'!$E$4:$BV$4,J2)</calculatedColumnFormula>
    </tableColumn>
    <tableColumn id="3" xr3:uid="{00000000-0010-0000-0100-000003000000}" name="Bit QL-6 Ø6 1/2&quot; Cara Plana Welding">
      <calculatedColumnFormula>_xlfn.XLOOKUP('Tabla Stock Inventario LB'!I3,'Resumen stock2023'!$E$3:$BV$3,'Resumen stock2023'!$E$5:$BV$5,K2)</calculatedColumnFormula>
    </tableColumn>
    <tableColumn id="4" xr3:uid="{00000000-0010-0000-0100-000004000000}" name="P6-8 Amort. HD 3 1/2&quot; ATSM x 3 1/2&quot; RegH">
      <calculatedColumnFormula>_xlfn.XLOOKUP('Tabla Stock Inventario LB'!I3,'Resumen stock2023'!$E$3:$BV$3,'Resumen stock2023'!$E$6:$BV$6,L2)</calculatedColumnFormula>
    </tableColumn>
    <tableColumn id="5" xr3:uid="{00000000-0010-0000-0100-000005000000}" name="Ø114.3 3 beco M x 3 beco H L=305">
      <calculatedColumnFormula>_xlfn.XLOOKUP('Tabla Stock Inventario LB'!I3,'Resumen stock2023'!$E$3:$BV$3,'Resumen stock2023'!$E$7:$BV$7,M2)</calculatedColumnFormula>
    </tableColumn>
    <tableColumn id="6" xr3:uid="{00000000-0010-0000-0100-000006000000}" name="Barras 4 ½ x 6000mm x 6.35 3 beco">
      <calculatedColumnFormula>_xlfn.XLOOKUP('Tabla Stock Inventario LB'!I3,'Resumen stock2023'!$E$3:$BV$3,'Resumen stock2023'!$E$8:$BV$8,N2)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a1156" displayName="Tabla1156" ref="P2:U90" totalsRowShown="0" headerRowDxfId="48">
  <autoFilter ref="P2:U90" xr:uid="{00000000-0009-0000-0100-000005000000}"/>
  <tableColumns count="6">
    <tableColumn id="1" xr3:uid="{00000000-0010-0000-0200-000001000000}" name="Fecha" dataDxfId="47">
      <calculatedColumnFormula>+P2+7</calculatedColumnFormula>
    </tableColumn>
    <tableColumn id="2" xr3:uid="{00000000-0010-0000-0200-000002000000}" name="Mart PM6.2EX HDW Ret QL-6 3 1/2&quot;Reg M 3E">
      <calculatedColumnFormula>_xlfn.XLOOKUP('Tabla Stock Inventario LB'!P3,'Resumen stock2023'!$E$3:$BV$3,'Resumen stock2023'!$E$4:$BV$4,Q2)</calculatedColumnFormula>
    </tableColumn>
    <tableColumn id="3" xr3:uid="{00000000-0010-0000-0200-000003000000}" name="Bit QL-6 Ø6 1/2&quot; Cara Plana Welding">
      <calculatedColumnFormula>_xlfn.XLOOKUP('Tabla Stock Inventario LB'!P3,'Resumen stock2023'!$E$3:$BV$3,'Resumen stock2023'!$E$5:$BV$5,R2)</calculatedColumnFormula>
    </tableColumn>
    <tableColumn id="4" xr3:uid="{00000000-0010-0000-0200-000004000000}" name="P6-8 Amort. HD 3 1/2&quot; ATSM x 3 1/2&quot; RegH">
      <calculatedColumnFormula>_xlfn.XLOOKUP('Tabla Stock Inventario LB'!P3,'Resumen stock2023'!$E$3:$BV$3,'Resumen stock2023'!$E$6:$BV$6,S2)</calculatedColumnFormula>
    </tableColumn>
    <tableColumn id="5" xr3:uid="{00000000-0010-0000-0200-000005000000}" name="Ø114.3 3 beco M x 3 beco H L=305">
      <calculatedColumnFormula>_xlfn.XLOOKUP('Tabla Stock Inventario LB'!P3,'Resumen stock2023'!$E$3:$BV$3,'Resumen stock2023'!$E$7:$BV$7,T2)</calculatedColumnFormula>
    </tableColumn>
    <tableColumn id="6" xr3:uid="{00000000-0010-0000-0200-000006000000}" name="Barras 4 ½ x 6000mm x 6.35 3 beco">
      <calculatedColumnFormula>_xlfn.XLOOKUP('Tabla Stock Inventario LB'!P3,'Resumen stock2023'!$E$3:$BV$3,'Resumen stock2023'!$E$8:$BV$8,U2)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5000000}" name="Tabla134" displayName="Tabla134" ref="B3:S8" totalsRowShown="0" headerRowDxfId="43">
  <tableColumns count="18">
    <tableColumn id="1" xr3:uid="{00000000-0010-0000-0500-000001000000}" name="c"/>
    <tableColumn id="2" xr3:uid="{00000000-0010-0000-0500-000002000000}" name="DESCRIPCION"/>
    <tableColumn id="3" xr3:uid="{00000000-0010-0000-0500-000003000000}" name="PRECIO 2020_x000a_USD"/>
    <tableColumn id="4" xr3:uid="{00000000-0010-0000-0500-000004000000}" name="PRECIO 2021_x000a_USD"/>
    <tableColumn id="18" xr3:uid="{00000000-0010-0000-0500-000012000000}" name="PRECIO 2022_x000a_USD"/>
    <tableColumn id="5" xr3:uid="{00000000-0010-0000-0500-000005000000}" name="DESCUENTO" dataDxfId="42" dataCellStyle="Porcentaje">
      <calculatedColumnFormula>(Tabla134[[#This Row],[PRECIO 2021
USD]]-Tabla134[[#This Row],[PRECIO 2020
USD]])/Tabla134[[#This Row],[PRECIO 2020
USD]]</calculatedColumnFormula>
    </tableColumn>
    <tableColumn id="6" xr3:uid="{00000000-0010-0000-0500-000006000000}" name="ENERO" dataDxfId="41"/>
    <tableColumn id="8" xr3:uid="{00000000-0010-0000-0500-000008000000}" name="FEBRERO" dataDxfId="40"/>
    <tableColumn id="10" xr3:uid="{00000000-0010-0000-0500-00000A000000}" name="MARZO" dataDxfId="39"/>
    <tableColumn id="20" xr3:uid="{00000000-0010-0000-0500-000014000000}" name="ABRIL" dataDxfId="38"/>
    <tableColumn id="11" xr3:uid="{00000000-0010-0000-0500-00000B000000}" name="MAYO" dataDxfId="37"/>
    <tableColumn id="12" xr3:uid="{00000000-0010-0000-0500-00000C000000}" name="JUNIO" dataDxfId="36"/>
    <tableColumn id="13" xr3:uid="{00000000-0010-0000-0500-00000D000000}" name="JULIO" dataDxfId="35"/>
    <tableColumn id="14" xr3:uid="{00000000-0010-0000-0500-00000E000000}" name="AGOSTO" dataDxfId="34"/>
    <tableColumn id="15" xr3:uid="{00000000-0010-0000-0500-00000F000000}" name="SEPTIEMBRE" dataDxfId="33"/>
    <tableColumn id="16" xr3:uid="{00000000-0010-0000-0500-000010000000}" name="OCTUBRE" dataDxfId="32"/>
    <tableColumn id="9" xr3:uid="{00000000-0010-0000-0500-000009000000}" name="NOVIEMBRE" dataDxfId="31"/>
    <tableColumn id="17" xr3:uid="{00000000-0010-0000-0500-000011000000}" name="DICIEMBRE" dataDxfId="30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6000000}" name="Tabla13434" displayName="Tabla13434" ref="B23:S28" totalsRowShown="0" headerRowDxfId="29">
  <tableColumns count="18">
    <tableColumn id="1" xr3:uid="{00000000-0010-0000-0600-000001000000}" name="CODIGO"/>
    <tableColumn id="2" xr3:uid="{00000000-0010-0000-0600-000002000000}" name="DESCRIPCION"/>
    <tableColumn id="3" xr3:uid="{00000000-0010-0000-0600-000003000000}" name="PRECIO 2020_x000a_USD"/>
    <tableColumn id="4" xr3:uid="{00000000-0010-0000-0600-000004000000}" name="PRECIO 2021_x000a_USD"/>
    <tableColumn id="18" xr3:uid="{00000000-0010-0000-0600-000012000000}" name="PRECIO 2022_x000a_USD"/>
    <tableColumn id="5" xr3:uid="{00000000-0010-0000-0600-000005000000}" name="DESCUENTO" dataDxfId="28" dataCellStyle="Porcentaje">
      <calculatedColumnFormula>(Tabla13434[[#This Row],[PRECIO 2021
USD]]-Tabla13434[[#This Row],[PRECIO 2020
USD]])/Tabla13434[[#This Row],[PRECIO 2020
USD]]</calculatedColumnFormula>
    </tableColumn>
    <tableColumn id="6" xr3:uid="{00000000-0010-0000-0600-000006000000}" name="ENERO" dataDxfId="27"/>
    <tableColumn id="8" xr3:uid="{00000000-0010-0000-0600-000008000000}" name="FEBRERO" dataDxfId="26"/>
    <tableColumn id="10" xr3:uid="{00000000-0010-0000-0600-00000A000000}" name="MARZO" dataDxfId="25"/>
    <tableColumn id="20" xr3:uid="{00000000-0010-0000-0600-000014000000}" name="ABRIL" dataDxfId="24"/>
    <tableColumn id="11" xr3:uid="{00000000-0010-0000-0600-00000B000000}" name="MAYO" dataDxfId="23"/>
    <tableColumn id="12" xr3:uid="{00000000-0010-0000-0600-00000C000000}" name="JUNIO" dataDxfId="22"/>
    <tableColumn id="13" xr3:uid="{00000000-0010-0000-0600-00000D000000}" name="JULIO" dataDxfId="21"/>
    <tableColumn id="14" xr3:uid="{00000000-0010-0000-0600-00000E000000}" name="AGOSTO" dataDxfId="20"/>
    <tableColumn id="15" xr3:uid="{00000000-0010-0000-0600-00000F000000}" name="SEPTIEMBRE" dataDxfId="19"/>
    <tableColumn id="16" xr3:uid="{00000000-0010-0000-0600-000010000000}" name="OCTUBRE" dataDxfId="18"/>
    <tableColumn id="9" xr3:uid="{00000000-0010-0000-0600-000009000000}" name="NOVIEMBRE" dataDxfId="17"/>
    <tableColumn id="17" xr3:uid="{00000000-0010-0000-0600-000011000000}" name="DICIEMBRE" dataDxfId="16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7000000}" name="Tabla1343" displayName="Tabla1343" ref="B12:S17" totalsRowShown="0" headerRowDxfId="15" dataDxfId="14" tableBorderDxfId="13">
  <tableColumns count="18">
    <tableColumn id="1" xr3:uid="{00000000-0010-0000-0700-000001000000}" name="CODIGO"/>
    <tableColumn id="2" xr3:uid="{00000000-0010-0000-0700-000002000000}" name="DESCRIPCION"/>
    <tableColumn id="3" xr3:uid="{00000000-0010-0000-0700-000003000000}" name="PRECIO 2020_x000a_USD"/>
    <tableColumn id="4" xr3:uid="{00000000-0010-0000-0700-000004000000}" name="PRECIO 2021_x000a_USD"/>
    <tableColumn id="18" xr3:uid="{00000000-0010-0000-0700-000012000000}" name="PRECIO 2022_x000a_USD"/>
    <tableColumn id="5" xr3:uid="{00000000-0010-0000-0700-000005000000}" name="DESCUENTO" dataDxfId="12" dataCellStyle="Porcentaje">
      <calculatedColumnFormula>(Tabla1343[[#This Row],[PRECIO 2021
USD]]-Tabla1343[[#This Row],[PRECIO 2020
USD]])/Tabla1343[[#This Row],[PRECIO 2020
USD]]</calculatedColumnFormula>
    </tableColumn>
    <tableColumn id="6" xr3:uid="{00000000-0010-0000-0700-000006000000}" name="ENERO" dataDxfId="11"/>
    <tableColumn id="8" xr3:uid="{00000000-0010-0000-0700-000008000000}" name="FEBRERO" dataDxfId="10"/>
    <tableColumn id="10" xr3:uid="{00000000-0010-0000-0700-00000A000000}" name="MARZO" dataDxfId="9"/>
    <tableColumn id="20" xr3:uid="{00000000-0010-0000-0700-000014000000}" name="ABRIL" dataDxfId="8"/>
    <tableColumn id="11" xr3:uid="{00000000-0010-0000-0700-00000B000000}" name="MAYO" dataDxfId="7"/>
    <tableColumn id="12" xr3:uid="{00000000-0010-0000-0700-00000C000000}" name="JUNIO" dataDxfId="6"/>
    <tableColumn id="13" xr3:uid="{00000000-0010-0000-0700-00000D000000}" name="JULIO" dataDxfId="5"/>
    <tableColumn id="14" xr3:uid="{00000000-0010-0000-0700-00000E000000}" name="AGOSTO" dataDxfId="4"/>
    <tableColumn id="15" xr3:uid="{00000000-0010-0000-0700-00000F000000}" name="SEPTIEMBRE" dataDxfId="3"/>
    <tableColumn id="16" xr3:uid="{00000000-0010-0000-0700-000010000000}" name="OCTUBRE" dataDxfId="2"/>
    <tableColumn id="9" xr3:uid="{00000000-0010-0000-0700-000009000000}" name="NOVIEMBRE" dataDxfId="1"/>
    <tableColumn id="17" xr3:uid="{00000000-0010-0000-0700-000011000000}" name="DICIEMBRE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" xr10:uid="{00000000-0013-0000-FFFF-FFFF01000000}" sourceName="Fecha">
  <pivotTables>
    <pivotTable tabId="9" name="TablaDinámica16"/>
  </pivotTables>
  <state minimalRefreshVersion="6" lastRefreshVersion="6" pivotCacheId="915523899" filterType="dateBetween">
    <selection startDate="2024-03-01T00:00:00" endDate="2024-07-31T00:00:00"/>
    <bounds startDate="2022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" xr10:uid="{00000000-0014-0000-FFFF-FFFF01000000}" cache="NativeTimeline_Fecha" caption="Fecha" level="2" selectionLevel="2" scrollPosition="2022-04-10T00:00:00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6.bin"/><Relationship Id="rId4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7"/>
  <dimension ref="B1:U771"/>
  <sheetViews>
    <sheetView topLeftCell="B1" zoomScale="70" zoomScaleNormal="70" workbookViewId="0">
      <selection activeCell="D22" sqref="D22"/>
    </sheetView>
  </sheetViews>
  <sheetFormatPr baseColWidth="10" defaultColWidth="10.7109375" defaultRowHeight="15" x14ac:dyDescent="0.25"/>
  <cols>
    <col min="2" max="2" width="12.85546875" bestFit="1" customWidth="1"/>
    <col min="3" max="3" width="42.28515625" customWidth="1"/>
    <col min="4" max="4" width="34.85546875" customWidth="1"/>
    <col min="5" max="5" width="40" customWidth="1"/>
    <col min="6" max="6" width="32.7109375" customWidth="1"/>
    <col min="7" max="7" width="33.7109375" customWidth="1"/>
    <col min="9" max="9" width="12.85546875" bestFit="1" customWidth="1"/>
    <col min="10" max="10" width="46.7109375" bestFit="1" customWidth="1"/>
    <col min="11" max="11" width="39.140625" bestFit="1" customWidth="1"/>
    <col min="12" max="12" width="44.140625" bestFit="1" customWidth="1"/>
    <col min="13" max="13" width="37.42578125" bestFit="1" customWidth="1"/>
    <col min="14" max="14" width="38.140625" bestFit="1" customWidth="1"/>
    <col min="16" max="16" width="12.85546875" bestFit="1" customWidth="1"/>
    <col min="17" max="17" width="57.28515625" bestFit="1" customWidth="1"/>
    <col min="18" max="18" width="47.28515625" bestFit="1" customWidth="1"/>
    <col min="19" max="19" width="54.7109375" bestFit="1" customWidth="1"/>
    <col min="20" max="20" width="44.5703125" bestFit="1" customWidth="1"/>
    <col min="21" max="21" width="45.5703125" bestFit="1" customWidth="1"/>
  </cols>
  <sheetData>
    <row r="1" spans="2:21" ht="29.25" thickBot="1" x14ac:dyDescent="0.5">
      <c r="B1" s="452" t="s">
        <v>276</v>
      </c>
      <c r="C1" s="453"/>
      <c r="D1" s="453"/>
      <c r="E1" s="453"/>
      <c r="F1" s="453"/>
      <c r="G1" s="454"/>
      <c r="I1" s="452" t="s">
        <v>270</v>
      </c>
      <c r="J1" s="453"/>
      <c r="K1" s="453"/>
      <c r="L1" s="453"/>
      <c r="M1" s="453"/>
      <c r="N1" s="454"/>
      <c r="P1" s="452" t="s">
        <v>275</v>
      </c>
      <c r="Q1" s="453"/>
      <c r="R1" s="453"/>
      <c r="S1" s="453"/>
      <c r="T1" s="453"/>
      <c r="U1" s="454"/>
    </row>
    <row r="2" spans="2:21" ht="15.75" thickBot="1" x14ac:dyDescent="0.3">
      <c r="B2" t="s">
        <v>263</v>
      </c>
      <c r="C2" s="6" t="s">
        <v>7</v>
      </c>
      <c r="D2" s="6" t="s">
        <v>9</v>
      </c>
      <c r="E2" s="6" t="s">
        <v>10</v>
      </c>
      <c r="F2" s="6" t="s">
        <v>11</v>
      </c>
      <c r="G2" s="6" t="s">
        <v>12</v>
      </c>
      <c r="I2" t="s">
        <v>263</v>
      </c>
      <c r="J2" s="6" t="s">
        <v>7</v>
      </c>
      <c r="K2" s="6" t="s">
        <v>9</v>
      </c>
      <c r="L2" s="6" t="s">
        <v>10</v>
      </c>
      <c r="M2" s="6" t="s">
        <v>11</v>
      </c>
      <c r="N2" s="6" t="s">
        <v>12</v>
      </c>
      <c r="P2" t="s">
        <v>263</v>
      </c>
      <c r="Q2" s="6" t="s">
        <v>7</v>
      </c>
      <c r="R2" s="6" t="s">
        <v>9</v>
      </c>
      <c r="S2" s="6" t="s">
        <v>10</v>
      </c>
      <c r="T2" s="6" t="s">
        <v>11</v>
      </c>
      <c r="U2" s="6" t="s">
        <v>12</v>
      </c>
    </row>
    <row r="3" spans="2:21" x14ac:dyDescent="0.25">
      <c r="B3" s="9">
        <v>44634</v>
      </c>
      <c r="C3">
        <v>2</v>
      </c>
      <c r="D3">
        <v>5</v>
      </c>
      <c r="E3">
        <v>3</v>
      </c>
      <c r="F3">
        <v>10</v>
      </c>
      <c r="G3">
        <v>20</v>
      </c>
      <c r="I3" s="9">
        <v>44634</v>
      </c>
      <c r="J3">
        <v>2</v>
      </c>
      <c r="K3">
        <v>5</v>
      </c>
      <c r="L3">
        <v>3</v>
      </c>
      <c r="M3">
        <v>10</v>
      </c>
      <c r="N3">
        <v>20</v>
      </c>
      <c r="P3" s="9">
        <v>44634</v>
      </c>
      <c r="Q3">
        <v>2</v>
      </c>
      <c r="R3">
        <v>5</v>
      </c>
      <c r="S3">
        <v>3</v>
      </c>
      <c r="T3">
        <v>10</v>
      </c>
      <c r="U3">
        <v>20</v>
      </c>
    </row>
    <row r="4" spans="2:21" x14ac:dyDescent="0.25">
      <c r="B4" s="9">
        <f>+B3+7</f>
        <v>44641</v>
      </c>
      <c r="C4">
        <v>2</v>
      </c>
      <c r="D4">
        <v>3</v>
      </c>
      <c r="E4">
        <v>3</v>
      </c>
      <c r="F4">
        <v>10</v>
      </c>
      <c r="G4">
        <v>20</v>
      </c>
      <c r="I4" s="9">
        <f>+I3+7</f>
        <v>44641</v>
      </c>
      <c r="J4">
        <f>IF(C3-C4&gt;0,C3-C4,0)</f>
        <v>0</v>
      </c>
      <c r="K4">
        <f>IF(D3-D4&gt;0,D3-D4,0)</f>
        <v>2</v>
      </c>
      <c r="L4">
        <f>IF(E3-E4&gt;0,E3-E4,0)</f>
        <v>0</v>
      </c>
      <c r="M4">
        <f>IF(F3-F4&gt;0,F3-F4,0)</f>
        <v>0</v>
      </c>
      <c r="N4">
        <f>IF(G3-G4&gt;0,G3-G4,0)</f>
        <v>0</v>
      </c>
      <c r="P4" s="9">
        <f>+P3+7</f>
        <v>44641</v>
      </c>
      <c r="Q4">
        <f>IF(C4-C3&gt;0,C4-C3,0)</f>
        <v>0</v>
      </c>
      <c r="R4">
        <f t="shared" ref="R4:R67" si="0">IF(D4-D3&gt;0,D4-D3,0)</f>
        <v>0</v>
      </c>
      <c r="S4">
        <f t="shared" ref="S4:S67" si="1">IF(E4-E3&gt;0,E4-E3,0)</f>
        <v>0</v>
      </c>
      <c r="T4">
        <f t="shared" ref="T4:T67" si="2">IF(F4-F3&gt;0,F4-F3,0)</f>
        <v>0</v>
      </c>
      <c r="U4">
        <f t="shared" ref="U4:U67" si="3">IF(G4-G3&gt;0,G4-G3,0)</f>
        <v>0</v>
      </c>
    </row>
    <row r="5" spans="2:21" x14ac:dyDescent="0.25">
      <c r="B5" s="9">
        <f>+B4+7</f>
        <v>44648</v>
      </c>
      <c r="C5">
        <v>2</v>
      </c>
      <c r="D5">
        <v>0</v>
      </c>
      <c r="E5">
        <v>2</v>
      </c>
      <c r="F5">
        <v>10</v>
      </c>
      <c r="G5">
        <v>20</v>
      </c>
      <c r="I5" s="9">
        <f>+I4+7</f>
        <v>44648</v>
      </c>
      <c r="J5">
        <f t="shared" ref="J5:J68" si="4">IF(C4-C5&gt;0,C4-C5,0)</f>
        <v>0</v>
      </c>
      <c r="K5">
        <f t="shared" ref="K5:K68" si="5">IF(D4-D5&gt;0,D4-D5,0)</f>
        <v>3</v>
      </c>
      <c r="L5">
        <f t="shared" ref="L5:L68" si="6">IF(E4-E5&gt;0,E4-E5,0)</f>
        <v>1</v>
      </c>
      <c r="M5">
        <f t="shared" ref="M5:M68" si="7">IF(F4-F5&gt;0,F4-F5,0)</f>
        <v>0</v>
      </c>
      <c r="N5">
        <f t="shared" ref="N5:N68" si="8">IF(G4-G5&gt;0,G4-G5,0)</f>
        <v>0</v>
      </c>
      <c r="P5" s="9">
        <f>+P4+7</f>
        <v>44648</v>
      </c>
      <c r="Q5">
        <f t="shared" ref="Q5:Q68" si="9">IF(C5-C4&gt;0,C5-C4,0)</f>
        <v>0</v>
      </c>
      <c r="R5">
        <f t="shared" si="0"/>
        <v>0</v>
      </c>
      <c r="S5">
        <f t="shared" si="1"/>
        <v>0</v>
      </c>
      <c r="T5">
        <f t="shared" si="2"/>
        <v>0</v>
      </c>
      <c r="U5">
        <f t="shared" si="3"/>
        <v>0</v>
      </c>
    </row>
    <row r="6" spans="2:21" x14ac:dyDescent="0.25">
      <c r="B6" s="9">
        <f t="shared" ref="B6:B69" si="10">+B5+7</f>
        <v>44655</v>
      </c>
      <c r="C6">
        <v>2</v>
      </c>
      <c r="D6">
        <v>12</v>
      </c>
      <c r="E6">
        <v>2</v>
      </c>
      <c r="F6">
        <v>10</v>
      </c>
      <c r="G6">
        <v>20</v>
      </c>
      <c r="I6" s="9">
        <f t="shared" ref="I6:I69" si="11">+I5+7</f>
        <v>44655</v>
      </c>
      <c r="J6">
        <f t="shared" si="4"/>
        <v>0</v>
      </c>
      <c r="K6">
        <f t="shared" si="5"/>
        <v>0</v>
      </c>
      <c r="L6">
        <f t="shared" si="6"/>
        <v>0</v>
      </c>
      <c r="M6">
        <f t="shared" si="7"/>
        <v>0</v>
      </c>
      <c r="N6">
        <f t="shared" si="8"/>
        <v>0</v>
      </c>
      <c r="P6" s="9">
        <f t="shared" ref="P6:P69" si="12">+P5+7</f>
        <v>44655</v>
      </c>
      <c r="Q6">
        <f t="shared" si="9"/>
        <v>0</v>
      </c>
      <c r="R6">
        <f t="shared" si="0"/>
        <v>12</v>
      </c>
      <c r="S6">
        <f t="shared" si="1"/>
        <v>0</v>
      </c>
      <c r="T6">
        <f t="shared" si="2"/>
        <v>0</v>
      </c>
      <c r="U6">
        <f t="shared" si="3"/>
        <v>0</v>
      </c>
    </row>
    <row r="7" spans="2:21" x14ac:dyDescent="0.25">
      <c r="B7" s="9">
        <f t="shared" si="10"/>
        <v>44662</v>
      </c>
      <c r="C7">
        <v>2</v>
      </c>
      <c r="D7">
        <v>8</v>
      </c>
      <c r="E7">
        <v>1</v>
      </c>
      <c r="F7">
        <v>9</v>
      </c>
      <c r="G7">
        <v>15</v>
      </c>
      <c r="I7" s="9">
        <f t="shared" si="11"/>
        <v>44662</v>
      </c>
      <c r="J7">
        <f t="shared" si="4"/>
        <v>0</v>
      </c>
      <c r="K7">
        <f t="shared" si="5"/>
        <v>4</v>
      </c>
      <c r="L7">
        <f t="shared" si="6"/>
        <v>1</v>
      </c>
      <c r="M7">
        <f t="shared" si="7"/>
        <v>1</v>
      </c>
      <c r="N7">
        <f t="shared" si="8"/>
        <v>5</v>
      </c>
      <c r="P7" s="9">
        <f t="shared" si="12"/>
        <v>44662</v>
      </c>
      <c r="Q7">
        <f t="shared" si="9"/>
        <v>0</v>
      </c>
      <c r="R7">
        <f t="shared" si="0"/>
        <v>0</v>
      </c>
      <c r="S7">
        <f t="shared" si="1"/>
        <v>0</v>
      </c>
      <c r="T7">
        <f t="shared" si="2"/>
        <v>0</v>
      </c>
      <c r="U7">
        <f t="shared" si="3"/>
        <v>0</v>
      </c>
    </row>
    <row r="8" spans="2:21" x14ac:dyDescent="0.25">
      <c r="B8" s="9">
        <f t="shared" si="10"/>
        <v>44669</v>
      </c>
      <c r="C8">
        <v>5</v>
      </c>
      <c r="D8">
        <v>8</v>
      </c>
      <c r="E8">
        <v>1</v>
      </c>
      <c r="F8">
        <v>9</v>
      </c>
      <c r="G8">
        <v>17</v>
      </c>
      <c r="I8" s="9">
        <f t="shared" si="11"/>
        <v>44669</v>
      </c>
      <c r="J8">
        <f t="shared" si="4"/>
        <v>0</v>
      </c>
      <c r="K8">
        <f t="shared" si="5"/>
        <v>0</v>
      </c>
      <c r="L8">
        <f t="shared" si="6"/>
        <v>0</v>
      </c>
      <c r="M8">
        <f t="shared" si="7"/>
        <v>0</v>
      </c>
      <c r="N8">
        <f t="shared" si="8"/>
        <v>0</v>
      </c>
      <c r="P8" s="9">
        <f t="shared" si="12"/>
        <v>44669</v>
      </c>
      <c r="Q8">
        <f t="shared" si="9"/>
        <v>3</v>
      </c>
      <c r="R8">
        <f t="shared" si="0"/>
        <v>0</v>
      </c>
      <c r="S8">
        <f t="shared" si="1"/>
        <v>0</v>
      </c>
      <c r="T8">
        <f t="shared" si="2"/>
        <v>0</v>
      </c>
      <c r="U8">
        <f t="shared" si="3"/>
        <v>2</v>
      </c>
    </row>
    <row r="9" spans="2:21" x14ac:dyDescent="0.25">
      <c r="B9" s="9">
        <f t="shared" si="10"/>
        <v>44676</v>
      </c>
      <c r="C9">
        <v>5</v>
      </c>
      <c r="D9">
        <v>11</v>
      </c>
      <c r="E9">
        <v>1</v>
      </c>
      <c r="F9">
        <v>9</v>
      </c>
      <c r="G9">
        <v>17</v>
      </c>
      <c r="I9" s="9">
        <f t="shared" si="11"/>
        <v>44676</v>
      </c>
      <c r="J9">
        <f t="shared" si="4"/>
        <v>0</v>
      </c>
      <c r="K9">
        <f t="shared" si="5"/>
        <v>0</v>
      </c>
      <c r="L9">
        <f t="shared" si="6"/>
        <v>0</v>
      </c>
      <c r="M9">
        <f t="shared" si="7"/>
        <v>0</v>
      </c>
      <c r="N9">
        <f t="shared" si="8"/>
        <v>0</v>
      </c>
      <c r="P9" s="9">
        <f t="shared" si="12"/>
        <v>44676</v>
      </c>
      <c r="Q9">
        <f t="shared" si="9"/>
        <v>0</v>
      </c>
      <c r="R9">
        <f t="shared" si="0"/>
        <v>3</v>
      </c>
      <c r="S9">
        <f t="shared" si="1"/>
        <v>0</v>
      </c>
      <c r="T9">
        <f t="shared" si="2"/>
        <v>0</v>
      </c>
      <c r="U9">
        <f t="shared" si="3"/>
        <v>0</v>
      </c>
    </row>
    <row r="10" spans="2:21" x14ac:dyDescent="0.25">
      <c r="B10" s="9">
        <f t="shared" si="10"/>
        <v>44683</v>
      </c>
      <c r="C10">
        <v>3</v>
      </c>
      <c r="D10">
        <v>10</v>
      </c>
      <c r="E10">
        <v>1</v>
      </c>
      <c r="F10">
        <v>9</v>
      </c>
      <c r="G10">
        <v>17</v>
      </c>
      <c r="I10" s="9">
        <f t="shared" si="11"/>
        <v>44683</v>
      </c>
      <c r="J10">
        <f t="shared" si="4"/>
        <v>2</v>
      </c>
      <c r="K10">
        <f t="shared" si="5"/>
        <v>1</v>
      </c>
      <c r="L10">
        <f t="shared" si="6"/>
        <v>0</v>
      </c>
      <c r="M10">
        <f t="shared" si="7"/>
        <v>0</v>
      </c>
      <c r="N10">
        <f t="shared" si="8"/>
        <v>0</v>
      </c>
      <c r="P10" s="9">
        <f t="shared" si="12"/>
        <v>44683</v>
      </c>
      <c r="Q10">
        <f t="shared" si="9"/>
        <v>0</v>
      </c>
      <c r="R10">
        <f t="shared" si="0"/>
        <v>0</v>
      </c>
      <c r="S10">
        <f t="shared" si="1"/>
        <v>0</v>
      </c>
      <c r="T10">
        <f t="shared" si="2"/>
        <v>0</v>
      </c>
      <c r="U10">
        <f t="shared" si="3"/>
        <v>0</v>
      </c>
    </row>
    <row r="11" spans="2:21" x14ac:dyDescent="0.25">
      <c r="B11" s="9">
        <f t="shared" si="10"/>
        <v>44690</v>
      </c>
      <c r="C11">
        <v>3</v>
      </c>
      <c r="D11">
        <v>8</v>
      </c>
      <c r="E11">
        <v>1</v>
      </c>
      <c r="F11">
        <v>9</v>
      </c>
      <c r="G11">
        <v>17</v>
      </c>
      <c r="I11" s="9">
        <f t="shared" si="11"/>
        <v>44690</v>
      </c>
      <c r="J11">
        <f t="shared" si="4"/>
        <v>0</v>
      </c>
      <c r="K11">
        <f t="shared" si="5"/>
        <v>2</v>
      </c>
      <c r="L11">
        <f t="shared" si="6"/>
        <v>0</v>
      </c>
      <c r="M11">
        <f t="shared" si="7"/>
        <v>0</v>
      </c>
      <c r="N11">
        <f t="shared" si="8"/>
        <v>0</v>
      </c>
      <c r="P11" s="9">
        <f t="shared" si="12"/>
        <v>44690</v>
      </c>
      <c r="Q11">
        <f t="shared" si="9"/>
        <v>0</v>
      </c>
      <c r="R11">
        <f t="shared" si="0"/>
        <v>0</v>
      </c>
      <c r="S11">
        <f t="shared" si="1"/>
        <v>0</v>
      </c>
      <c r="T11">
        <f t="shared" si="2"/>
        <v>0</v>
      </c>
      <c r="U11">
        <f t="shared" si="3"/>
        <v>0</v>
      </c>
    </row>
    <row r="12" spans="2:21" x14ac:dyDescent="0.25">
      <c r="B12" s="9">
        <f t="shared" si="10"/>
        <v>44697</v>
      </c>
      <c r="C12">
        <v>1</v>
      </c>
      <c r="D12">
        <v>12</v>
      </c>
      <c r="E12">
        <v>1</v>
      </c>
      <c r="F12">
        <v>9</v>
      </c>
      <c r="G12">
        <v>17</v>
      </c>
      <c r="I12" s="9">
        <f t="shared" si="11"/>
        <v>44697</v>
      </c>
      <c r="J12">
        <f t="shared" si="4"/>
        <v>2</v>
      </c>
      <c r="K12">
        <f t="shared" si="5"/>
        <v>0</v>
      </c>
      <c r="L12">
        <f t="shared" si="6"/>
        <v>0</v>
      </c>
      <c r="M12">
        <f t="shared" si="7"/>
        <v>0</v>
      </c>
      <c r="N12">
        <f t="shared" si="8"/>
        <v>0</v>
      </c>
      <c r="P12" s="9">
        <f t="shared" si="12"/>
        <v>44697</v>
      </c>
      <c r="Q12">
        <f t="shared" si="9"/>
        <v>0</v>
      </c>
      <c r="R12">
        <f t="shared" si="0"/>
        <v>4</v>
      </c>
      <c r="S12">
        <f t="shared" si="1"/>
        <v>0</v>
      </c>
      <c r="T12">
        <f t="shared" si="2"/>
        <v>0</v>
      </c>
      <c r="U12">
        <f t="shared" si="3"/>
        <v>0</v>
      </c>
    </row>
    <row r="13" spans="2:21" x14ac:dyDescent="0.25">
      <c r="B13" s="9">
        <f t="shared" si="10"/>
        <v>44704</v>
      </c>
      <c r="C13">
        <v>1</v>
      </c>
      <c r="D13">
        <v>14</v>
      </c>
      <c r="E13">
        <v>3</v>
      </c>
      <c r="F13">
        <v>10</v>
      </c>
      <c r="G13">
        <v>13</v>
      </c>
      <c r="I13" s="9">
        <f t="shared" si="11"/>
        <v>44704</v>
      </c>
      <c r="J13">
        <f t="shared" si="4"/>
        <v>0</v>
      </c>
      <c r="K13">
        <f t="shared" si="5"/>
        <v>0</v>
      </c>
      <c r="L13">
        <f t="shared" si="6"/>
        <v>0</v>
      </c>
      <c r="M13">
        <f t="shared" si="7"/>
        <v>0</v>
      </c>
      <c r="N13">
        <f t="shared" si="8"/>
        <v>4</v>
      </c>
      <c r="P13" s="9">
        <f t="shared" si="12"/>
        <v>44704</v>
      </c>
      <c r="Q13">
        <f t="shared" si="9"/>
        <v>0</v>
      </c>
      <c r="R13">
        <f t="shared" si="0"/>
        <v>2</v>
      </c>
      <c r="S13">
        <f t="shared" si="1"/>
        <v>2</v>
      </c>
      <c r="T13">
        <f t="shared" si="2"/>
        <v>1</v>
      </c>
      <c r="U13">
        <f t="shared" si="3"/>
        <v>0</v>
      </c>
    </row>
    <row r="14" spans="2:21" x14ac:dyDescent="0.25">
      <c r="B14" s="9">
        <f t="shared" si="10"/>
        <v>44711</v>
      </c>
      <c r="C14">
        <v>1</v>
      </c>
      <c r="D14">
        <v>14</v>
      </c>
      <c r="E14">
        <v>3</v>
      </c>
      <c r="F14">
        <v>10</v>
      </c>
      <c r="G14">
        <v>13</v>
      </c>
      <c r="I14" s="9">
        <f t="shared" si="11"/>
        <v>44711</v>
      </c>
      <c r="J14">
        <f t="shared" si="4"/>
        <v>0</v>
      </c>
      <c r="K14">
        <f t="shared" si="5"/>
        <v>0</v>
      </c>
      <c r="L14">
        <f t="shared" si="6"/>
        <v>0</v>
      </c>
      <c r="M14">
        <f t="shared" si="7"/>
        <v>0</v>
      </c>
      <c r="N14">
        <f t="shared" si="8"/>
        <v>0</v>
      </c>
      <c r="P14" s="9">
        <f t="shared" si="12"/>
        <v>44711</v>
      </c>
      <c r="Q14">
        <f t="shared" si="9"/>
        <v>0</v>
      </c>
      <c r="R14">
        <f t="shared" si="0"/>
        <v>0</v>
      </c>
      <c r="S14">
        <f t="shared" si="1"/>
        <v>0</v>
      </c>
      <c r="T14">
        <f t="shared" si="2"/>
        <v>0</v>
      </c>
      <c r="U14">
        <f t="shared" si="3"/>
        <v>0</v>
      </c>
    </row>
    <row r="15" spans="2:21" x14ac:dyDescent="0.25">
      <c r="B15" s="9">
        <f t="shared" si="10"/>
        <v>44718</v>
      </c>
      <c r="C15">
        <v>1</v>
      </c>
      <c r="D15">
        <v>12</v>
      </c>
      <c r="E15">
        <v>3</v>
      </c>
      <c r="F15">
        <v>10</v>
      </c>
      <c r="G15">
        <v>13</v>
      </c>
      <c r="I15" s="9">
        <f t="shared" si="11"/>
        <v>44718</v>
      </c>
      <c r="J15">
        <f t="shared" si="4"/>
        <v>0</v>
      </c>
      <c r="K15">
        <f t="shared" si="5"/>
        <v>2</v>
      </c>
      <c r="L15">
        <f t="shared" si="6"/>
        <v>0</v>
      </c>
      <c r="M15">
        <f t="shared" si="7"/>
        <v>0</v>
      </c>
      <c r="N15">
        <f t="shared" si="8"/>
        <v>0</v>
      </c>
      <c r="P15" s="9">
        <f t="shared" si="12"/>
        <v>44718</v>
      </c>
      <c r="Q15">
        <f t="shared" si="9"/>
        <v>0</v>
      </c>
      <c r="R15">
        <f t="shared" si="0"/>
        <v>0</v>
      </c>
      <c r="S15">
        <f t="shared" si="1"/>
        <v>0</v>
      </c>
      <c r="T15">
        <f t="shared" si="2"/>
        <v>0</v>
      </c>
      <c r="U15">
        <f t="shared" si="3"/>
        <v>0</v>
      </c>
    </row>
    <row r="16" spans="2:21" x14ac:dyDescent="0.25">
      <c r="B16" s="9">
        <f t="shared" si="10"/>
        <v>44725</v>
      </c>
      <c r="C16">
        <v>1</v>
      </c>
      <c r="D16">
        <v>12</v>
      </c>
      <c r="E16">
        <v>3</v>
      </c>
      <c r="F16">
        <v>10</v>
      </c>
      <c r="G16">
        <v>18</v>
      </c>
      <c r="I16" s="9">
        <f t="shared" si="11"/>
        <v>44725</v>
      </c>
      <c r="J16">
        <f t="shared" si="4"/>
        <v>0</v>
      </c>
      <c r="K16">
        <f t="shared" si="5"/>
        <v>0</v>
      </c>
      <c r="L16">
        <f t="shared" si="6"/>
        <v>0</v>
      </c>
      <c r="M16">
        <f t="shared" si="7"/>
        <v>0</v>
      </c>
      <c r="N16">
        <f t="shared" si="8"/>
        <v>0</v>
      </c>
      <c r="P16" s="9">
        <f t="shared" si="12"/>
        <v>44725</v>
      </c>
      <c r="Q16">
        <f t="shared" si="9"/>
        <v>0</v>
      </c>
      <c r="R16">
        <f t="shared" si="0"/>
        <v>0</v>
      </c>
      <c r="S16">
        <f t="shared" si="1"/>
        <v>0</v>
      </c>
      <c r="T16">
        <f t="shared" si="2"/>
        <v>0</v>
      </c>
      <c r="U16">
        <f t="shared" si="3"/>
        <v>5</v>
      </c>
    </row>
    <row r="17" spans="2:21" x14ac:dyDescent="0.25">
      <c r="B17" s="9">
        <f t="shared" si="10"/>
        <v>44732</v>
      </c>
      <c r="C17">
        <v>4</v>
      </c>
      <c r="D17">
        <v>14</v>
      </c>
      <c r="E17">
        <v>3</v>
      </c>
      <c r="F17">
        <v>7</v>
      </c>
      <c r="G17">
        <v>13</v>
      </c>
      <c r="I17" s="9">
        <f t="shared" si="11"/>
        <v>44732</v>
      </c>
      <c r="J17">
        <f t="shared" si="4"/>
        <v>0</v>
      </c>
      <c r="K17">
        <f t="shared" si="5"/>
        <v>0</v>
      </c>
      <c r="L17">
        <f t="shared" si="6"/>
        <v>0</v>
      </c>
      <c r="M17">
        <f t="shared" si="7"/>
        <v>3</v>
      </c>
      <c r="N17">
        <f t="shared" si="8"/>
        <v>5</v>
      </c>
      <c r="P17" s="9">
        <f t="shared" si="12"/>
        <v>44732</v>
      </c>
      <c r="Q17">
        <f t="shared" si="9"/>
        <v>3</v>
      </c>
      <c r="R17">
        <f t="shared" si="0"/>
        <v>2</v>
      </c>
      <c r="S17">
        <f t="shared" si="1"/>
        <v>0</v>
      </c>
      <c r="T17">
        <f t="shared" si="2"/>
        <v>0</v>
      </c>
      <c r="U17">
        <f t="shared" si="3"/>
        <v>0</v>
      </c>
    </row>
    <row r="18" spans="2:21" x14ac:dyDescent="0.25">
      <c r="B18" s="9">
        <f t="shared" si="10"/>
        <v>44739</v>
      </c>
      <c r="C18">
        <v>4</v>
      </c>
      <c r="D18">
        <v>16</v>
      </c>
      <c r="E18">
        <v>3</v>
      </c>
      <c r="F18">
        <v>7</v>
      </c>
      <c r="G18">
        <v>13</v>
      </c>
      <c r="I18" s="9">
        <f t="shared" si="11"/>
        <v>44739</v>
      </c>
      <c r="J18">
        <f t="shared" si="4"/>
        <v>0</v>
      </c>
      <c r="K18">
        <f t="shared" si="5"/>
        <v>0</v>
      </c>
      <c r="L18">
        <f t="shared" si="6"/>
        <v>0</v>
      </c>
      <c r="M18">
        <f t="shared" si="7"/>
        <v>0</v>
      </c>
      <c r="N18">
        <f t="shared" si="8"/>
        <v>0</v>
      </c>
      <c r="P18" s="9">
        <f t="shared" si="12"/>
        <v>44739</v>
      </c>
      <c r="Q18">
        <f t="shared" si="9"/>
        <v>0</v>
      </c>
      <c r="R18">
        <f t="shared" si="0"/>
        <v>2</v>
      </c>
      <c r="S18">
        <f t="shared" si="1"/>
        <v>0</v>
      </c>
      <c r="T18">
        <f t="shared" si="2"/>
        <v>0</v>
      </c>
      <c r="U18">
        <f t="shared" si="3"/>
        <v>0</v>
      </c>
    </row>
    <row r="19" spans="2:21" x14ac:dyDescent="0.25">
      <c r="B19" s="9">
        <f t="shared" si="10"/>
        <v>44746</v>
      </c>
      <c r="C19">
        <v>4</v>
      </c>
      <c r="D19">
        <v>14</v>
      </c>
      <c r="E19">
        <v>3</v>
      </c>
      <c r="F19">
        <v>7</v>
      </c>
      <c r="G19">
        <v>13</v>
      </c>
      <c r="I19" s="9">
        <f t="shared" si="11"/>
        <v>44746</v>
      </c>
      <c r="J19">
        <f t="shared" si="4"/>
        <v>0</v>
      </c>
      <c r="K19">
        <f t="shared" si="5"/>
        <v>2</v>
      </c>
      <c r="L19">
        <f t="shared" si="6"/>
        <v>0</v>
      </c>
      <c r="M19">
        <f t="shared" si="7"/>
        <v>0</v>
      </c>
      <c r="N19">
        <f t="shared" si="8"/>
        <v>0</v>
      </c>
      <c r="P19" s="9">
        <f t="shared" si="12"/>
        <v>44746</v>
      </c>
      <c r="Q19">
        <f t="shared" si="9"/>
        <v>0</v>
      </c>
      <c r="R19">
        <f t="shared" si="0"/>
        <v>0</v>
      </c>
      <c r="S19">
        <f t="shared" si="1"/>
        <v>0</v>
      </c>
      <c r="T19">
        <f t="shared" si="2"/>
        <v>0</v>
      </c>
      <c r="U19">
        <f t="shared" si="3"/>
        <v>0</v>
      </c>
    </row>
    <row r="20" spans="2:21" x14ac:dyDescent="0.25">
      <c r="B20" s="9">
        <f t="shared" si="10"/>
        <v>44753</v>
      </c>
      <c r="C20">
        <v>2</v>
      </c>
      <c r="D20">
        <v>16</v>
      </c>
      <c r="E20">
        <v>3</v>
      </c>
      <c r="F20">
        <v>7</v>
      </c>
      <c r="G20">
        <v>11</v>
      </c>
      <c r="I20" s="9">
        <f t="shared" si="11"/>
        <v>44753</v>
      </c>
      <c r="J20">
        <f t="shared" si="4"/>
        <v>2</v>
      </c>
      <c r="K20">
        <f t="shared" si="5"/>
        <v>0</v>
      </c>
      <c r="L20">
        <f t="shared" si="6"/>
        <v>0</v>
      </c>
      <c r="M20">
        <f t="shared" si="7"/>
        <v>0</v>
      </c>
      <c r="N20">
        <f t="shared" si="8"/>
        <v>2</v>
      </c>
      <c r="P20" s="9">
        <f t="shared" si="12"/>
        <v>44753</v>
      </c>
      <c r="Q20">
        <f t="shared" si="9"/>
        <v>0</v>
      </c>
      <c r="R20">
        <f t="shared" si="0"/>
        <v>2</v>
      </c>
      <c r="S20">
        <f t="shared" si="1"/>
        <v>0</v>
      </c>
      <c r="T20">
        <f t="shared" si="2"/>
        <v>0</v>
      </c>
      <c r="U20">
        <f t="shared" si="3"/>
        <v>0</v>
      </c>
    </row>
    <row r="21" spans="2:21" x14ac:dyDescent="0.25">
      <c r="B21" s="9">
        <f t="shared" si="10"/>
        <v>44760</v>
      </c>
      <c r="C21">
        <v>2</v>
      </c>
      <c r="D21">
        <v>19</v>
      </c>
      <c r="E21">
        <v>3</v>
      </c>
      <c r="F21">
        <v>7</v>
      </c>
      <c r="G21">
        <v>11</v>
      </c>
      <c r="I21" s="9">
        <f t="shared" si="11"/>
        <v>44760</v>
      </c>
      <c r="J21">
        <f t="shared" si="4"/>
        <v>0</v>
      </c>
      <c r="K21">
        <f t="shared" si="5"/>
        <v>0</v>
      </c>
      <c r="L21">
        <f t="shared" si="6"/>
        <v>0</v>
      </c>
      <c r="M21">
        <f t="shared" si="7"/>
        <v>0</v>
      </c>
      <c r="N21">
        <f t="shared" si="8"/>
        <v>0</v>
      </c>
      <c r="P21" s="9">
        <f t="shared" si="12"/>
        <v>44760</v>
      </c>
      <c r="Q21">
        <f t="shared" si="9"/>
        <v>0</v>
      </c>
      <c r="R21">
        <f t="shared" si="0"/>
        <v>3</v>
      </c>
      <c r="S21">
        <f t="shared" si="1"/>
        <v>0</v>
      </c>
      <c r="T21">
        <f t="shared" si="2"/>
        <v>0</v>
      </c>
      <c r="U21">
        <f t="shared" si="3"/>
        <v>0</v>
      </c>
    </row>
    <row r="22" spans="2:21" x14ac:dyDescent="0.25">
      <c r="B22" s="9">
        <f t="shared" si="10"/>
        <v>44767</v>
      </c>
      <c r="C22">
        <v>2</v>
      </c>
      <c r="D22">
        <v>19</v>
      </c>
      <c r="E22">
        <v>3</v>
      </c>
      <c r="F22">
        <v>7</v>
      </c>
      <c r="G22">
        <v>11</v>
      </c>
      <c r="I22" s="9">
        <f t="shared" si="11"/>
        <v>44767</v>
      </c>
      <c r="J22">
        <f t="shared" si="4"/>
        <v>0</v>
      </c>
      <c r="K22">
        <f t="shared" si="5"/>
        <v>0</v>
      </c>
      <c r="L22">
        <f t="shared" si="6"/>
        <v>0</v>
      </c>
      <c r="M22">
        <f t="shared" si="7"/>
        <v>0</v>
      </c>
      <c r="N22">
        <f t="shared" si="8"/>
        <v>0</v>
      </c>
      <c r="P22" s="9">
        <f t="shared" si="12"/>
        <v>44767</v>
      </c>
      <c r="Q22">
        <f t="shared" si="9"/>
        <v>0</v>
      </c>
      <c r="R22">
        <f t="shared" si="0"/>
        <v>0</v>
      </c>
      <c r="S22">
        <f t="shared" si="1"/>
        <v>0</v>
      </c>
      <c r="T22">
        <f t="shared" si="2"/>
        <v>0</v>
      </c>
      <c r="U22">
        <f t="shared" si="3"/>
        <v>0</v>
      </c>
    </row>
    <row r="23" spans="2:21" x14ac:dyDescent="0.25">
      <c r="B23" s="9">
        <f t="shared" si="10"/>
        <v>44774</v>
      </c>
      <c r="C23">
        <v>2</v>
      </c>
      <c r="D23">
        <v>17</v>
      </c>
      <c r="E23">
        <v>3</v>
      </c>
      <c r="F23">
        <v>7</v>
      </c>
      <c r="G23">
        <v>11</v>
      </c>
      <c r="I23" s="9">
        <f t="shared" si="11"/>
        <v>44774</v>
      </c>
      <c r="J23">
        <f t="shared" si="4"/>
        <v>0</v>
      </c>
      <c r="K23">
        <f t="shared" si="5"/>
        <v>2</v>
      </c>
      <c r="L23">
        <f t="shared" si="6"/>
        <v>0</v>
      </c>
      <c r="M23">
        <f t="shared" si="7"/>
        <v>0</v>
      </c>
      <c r="N23">
        <f t="shared" si="8"/>
        <v>0</v>
      </c>
      <c r="P23" s="9">
        <f t="shared" si="12"/>
        <v>44774</v>
      </c>
      <c r="Q23">
        <f t="shared" si="9"/>
        <v>0</v>
      </c>
      <c r="R23">
        <f t="shared" si="0"/>
        <v>0</v>
      </c>
      <c r="S23">
        <f t="shared" si="1"/>
        <v>0</v>
      </c>
      <c r="T23">
        <f t="shared" si="2"/>
        <v>0</v>
      </c>
      <c r="U23">
        <f t="shared" si="3"/>
        <v>0</v>
      </c>
    </row>
    <row r="24" spans="2:21" x14ac:dyDescent="0.25">
      <c r="B24" s="9">
        <f t="shared" si="10"/>
        <v>44781</v>
      </c>
      <c r="C24">
        <v>2</v>
      </c>
      <c r="D24">
        <v>17</v>
      </c>
      <c r="E24">
        <v>3</v>
      </c>
      <c r="F24">
        <v>7</v>
      </c>
      <c r="G24">
        <v>11</v>
      </c>
      <c r="I24" s="9">
        <f t="shared" si="11"/>
        <v>44781</v>
      </c>
      <c r="J24">
        <f t="shared" si="4"/>
        <v>0</v>
      </c>
      <c r="K24">
        <f t="shared" si="5"/>
        <v>0</v>
      </c>
      <c r="L24">
        <f t="shared" si="6"/>
        <v>0</v>
      </c>
      <c r="M24">
        <f t="shared" si="7"/>
        <v>0</v>
      </c>
      <c r="N24">
        <f t="shared" si="8"/>
        <v>0</v>
      </c>
      <c r="P24" s="9">
        <f t="shared" si="12"/>
        <v>44781</v>
      </c>
      <c r="Q24">
        <f t="shared" si="9"/>
        <v>0</v>
      </c>
      <c r="R24">
        <f t="shared" si="0"/>
        <v>0</v>
      </c>
      <c r="S24">
        <f t="shared" si="1"/>
        <v>0</v>
      </c>
      <c r="T24">
        <f t="shared" si="2"/>
        <v>0</v>
      </c>
      <c r="U24">
        <f t="shared" si="3"/>
        <v>0</v>
      </c>
    </row>
    <row r="25" spans="2:21" x14ac:dyDescent="0.25">
      <c r="B25" s="9">
        <f t="shared" si="10"/>
        <v>44788</v>
      </c>
      <c r="C25">
        <v>6</v>
      </c>
      <c r="D25">
        <v>16</v>
      </c>
      <c r="E25">
        <v>3</v>
      </c>
      <c r="F25">
        <v>7</v>
      </c>
      <c r="G25">
        <v>11</v>
      </c>
      <c r="I25" s="9">
        <f t="shared" si="11"/>
        <v>44788</v>
      </c>
      <c r="J25">
        <f t="shared" si="4"/>
        <v>0</v>
      </c>
      <c r="K25">
        <f t="shared" si="5"/>
        <v>1</v>
      </c>
      <c r="L25">
        <f t="shared" si="6"/>
        <v>0</v>
      </c>
      <c r="M25">
        <f t="shared" si="7"/>
        <v>0</v>
      </c>
      <c r="N25">
        <f t="shared" si="8"/>
        <v>0</v>
      </c>
      <c r="P25" s="9">
        <f t="shared" si="12"/>
        <v>44788</v>
      </c>
      <c r="Q25">
        <f t="shared" si="9"/>
        <v>4</v>
      </c>
      <c r="R25">
        <f t="shared" si="0"/>
        <v>0</v>
      </c>
      <c r="S25">
        <f t="shared" si="1"/>
        <v>0</v>
      </c>
      <c r="T25">
        <f t="shared" si="2"/>
        <v>0</v>
      </c>
      <c r="U25">
        <f t="shared" si="3"/>
        <v>0</v>
      </c>
    </row>
    <row r="26" spans="2:21" x14ac:dyDescent="0.25">
      <c r="B26" s="9">
        <f t="shared" si="10"/>
        <v>44795</v>
      </c>
      <c r="C26">
        <v>7</v>
      </c>
      <c r="D26">
        <v>16</v>
      </c>
      <c r="E26">
        <v>3</v>
      </c>
      <c r="F26">
        <v>7</v>
      </c>
      <c r="G26">
        <v>11</v>
      </c>
      <c r="I26" s="9">
        <f t="shared" si="11"/>
        <v>44795</v>
      </c>
      <c r="J26">
        <f t="shared" si="4"/>
        <v>0</v>
      </c>
      <c r="K26">
        <f t="shared" si="5"/>
        <v>0</v>
      </c>
      <c r="L26">
        <f t="shared" si="6"/>
        <v>0</v>
      </c>
      <c r="M26">
        <f t="shared" si="7"/>
        <v>0</v>
      </c>
      <c r="N26">
        <f t="shared" si="8"/>
        <v>0</v>
      </c>
      <c r="P26" s="9">
        <f t="shared" si="12"/>
        <v>44795</v>
      </c>
      <c r="Q26">
        <f t="shared" si="9"/>
        <v>1</v>
      </c>
      <c r="R26">
        <f t="shared" si="0"/>
        <v>0</v>
      </c>
      <c r="S26">
        <f t="shared" si="1"/>
        <v>0</v>
      </c>
      <c r="T26">
        <f t="shared" si="2"/>
        <v>0</v>
      </c>
      <c r="U26">
        <f t="shared" si="3"/>
        <v>0</v>
      </c>
    </row>
    <row r="27" spans="2:21" x14ac:dyDescent="0.25">
      <c r="B27" s="9">
        <f t="shared" si="10"/>
        <v>44802</v>
      </c>
      <c r="C27">
        <v>7</v>
      </c>
      <c r="D27">
        <v>13</v>
      </c>
      <c r="E27">
        <v>3</v>
      </c>
      <c r="F27">
        <v>7</v>
      </c>
      <c r="G27">
        <v>11</v>
      </c>
      <c r="I27" s="9">
        <f t="shared" si="11"/>
        <v>44802</v>
      </c>
      <c r="J27">
        <f t="shared" si="4"/>
        <v>0</v>
      </c>
      <c r="K27">
        <f t="shared" si="5"/>
        <v>3</v>
      </c>
      <c r="L27">
        <f t="shared" si="6"/>
        <v>0</v>
      </c>
      <c r="M27">
        <f t="shared" si="7"/>
        <v>0</v>
      </c>
      <c r="N27">
        <f t="shared" si="8"/>
        <v>0</v>
      </c>
      <c r="P27" s="9">
        <f t="shared" si="12"/>
        <v>44802</v>
      </c>
      <c r="Q27">
        <f t="shared" si="9"/>
        <v>0</v>
      </c>
      <c r="R27">
        <f t="shared" si="0"/>
        <v>0</v>
      </c>
      <c r="S27">
        <f t="shared" si="1"/>
        <v>0</v>
      </c>
      <c r="T27">
        <f t="shared" si="2"/>
        <v>0</v>
      </c>
      <c r="U27">
        <f t="shared" si="3"/>
        <v>0</v>
      </c>
    </row>
    <row r="28" spans="2:21" x14ac:dyDescent="0.25">
      <c r="B28" s="9">
        <f t="shared" si="10"/>
        <v>44809</v>
      </c>
      <c r="C28">
        <v>6</v>
      </c>
      <c r="D28">
        <v>11</v>
      </c>
      <c r="E28">
        <v>3</v>
      </c>
      <c r="F28">
        <v>7</v>
      </c>
      <c r="G28">
        <v>16</v>
      </c>
      <c r="I28" s="9">
        <f t="shared" si="11"/>
        <v>44809</v>
      </c>
      <c r="J28">
        <f t="shared" si="4"/>
        <v>1</v>
      </c>
      <c r="K28">
        <f t="shared" si="5"/>
        <v>2</v>
      </c>
      <c r="L28">
        <f t="shared" si="6"/>
        <v>0</v>
      </c>
      <c r="M28">
        <f t="shared" si="7"/>
        <v>0</v>
      </c>
      <c r="N28">
        <f t="shared" si="8"/>
        <v>0</v>
      </c>
      <c r="P28" s="9">
        <f t="shared" si="12"/>
        <v>44809</v>
      </c>
      <c r="Q28">
        <f t="shared" si="9"/>
        <v>0</v>
      </c>
      <c r="R28">
        <f t="shared" si="0"/>
        <v>0</v>
      </c>
      <c r="S28">
        <f t="shared" si="1"/>
        <v>0</v>
      </c>
      <c r="T28">
        <f t="shared" si="2"/>
        <v>0</v>
      </c>
      <c r="U28">
        <f t="shared" si="3"/>
        <v>5</v>
      </c>
    </row>
    <row r="29" spans="2:21" x14ac:dyDescent="0.25">
      <c r="B29" s="9">
        <f t="shared" si="10"/>
        <v>44816</v>
      </c>
      <c r="C29">
        <v>9</v>
      </c>
      <c r="D29">
        <v>9</v>
      </c>
      <c r="E29">
        <v>3</v>
      </c>
      <c r="F29">
        <v>5</v>
      </c>
      <c r="G29">
        <v>10</v>
      </c>
      <c r="I29" s="9">
        <f t="shared" si="11"/>
        <v>44816</v>
      </c>
      <c r="J29">
        <f t="shared" si="4"/>
        <v>0</v>
      </c>
      <c r="K29">
        <f t="shared" si="5"/>
        <v>2</v>
      </c>
      <c r="L29">
        <f t="shared" si="6"/>
        <v>0</v>
      </c>
      <c r="M29">
        <f t="shared" si="7"/>
        <v>2</v>
      </c>
      <c r="N29">
        <f t="shared" si="8"/>
        <v>6</v>
      </c>
      <c r="P29" s="9">
        <f t="shared" si="12"/>
        <v>44816</v>
      </c>
      <c r="Q29">
        <f t="shared" si="9"/>
        <v>3</v>
      </c>
      <c r="R29">
        <f t="shared" si="0"/>
        <v>0</v>
      </c>
      <c r="S29">
        <f t="shared" si="1"/>
        <v>0</v>
      </c>
      <c r="T29">
        <f t="shared" si="2"/>
        <v>0</v>
      </c>
      <c r="U29">
        <f t="shared" si="3"/>
        <v>0</v>
      </c>
    </row>
    <row r="30" spans="2:21" x14ac:dyDescent="0.25">
      <c r="B30" s="9">
        <f t="shared" si="10"/>
        <v>44823</v>
      </c>
      <c r="C30">
        <v>7</v>
      </c>
      <c r="D30">
        <v>9</v>
      </c>
      <c r="E30">
        <v>3</v>
      </c>
      <c r="F30">
        <v>4</v>
      </c>
      <c r="G30">
        <v>10</v>
      </c>
      <c r="I30" s="9">
        <f t="shared" si="11"/>
        <v>44823</v>
      </c>
      <c r="J30">
        <f t="shared" si="4"/>
        <v>2</v>
      </c>
      <c r="K30">
        <f t="shared" si="5"/>
        <v>0</v>
      </c>
      <c r="L30">
        <f t="shared" si="6"/>
        <v>0</v>
      </c>
      <c r="M30">
        <f t="shared" si="7"/>
        <v>1</v>
      </c>
      <c r="N30">
        <f t="shared" si="8"/>
        <v>0</v>
      </c>
      <c r="P30" s="9">
        <f t="shared" si="12"/>
        <v>44823</v>
      </c>
      <c r="Q30">
        <f t="shared" si="9"/>
        <v>0</v>
      </c>
      <c r="R30">
        <f t="shared" si="0"/>
        <v>0</v>
      </c>
      <c r="S30">
        <f t="shared" si="1"/>
        <v>0</v>
      </c>
      <c r="T30">
        <f t="shared" si="2"/>
        <v>0</v>
      </c>
      <c r="U30">
        <f t="shared" si="3"/>
        <v>0</v>
      </c>
    </row>
    <row r="31" spans="2:21" x14ac:dyDescent="0.25">
      <c r="B31" s="9">
        <f t="shared" si="10"/>
        <v>44830</v>
      </c>
      <c r="C31">
        <v>7</v>
      </c>
      <c r="D31">
        <v>20</v>
      </c>
      <c r="E31">
        <v>3</v>
      </c>
      <c r="F31">
        <v>4</v>
      </c>
      <c r="G31">
        <v>10</v>
      </c>
      <c r="I31" s="9">
        <f t="shared" si="11"/>
        <v>44830</v>
      </c>
      <c r="J31">
        <f t="shared" si="4"/>
        <v>0</v>
      </c>
      <c r="K31">
        <f t="shared" si="5"/>
        <v>0</v>
      </c>
      <c r="L31">
        <f t="shared" si="6"/>
        <v>0</v>
      </c>
      <c r="M31">
        <f t="shared" si="7"/>
        <v>0</v>
      </c>
      <c r="N31">
        <f t="shared" si="8"/>
        <v>0</v>
      </c>
      <c r="P31" s="9">
        <f t="shared" si="12"/>
        <v>44830</v>
      </c>
      <c r="Q31">
        <f t="shared" si="9"/>
        <v>0</v>
      </c>
      <c r="R31">
        <f t="shared" si="0"/>
        <v>11</v>
      </c>
      <c r="S31">
        <f t="shared" si="1"/>
        <v>0</v>
      </c>
      <c r="T31">
        <f t="shared" si="2"/>
        <v>0</v>
      </c>
      <c r="U31">
        <f t="shared" si="3"/>
        <v>0</v>
      </c>
    </row>
    <row r="32" spans="2:21" x14ac:dyDescent="0.25">
      <c r="B32" s="9">
        <f t="shared" si="10"/>
        <v>44837</v>
      </c>
      <c r="C32">
        <v>7</v>
      </c>
      <c r="D32">
        <v>20</v>
      </c>
      <c r="E32">
        <v>3</v>
      </c>
      <c r="F32">
        <v>4</v>
      </c>
      <c r="G32">
        <v>10</v>
      </c>
      <c r="I32" s="9">
        <f t="shared" si="11"/>
        <v>44837</v>
      </c>
      <c r="J32">
        <f t="shared" si="4"/>
        <v>0</v>
      </c>
      <c r="K32">
        <f t="shared" si="5"/>
        <v>0</v>
      </c>
      <c r="L32">
        <f t="shared" si="6"/>
        <v>0</v>
      </c>
      <c r="M32">
        <f t="shared" si="7"/>
        <v>0</v>
      </c>
      <c r="N32">
        <f t="shared" si="8"/>
        <v>0</v>
      </c>
      <c r="P32" s="9">
        <f t="shared" si="12"/>
        <v>44837</v>
      </c>
      <c r="Q32">
        <f t="shared" si="9"/>
        <v>0</v>
      </c>
      <c r="R32">
        <f t="shared" si="0"/>
        <v>0</v>
      </c>
      <c r="S32">
        <f t="shared" si="1"/>
        <v>0</v>
      </c>
      <c r="T32">
        <f t="shared" si="2"/>
        <v>0</v>
      </c>
      <c r="U32">
        <f t="shared" si="3"/>
        <v>0</v>
      </c>
    </row>
    <row r="33" spans="2:21" x14ac:dyDescent="0.25">
      <c r="B33" s="9">
        <f t="shared" si="10"/>
        <v>44844</v>
      </c>
      <c r="C33">
        <v>7</v>
      </c>
      <c r="D33">
        <v>35</v>
      </c>
      <c r="E33">
        <v>3</v>
      </c>
      <c r="F33">
        <v>4</v>
      </c>
      <c r="G33">
        <v>7</v>
      </c>
      <c r="I33" s="9">
        <f t="shared" si="11"/>
        <v>44844</v>
      </c>
      <c r="J33">
        <f t="shared" si="4"/>
        <v>0</v>
      </c>
      <c r="K33">
        <f t="shared" si="5"/>
        <v>0</v>
      </c>
      <c r="L33">
        <f t="shared" si="6"/>
        <v>0</v>
      </c>
      <c r="M33">
        <f t="shared" si="7"/>
        <v>0</v>
      </c>
      <c r="N33">
        <f t="shared" si="8"/>
        <v>3</v>
      </c>
      <c r="P33" s="9">
        <f t="shared" si="12"/>
        <v>44844</v>
      </c>
      <c r="Q33">
        <f t="shared" si="9"/>
        <v>0</v>
      </c>
      <c r="R33">
        <f t="shared" si="0"/>
        <v>15</v>
      </c>
      <c r="S33">
        <f t="shared" si="1"/>
        <v>0</v>
      </c>
      <c r="T33">
        <f t="shared" si="2"/>
        <v>0</v>
      </c>
      <c r="U33">
        <f t="shared" si="3"/>
        <v>0</v>
      </c>
    </row>
    <row r="34" spans="2:21" x14ac:dyDescent="0.25">
      <c r="B34" s="9">
        <f t="shared" si="10"/>
        <v>44851</v>
      </c>
      <c r="C34">
        <v>5</v>
      </c>
      <c r="D34">
        <v>35</v>
      </c>
      <c r="E34">
        <v>3</v>
      </c>
      <c r="F34">
        <v>4</v>
      </c>
      <c r="G34">
        <v>7</v>
      </c>
      <c r="I34" s="9">
        <f t="shared" si="11"/>
        <v>44851</v>
      </c>
      <c r="J34">
        <f t="shared" si="4"/>
        <v>2</v>
      </c>
      <c r="K34">
        <f t="shared" si="5"/>
        <v>0</v>
      </c>
      <c r="L34">
        <f t="shared" si="6"/>
        <v>0</v>
      </c>
      <c r="M34">
        <f t="shared" si="7"/>
        <v>0</v>
      </c>
      <c r="N34">
        <f t="shared" si="8"/>
        <v>0</v>
      </c>
      <c r="P34" s="9">
        <f t="shared" si="12"/>
        <v>44851</v>
      </c>
      <c r="Q34">
        <f t="shared" si="9"/>
        <v>0</v>
      </c>
      <c r="R34">
        <f t="shared" si="0"/>
        <v>0</v>
      </c>
      <c r="S34">
        <f t="shared" si="1"/>
        <v>0</v>
      </c>
      <c r="T34">
        <f t="shared" si="2"/>
        <v>0</v>
      </c>
      <c r="U34">
        <f t="shared" si="3"/>
        <v>0</v>
      </c>
    </row>
    <row r="35" spans="2:21" x14ac:dyDescent="0.25">
      <c r="B35" s="9">
        <f t="shared" si="10"/>
        <v>44858</v>
      </c>
      <c r="C35">
        <v>5</v>
      </c>
      <c r="D35">
        <v>35</v>
      </c>
      <c r="E35">
        <v>3</v>
      </c>
      <c r="F35">
        <v>4</v>
      </c>
      <c r="G35">
        <v>7</v>
      </c>
      <c r="I35" s="9">
        <f t="shared" si="11"/>
        <v>44858</v>
      </c>
      <c r="J35">
        <f t="shared" si="4"/>
        <v>0</v>
      </c>
      <c r="K35">
        <f t="shared" si="5"/>
        <v>0</v>
      </c>
      <c r="L35">
        <f t="shared" si="6"/>
        <v>0</v>
      </c>
      <c r="M35">
        <f t="shared" si="7"/>
        <v>0</v>
      </c>
      <c r="N35">
        <f t="shared" si="8"/>
        <v>0</v>
      </c>
      <c r="P35" s="9">
        <f t="shared" si="12"/>
        <v>44858</v>
      </c>
      <c r="Q35">
        <f t="shared" si="9"/>
        <v>0</v>
      </c>
      <c r="R35">
        <f t="shared" si="0"/>
        <v>0</v>
      </c>
      <c r="S35">
        <f t="shared" si="1"/>
        <v>0</v>
      </c>
      <c r="T35">
        <f t="shared" si="2"/>
        <v>0</v>
      </c>
      <c r="U35">
        <f t="shared" si="3"/>
        <v>0</v>
      </c>
    </row>
    <row r="36" spans="2:21" x14ac:dyDescent="0.25">
      <c r="B36" s="9">
        <f t="shared" si="10"/>
        <v>44865</v>
      </c>
      <c r="C36">
        <v>5</v>
      </c>
      <c r="D36">
        <v>35</v>
      </c>
      <c r="E36">
        <v>3</v>
      </c>
      <c r="F36">
        <v>4</v>
      </c>
      <c r="G36">
        <v>7</v>
      </c>
      <c r="I36" s="9">
        <f t="shared" si="11"/>
        <v>44865</v>
      </c>
      <c r="J36">
        <f t="shared" si="4"/>
        <v>0</v>
      </c>
      <c r="K36">
        <f t="shared" si="5"/>
        <v>0</v>
      </c>
      <c r="L36">
        <f t="shared" si="6"/>
        <v>0</v>
      </c>
      <c r="M36">
        <f t="shared" si="7"/>
        <v>0</v>
      </c>
      <c r="N36">
        <f t="shared" si="8"/>
        <v>0</v>
      </c>
      <c r="P36" s="9">
        <f t="shared" si="12"/>
        <v>44865</v>
      </c>
      <c r="Q36">
        <f t="shared" si="9"/>
        <v>0</v>
      </c>
      <c r="R36">
        <f t="shared" si="0"/>
        <v>0</v>
      </c>
      <c r="S36">
        <f t="shared" si="1"/>
        <v>0</v>
      </c>
      <c r="T36">
        <f t="shared" si="2"/>
        <v>0</v>
      </c>
      <c r="U36">
        <f t="shared" si="3"/>
        <v>0</v>
      </c>
    </row>
    <row r="37" spans="2:21" x14ac:dyDescent="0.25">
      <c r="B37" s="9">
        <f t="shared" si="10"/>
        <v>44872</v>
      </c>
      <c r="C37">
        <v>5</v>
      </c>
      <c r="D37">
        <v>39</v>
      </c>
      <c r="E37">
        <v>3</v>
      </c>
      <c r="F37">
        <v>5</v>
      </c>
      <c r="G37">
        <v>7</v>
      </c>
      <c r="I37" s="9">
        <f t="shared" si="11"/>
        <v>44872</v>
      </c>
      <c r="J37">
        <f t="shared" si="4"/>
        <v>0</v>
      </c>
      <c r="K37">
        <f t="shared" si="5"/>
        <v>0</v>
      </c>
      <c r="L37">
        <f t="shared" si="6"/>
        <v>0</v>
      </c>
      <c r="M37">
        <f t="shared" si="7"/>
        <v>0</v>
      </c>
      <c r="N37">
        <f t="shared" si="8"/>
        <v>0</v>
      </c>
      <c r="P37" s="9">
        <f t="shared" si="12"/>
        <v>44872</v>
      </c>
      <c r="Q37">
        <f t="shared" si="9"/>
        <v>0</v>
      </c>
      <c r="R37">
        <f t="shared" si="0"/>
        <v>4</v>
      </c>
      <c r="S37">
        <f t="shared" si="1"/>
        <v>0</v>
      </c>
      <c r="T37">
        <f t="shared" si="2"/>
        <v>1</v>
      </c>
      <c r="U37">
        <f t="shared" si="3"/>
        <v>0</v>
      </c>
    </row>
    <row r="38" spans="2:21" x14ac:dyDescent="0.25">
      <c r="B38" s="9">
        <f t="shared" si="10"/>
        <v>44879</v>
      </c>
      <c r="C38">
        <v>5</v>
      </c>
      <c r="D38">
        <v>39</v>
      </c>
      <c r="E38">
        <v>3</v>
      </c>
      <c r="F38">
        <v>5</v>
      </c>
      <c r="G38">
        <v>7</v>
      </c>
      <c r="I38" s="9">
        <f t="shared" si="11"/>
        <v>44879</v>
      </c>
      <c r="J38">
        <f t="shared" si="4"/>
        <v>0</v>
      </c>
      <c r="K38">
        <f t="shared" si="5"/>
        <v>0</v>
      </c>
      <c r="L38">
        <f t="shared" si="6"/>
        <v>0</v>
      </c>
      <c r="M38">
        <f t="shared" si="7"/>
        <v>0</v>
      </c>
      <c r="N38">
        <f t="shared" si="8"/>
        <v>0</v>
      </c>
      <c r="P38" s="9">
        <f t="shared" si="12"/>
        <v>44879</v>
      </c>
      <c r="Q38">
        <f t="shared" si="9"/>
        <v>0</v>
      </c>
      <c r="R38">
        <f t="shared" si="0"/>
        <v>0</v>
      </c>
      <c r="S38">
        <f t="shared" si="1"/>
        <v>0</v>
      </c>
      <c r="T38">
        <f t="shared" si="2"/>
        <v>0</v>
      </c>
      <c r="U38">
        <f t="shared" si="3"/>
        <v>0</v>
      </c>
    </row>
    <row r="39" spans="2:21" x14ac:dyDescent="0.25">
      <c r="B39" s="9">
        <f t="shared" si="10"/>
        <v>44886</v>
      </c>
      <c r="C39">
        <v>5</v>
      </c>
      <c r="D39">
        <v>39</v>
      </c>
      <c r="E39">
        <v>3</v>
      </c>
      <c r="F39">
        <v>5</v>
      </c>
      <c r="G39">
        <v>7</v>
      </c>
      <c r="I39" s="9">
        <f t="shared" si="11"/>
        <v>44886</v>
      </c>
      <c r="J39">
        <f t="shared" si="4"/>
        <v>0</v>
      </c>
      <c r="K39">
        <f t="shared" si="5"/>
        <v>0</v>
      </c>
      <c r="L39">
        <f t="shared" si="6"/>
        <v>0</v>
      </c>
      <c r="M39">
        <f t="shared" si="7"/>
        <v>0</v>
      </c>
      <c r="N39">
        <f t="shared" si="8"/>
        <v>0</v>
      </c>
      <c r="P39" s="9">
        <f t="shared" si="12"/>
        <v>44886</v>
      </c>
      <c r="Q39">
        <f t="shared" si="9"/>
        <v>0</v>
      </c>
      <c r="R39">
        <f t="shared" si="0"/>
        <v>0</v>
      </c>
      <c r="S39">
        <f t="shared" si="1"/>
        <v>0</v>
      </c>
      <c r="T39">
        <f t="shared" si="2"/>
        <v>0</v>
      </c>
      <c r="U39">
        <f t="shared" si="3"/>
        <v>0</v>
      </c>
    </row>
    <row r="40" spans="2:21" x14ac:dyDescent="0.25">
      <c r="B40" s="9">
        <f t="shared" si="10"/>
        <v>44893</v>
      </c>
      <c r="C40">
        <v>4</v>
      </c>
      <c r="D40">
        <v>35</v>
      </c>
      <c r="E40">
        <v>3</v>
      </c>
      <c r="F40">
        <v>4</v>
      </c>
      <c r="G40">
        <v>0</v>
      </c>
      <c r="I40" s="9">
        <f t="shared" si="11"/>
        <v>44893</v>
      </c>
      <c r="J40">
        <f t="shared" si="4"/>
        <v>1</v>
      </c>
      <c r="K40">
        <f t="shared" si="5"/>
        <v>4</v>
      </c>
      <c r="L40">
        <f t="shared" si="6"/>
        <v>0</v>
      </c>
      <c r="M40">
        <f t="shared" si="7"/>
        <v>1</v>
      </c>
      <c r="N40">
        <f t="shared" si="8"/>
        <v>7</v>
      </c>
      <c r="P40" s="9">
        <f t="shared" si="12"/>
        <v>44893</v>
      </c>
      <c r="Q40">
        <f t="shared" si="9"/>
        <v>0</v>
      </c>
      <c r="R40">
        <f t="shared" si="0"/>
        <v>0</v>
      </c>
      <c r="S40">
        <f t="shared" si="1"/>
        <v>0</v>
      </c>
      <c r="T40">
        <f t="shared" si="2"/>
        <v>0</v>
      </c>
      <c r="U40">
        <f t="shared" si="3"/>
        <v>0</v>
      </c>
    </row>
    <row r="41" spans="2:21" x14ac:dyDescent="0.25">
      <c r="B41" s="9">
        <f t="shared" si="10"/>
        <v>44900</v>
      </c>
      <c r="C41">
        <v>4</v>
      </c>
      <c r="D41">
        <v>27</v>
      </c>
      <c r="E41">
        <v>2</v>
      </c>
      <c r="F41">
        <v>0</v>
      </c>
      <c r="G41">
        <v>0</v>
      </c>
      <c r="I41" s="9">
        <f t="shared" si="11"/>
        <v>44900</v>
      </c>
      <c r="J41">
        <f t="shared" si="4"/>
        <v>0</v>
      </c>
      <c r="K41">
        <f t="shared" si="5"/>
        <v>8</v>
      </c>
      <c r="L41">
        <f t="shared" si="6"/>
        <v>1</v>
      </c>
      <c r="M41">
        <f t="shared" si="7"/>
        <v>4</v>
      </c>
      <c r="N41">
        <f t="shared" si="8"/>
        <v>0</v>
      </c>
      <c r="P41" s="9">
        <f t="shared" si="12"/>
        <v>44900</v>
      </c>
      <c r="Q41">
        <f t="shared" si="9"/>
        <v>0</v>
      </c>
      <c r="R41">
        <f t="shared" si="0"/>
        <v>0</v>
      </c>
      <c r="S41">
        <f t="shared" si="1"/>
        <v>0</v>
      </c>
      <c r="T41">
        <f t="shared" si="2"/>
        <v>0</v>
      </c>
      <c r="U41">
        <f t="shared" si="3"/>
        <v>0</v>
      </c>
    </row>
    <row r="42" spans="2:21" x14ac:dyDescent="0.25">
      <c r="B42" s="9">
        <f t="shared" si="10"/>
        <v>44907</v>
      </c>
      <c r="C42">
        <v>4</v>
      </c>
      <c r="D42">
        <v>27</v>
      </c>
      <c r="E42">
        <v>2</v>
      </c>
      <c r="F42">
        <v>0</v>
      </c>
      <c r="G42">
        <v>0</v>
      </c>
      <c r="I42" s="9">
        <f t="shared" si="11"/>
        <v>44907</v>
      </c>
      <c r="J42">
        <f t="shared" si="4"/>
        <v>0</v>
      </c>
      <c r="K42">
        <f t="shared" si="5"/>
        <v>0</v>
      </c>
      <c r="L42">
        <f t="shared" si="6"/>
        <v>0</v>
      </c>
      <c r="M42">
        <f t="shared" si="7"/>
        <v>0</v>
      </c>
      <c r="N42">
        <f t="shared" si="8"/>
        <v>0</v>
      </c>
      <c r="P42" s="9">
        <f t="shared" si="12"/>
        <v>44907</v>
      </c>
      <c r="Q42">
        <f t="shared" si="9"/>
        <v>0</v>
      </c>
      <c r="R42">
        <f t="shared" si="0"/>
        <v>0</v>
      </c>
      <c r="S42">
        <f t="shared" si="1"/>
        <v>0</v>
      </c>
      <c r="T42">
        <f t="shared" si="2"/>
        <v>0</v>
      </c>
      <c r="U42">
        <f t="shared" si="3"/>
        <v>0</v>
      </c>
    </row>
    <row r="43" spans="2:21" x14ac:dyDescent="0.25">
      <c r="B43" s="9">
        <f t="shared" si="10"/>
        <v>44914</v>
      </c>
      <c r="C43">
        <v>0</v>
      </c>
      <c r="D43">
        <v>27</v>
      </c>
      <c r="E43">
        <v>2</v>
      </c>
      <c r="F43">
        <v>0</v>
      </c>
      <c r="G43">
        <v>1</v>
      </c>
      <c r="I43" s="9">
        <f t="shared" si="11"/>
        <v>44914</v>
      </c>
      <c r="J43">
        <f t="shared" si="4"/>
        <v>4</v>
      </c>
      <c r="K43">
        <f t="shared" si="5"/>
        <v>0</v>
      </c>
      <c r="L43">
        <f t="shared" si="6"/>
        <v>0</v>
      </c>
      <c r="M43">
        <f t="shared" si="7"/>
        <v>0</v>
      </c>
      <c r="N43">
        <f t="shared" si="8"/>
        <v>0</v>
      </c>
      <c r="P43" s="9">
        <f t="shared" si="12"/>
        <v>44914</v>
      </c>
      <c r="Q43">
        <f t="shared" si="9"/>
        <v>0</v>
      </c>
      <c r="R43">
        <f t="shared" si="0"/>
        <v>0</v>
      </c>
      <c r="S43">
        <f t="shared" si="1"/>
        <v>0</v>
      </c>
      <c r="T43">
        <f t="shared" si="2"/>
        <v>0</v>
      </c>
      <c r="U43">
        <f t="shared" si="3"/>
        <v>1</v>
      </c>
    </row>
    <row r="44" spans="2:21" x14ac:dyDescent="0.25">
      <c r="B44" s="9">
        <f t="shared" si="10"/>
        <v>44921</v>
      </c>
      <c r="C44">
        <v>0</v>
      </c>
      <c r="D44">
        <v>27</v>
      </c>
      <c r="E44">
        <v>2</v>
      </c>
      <c r="F44">
        <v>0</v>
      </c>
      <c r="G44">
        <v>1</v>
      </c>
      <c r="I44" s="9">
        <f t="shared" si="11"/>
        <v>44921</v>
      </c>
      <c r="J44">
        <f t="shared" si="4"/>
        <v>0</v>
      </c>
      <c r="K44">
        <f t="shared" si="5"/>
        <v>0</v>
      </c>
      <c r="L44">
        <f t="shared" si="6"/>
        <v>0</v>
      </c>
      <c r="M44">
        <f t="shared" si="7"/>
        <v>0</v>
      </c>
      <c r="N44">
        <f t="shared" si="8"/>
        <v>0</v>
      </c>
      <c r="P44" s="9">
        <f t="shared" si="12"/>
        <v>44921</v>
      </c>
      <c r="Q44">
        <f t="shared" si="9"/>
        <v>0</v>
      </c>
      <c r="R44">
        <f t="shared" si="0"/>
        <v>0</v>
      </c>
      <c r="S44">
        <f t="shared" si="1"/>
        <v>0</v>
      </c>
      <c r="T44">
        <f t="shared" si="2"/>
        <v>0</v>
      </c>
      <c r="U44">
        <f t="shared" si="3"/>
        <v>0</v>
      </c>
    </row>
    <row r="45" spans="2:21" x14ac:dyDescent="0.25">
      <c r="B45" s="9">
        <f t="shared" si="10"/>
        <v>44928</v>
      </c>
      <c r="C45">
        <v>0</v>
      </c>
      <c r="D45">
        <v>20</v>
      </c>
      <c r="E45">
        <v>2</v>
      </c>
      <c r="F45">
        <v>0</v>
      </c>
      <c r="G45">
        <v>1</v>
      </c>
      <c r="I45" s="9">
        <f t="shared" si="11"/>
        <v>44928</v>
      </c>
      <c r="J45">
        <f t="shared" si="4"/>
        <v>0</v>
      </c>
      <c r="K45">
        <f t="shared" si="5"/>
        <v>7</v>
      </c>
      <c r="L45">
        <f t="shared" si="6"/>
        <v>0</v>
      </c>
      <c r="M45">
        <f t="shared" si="7"/>
        <v>0</v>
      </c>
      <c r="N45">
        <f t="shared" si="8"/>
        <v>0</v>
      </c>
      <c r="P45" s="9">
        <f t="shared" si="12"/>
        <v>44928</v>
      </c>
      <c r="Q45">
        <f t="shared" si="9"/>
        <v>0</v>
      </c>
      <c r="R45">
        <f t="shared" si="0"/>
        <v>0</v>
      </c>
      <c r="S45">
        <f t="shared" si="1"/>
        <v>0</v>
      </c>
      <c r="T45">
        <f t="shared" si="2"/>
        <v>0</v>
      </c>
      <c r="U45">
        <f t="shared" si="3"/>
        <v>0</v>
      </c>
    </row>
    <row r="46" spans="2:21" x14ac:dyDescent="0.25">
      <c r="B46" s="9">
        <f t="shared" si="10"/>
        <v>44935</v>
      </c>
      <c r="C46">
        <v>0</v>
      </c>
      <c r="D46">
        <v>20</v>
      </c>
      <c r="E46">
        <v>2</v>
      </c>
      <c r="F46">
        <v>0</v>
      </c>
      <c r="G46">
        <v>1</v>
      </c>
      <c r="I46" s="9">
        <f t="shared" si="11"/>
        <v>44935</v>
      </c>
      <c r="J46">
        <f t="shared" si="4"/>
        <v>0</v>
      </c>
      <c r="K46">
        <f t="shared" si="5"/>
        <v>0</v>
      </c>
      <c r="L46">
        <f t="shared" si="6"/>
        <v>0</v>
      </c>
      <c r="M46">
        <f t="shared" si="7"/>
        <v>0</v>
      </c>
      <c r="N46">
        <f t="shared" si="8"/>
        <v>0</v>
      </c>
      <c r="P46" s="9">
        <f t="shared" si="12"/>
        <v>44935</v>
      </c>
      <c r="Q46">
        <f t="shared" si="9"/>
        <v>0</v>
      </c>
      <c r="R46">
        <f t="shared" si="0"/>
        <v>0</v>
      </c>
      <c r="S46">
        <f t="shared" si="1"/>
        <v>0</v>
      </c>
      <c r="T46">
        <f t="shared" si="2"/>
        <v>0</v>
      </c>
      <c r="U46">
        <f t="shared" si="3"/>
        <v>0</v>
      </c>
    </row>
    <row r="47" spans="2:21" x14ac:dyDescent="0.25">
      <c r="B47" s="9">
        <f t="shared" si="10"/>
        <v>44942</v>
      </c>
      <c r="C47">
        <v>0</v>
      </c>
      <c r="D47">
        <v>20</v>
      </c>
      <c r="E47">
        <v>2</v>
      </c>
      <c r="F47">
        <v>0</v>
      </c>
      <c r="G47">
        <v>1</v>
      </c>
      <c r="I47" s="9">
        <f t="shared" si="11"/>
        <v>44942</v>
      </c>
      <c r="J47">
        <f t="shared" si="4"/>
        <v>0</v>
      </c>
      <c r="K47">
        <f t="shared" si="5"/>
        <v>0</v>
      </c>
      <c r="L47">
        <f t="shared" si="6"/>
        <v>0</v>
      </c>
      <c r="M47">
        <f t="shared" si="7"/>
        <v>0</v>
      </c>
      <c r="N47">
        <f t="shared" si="8"/>
        <v>0</v>
      </c>
      <c r="P47" s="9">
        <f t="shared" si="12"/>
        <v>44942</v>
      </c>
      <c r="Q47">
        <f t="shared" si="9"/>
        <v>0</v>
      </c>
      <c r="R47">
        <f t="shared" si="0"/>
        <v>0</v>
      </c>
      <c r="S47">
        <f t="shared" si="1"/>
        <v>0</v>
      </c>
      <c r="T47">
        <f t="shared" si="2"/>
        <v>0</v>
      </c>
      <c r="U47">
        <f t="shared" si="3"/>
        <v>0</v>
      </c>
    </row>
    <row r="48" spans="2:21" x14ac:dyDescent="0.25">
      <c r="B48" s="9">
        <f t="shared" si="10"/>
        <v>44949</v>
      </c>
      <c r="C48">
        <v>0</v>
      </c>
      <c r="D48">
        <v>18</v>
      </c>
      <c r="E48">
        <v>1</v>
      </c>
      <c r="F48">
        <v>0</v>
      </c>
      <c r="G48">
        <v>1</v>
      </c>
      <c r="I48" s="9">
        <f t="shared" si="11"/>
        <v>44949</v>
      </c>
      <c r="J48">
        <f t="shared" si="4"/>
        <v>0</v>
      </c>
      <c r="K48">
        <f t="shared" si="5"/>
        <v>2</v>
      </c>
      <c r="L48">
        <f t="shared" si="6"/>
        <v>1</v>
      </c>
      <c r="M48">
        <f t="shared" si="7"/>
        <v>0</v>
      </c>
      <c r="N48">
        <f t="shared" si="8"/>
        <v>0</v>
      </c>
      <c r="P48" s="9">
        <f t="shared" si="12"/>
        <v>44949</v>
      </c>
      <c r="Q48">
        <f t="shared" si="9"/>
        <v>0</v>
      </c>
      <c r="R48">
        <f t="shared" si="0"/>
        <v>0</v>
      </c>
      <c r="S48">
        <f t="shared" si="1"/>
        <v>0</v>
      </c>
      <c r="T48">
        <f t="shared" si="2"/>
        <v>0</v>
      </c>
      <c r="U48">
        <f t="shared" si="3"/>
        <v>0</v>
      </c>
    </row>
    <row r="49" spans="2:21" x14ac:dyDescent="0.25">
      <c r="B49" s="9">
        <f t="shared" si="10"/>
        <v>44956</v>
      </c>
      <c r="C49">
        <v>0</v>
      </c>
      <c r="D49">
        <v>18</v>
      </c>
      <c r="E49">
        <v>1</v>
      </c>
      <c r="F49">
        <v>0</v>
      </c>
      <c r="G49">
        <v>1</v>
      </c>
      <c r="I49" s="9">
        <f t="shared" si="11"/>
        <v>44956</v>
      </c>
      <c r="J49">
        <f t="shared" si="4"/>
        <v>0</v>
      </c>
      <c r="K49">
        <f t="shared" si="5"/>
        <v>0</v>
      </c>
      <c r="L49">
        <f t="shared" si="6"/>
        <v>0</v>
      </c>
      <c r="M49">
        <f t="shared" si="7"/>
        <v>0</v>
      </c>
      <c r="N49">
        <f t="shared" si="8"/>
        <v>0</v>
      </c>
      <c r="P49" s="9">
        <f t="shared" si="12"/>
        <v>44956</v>
      </c>
      <c r="Q49">
        <f t="shared" si="9"/>
        <v>0</v>
      </c>
      <c r="R49">
        <f t="shared" si="0"/>
        <v>0</v>
      </c>
      <c r="S49">
        <f t="shared" si="1"/>
        <v>0</v>
      </c>
      <c r="T49">
        <f t="shared" si="2"/>
        <v>0</v>
      </c>
      <c r="U49">
        <f t="shared" si="3"/>
        <v>0</v>
      </c>
    </row>
    <row r="50" spans="2:21" x14ac:dyDescent="0.25">
      <c r="B50" s="9">
        <f t="shared" si="10"/>
        <v>44963</v>
      </c>
      <c r="C50">
        <v>2</v>
      </c>
      <c r="D50">
        <v>20</v>
      </c>
      <c r="E50">
        <v>1</v>
      </c>
      <c r="F50">
        <v>0</v>
      </c>
      <c r="G50">
        <v>1</v>
      </c>
      <c r="I50" s="9">
        <f t="shared" si="11"/>
        <v>44963</v>
      </c>
      <c r="J50">
        <f t="shared" si="4"/>
        <v>0</v>
      </c>
      <c r="K50">
        <f t="shared" si="5"/>
        <v>0</v>
      </c>
      <c r="L50">
        <f t="shared" si="6"/>
        <v>0</v>
      </c>
      <c r="M50">
        <f t="shared" si="7"/>
        <v>0</v>
      </c>
      <c r="N50">
        <f t="shared" si="8"/>
        <v>0</v>
      </c>
      <c r="P50" s="9">
        <f t="shared" si="12"/>
        <v>44963</v>
      </c>
      <c r="Q50">
        <f t="shared" si="9"/>
        <v>2</v>
      </c>
      <c r="R50">
        <f t="shared" si="0"/>
        <v>2</v>
      </c>
      <c r="S50">
        <f t="shared" si="1"/>
        <v>0</v>
      </c>
      <c r="T50">
        <f t="shared" si="2"/>
        <v>0</v>
      </c>
      <c r="U50">
        <f t="shared" si="3"/>
        <v>0</v>
      </c>
    </row>
    <row r="51" spans="2:21" x14ac:dyDescent="0.25">
      <c r="B51" s="9">
        <f t="shared" si="10"/>
        <v>44970</v>
      </c>
      <c r="C51">
        <v>2</v>
      </c>
      <c r="D51">
        <v>20</v>
      </c>
      <c r="E51">
        <v>1</v>
      </c>
      <c r="F51">
        <v>0</v>
      </c>
      <c r="G51">
        <v>1</v>
      </c>
      <c r="I51" s="9">
        <f t="shared" si="11"/>
        <v>44970</v>
      </c>
      <c r="J51">
        <f t="shared" si="4"/>
        <v>0</v>
      </c>
      <c r="K51">
        <f t="shared" si="5"/>
        <v>0</v>
      </c>
      <c r="L51">
        <f t="shared" si="6"/>
        <v>0</v>
      </c>
      <c r="M51">
        <f t="shared" si="7"/>
        <v>0</v>
      </c>
      <c r="N51">
        <f t="shared" si="8"/>
        <v>0</v>
      </c>
      <c r="P51" s="9">
        <f t="shared" si="12"/>
        <v>44970</v>
      </c>
      <c r="Q51">
        <f t="shared" si="9"/>
        <v>0</v>
      </c>
      <c r="R51">
        <f t="shared" si="0"/>
        <v>0</v>
      </c>
      <c r="S51">
        <f t="shared" si="1"/>
        <v>0</v>
      </c>
      <c r="T51">
        <f t="shared" si="2"/>
        <v>0</v>
      </c>
      <c r="U51">
        <f t="shared" si="3"/>
        <v>0</v>
      </c>
    </row>
    <row r="52" spans="2:21" x14ac:dyDescent="0.25">
      <c r="B52" s="9">
        <f t="shared" si="10"/>
        <v>44977</v>
      </c>
      <c r="C52">
        <v>2</v>
      </c>
      <c r="D52">
        <v>20</v>
      </c>
      <c r="E52">
        <v>1</v>
      </c>
      <c r="F52">
        <v>0</v>
      </c>
      <c r="G52">
        <v>1</v>
      </c>
      <c r="I52" s="9">
        <f t="shared" si="11"/>
        <v>44977</v>
      </c>
      <c r="J52">
        <f t="shared" si="4"/>
        <v>0</v>
      </c>
      <c r="K52">
        <f t="shared" si="5"/>
        <v>0</v>
      </c>
      <c r="L52">
        <f t="shared" si="6"/>
        <v>0</v>
      </c>
      <c r="M52">
        <f t="shared" si="7"/>
        <v>0</v>
      </c>
      <c r="N52">
        <f t="shared" si="8"/>
        <v>0</v>
      </c>
      <c r="P52" s="9">
        <f t="shared" si="12"/>
        <v>44977</v>
      </c>
      <c r="Q52">
        <f t="shared" si="9"/>
        <v>0</v>
      </c>
      <c r="R52">
        <f t="shared" si="0"/>
        <v>0</v>
      </c>
      <c r="S52">
        <f t="shared" si="1"/>
        <v>0</v>
      </c>
      <c r="T52">
        <f t="shared" si="2"/>
        <v>0</v>
      </c>
      <c r="U52">
        <f t="shared" si="3"/>
        <v>0</v>
      </c>
    </row>
    <row r="53" spans="2:21" x14ac:dyDescent="0.25">
      <c r="B53" s="9">
        <f t="shared" si="10"/>
        <v>44984</v>
      </c>
      <c r="C53">
        <v>2</v>
      </c>
      <c r="D53">
        <v>20</v>
      </c>
      <c r="E53">
        <v>1</v>
      </c>
      <c r="F53">
        <v>0</v>
      </c>
      <c r="G53">
        <v>1</v>
      </c>
      <c r="I53" s="9">
        <f t="shared" si="11"/>
        <v>44984</v>
      </c>
      <c r="J53">
        <f t="shared" si="4"/>
        <v>0</v>
      </c>
      <c r="K53">
        <f t="shared" si="5"/>
        <v>0</v>
      </c>
      <c r="L53">
        <f t="shared" si="6"/>
        <v>0</v>
      </c>
      <c r="M53">
        <f t="shared" si="7"/>
        <v>0</v>
      </c>
      <c r="N53">
        <f t="shared" si="8"/>
        <v>0</v>
      </c>
      <c r="P53" s="9">
        <f t="shared" si="12"/>
        <v>44984</v>
      </c>
      <c r="Q53">
        <f t="shared" si="9"/>
        <v>0</v>
      </c>
      <c r="R53">
        <f t="shared" si="0"/>
        <v>0</v>
      </c>
      <c r="S53">
        <f t="shared" si="1"/>
        <v>0</v>
      </c>
      <c r="T53">
        <f t="shared" si="2"/>
        <v>0</v>
      </c>
      <c r="U53">
        <f t="shared" si="3"/>
        <v>0</v>
      </c>
    </row>
    <row r="54" spans="2:21" x14ac:dyDescent="0.25">
      <c r="B54" s="9">
        <f t="shared" si="10"/>
        <v>44991</v>
      </c>
      <c r="C54">
        <v>2</v>
      </c>
      <c r="D54">
        <v>20</v>
      </c>
      <c r="E54">
        <v>1</v>
      </c>
      <c r="F54">
        <v>0</v>
      </c>
      <c r="G54">
        <v>1</v>
      </c>
      <c r="I54" s="9">
        <f t="shared" si="11"/>
        <v>44991</v>
      </c>
      <c r="J54">
        <f t="shared" si="4"/>
        <v>0</v>
      </c>
      <c r="K54">
        <f t="shared" si="5"/>
        <v>0</v>
      </c>
      <c r="L54">
        <f t="shared" si="6"/>
        <v>0</v>
      </c>
      <c r="M54">
        <f t="shared" si="7"/>
        <v>0</v>
      </c>
      <c r="N54">
        <f t="shared" si="8"/>
        <v>0</v>
      </c>
      <c r="P54" s="9">
        <f t="shared" si="12"/>
        <v>44991</v>
      </c>
      <c r="Q54">
        <f t="shared" si="9"/>
        <v>0</v>
      </c>
      <c r="R54">
        <f t="shared" si="0"/>
        <v>0</v>
      </c>
      <c r="S54">
        <f t="shared" si="1"/>
        <v>0</v>
      </c>
      <c r="T54">
        <f t="shared" si="2"/>
        <v>0</v>
      </c>
      <c r="U54">
        <f t="shared" si="3"/>
        <v>0</v>
      </c>
    </row>
    <row r="55" spans="2:21" x14ac:dyDescent="0.25">
      <c r="B55" s="9">
        <f t="shared" si="10"/>
        <v>44998</v>
      </c>
      <c r="C55">
        <v>15</v>
      </c>
      <c r="D55">
        <v>42</v>
      </c>
      <c r="E55">
        <v>2</v>
      </c>
      <c r="F55">
        <v>5</v>
      </c>
      <c r="G55">
        <v>1</v>
      </c>
      <c r="I55" s="9">
        <f t="shared" si="11"/>
        <v>44998</v>
      </c>
      <c r="J55">
        <f t="shared" si="4"/>
        <v>0</v>
      </c>
      <c r="K55">
        <f t="shared" si="5"/>
        <v>0</v>
      </c>
      <c r="L55">
        <f t="shared" si="6"/>
        <v>0</v>
      </c>
      <c r="M55">
        <f t="shared" si="7"/>
        <v>0</v>
      </c>
      <c r="N55">
        <f t="shared" si="8"/>
        <v>0</v>
      </c>
      <c r="P55" s="9">
        <f t="shared" si="12"/>
        <v>44998</v>
      </c>
      <c r="Q55">
        <f t="shared" si="9"/>
        <v>13</v>
      </c>
      <c r="R55">
        <f t="shared" si="0"/>
        <v>22</v>
      </c>
      <c r="S55">
        <f t="shared" si="1"/>
        <v>1</v>
      </c>
      <c r="T55">
        <f t="shared" si="2"/>
        <v>5</v>
      </c>
      <c r="U55">
        <f t="shared" si="3"/>
        <v>0</v>
      </c>
    </row>
    <row r="56" spans="2:21" x14ac:dyDescent="0.25">
      <c r="B56" s="9">
        <f t="shared" si="10"/>
        <v>45005</v>
      </c>
      <c r="C56">
        <v>15</v>
      </c>
      <c r="D56">
        <v>42</v>
      </c>
      <c r="E56">
        <v>2</v>
      </c>
      <c r="F56">
        <v>5</v>
      </c>
      <c r="G56">
        <v>1</v>
      </c>
      <c r="I56" s="9">
        <f t="shared" si="11"/>
        <v>45005</v>
      </c>
      <c r="J56">
        <f t="shared" si="4"/>
        <v>0</v>
      </c>
      <c r="K56">
        <f t="shared" si="5"/>
        <v>0</v>
      </c>
      <c r="L56">
        <f t="shared" si="6"/>
        <v>0</v>
      </c>
      <c r="M56">
        <f t="shared" si="7"/>
        <v>0</v>
      </c>
      <c r="N56">
        <f t="shared" si="8"/>
        <v>0</v>
      </c>
      <c r="P56" s="9">
        <f t="shared" si="12"/>
        <v>45005</v>
      </c>
      <c r="Q56">
        <f t="shared" si="9"/>
        <v>0</v>
      </c>
      <c r="R56">
        <f t="shared" si="0"/>
        <v>0</v>
      </c>
      <c r="S56">
        <f t="shared" si="1"/>
        <v>0</v>
      </c>
      <c r="T56">
        <f t="shared" si="2"/>
        <v>0</v>
      </c>
      <c r="U56">
        <f t="shared" si="3"/>
        <v>0</v>
      </c>
    </row>
    <row r="57" spans="2:21" x14ac:dyDescent="0.25">
      <c r="B57" s="9">
        <f t="shared" si="10"/>
        <v>45012</v>
      </c>
      <c r="C57">
        <v>15</v>
      </c>
      <c r="D57">
        <v>42</v>
      </c>
      <c r="E57">
        <v>2</v>
      </c>
      <c r="F57">
        <v>5</v>
      </c>
      <c r="G57">
        <v>1</v>
      </c>
      <c r="I57" s="9">
        <f t="shared" si="11"/>
        <v>45012</v>
      </c>
      <c r="J57">
        <f t="shared" si="4"/>
        <v>0</v>
      </c>
      <c r="K57">
        <f t="shared" si="5"/>
        <v>0</v>
      </c>
      <c r="L57">
        <f t="shared" si="6"/>
        <v>0</v>
      </c>
      <c r="M57">
        <f t="shared" si="7"/>
        <v>0</v>
      </c>
      <c r="N57">
        <f t="shared" si="8"/>
        <v>0</v>
      </c>
      <c r="P57" s="9">
        <f t="shared" si="12"/>
        <v>45012</v>
      </c>
      <c r="Q57">
        <f t="shared" si="9"/>
        <v>0</v>
      </c>
      <c r="R57">
        <f t="shared" si="0"/>
        <v>0</v>
      </c>
      <c r="S57">
        <f t="shared" si="1"/>
        <v>0</v>
      </c>
      <c r="T57">
        <f t="shared" si="2"/>
        <v>0</v>
      </c>
      <c r="U57">
        <f t="shared" si="3"/>
        <v>0</v>
      </c>
    </row>
    <row r="58" spans="2:21" x14ac:dyDescent="0.25">
      <c r="B58" s="9">
        <f t="shared" si="10"/>
        <v>45019</v>
      </c>
      <c r="C58">
        <v>15</v>
      </c>
      <c r="D58">
        <v>42</v>
      </c>
      <c r="E58">
        <v>2</v>
      </c>
      <c r="F58">
        <v>5</v>
      </c>
      <c r="G58">
        <v>1</v>
      </c>
      <c r="I58" s="9">
        <f t="shared" si="11"/>
        <v>45019</v>
      </c>
      <c r="J58">
        <f t="shared" si="4"/>
        <v>0</v>
      </c>
      <c r="K58">
        <f t="shared" si="5"/>
        <v>0</v>
      </c>
      <c r="L58">
        <f t="shared" si="6"/>
        <v>0</v>
      </c>
      <c r="M58">
        <f t="shared" si="7"/>
        <v>0</v>
      </c>
      <c r="N58">
        <f t="shared" si="8"/>
        <v>0</v>
      </c>
      <c r="P58" s="9">
        <f t="shared" si="12"/>
        <v>45019</v>
      </c>
      <c r="Q58">
        <f t="shared" si="9"/>
        <v>0</v>
      </c>
      <c r="R58">
        <f t="shared" si="0"/>
        <v>0</v>
      </c>
      <c r="S58">
        <f t="shared" si="1"/>
        <v>0</v>
      </c>
      <c r="T58">
        <f t="shared" si="2"/>
        <v>0</v>
      </c>
      <c r="U58">
        <f t="shared" si="3"/>
        <v>0</v>
      </c>
    </row>
    <row r="59" spans="2:21" x14ac:dyDescent="0.25">
      <c r="B59" s="9">
        <f t="shared" si="10"/>
        <v>45026</v>
      </c>
      <c r="C59">
        <v>15</v>
      </c>
      <c r="D59">
        <v>42</v>
      </c>
      <c r="E59">
        <v>2</v>
      </c>
      <c r="F59">
        <v>5</v>
      </c>
      <c r="G59">
        <v>1</v>
      </c>
      <c r="I59" s="9">
        <f t="shared" si="11"/>
        <v>45026</v>
      </c>
      <c r="J59">
        <f t="shared" si="4"/>
        <v>0</v>
      </c>
      <c r="K59">
        <f t="shared" si="5"/>
        <v>0</v>
      </c>
      <c r="L59">
        <f t="shared" si="6"/>
        <v>0</v>
      </c>
      <c r="M59">
        <f t="shared" si="7"/>
        <v>0</v>
      </c>
      <c r="N59">
        <f t="shared" si="8"/>
        <v>0</v>
      </c>
      <c r="P59" s="9">
        <f t="shared" si="12"/>
        <v>45026</v>
      </c>
      <c r="Q59">
        <f t="shared" si="9"/>
        <v>0</v>
      </c>
      <c r="R59">
        <f t="shared" si="0"/>
        <v>0</v>
      </c>
      <c r="S59">
        <f t="shared" si="1"/>
        <v>0</v>
      </c>
      <c r="T59">
        <f t="shared" si="2"/>
        <v>0</v>
      </c>
      <c r="U59">
        <f t="shared" si="3"/>
        <v>0</v>
      </c>
    </row>
    <row r="60" spans="2:21" x14ac:dyDescent="0.25">
      <c r="B60" s="9">
        <f t="shared" si="10"/>
        <v>45033</v>
      </c>
      <c r="C60">
        <v>15</v>
      </c>
      <c r="D60">
        <v>42</v>
      </c>
      <c r="E60">
        <v>2</v>
      </c>
      <c r="F60">
        <v>5</v>
      </c>
      <c r="G60">
        <v>1</v>
      </c>
      <c r="I60" s="9">
        <f t="shared" si="11"/>
        <v>45033</v>
      </c>
      <c r="J60">
        <f t="shared" si="4"/>
        <v>0</v>
      </c>
      <c r="K60">
        <f t="shared" si="5"/>
        <v>0</v>
      </c>
      <c r="L60">
        <f t="shared" si="6"/>
        <v>0</v>
      </c>
      <c r="M60">
        <f t="shared" si="7"/>
        <v>0</v>
      </c>
      <c r="N60">
        <f t="shared" si="8"/>
        <v>0</v>
      </c>
      <c r="P60" s="9">
        <f t="shared" si="12"/>
        <v>45033</v>
      </c>
      <c r="Q60">
        <f t="shared" si="9"/>
        <v>0</v>
      </c>
      <c r="R60">
        <f t="shared" si="0"/>
        <v>0</v>
      </c>
      <c r="S60">
        <f t="shared" si="1"/>
        <v>0</v>
      </c>
      <c r="T60">
        <f t="shared" si="2"/>
        <v>0</v>
      </c>
      <c r="U60">
        <f t="shared" si="3"/>
        <v>0</v>
      </c>
    </row>
    <row r="61" spans="2:21" x14ac:dyDescent="0.25">
      <c r="B61" s="9">
        <f t="shared" si="10"/>
        <v>45040</v>
      </c>
      <c r="C61">
        <v>13</v>
      </c>
      <c r="D61">
        <v>36</v>
      </c>
      <c r="E61">
        <v>2</v>
      </c>
      <c r="F61">
        <v>5</v>
      </c>
      <c r="G61">
        <v>1</v>
      </c>
      <c r="I61" s="9">
        <f t="shared" si="11"/>
        <v>45040</v>
      </c>
      <c r="J61">
        <f t="shared" si="4"/>
        <v>2</v>
      </c>
      <c r="K61">
        <f t="shared" si="5"/>
        <v>6</v>
      </c>
      <c r="L61">
        <f t="shared" si="6"/>
        <v>0</v>
      </c>
      <c r="M61">
        <f t="shared" si="7"/>
        <v>0</v>
      </c>
      <c r="N61">
        <f t="shared" si="8"/>
        <v>0</v>
      </c>
      <c r="P61" s="9">
        <f t="shared" si="12"/>
        <v>45040</v>
      </c>
      <c r="Q61">
        <f t="shared" si="9"/>
        <v>0</v>
      </c>
      <c r="R61">
        <f t="shared" si="0"/>
        <v>0</v>
      </c>
      <c r="S61">
        <f t="shared" si="1"/>
        <v>0</v>
      </c>
      <c r="T61">
        <f t="shared" si="2"/>
        <v>0</v>
      </c>
      <c r="U61">
        <f t="shared" si="3"/>
        <v>0</v>
      </c>
    </row>
    <row r="62" spans="2:21" x14ac:dyDescent="0.25">
      <c r="B62" s="9">
        <f t="shared" si="10"/>
        <v>45047</v>
      </c>
      <c r="C62">
        <v>13</v>
      </c>
      <c r="D62">
        <v>46</v>
      </c>
      <c r="E62">
        <v>2</v>
      </c>
      <c r="F62">
        <v>5</v>
      </c>
      <c r="G62">
        <v>0</v>
      </c>
      <c r="I62" s="9">
        <f t="shared" si="11"/>
        <v>45047</v>
      </c>
      <c r="J62">
        <f t="shared" si="4"/>
        <v>0</v>
      </c>
      <c r="K62">
        <f t="shared" si="5"/>
        <v>0</v>
      </c>
      <c r="L62">
        <f t="shared" si="6"/>
        <v>0</v>
      </c>
      <c r="M62">
        <f t="shared" si="7"/>
        <v>0</v>
      </c>
      <c r="N62">
        <f t="shared" si="8"/>
        <v>1</v>
      </c>
      <c r="P62" s="9">
        <f t="shared" si="12"/>
        <v>45047</v>
      </c>
      <c r="Q62">
        <f t="shared" si="9"/>
        <v>0</v>
      </c>
      <c r="R62">
        <f t="shared" si="0"/>
        <v>10</v>
      </c>
      <c r="S62">
        <f t="shared" si="1"/>
        <v>0</v>
      </c>
      <c r="T62">
        <f t="shared" si="2"/>
        <v>0</v>
      </c>
      <c r="U62">
        <f t="shared" si="3"/>
        <v>0</v>
      </c>
    </row>
    <row r="63" spans="2:21" x14ac:dyDescent="0.25">
      <c r="B63" s="9">
        <f t="shared" si="10"/>
        <v>45054</v>
      </c>
      <c r="C63">
        <v>13</v>
      </c>
      <c r="D63">
        <v>46</v>
      </c>
      <c r="E63">
        <v>2</v>
      </c>
      <c r="F63">
        <v>5</v>
      </c>
      <c r="G63">
        <v>0</v>
      </c>
      <c r="I63" s="9">
        <f t="shared" si="11"/>
        <v>45054</v>
      </c>
      <c r="J63">
        <f t="shared" si="4"/>
        <v>0</v>
      </c>
      <c r="K63">
        <f t="shared" si="5"/>
        <v>0</v>
      </c>
      <c r="L63">
        <f t="shared" si="6"/>
        <v>0</v>
      </c>
      <c r="M63">
        <f t="shared" si="7"/>
        <v>0</v>
      </c>
      <c r="N63">
        <f t="shared" si="8"/>
        <v>0</v>
      </c>
      <c r="P63" s="9">
        <f t="shared" si="12"/>
        <v>45054</v>
      </c>
      <c r="Q63">
        <f t="shared" si="9"/>
        <v>0</v>
      </c>
      <c r="R63">
        <f t="shared" si="0"/>
        <v>0</v>
      </c>
      <c r="S63">
        <f t="shared" si="1"/>
        <v>0</v>
      </c>
      <c r="T63">
        <f t="shared" si="2"/>
        <v>0</v>
      </c>
      <c r="U63">
        <f t="shared" si="3"/>
        <v>0</v>
      </c>
    </row>
    <row r="64" spans="2:21" x14ac:dyDescent="0.25">
      <c r="B64" s="9">
        <f t="shared" si="10"/>
        <v>45061</v>
      </c>
      <c r="C64">
        <v>13</v>
      </c>
      <c r="D64">
        <v>46</v>
      </c>
      <c r="E64">
        <v>2</v>
      </c>
      <c r="F64">
        <v>5</v>
      </c>
      <c r="G64">
        <v>7</v>
      </c>
      <c r="I64" s="9">
        <f t="shared" si="11"/>
        <v>45061</v>
      </c>
      <c r="J64">
        <f t="shared" si="4"/>
        <v>0</v>
      </c>
      <c r="K64">
        <f t="shared" si="5"/>
        <v>0</v>
      </c>
      <c r="L64">
        <f t="shared" si="6"/>
        <v>0</v>
      </c>
      <c r="M64">
        <f t="shared" si="7"/>
        <v>0</v>
      </c>
      <c r="N64">
        <f t="shared" si="8"/>
        <v>0</v>
      </c>
      <c r="P64" s="9">
        <f t="shared" si="12"/>
        <v>45061</v>
      </c>
      <c r="Q64">
        <f t="shared" si="9"/>
        <v>0</v>
      </c>
      <c r="R64">
        <f t="shared" si="0"/>
        <v>0</v>
      </c>
      <c r="S64">
        <f t="shared" si="1"/>
        <v>0</v>
      </c>
      <c r="T64">
        <f t="shared" si="2"/>
        <v>0</v>
      </c>
      <c r="U64">
        <f t="shared" si="3"/>
        <v>7</v>
      </c>
    </row>
    <row r="65" spans="2:21" x14ac:dyDescent="0.25">
      <c r="B65" s="9">
        <f t="shared" si="10"/>
        <v>45068</v>
      </c>
      <c r="C65">
        <v>13</v>
      </c>
      <c r="D65">
        <v>46</v>
      </c>
      <c r="E65">
        <v>2</v>
      </c>
      <c r="F65">
        <v>5</v>
      </c>
      <c r="G65">
        <v>7</v>
      </c>
      <c r="I65" s="9">
        <f t="shared" si="11"/>
        <v>45068</v>
      </c>
      <c r="J65">
        <f t="shared" si="4"/>
        <v>0</v>
      </c>
      <c r="K65">
        <f t="shared" si="5"/>
        <v>0</v>
      </c>
      <c r="L65">
        <f t="shared" si="6"/>
        <v>0</v>
      </c>
      <c r="M65">
        <f t="shared" si="7"/>
        <v>0</v>
      </c>
      <c r="N65">
        <f t="shared" si="8"/>
        <v>0</v>
      </c>
      <c r="P65" s="9">
        <f t="shared" si="12"/>
        <v>45068</v>
      </c>
      <c r="Q65">
        <f t="shared" si="9"/>
        <v>0</v>
      </c>
      <c r="R65">
        <f t="shared" si="0"/>
        <v>0</v>
      </c>
      <c r="S65">
        <f t="shared" si="1"/>
        <v>0</v>
      </c>
      <c r="T65">
        <f t="shared" si="2"/>
        <v>0</v>
      </c>
      <c r="U65">
        <f t="shared" si="3"/>
        <v>0</v>
      </c>
    </row>
    <row r="66" spans="2:21" x14ac:dyDescent="0.25">
      <c r="B66" s="9">
        <f t="shared" si="10"/>
        <v>45075</v>
      </c>
      <c r="C66">
        <v>13</v>
      </c>
      <c r="D66">
        <v>46</v>
      </c>
      <c r="E66">
        <v>0</v>
      </c>
      <c r="F66">
        <v>4</v>
      </c>
      <c r="G66">
        <v>0</v>
      </c>
      <c r="I66" s="9">
        <f t="shared" si="11"/>
        <v>45075</v>
      </c>
      <c r="J66">
        <f t="shared" si="4"/>
        <v>0</v>
      </c>
      <c r="K66">
        <f t="shared" si="5"/>
        <v>0</v>
      </c>
      <c r="L66">
        <f t="shared" si="6"/>
        <v>2</v>
      </c>
      <c r="M66">
        <f t="shared" si="7"/>
        <v>1</v>
      </c>
      <c r="N66">
        <f t="shared" si="8"/>
        <v>7</v>
      </c>
      <c r="P66" s="9">
        <f t="shared" si="12"/>
        <v>45075</v>
      </c>
      <c r="Q66">
        <f t="shared" si="9"/>
        <v>0</v>
      </c>
      <c r="R66">
        <f t="shared" si="0"/>
        <v>0</v>
      </c>
      <c r="S66">
        <f t="shared" si="1"/>
        <v>0</v>
      </c>
      <c r="T66">
        <f t="shared" si="2"/>
        <v>0</v>
      </c>
      <c r="U66">
        <f t="shared" si="3"/>
        <v>0</v>
      </c>
    </row>
    <row r="67" spans="2:21" x14ac:dyDescent="0.25">
      <c r="B67" s="9">
        <f t="shared" si="10"/>
        <v>45082</v>
      </c>
      <c r="C67">
        <v>13</v>
      </c>
      <c r="D67">
        <v>42</v>
      </c>
      <c r="E67">
        <v>0</v>
      </c>
      <c r="F67">
        <v>4</v>
      </c>
      <c r="G67">
        <v>0</v>
      </c>
      <c r="I67" s="9">
        <f t="shared" si="11"/>
        <v>45082</v>
      </c>
      <c r="J67">
        <f t="shared" si="4"/>
        <v>0</v>
      </c>
      <c r="K67">
        <f t="shared" si="5"/>
        <v>4</v>
      </c>
      <c r="L67">
        <f t="shared" si="6"/>
        <v>0</v>
      </c>
      <c r="M67">
        <f t="shared" si="7"/>
        <v>0</v>
      </c>
      <c r="N67">
        <f t="shared" si="8"/>
        <v>0</v>
      </c>
      <c r="P67" s="9">
        <f t="shared" si="12"/>
        <v>45082</v>
      </c>
      <c r="Q67">
        <f t="shared" si="9"/>
        <v>0</v>
      </c>
      <c r="R67">
        <f t="shared" si="0"/>
        <v>0</v>
      </c>
      <c r="S67">
        <f t="shared" si="1"/>
        <v>0</v>
      </c>
      <c r="T67">
        <f t="shared" si="2"/>
        <v>0</v>
      </c>
      <c r="U67">
        <f t="shared" si="3"/>
        <v>0</v>
      </c>
    </row>
    <row r="68" spans="2:21" x14ac:dyDescent="0.25">
      <c r="B68" s="9">
        <f t="shared" si="10"/>
        <v>45089</v>
      </c>
      <c r="C68">
        <v>13</v>
      </c>
      <c r="D68">
        <v>42</v>
      </c>
      <c r="E68">
        <v>0</v>
      </c>
      <c r="F68">
        <v>4</v>
      </c>
      <c r="G68">
        <v>0</v>
      </c>
      <c r="I68" s="9">
        <f t="shared" si="11"/>
        <v>45089</v>
      </c>
      <c r="J68">
        <f t="shared" si="4"/>
        <v>0</v>
      </c>
      <c r="K68">
        <f t="shared" si="5"/>
        <v>0</v>
      </c>
      <c r="L68">
        <f t="shared" si="6"/>
        <v>0</v>
      </c>
      <c r="M68">
        <f t="shared" si="7"/>
        <v>0</v>
      </c>
      <c r="N68">
        <f t="shared" si="8"/>
        <v>0</v>
      </c>
      <c r="P68" s="9">
        <f t="shared" si="12"/>
        <v>45089</v>
      </c>
      <c r="Q68">
        <f t="shared" si="9"/>
        <v>0</v>
      </c>
      <c r="R68">
        <f t="shared" ref="R68:R90" si="13">IF(D68-D67&gt;0,D68-D67,0)</f>
        <v>0</v>
      </c>
      <c r="S68">
        <f t="shared" ref="S68:S90" si="14">IF(E68-E67&gt;0,E68-E67,0)</f>
        <v>0</v>
      </c>
      <c r="T68">
        <f t="shared" ref="T68:T90" si="15">IF(F68-F67&gt;0,F68-F67,0)</f>
        <v>0</v>
      </c>
      <c r="U68">
        <f t="shared" ref="U68:U90" si="16">IF(G68-G67&gt;0,G68-G67,0)</f>
        <v>0</v>
      </c>
    </row>
    <row r="69" spans="2:21" x14ac:dyDescent="0.25">
      <c r="B69" s="9">
        <f t="shared" si="10"/>
        <v>45096</v>
      </c>
      <c r="C69">
        <v>13</v>
      </c>
      <c r="D69">
        <v>42</v>
      </c>
      <c r="E69">
        <v>0</v>
      </c>
      <c r="F69">
        <v>4</v>
      </c>
      <c r="G69">
        <v>0</v>
      </c>
      <c r="I69" s="9">
        <f t="shared" si="11"/>
        <v>45096</v>
      </c>
      <c r="J69">
        <f t="shared" ref="J69:J89" si="17">IF(C68-C69&gt;0,C68-C69,0)</f>
        <v>0</v>
      </c>
      <c r="K69">
        <f t="shared" ref="K69:K89" si="18">IF(D68-D69&gt;0,D68-D69,0)</f>
        <v>0</v>
      </c>
      <c r="L69">
        <f t="shared" ref="L69:L89" si="19">IF(E68-E69&gt;0,E68-E69,0)</f>
        <v>0</v>
      </c>
      <c r="M69">
        <f t="shared" ref="M69:M89" si="20">IF(F68-F69&gt;0,F68-F69,0)</f>
        <v>0</v>
      </c>
      <c r="N69">
        <f t="shared" ref="N69:N89" si="21">IF(G68-G69&gt;0,G68-G69,0)</f>
        <v>0</v>
      </c>
      <c r="P69" s="9">
        <f t="shared" si="12"/>
        <v>45096</v>
      </c>
      <c r="Q69">
        <f t="shared" ref="Q69:Q90" si="22">IF(C69-C68&gt;0,C69-C68,0)</f>
        <v>0</v>
      </c>
      <c r="R69">
        <f t="shared" si="13"/>
        <v>0</v>
      </c>
      <c r="S69">
        <f t="shared" si="14"/>
        <v>0</v>
      </c>
      <c r="T69">
        <f t="shared" si="15"/>
        <v>0</v>
      </c>
      <c r="U69">
        <f t="shared" si="16"/>
        <v>0</v>
      </c>
    </row>
    <row r="70" spans="2:21" x14ac:dyDescent="0.25">
      <c r="B70" s="9">
        <f t="shared" ref="B70:B81" si="23">+B69+7</f>
        <v>45103</v>
      </c>
      <c r="C70">
        <v>13</v>
      </c>
      <c r="D70">
        <v>42</v>
      </c>
      <c r="E70">
        <v>2</v>
      </c>
      <c r="F70">
        <v>4</v>
      </c>
      <c r="G70">
        <v>14</v>
      </c>
      <c r="I70" s="9">
        <f t="shared" ref="I70:I87" si="24">+I69+7</f>
        <v>45103</v>
      </c>
      <c r="J70">
        <f t="shared" si="17"/>
        <v>0</v>
      </c>
      <c r="K70">
        <f t="shared" si="18"/>
        <v>0</v>
      </c>
      <c r="L70">
        <f t="shared" si="19"/>
        <v>0</v>
      </c>
      <c r="M70">
        <f t="shared" si="20"/>
        <v>0</v>
      </c>
      <c r="N70">
        <f t="shared" si="21"/>
        <v>0</v>
      </c>
      <c r="P70" s="9">
        <f t="shared" ref="P70:P87" si="25">+P69+7</f>
        <v>45103</v>
      </c>
      <c r="Q70">
        <f t="shared" si="22"/>
        <v>0</v>
      </c>
      <c r="R70">
        <f t="shared" si="13"/>
        <v>0</v>
      </c>
      <c r="S70">
        <f t="shared" si="14"/>
        <v>2</v>
      </c>
      <c r="T70">
        <f t="shared" si="15"/>
        <v>0</v>
      </c>
      <c r="U70">
        <f t="shared" si="16"/>
        <v>14</v>
      </c>
    </row>
    <row r="71" spans="2:21" x14ac:dyDescent="0.25">
      <c r="B71" s="9">
        <f t="shared" si="23"/>
        <v>45110</v>
      </c>
      <c r="C71">
        <v>13</v>
      </c>
      <c r="D71">
        <v>42</v>
      </c>
      <c r="E71">
        <v>2</v>
      </c>
      <c r="F71">
        <v>7</v>
      </c>
      <c r="G71">
        <v>5</v>
      </c>
      <c r="I71" s="9">
        <f t="shared" si="24"/>
        <v>45110</v>
      </c>
      <c r="J71">
        <f t="shared" si="17"/>
        <v>0</v>
      </c>
      <c r="K71">
        <f t="shared" si="18"/>
        <v>0</v>
      </c>
      <c r="L71">
        <f t="shared" si="19"/>
        <v>0</v>
      </c>
      <c r="M71">
        <f t="shared" si="20"/>
        <v>0</v>
      </c>
      <c r="N71">
        <f t="shared" si="21"/>
        <v>9</v>
      </c>
      <c r="P71" s="9">
        <f t="shared" si="25"/>
        <v>45110</v>
      </c>
      <c r="Q71">
        <f t="shared" si="22"/>
        <v>0</v>
      </c>
      <c r="R71">
        <f t="shared" si="13"/>
        <v>0</v>
      </c>
      <c r="S71">
        <f t="shared" si="14"/>
        <v>0</v>
      </c>
      <c r="T71">
        <f t="shared" si="15"/>
        <v>3</v>
      </c>
      <c r="U71">
        <f t="shared" si="16"/>
        <v>0</v>
      </c>
    </row>
    <row r="72" spans="2:21" x14ac:dyDescent="0.25">
      <c r="B72" s="9">
        <f t="shared" si="23"/>
        <v>45117</v>
      </c>
      <c r="C72">
        <v>13</v>
      </c>
      <c r="D72">
        <v>42</v>
      </c>
      <c r="E72">
        <v>2</v>
      </c>
      <c r="F72">
        <v>7</v>
      </c>
      <c r="G72">
        <v>5</v>
      </c>
      <c r="I72" s="9">
        <f t="shared" si="24"/>
        <v>45117</v>
      </c>
      <c r="J72">
        <f t="shared" si="17"/>
        <v>0</v>
      </c>
      <c r="K72">
        <f t="shared" si="18"/>
        <v>0</v>
      </c>
      <c r="L72">
        <f t="shared" si="19"/>
        <v>0</v>
      </c>
      <c r="M72">
        <f t="shared" si="20"/>
        <v>0</v>
      </c>
      <c r="N72">
        <f t="shared" si="21"/>
        <v>0</v>
      </c>
      <c r="P72" s="9">
        <f t="shared" si="25"/>
        <v>45117</v>
      </c>
      <c r="Q72">
        <f t="shared" si="22"/>
        <v>0</v>
      </c>
      <c r="R72">
        <f t="shared" si="13"/>
        <v>0</v>
      </c>
      <c r="S72">
        <f t="shared" si="14"/>
        <v>0</v>
      </c>
      <c r="T72">
        <f t="shared" si="15"/>
        <v>0</v>
      </c>
      <c r="U72">
        <f t="shared" si="16"/>
        <v>0</v>
      </c>
    </row>
    <row r="73" spans="2:21" x14ac:dyDescent="0.25">
      <c r="B73" s="9">
        <f t="shared" si="23"/>
        <v>45124</v>
      </c>
      <c r="C73">
        <v>13</v>
      </c>
      <c r="D73">
        <v>42</v>
      </c>
      <c r="E73">
        <v>2</v>
      </c>
      <c r="F73">
        <v>7</v>
      </c>
      <c r="G73">
        <v>5</v>
      </c>
      <c r="I73" s="9">
        <f t="shared" si="24"/>
        <v>45124</v>
      </c>
      <c r="J73">
        <f t="shared" si="17"/>
        <v>0</v>
      </c>
      <c r="K73">
        <f t="shared" si="18"/>
        <v>0</v>
      </c>
      <c r="L73">
        <f t="shared" si="19"/>
        <v>0</v>
      </c>
      <c r="M73">
        <f t="shared" si="20"/>
        <v>0</v>
      </c>
      <c r="N73">
        <f t="shared" si="21"/>
        <v>0</v>
      </c>
      <c r="P73" s="9">
        <f t="shared" si="25"/>
        <v>45124</v>
      </c>
      <c r="Q73">
        <f t="shared" si="22"/>
        <v>0</v>
      </c>
      <c r="R73">
        <f t="shared" si="13"/>
        <v>0</v>
      </c>
      <c r="S73">
        <f t="shared" si="14"/>
        <v>0</v>
      </c>
      <c r="T73">
        <f t="shared" si="15"/>
        <v>0</v>
      </c>
      <c r="U73">
        <f t="shared" si="16"/>
        <v>0</v>
      </c>
    </row>
    <row r="74" spans="2:21" x14ac:dyDescent="0.25">
      <c r="B74" s="9">
        <f t="shared" si="23"/>
        <v>45131</v>
      </c>
      <c r="C74">
        <v>13</v>
      </c>
      <c r="D74">
        <v>42</v>
      </c>
      <c r="E74">
        <v>2</v>
      </c>
      <c r="F74">
        <v>7</v>
      </c>
      <c r="G74">
        <v>5</v>
      </c>
      <c r="I74" s="9">
        <f t="shared" si="24"/>
        <v>45131</v>
      </c>
      <c r="J74">
        <f t="shared" si="17"/>
        <v>0</v>
      </c>
      <c r="K74">
        <f t="shared" si="18"/>
        <v>0</v>
      </c>
      <c r="L74">
        <f t="shared" si="19"/>
        <v>0</v>
      </c>
      <c r="M74">
        <f t="shared" si="20"/>
        <v>0</v>
      </c>
      <c r="N74">
        <f t="shared" si="21"/>
        <v>0</v>
      </c>
      <c r="P74" s="9">
        <f t="shared" si="25"/>
        <v>45131</v>
      </c>
      <c r="Q74">
        <f t="shared" si="22"/>
        <v>0</v>
      </c>
      <c r="R74">
        <f t="shared" si="13"/>
        <v>0</v>
      </c>
      <c r="S74">
        <f t="shared" si="14"/>
        <v>0</v>
      </c>
      <c r="T74">
        <f t="shared" si="15"/>
        <v>0</v>
      </c>
      <c r="U74">
        <f t="shared" si="16"/>
        <v>0</v>
      </c>
    </row>
    <row r="75" spans="2:21" x14ac:dyDescent="0.25">
      <c r="B75" s="9">
        <f t="shared" si="23"/>
        <v>45138</v>
      </c>
      <c r="C75">
        <v>8</v>
      </c>
      <c r="D75">
        <v>27</v>
      </c>
      <c r="E75">
        <v>1</v>
      </c>
      <c r="F75">
        <v>7</v>
      </c>
      <c r="G75">
        <v>5</v>
      </c>
      <c r="I75" s="9">
        <f t="shared" si="24"/>
        <v>45138</v>
      </c>
      <c r="J75">
        <f t="shared" si="17"/>
        <v>5</v>
      </c>
      <c r="K75">
        <f t="shared" si="18"/>
        <v>15</v>
      </c>
      <c r="L75">
        <f t="shared" si="19"/>
        <v>1</v>
      </c>
      <c r="M75">
        <f t="shared" si="20"/>
        <v>0</v>
      </c>
      <c r="N75">
        <f t="shared" si="21"/>
        <v>0</v>
      </c>
      <c r="P75" s="9">
        <f t="shared" si="25"/>
        <v>45138</v>
      </c>
      <c r="Q75">
        <f t="shared" si="22"/>
        <v>0</v>
      </c>
      <c r="R75">
        <f t="shared" si="13"/>
        <v>0</v>
      </c>
      <c r="S75">
        <f t="shared" si="14"/>
        <v>0</v>
      </c>
      <c r="T75">
        <f t="shared" si="15"/>
        <v>0</v>
      </c>
      <c r="U75">
        <f t="shared" si="16"/>
        <v>0</v>
      </c>
    </row>
    <row r="76" spans="2:21" x14ac:dyDescent="0.25">
      <c r="B76" s="9">
        <f t="shared" si="23"/>
        <v>45145</v>
      </c>
      <c r="C76">
        <v>8</v>
      </c>
      <c r="D76">
        <v>27</v>
      </c>
      <c r="E76">
        <v>1</v>
      </c>
      <c r="F76">
        <v>7</v>
      </c>
      <c r="G76">
        <v>5</v>
      </c>
      <c r="I76" s="9">
        <f t="shared" si="24"/>
        <v>45145</v>
      </c>
      <c r="J76">
        <f t="shared" si="17"/>
        <v>0</v>
      </c>
      <c r="K76">
        <f t="shared" si="18"/>
        <v>0</v>
      </c>
      <c r="L76">
        <f t="shared" si="19"/>
        <v>0</v>
      </c>
      <c r="M76">
        <f t="shared" si="20"/>
        <v>0</v>
      </c>
      <c r="N76">
        <f t="shared" si="21"/>
        <v>0</v>
      </c>
      <c r="P76" s="9">
        <f t="shared" si="25"/>
        <v>45145</v>
      </c>
      <c r="Q76">
        <f t="shared" si="22"/>
        <v>0</v>
      </c>
      <c r="R76">
        <f t="shared" si="13"/>
        <v>0</v>
      </c>
      <c r="S76">
        <f t="shared" si="14"/>
        <v>0</v>
      </c>
      <c r="T76">
        <f t="shared" si="15"/>
        <v>0</v>
      </c>
      <c r="U76">
        <f t="shared" si="16"/>
        <v>0</v>
      </c>
    </row>
    <row r="77" spans="2:21" x14ac:dyDescent="0.25">
      <c r="B77" s="9">
        <f t="shared" si="23"/>
        <v>45152</v>
      </c>
      <c r="C77">
        <v>8</v>
      </c>
      <c r="D77">
        <v>27</v>
      </c>
      <c r="E77">
        <v>1</v>
      </c>
      <c r="F77">
        <v>7</v>
      </c>
      <c r="G77">
        <v>5</v>
      </c>
      <c r="I77" s="9">
        <f t="shared" si="24"/>
        <v>45152</v>
      </c>
      <c r="J77">
        <f t="shared" si="17"/>
        <v>0</v>
      </c>
      <c r="K77">
        <f t="shared" si="18"/>
        <v>0</v>
      </c>
      <c r="L77">
        <f t="shared" si="19"/>
        <v>0</v>
      </c>
      <c r="M77">
        <f t="shared" si="20"/>
        <v>0</v>
      </c>
      <c r="N77">
        <f t="shared" si="21"/>
        <v>0</v>
      </c>
      <c r="P77" s="9">
        <f t="shared" si="25"/>
        <v>45152</v>
      </c>
      <c r="Q77">
        <f t="shared" si="22"/>
        <v>0</v>
      </c>
      <c r="R77">
        <f t="shared" si="13"/>
        <v>0</v>
      </c>
      <c r="S77">
        <f t="shared" si="14"/>
        <v>0</v>
      </c>
      <c r="T77">
        <f t="shared" si="15"/>
        <v>0</v>
      </c>
      <c r="U77">
        <f t="shared" si="16"/>
        <v>0</v>
      </c>
    </row>
    <row r="78" spans="2:21" x14ac:dyDescent="0.25">
      <c r="B78" s="9">
        <f t="shared" si="23"/>
        <v>45159</v>
      </c>
      <c r="C78">
        <v>8</v>
      </c>
      <c r="D78">
        <v>27</v>
      </c>
      <c r="E78">
        <v>1</v>
      </c>
      <c r="F78">
        <v>7</v>
      </c>
      <c r="G78">
        <v>5</v>
      </c>
      <c r="I78" s="9">
        <f t="shared" si="24"/>
        <v>45159</v>
      </c>
      <c r="J78">
        <f t="shared" si="17"/>
        <v>0</v>
      </c>
      <c r="K78">
        <f t="shared" si="18"/>
        <v>0</v>
      </c>
      <c r="L78">
        <f t="shared" si="19"/>
        <v>0</v>
      </c>
      <c r="M78">
        <f t="shared" si="20"/>
        <v>0</v>
      </c>
      <c r="N78">
        <f t="shared" si="21"/>
        <v>0</v>
      </c>
      <c r="P78" s="9">
        <f t="shared" si="25"/>
        <v>45159</v>
      </c>
      <c r="Q78">
        <f t="shared" si="22"/>
        <v>0</v>
      </c>
      <c r="R78">
        <f t="shared" si="13"/>
        <v>0</v>
      </c>
      <c r="S78">
        <f t="shared" si="14"/>
        <v>0</v>
      </c>
      <c r="T78">
        <f t="shared" si="15"/>
        <v>0</v>
      </c>
      <c r="U78">
        <f t="shared" si="16"/>
        <v>0</v>
      </c>
    </row>
    <row r="79" spans="2:21" x14ac:dyDescent="0.25">
      <c r="B79" s="9">
        <f t="shared" si="23"/>
        <v>45166</v>
      </c>
      <c r="C79">
        <v>8</v>
      </c>
      <c r="D79">
        <v>27</v>
      </c>
      <c r="E79">
        <v>1</v>
      </c>
      <c r="F79">
        <v>7</v>
      </c>
      <c r="G79">
        <v>5</v>
      </c>
      <c r="I79" s="9">
        <f t="shared" si="24"/>
        <v>45166</v>
      </c>
      <c r="J79">
        <f t="shared" si="17"/>
        <v>0</v>
      </c>
      <c r="K79">
        <f t="shared" si="18"/>
        <v>0</v>
      </c>
      <c r="L79">
        <f t="shared" si="19"/>
        <v>0</v>
      </c>
      <c r="M79">
        <f t="shared" si="20"/>
        <v>0</v>
      </c>
      <c r="N79">
        <f t="shared" si="21"/>
        <v>0</v>
      </c>
      <c r="P79" s="9">
        <f t="shared" si="25"/>
        <v>45166</v>
      </c>
      <c r="Q79">
        <f t="shared" si="22"/>
        <v>0</v>
      </c>
      <c r="R79">
        <f t="shared" si="13"/>
        <v>0</v>
      </c>
      <c r="S79">
        <f t="shared" si="14"/>
        <v>0</v>
      </c>
      <c r="T79">
        <f t="shared" si="15"/>
        <v>0</v>
      </c>
      <c r="U79">
        <f t="shared" si="16"/>
        <v>0</v>
      </c>
    </row>
    <row r="80" spans="2:21" x14ac:dyDescent="0.25">
      <c r="B80" s="9">
        <f t="shared" si="23"/>
        <v>45173</v>
      </c>
      <c r="C80">
        <v>8</v>
      </c>
      <c r="D80">
        <v>27</v>
      </c>
      <c r="E80">
        <v>1</v>
      </c>
      <c r="F80">
        <v>7</v>
      </c>
      <c r="G80">
        <v>5</v>
      </c>
      <c r="I80" s="9">
        <f t="shared" si="24"/>
        <v>45173</v>
      </c>
      <c r="J80">
        <f t="shared" si="17"/>
        <v>0</v>
      </c>
      <c r="K80">
        <f t="shared" si="18"/>
        <v>0</v>
      </c>
      <c r="L80">
        <f t="shared" si="19"/>
        <v>0</v>
      </c>
      <c r="M80">
        <f t="shared" si="20"/>
        <v>0</v>
      </c>
      <c r="N80">
        <f t="shared" si="21"/>
        <v>0</v>
      </c>
      <c r="P80" s="9">
        <f t="shared" si="25"/>
        <v>45173</v>
      </c>
      <c r="Q80">
        <f t="shared" si="22"/>
        <v>0</v>
      </c>
      <c r="R80">
        <f t="shared" si="13"/>
        <v>0</v>
      </c>
      <c r="S80">
        <f t="shared" si="14"/>
        <v>0</v>
      </c>
      <c r="T80">
        <f t="shared" si="15"/>
        <v>0</v>
      </c>
      <c r="U80">
        <f t="shared" si="16"/>
        <v>0</v>
      </c>
    </row>
    <row r="81" spans="2:21" x14ac:dyDescent="0.25">
      <c r="B81" s="9">
        <f t="shared" si="23"/>
        <v>45180</v>
      </c>
      <c r="C81">
        <v>8</v>
      </c>
      <c r="D81">
        <v>27</v>
      </c>
      <c r="E81">
        <v>1</v>
      </c>
      <c r="F81">
        <v>7</v>
      </c>
      <c r="G81">
        <v>16</v>
      </c>
      <c r="I81" s="9">
        <f t="shared" si="24"/>
        <v>45180</v>
      </c>
      <c r="J81">
        <f t="shared" si="17"/>
        <v>0</v>
      </c>
      <c r="K81">
        <f t="shared" si="18"/>
        <v>0</v>
      </c>
      <c r="L81">
        <f t="shared" si="19"/>
        <v>0</v>
      </c>
      <c r="M81">
        <f t="shared" si="20"/>
        <v>0</v>
      </c>
      <c r="N81">
        <f t="shared" si="21"/>
        <v>0</v>
      </c>
      <c r="P81" s="9">
        <f t="shared" si="25"/>
        <v>45180</v>
      </c>
      <c r="Q81">
        <f t="shared" si="22"/>
        <v>0</v>
      </c>
      <c r="R81">
        <f t="shared" si="13"/>
        <v>0</v>
      </c>
      <c r="S81">
        <f t="shared" si="14"/>
        <v>0</v>
      </c>
      <c r="T81">
        <f t="shared" si="15"/>
        <v>0</v>
      </c>
      <c r="U81">
        <f t="shared" si="16"/>
        <v>11</v>
      </c>
    </row>
    <row r="82" spans="2:21" x14ac:dyDescent="0.25">
      <c r="B82" s="9">
        <f t="shared" ref="B82:B87" si="26">+B81+7</f>
        <v>45187</v>
      </c>
      <c r="C82">
        <v>8</v>
      </c>
      <c r="D82">
        <v>27</v>
      </c>
      <c r="E82">
        <v>1</v>
      </c>
      <c r="F82">
        <v>7</v>
      </c>
      <c r="G82">
        <v>16</v>
      </c>
      <c r="I82" s="9">
        <f t="shared" si="24"/>
        <v>45187</v>
      </c>
      <c r="J82">
        <f t="shared" si="17"/>
        <v>0</v>
      </c>
      <c r="K82">
        <f t="shared" si="18"/>
        <v>0</v>
      </c>
      <c r="L82">
        <f t="shared" si="19"/>
        <v>0</v>
      </c>
      <c r="M82">
        <f t="shared" si="20"/>
        <v>0</v>
      </c>
      <c r="N82">
        <f t="shared" si="21"/>
        <v>0</v>
      </c>
      <c r="P82" s="9">
        <f t="shared" si="25"/>
        <v>45187</v>
      </c>
      <c r="Q82">
        <f t="shared" si="22"/>
        <v>0</v>
      </c>
      <c r="R82">
        <f t="shared" si="13"/>
        <v>0</v>
      </c>
      <c r="S82">
        <f t="shared" si="14"/>
        <v>0</v>
      </c>
      <c r="T82">
        <f t="shared" si="15"/>
        <v>0</v>
      </c>
      <c r="U82">
        <f t="shared" si="16"/>
        <v>0</v>
      </c>
    </row>
    <row r="83" spans="2:21" x14ac:dyDescent="0.25">
      <c r="B83" s="9">
        <f t="shared" si="26"/>
        <v>45194</v>
      </c>
      <c r="C83">
        <v>8</v>
      </c>
      <c r="D83">
        <v>27</v>
      </c>
      <c r="E83">
        <v>1</v>
      </c>
      <c r="F83">
        <v>7</v>
      </c>
      <c r="G83">
        <v>16</v>
      </c>
      <c r="I83" s="9">
        <f t="shared" si="24"/>
        <v>45194</v>
      </c>
      <c r="J83">
        <f t="shared" si="17"/>
        <v>0</v>
      </c>
      <c r="K83">
        <f t="shared" si="18"/>
        <v>0</v>
      </c>
      <c r="L83">
        <f t="shared" si="19"/>
        <v>0</v>
      </c>
      <c r="M83">
        <f t="shared" si="20"/>
        <v>0</v>
      </c>
      <c r="N83">
        <f t="shared" si="21"/>
        <v>0</v>
      </c>
      <c r="P83" s="9">
        <f t="shared" si="25"/>
        <v>45194</v>
      </c>
      <c r="Q83">
        <f t="shared" si="22"/>
        <v>0</v>
      </c>
      <c r="R83">
        <f t="shared" si="13"/>
        <v>0</v>
      </c>
      <c r="S83">
        <f t="shared" si="14"/>
        <v>0</v>
      </c>
      <c r="T83">
        <f t="shared" si="15"/>
        <v>0</v>
      </c>
      <c r="U83">
        <f t="shared" si="16"/>
        <v>0</v>
      </c>
    </row>
    <row r="84" spans="2:21" x14ac:dyDescent="0.25">
      <c r="B84" s="9">
        <f t="shared" si="26"/>
        <v>45201</v>
      </c>
      <c r="C84">
        <v>8</v>
      </c>
      <c r="D84">
        <v>27</v>
      </c>
      <c r="E84">
        <v>1</v>
      </c>
      <c r="F84">
        <v>7</v>
      </c>
      <c r="G84">
        <v>16</v>
      </c>
      <c r="I84" s="9">
        <f t="shared" si="24"/>
        <v>45201</v>
      </c>
      <c r="J84">
        <f t="shared" si="17"/>
        <v>0</v>
      </c>
      <c r="K84">
        <f t="shared" si="18"/>
        <v>0</v>
      </c>
      <c r="L84">
        <f t="shared" si="19"/>
        <v>0</v>
      </c>
      <c r="M84">
        <f t="shared" si="20"/>
        <v>0</v>
      </c>
      <c r="N84">
        <f t="shared" si="21"/>
        <v>0</v>
      </c>
      <c r="P84" s="9">
        <f t="shared" si="25"/>
        <v>45201</v>
      </c>
      <c r="Q84">
        <f t="shared" si="22"/>
        <v>0</v>
      </c>
      <c r="R84">
        <f t="shared" si="13"/>
        <v>0</v>
      </c>
      <c r="S84">
        <f t="shared" si="14"/>
        <v>0</v>
      </c>
      <c r="T84">
        <f t="shared" si="15"/>
        <v>0</v>
      </c>
      <c r="U84">
        <f t="shared" si="16"/>
        <v>0</v>
      </c>
    </row>
    <row r="85" spans="2:21" x14ac:dyDescent="0.25">
      <c r="B85" s="216">
        <f t="shared" si="26"/>
        <v>45208</v>
      </c>
      <c r="C85">
        <v>8</v>
      </c>
      <c r="D85">
        <v>27</v>
      </c>
      <c r="E85">
        <v>0</v>
      </c>
      <c r="F85">
        <v>7</v>
      </c>
      <c r="G85">
        <v>16</v>
      </c>
      <c r="I85" s="216">
        <f t="shared" si="24"/>
        <v>45208</v>
      </c>
      <c r="J85">
        <f t="shared" si="17"/>
        <v>0</v>
      </c>
      <c r="K85">
        <f t="shared" si="18"/>
        <v>0</v>
      </c>
      <c r="L85">
        <f t="shared" si="19"/>
        <v>1</v>
      </c>
      <c r="M85">
        <f t="shared" si="20"/>
        <v>0</v>
      </c>
      <c r="N85">
        <f t="shared" si="21"/>
        <v>0</v>
      </c>
      <c r="P85" s="216">
        <f t="shared" si="25"/>
        <v>45208</v>
      </c>
      <c r="Q85">
        <f t="shared" si="22"/>
        <v>0</v>
      </c>
      <c r="R85">
        <f t="shared" si="13"/>
        <v>0</v>
      </c>
      <c r="S85">
        <f t="shared" si="14"/>
        <v>0</v>
      </c>
      <c r="T85">
        <f t="shared" si="15"/>
        <v>0</v>
      </c>
      <c r="U85">
        <f t="shared" si="16"/>
        <v>0</v>
      </c>
    </row>
    <row r="86" spans="2:21" x14ac:dyDescent="0.25">
      <c r="B86" s="216">
        <f t="shared" si="26"/>
        <v>45215</v>
      </c>
      <c r="C86">
        <v>8</v>
      </c>
      <c r="D86">
        <v>27</v>
      </c>
      <c r="E86">
        <v>0</v>
      </c>
      <c r="F86">
        <v>7</v>
      </c>
      <c r="G86">
        <v>16</v>
      </c>
      <c r="I86" s="216">
        <f t="shared" si="24"/>
        <v>45215</v>
      </c>
      <c r="J86">
        <f t="shared" si="17"/>
        <v>0</v>
      </c>
      <c r="K86">
        <f t="shared" si="18"/>
        <v>0</v>
      </c>
      <c r="L86">
        <f t="shared" si="19"/>
        <v>0</v>
      </c>
      <c r="M86">
        <f t="shared" si="20"/>
        <v>0</v>
      </c>
      <c r="N86">
        <f t="shared" si="21"/>
        <v>0</v>
      </c>
      <c r="P86" s="216">
        <f t="shared" si="25"/>
        <v>45215</v>
      </c>
      <c r="Q86">
        <f t="shared" si="22"/>
        <v>0</v>
      </c>
      <c r="R86">
        <f t="shared" si="13"/>
        <v>0</v>
      </c>
      <c r="S86">
        <f t="shared" si="14"/>
        <v>0</v>
      </c>
      <c r="T86">
        <f t="shared" si="15"/>
        <v>0</v>
      </c>
      <c r="U86">
        <f t="shared" si="16"/>
        <v>0</v>
      </c>
    </row>
    <row r="87" spans="2:21" x14ac:dyDescent="0.25">
      <c r="B87" s="216">
        <f t="shared" si="26"/>
        <v>45222</v>
      </c>
      <c r="C87">
        <v>8</v>
      </c>
      <c r="D87">
        <v>27</v>
      </c>
      <c r="E87">
        <v>0</v>
      </c>
      <c r="F87">
        <v>7</v>
      </c>
      <c r="G87">
        <v>16</v>
      </c>
      <c r="I87" s="216">
        <f t="shared" si="24"/>
        <v>45222</v>
      </c>
      <c r="J87">
        <f t="shared" si="17"/>
        <v>0</v>
      </c>
      <c r="K87">
        <f t="shared" si="18"/>
        <v>0</v>
      </c>
      <c r="L87">
        <f t="shared" si="19"/>
        <v>0</v>
      </c>
      <c r="M87">
        <f t="shared" si="20"/>
        <v>0</v>
      </c>
      <c r="N87">
        <f t="shared" si="21"/>
        <v>0</v>
      </c>
      <c r="P87" s="216">
        <f t="shared" si="25"/>
        <v>45222</v>
      </c>
      <c r="Q87">
        <f t="shared" si="22"/>
        <v>0</v>
      </c>
      <c r="R87">
        <f t="shared" si="13"/>
        <v>0</v>
      </c>
      <c r="S87">
        <f t="shared" si="14"/>
        <v>0</v>
      </c>
      <c r="T87">
        <f t="shared" si="15"/>
        <v>0</v>
      </c>
      <c r="U87">
        <f t="shared" si="16"/>
        <v>0</v>
      </c>
    </row>
    <row r="88" spans="2:21" x14ac:dyDescent="0.25">
      <c r="B88" s="216">
        <f t="shared" ref="B88:B93" si="27">+B87+7</f>
        <v>45229</v>
      </c>
      <c r="C88">
        <v>8</v>
      </c>
      <c r="D88">
        <v>27</v>
      </c>
      <c r="E88">
        <v>0</v>
      </c>
      <c r="F88">
        <v>7</v>
      </c>
      <c r="G88">
        <v>16</v>
      </c>
      <c r="I88" s="216">
        <f>+I87+7</f>
        <v>45229</v>
      </c>
      <c r="J88">
        <f t="shared" si="17"/>
        <v>0</v>
      </c>
      <c r="K88">
        <f t="shared" si="18"/>
        <v>0</v>
      </c>
      <c r="L88">
        <f t="shared" si="19"/>
        <v>0</v>
      </c>
      <c r="M88">
        <f t="shared" si="20"/>
        <v>0</v>
      </c>
      <c r="N88">
        <f t="shared" si="21"/>
        <v>0</v>
      </c>
      <c r="P88" s="216">
        <f>+P87+7</f>
        <v>45229</v>
      </c>
      <c r="Q88">
        <f t="shared" si="22"/>
        <v>0</v>
      </c>
      <c r="R88">
        <f t="shared" si="13"/>
        <v>0</v>
      </c>
      <c r="S88">
        <f t="shared" si="14"/>
        <v>0</v>
      </c>
      <c r="T88">
        <f t="shared" si="15"/>
        <v>0</v>
      </c>
      <c r="U88">
        <f t="shared" si="16"/>
        <v>0</v>
      </c>
    </row>
    <row r="89" spans="2:21" x14ac:dyDescent="0.25">
      <c r="B89" s="216">
        <f t="shared" si="27"/>
        <v>45236</v>
      </c>
      <c r="C89">
        <v>8</v>
      </c>
      <c r="D89">
        <v>27</v>
      </c>
      <c r="E89">
        <v>0</v>
      </c>
      <c r="F89">
        <v>7</v>
      </c>
      <c r="G89">
        <v>11</v>
      </c>
      <c r="I89" s="216">
        <f>+I88+7</f>
        <v>45236</v>
      </c>
      <c r="J89">
        <f t="shared" si="17"/>
        <v>0</v>
      </c>
      <c r="K89">
        <f t="shared" si="18"/>
        <v>0</v>
      </c>
      <c r="L89">
        <f t="shared" si="19"/>
        <v>0</v>
      </c>
      <c r="M89">
        <f t="shared" si="20"/>
        <v>0</v>
      </c>
      <c r="N89">
        <f t="shared" si="21"/>
        <v>5</v>
      </c>
      <c r="P89" s="216">
        <f>+P88+7</f>
        <v>45236</v>
      </c>
      <c r="Q89">
        <f t="shared" si="22"/>
        <v>0</v>
      </c>
      <c r="R89">
        <f t="shared" si="13"/>
        <v>0</v>
      </c>
      <c r="S89">
        <f t="shared" si="14"/>
        <v>0</v>
      </c>
      <c r="T89">
        <f t="shared" si="15"/>
        <v>0</v>
      </c>
      <c r="U89">
        <f t="shared" si="16"/>
        <v>0</v>
      </c>
    </row>
    <row r="90" spans="2:21" x14ac:dyDescent="0.25">
      <c r="B90" s="216">
        <f t="shared" si="27"/>
        <v>45243</v>
      </c>
      <c r="C90">
        <v>8</v>
      </c>
      <c r="D90">
        <v>27</v>
      </c>
      <c r="E90">
        <v>0</v>
      </c>
      <c r="F90">
        <v>7</v>
      </c>
      <c r="G90">
        <v>11</v>
      </c>
      <c r="I90" s="9">
        <f>+I89+7</f>
        <v>45243</v>
      </c>
      <c r="J90">
        <f>IF(C89-C90&gt;0,C89-C90,0)</f>
        <v>0</v>
      </c>
      <c r="K90">
        <f>IF(D89-D90&gt;0,D89-D90,0)</f>
        <v>0</v>
      </c>
      <c r="L90">
        <f>IF(E89-E90&gt;0,E89-E90,0)</f>
        <v>0</v>
      </c>
      <c r="M90">
        <f>IF(F89-F90&gt;0,F89-F90,0)</f>
        <v>0</v>
      </c>
      <c r="N90">
        <f>IF(G89-G90&gt;0,G89-G90,0)</f>
        <v>0</v>
      </c>
      <c r="P90" s="9">
        <f>+P89+7</f>
        <v>45243</v>
      </c>
      <c r="Q90">
        <f t="shared" si="22"/>
        <v>0</v>
      </c>
      <c r="R90">
        <f t="shared" si="13"/>
        <v>0</v>
      </c>
      <c r="S90">
        <f t="shared" si="14"/>
        <v>0</v>
      </c>
      <c r="T90">
        <f t="shared" si="15"/>
        <v>0</v>
      </c>
      <c r="U90">
        <f t="shared" si="16"/>
        <v>0</v>
      </c>
    </row>
    <row r="91" spans="2:21" x14ac:dyDescent="0.25">
      <c r="B91" s="216">
        <f t="shared" si="27"/>
        <v>45250</v>
      </c>
      <c r="C91">
        <v>8</v>
      </c>
      <c r="D91">
        <v>27</v>
      </c>
      <c r="E91">
        <v>0</v>
      </c>
      <c r="F91">
        <v>7</v>
      </c>
      <c r="G91">
        <v>11</v>
      </c>
    </row>
    <row r="92" spans="2:21" x14ac:dyDescent="0.25">
      <c r="B92" s="216">
        <f t="shared" si="27"/>
        <v>45257</v>
      </c>
      <c r="C92">
        <v>8</v>
      </c>
      <c r="D92">
        <v>27</v>
      </c>
      <c r="E92">
        <v>0</v>
      </c>
      <c r="F92">
        <v>7</v>
      </c>
      <c r="G92">
        <v>11</v>
      </c>
    </row>
    <row r="93" spans="2:21" x14ac:dyDescent="0.25">
      <c r="B93" s="9">
        <f t="shared" si="27"/>
        <v>45264</v>
      </c>
      <c r="C93">
        <v>8</v>
      </c>
      <c r="D93">
        <v>27</v>
      </c>
      <c r="E93">
        <v>2</v>
      </c>
      <c r="F93">
        <v>3</v>
      </c>
      <c r="G93">
        <v>11</v>
      </c>
    </row>
    <row r="94" spans="2:21" x14ac:dyDescent="0.25">
      <c r="B94" s="216">
        <f t="shared" ref="B94:B99" si="28">+B93+7</f>
        <v>45271</v>
      </c>
      <c r="C94">
        <v>8</v>
      </c>
      <c r="D94">
        <v>21</v>
      </c>
      <c r="E94">
        <v>2</v>
      </c>
      <c r="F94">
        <v>3</v>
      </c>
      <c r="G94">
        <v>11</v>
      </c>
    </row>
    <row r="95" spans="2:21" x14ac:dyDescent="0.25">
      <c r="B95" s="216">
        <f t="shared" si="28"/>
        <v>45278</v>
      </c>
      <c r="C95">
        <v>8</v>
      </c>
      <c r="D95">
        <v>21</v>
      </c>
      <c r="E95">
        <v>2</v>
      </c>
      <c r="F95">
        <v>3</v>
      </c>
      <c r="G95">
        <v>11</v>
      </c>
    </row>
    <row r="96" spans="2:21" x14ac:dyDescent="0.25">
      <c r="B96" s="216">
        <f t="shared" si="28"/>
        <v>45285</v>
      </c>
      <c r="C96">
        <v>8</v>
      </c>
      <c r="D96">
        <v>21</v>
      </c>
      <c r="E96">
        <v>2</v>
      </c>
      <c r="F96">
        <v>3</v>
      </c>
      <c r="G96">
        <v>11</v>
      </c>
    </row>
    <row r="97" spans="2:7" x14ac:dyDescent="0.25">
      <c r="B97" s="216">
        <f t="shared" si="28"/>
        <v>45292</v>
      </c>
      <c r="C97">
        <v>8</v>
      </c>
      <c r="D97">
        <v>15</v>
      </c>
      <c r="E97">
        <v>2</v>
      </c>
      <c r="F97">
        <v>3</v>
      </c>
      <c r="G97">
        <v>11</v>
      </c>
    </row>
    <row r="98" spans="2:7" x14ac:dyDescent="0.25">
      <c r="B98" s="216">
        <f t="shared" si="28"/>
        <v>45299</v>
      </c>
      <c r="C98">
        <v>8</v>
      </c>
      <c r="D98">
        <v>15</v>
      </c>
      <c r="E98">
        <v>2</v>
      </c>
      <c r="F98">
        <v>3</v>
      </c>
      <c r="G98">
        <v>11</v>
      </c>
    </row>
    <row r="99" spans="2:7" x14ac:dyDescent="0.25">
      <c r="B99" s="216">
        <f t="shared" si="28"/>
        <v>45306</v>
      </c>
      <c r="C99">
        <v>8</v>
      </c>
      <c r="D99">
        <v>15</v>
      </c>
      <c r="E99">
        <v>2</v>
      </c>
      <c r="F99">
        <v>2</v>
      </c>
      <c r="G99">
        <v>11</v>
      </c>
    </row>
    <row r="100" spans="2:7" x14ac:dyDescent="0.25">
      <c r="B100" s="216">
        <f t="shared" ref="B100:B107" si="29">+B99+7</f>
        <v>45313</v>
      </c>
      <c r="C100">
        <v>4</v>
      </c>
      <c r="D100">
        <v>2</v>
      </c>
      <c r="E100">
        <v>2</v>
      </c>
      <c r="F100">
        <v>1</v>
      </c>
      <c r="G100">
        <v>16</v>
      </c>
    </row>
    <row r="101" spans="2:7" x14ac:dyDescent="0.25">
      <c r="B101" s="216">
        <f t="shared" si="29"/>
        <v>45320</v>
      </c>
      <c r="C101">
        <v>4</v>
      </c>
      <c r="D101">
        <v>2</v>
      </c>
      <c r="E101">
        <v>2</v>
      </c>
      <c r="F101">
        <v>1</v>
      </c>
      <c r="G101">
        <v>16</v>
      </c>
    </row>
    <row r="102" spans="2:7" x14ac:dyDescent="0.25">
      <c r="B102" s="216">
        <f t="shared" si="29"/>
        <v>45327</v>
      </c>
      <c r="C102">
        <v>4</v>
      </c>
      <c r="D102">
        <v>2</v>
      </c>
      <c r="E102">
        <v>2</v>
      </c>
      <c r="F102">
        <v>1</v>
      </c>
      <c r="G102">
        <v>16</v>
      </c>
    </row>
    <row r="103" spans="2:7" x14ac:dyDescent="0.25">
      <c r="B103" s="216">
        <f t="shared" si="29"/>
        <v>45334</v>
      </c>
      <c r="C103">
        <v>4</v>
      </c>
      <c r="D103">
        <v>2</v>
      </c>
      <c r="E103">
        <v>2</v>
      </c>
      <c r="F103">
        <v>1</v>
      </c>
      <c r="G103">
        <v>16</v>
      </c>
    </row>
    <row r="104" spans="2:7" x14ac:dyDescent="0.25">
      <c r="B104" s="216">
        <f t="shared" si="29"/>
        <v>45341</v>
      </c>
      <c r="C104">
        <v>0</v>
      </c>
      <c r="D104">
        <v>0</v>
      </c>
      <c r="E104">
        <v>2</v>
      </c>
      <c r="F104">
        <v>1</v>
      </c>
      <c r="G104">
        <v>16</v>
      </c>
    </row>
    <row r="105" spans="2:7" x14ac:dyDescent="0.25">
      <c r="B105" s="216">
        <f t="shared" si="29"/>
        <v>45348</v>
      </c>
      <c r="C105">
        <v>0</v>
      </c>
      <c r="D105">
        <v>0</v>
      </c>
      <c r="E105">
        <v>2</v>
      </c>
      <c r="F105">
        <v>1</v>
      </c>
      <c r="G105">
        <v>16</v>
      </c>
    </row>
    <row r="106" spans="2:7" x14ac:dyDescent="0.25">
      <c r="B106" s="216">
        <f t="shared" si="29"/>
        <v>45355</v>
      </c>
      <c r="C106">
        <v>3</v>
      </c>
      <c r="D106">
        <v>8</v>
      </c>
      <c r="E106">
        <v>2</v>
      </c>
      <c r="F106">
        <v>1</v>
      </c>
      <c r="G106">
        <v>16</v>
      </c>
    </row>
    <row r="107" spans="2:7" x14ac:dyDescent="0.25">
      <c r="B107" s="216">
        <f t="shared" si="29"/>
        <v>45362</v>
      </c>
      <c r="C107">
        <v>3</v>
      </c>
      <c r="D107">
        <v>8</v>
      </c>
      <c r="E107">
        <v>2</v>
      </c>
      <c r="F107">
        <v>1</v>
      </c>
      <c r="G107">
        <v>16</v>
      </c>
    </row>
    <row r="108" spans="2:7" x14ac:dyDescent="0.25">
      <c r="B108" s="216">
        <f t="shared" ref="B108:B124" si="30">+B107+7</f>
        <v>45369</v>
      </c>
      <c r="C108">
        <v>3</v>
      </c>
      <c r="D108">
        <v>2</v>
      </c>
      <c r="E108">
        <v>2</v>
      </c>
      <c r="F108">
        <v>1</v>
      </c>
      <c r="G108">
        <v>16</v>
      </c>
    </row>
    <row r="109" spans="2:7" x14ac:dyDescent="0.25">
      <c r="B109" s="216">
        <f t="shared" si="30"/>
        <v>45376</v>
      </c>
      <c r="C109">
        <v>3</v>
      </c>
      <c r="D109">
        <v>2</v>
      </c>
      <c r="E109">
        <v>2</v>
      </c>
      <c r="F109">
        <v>1</v>
      </c>
      <c r="G109">
        <v>16</v>
      </c>
    </row>
    <row r="110" spans="2:7" x14ac:dyDescent="0.25">
      <c r="B110" s="9">
        <f t="shared" si="30"/>
        <v>45383</v>
      </c>
      <c r="C110">
        <v>7</v>
      </c>
      <c r="D110">
        <v>2</v>
      </c>
      <c r="E110">
        <v>2</v>
      </c>
      <c r="F110">
        <v>3</v>
      </c>
      <c r="G110">
        <v>16</v>
      </c>
    </row>
    <row r="111" spans="2:7" x14ac:dyDescent="0.25">
      <c r="B111" s="9">
        <f t="shared" si="30"/>
        <v>45390</v>
      </c>
      <c r="C111">
        <v>7</v>
      </c>
      <c r="D111">
        <v>2</v>
      </c>
      <c r="E111">
        <v>2</v>
      </c>
      <c r="F111">
        <v>3</v>
      </c>
      <c r="G111">
        <v>16</v>
      </c>
    </row>
    <row r="112" spans="2:7" x14ac:dyDescent="0.25">
      <c r="B112" s="9">
        <f t="shared" si="30"/>
        <v>45397</v>
      </c>
      <c r="C112">
        <v>7</v>
      </c>
      <c r="D112">
        <v>10</v>
      </c>
      <c r="E112">
        <v>2</v>
      </c>
      <c r="F112">
        <v>3</v>
      </c>
      <c r="G112">
        <v>16</v>
      </c>
    </row>
    <row r="113" spans="2:7" x14ac:dyDescent="0.25">
      <c r="B113" s="9">
        <f t="shared" si="30"/>
        <v>45404</v>
      </c>
      <c r="C113">
        <v>4</v>
      </c>
      <c r="D113">
        <v>4</v>
      </c>
      <c r="E113">
        <v>2</v>
      </c>
      <c r="F113">
        <v>3</v>
      </c>
      <c r="G113">
        <v>16</v>
      </c>
    </row>
    <row r="114" spans="2:7" x14ac:dyDescent="0.25">
      <c r="B114" s="9">
        <f t="shared" si="30"/>
        <v>45411</v>
      </c>
      <c r="C114">
        <v>4</v>
      </c>
      <c r="D114">
        <v>4</v>
      </c>
      <c r="E114">
        <v>2</v>
      </c>
      <c r="F114">
        <v>3</v>
      </c>
      <c r="G114">
        <v>16</v>
      </c>
    </row>
    <row r="115" spans="2:7" x14ac:dyDescent="0.25">
      <c r="B115" s="9">
        <f t="shared" si="30"/>
        <v>45418</v>
      </c>
      <c r="C115">
        <v>0</v>
      </c>
      <c r="D115">
        <v>0</v>
      </c>
      <c r="E115">
        <v>2</v>
      </c>
      <c r="F115">
        <v>3</v>
      </c>
      <c r="G115">
        <v>5</v>
      </c>
    </row>
    <row r="116" spans="2:7" x14ac:dyDescent="0.25">
      <c r="B116" s="9">
        <f t="shared" si="30"/>
        <v>45425</v>
      </c>
      <c r="C116">
        <v>1</v>
      </c>
      <c r="D116">
        <v>6</v>
      </c>
      <c r="E116">
        <v>2</v>
      </c>
      <c r="F116">
        <v>3</v>
      </c>
      <c r="G116">
        <v>5</v>
      </c>
    </row>
    <row r="117" spans="2:7" x14ac:dyDescent="0.25">
      <c r="B117" s="9">
        <f t="shared" si="30"/>
        <v>45432</v>
      </c>
      <c r="C117">
        <v>1</v>
      </c>
      <c r="D117">
        <v>6</v>
      </c>
      <c r="E117">
        <v>2</v>
      </c>
      <c r="F117">
        <v>3</v>
      </c>
      <c r="G117">
        <v>5</v>
      </c>
    </row>
    <row r="118" spans="2:7" x14ac:dyDescent="0.25">
      <c r="B118" s="9">
        <f t="shared" si="30"/>
        <v>45439</v>
      </c>
      <c r="C118">
        <v>1</v>
      </c>
      <c r="D118">
        <v>6</v>
      </c>
      <c r="E118">
        <v>2</v>
      </c>
      <c r="F118">
        <v>3</v>
      </c>
      <c r="G118">
        <v>5</v>
      </c>
    </row>
    <row r="119" spans="2:7" x14ac:dyDescent="0.25">
      <c r="B119" s="9">
        <f t="shared" si="30"/>
        <v>45446</v>
      </c>
      <c r="C119">
        <v>1</v>
      </c>
      <c r="D119">
        <v>0</v>
      </c>
      <c r="E119">
        <v>2</v>
      </c>
      <c r="F119">
        <v>3</v>
      </c>
      <c r="G119">
        <v>5</v>
      </c>
    </row>
    <row r="120" spans="2:7" x14ac:dyDescent="0.25">
      <c r="B120" s="216">
        <f t="shared" si="30"/>
        <v>45453</v>
      </c>
      <c r="C120">
        <v>1</v>
      </c>
      <c r="D120">
        <v>0</v>
      </c>
      <c r="E120">
        <v>2</v>
      </c>
      <c r="F120">
        <v>3</v>
      </c>
      <c r="G120">
        <v>5</v>
      </c>
    </row>
    <row r="121" spans="2:7" x14ac:dyDescent="0.25">
      <c r="B121" s="216">
        <f t="shared" si="30"/>
        <v>45460</v>
      </c>
      <c r="C121">
        <v>1</v>
      </c>
      <c r="D121">
        <v>0</v>
      </c>
      <c r="E121">
        <v>2</v>
      </c>
      <c r="F121">
        <v>3</v>
      </c>
      <c r="G121">
        <v>5</v>
      </c>
    </row>
    <row r="122" spans="2:7" x14ac:dyDescent="0.25">
      <c r="B122" s="216">
        <f t="shared" si="30"/>
        <v>45467</v>
      </c>
      <c r="C122">
        <v>2</v>
      </c>
      <c r="D122">
        <v>0</v>
      </c>
      <c r="E122">
        <v>2</v>
      </c>
      <c r="F122">
        <v>3</v>
      </c>
      <c r="G122">
        <v>5</v>
      </c>
    </row>
    <row r="123" spans="2:7" x14ac:dyDescent="0.25">
      <c r="B123" s="216">
        <f t="shared" si="30"/>
        <v>45474</v>
      </c>
      <c r="C123">
        <v>2</v>
      </c>
      <c r="D123">
        <v>0</v>
      </c>
      <c r="E123">
        <v>2</v>
      </c>
      <c r="F123">
        <v>3</v>
      </c>
      <c r="G123">
        <v>5</v>
      </c>
    </row>
    <row r="124" spans="2:7" x14ac:dyDescent="0.25">
      <c r="B124" s="216">
        <f t="shared" si="30"/>
        <v>45481</v>
      </c>
      <c r="C124">
        <v>2</v>
      </c>
      <c r="D124">
        <v>6</v>
      </c>
      <c r="E124">
        <v>2</v>
      </c>
      <c r="F124">
        <v>3</v>
      </c>
      <c r="G124">
        <v>5</v>
      </c>
    </row>
    <row r="125" spans="2:7" x14ac:dyDescent="0.25">
      <c r="B125" s="9"/>
    </row>
    <row r="126" spans="2:7" x14ac:dyDescent="0.25">
      <c r="B126" s="9"/>
    </row>
    <row r="127" spans="2:7" x14ac:dyDescent="0.25">
      <c r="B127" s="9"/>
    </row>
    <row r="128" spans="2:7" x14ac:dyDescent="0.25">
      <c r="B128" s="9"/>
    </row>
    <row r="129" spans="2:2" x14ac:dyDescent="0.25">
      <c r="B129" s="9"/>
    </row>
    <row r="130" spans="2:2" x14ac:dyDescent="0.25">
      <c r="B130" s="9"/>
    </row>
    <row r="131" spans="2:2" x14ac:dyDescent="0.25">
      <c r="B131" s="9"/>
    </row>
    <row r="132" spans="2:2" x14ac:dyDescent="0.25">
      <c r="B132" s="9"/>
    </row>
    <row r="133" spans="2:2" x14ac:dyDescent="0.25">
      <c r="B133" s="9"/>
    </row>
    <row r="134" spans="2:2" x14ac:dyDescent="0.25">
      <c r="B134" s="9"/>
    </row>
    <row r="135" spans="2:2" x14ac:dyDescent="0.25">
      <c r="B135" s="9"/>
    </row>
    <row r="136" spans="2:2" x14ac:dyDescent="0.25">
      <c r="B136" s="9"/>
    </row>
    <row r="137" spans="2:2" x14ac:dyDescent="0.25">
      <c r="B137" s="9"/>
    </row>
    <row r="138" spans="2:2" x14ac:dyDescent="0.25">
      <c r="B138" s="9"/>
    </row>
    <row r="139" spans="2:2" x14ac:dyDescent="0.25">
      <c r="B139" s="9"/>
    </row>
    <row r="140" spans="2:2" x14ac:dyDescent="0.25">
      <c r="B140" s="9"/>
    </row>
    <row r="141" spans="2:2" x14ac:dyDescent="0.25">
      <c r="B141" s="9"/>
    </row>
    <row r="142" spans="2:2" x14ac:dyDescent="0.25">
      <c r="B142" s="9"/>
    </row>
    <row r="143" spans="2:2" x14ac:dyDescent="0.25">
      <c r="B143" s="9"/>
    </row>
    <row r="144" spans="2:2" x14ac:dyDescent="0.25">
      <c r="B144" s="9"/>
    </row>
    <row r="145" spans="2:2" x14ac:dyDescent="0.25">
      <c r="B145" s="9"/>
    </row>
    <row r="146" spans="2:2" x14ac:dyDescent="0.25">
      <c r="B146" s="9"/>
    </row>
    <row r="147" spans="2:2" x14ac:dyDescent="0.25">
      <c r="B147" s="9"/>
    </row>
    <row r="148" spans="2:2" x14ac:dyDescent="0.25">
      <c r="B148" s="9"/>
    </row>
    <row r="149" spans="2:2" x14ac:dyDescent="0.25">
      <c r="B149" s="9"/>
    </row>
    <row r="150" spans="2:2" x14ac:dyDescent="0.25">
      <c r="B150" s="9"/>
    </row>
    <row r="151" spans="2:2" x14ac:dyDescent="0.25">
      <c r="B151" s="9"/>
    </row>
    <row r="152" spans="2:2" x14ac:dyDescent="0.25">
      <c r="B152" s="9"/>
    </row>
    <row r="153" spans="2:2" x14ac:dyDescent="0.25">
      <c r="B153" s="9"/>
    </row>
    <row r="154" spans="2:2" x14ac:dyDescent="0.25">
      <c r="B154" s="9"/>
    </row>
    <row r="155" spans="2:2" x14ac:dyDescent="0.25">
      <c r="B155" s="9"/>
    </row>
    <row r="156" spans="2:2" x14ac:dyDescent="0.25">
      <c r="B156" s="9"/>
    </row>
    <row r="157" spans="2:2" x14ac:dyDescent="0.25">
      <c r="B157" s="9"/>
    </row>
    <row r="158" spans="2:2" x14ac:dyDescent="0.25">
      <c r="B158" s="9"/>
    </row>
    <row r="159" spans="2:2" x14ac:dyDescent="0.25">
      <c r="B159" s="9"/>
    </row>
    <row r="160" spans="2:2" x14ac:dyDescent="0.25">
      <c r="B160" s="9"/>
    </row>
    <row r="161" spans="2:2" x14ac:dyDescent="0.25">
      <c r="B161" s="9"/>
    </row>
    <row r="162" spans="2:2" x14ac:dyDescent="0.25">
      <c r="B162" s="9"/>
    </row>
    <row r="163" spans="2:2" x14ac:dyDescent="0.25">
      <c r="B163" s="9"/>
    </row>
    <row r="164" spans="2:2" x14ac:dyDescent="0.25">
      <c r="B164" s="9"/>
    </row>
    <row r="165" spans="2:2" x14ac:dyDescent="0.25">
      <c r="B165" s="9"/>
    </row>
    <row r="166" spans="2:2" x14ac:dyDescent="0.25">
      <c r="B166" s="9"/>
    </row>
    <row r="167" spans="2:2" x14ac:dyDescent="0.25">
      <c r="B167" s="9"/>
    </row>
    <row r="168" spans="2:2" x14ac:dyDescent="0.25">
      <c r="B168" s="9"/>
    </row>
    <row r="169" spans="2:2" x14ac:dyDescent="0.25">
      <c r="B169" s="9"/>
    </row>
    <row r="170" spans="2:2" x14ac:dyDescent="0.25">
      <c r="B170" s="9"/>
    </row>
    <row r="171" spans="2:2" x14ac:dyDescent="0.25">
      <c r="B171" s="9"/>
    </row>
    <row r="172" spans="2:2" x14ac:dyDescent="0.25">
      <c r="B172" s="9"/>
    </row>
    <row r="173" spans="2:2" x14ac:dyDescent="0.25">
      <c r="B173" s="9"/>
    </row>
    <row r="174" spans="2:2" x14ac:dyDescent="0.25">
      <c r="B174" s="9"/>
    </row>
    <row r="175" spans="2:2" x14ac:dyDescent="0.25">
      <c r="B175" s="9"/>
    </row>
    <row r="176" spans="2:2" x14ac:dyDescent="0.25">
      <c r="B176" s="9"/>
    </row>
    <row r="177" spans="2:2" x14ac:dyDescent="0.25">
      <c r="B177" s="9"/>
    </row>
    <row r="178" spans="2:2" x14ac:dyDescent="0.25">
      <c r="B178" s="9"/>
    </row>
    <row r="179" spans="2:2" x14ac:dyDescent="0.25">
      <c r="B179" s="9"/>
    </row>
    <row r="180" spans="2:2" x14ac:dyDescent="0.25">
      <c r="B180" s="9"/>
    </row>
    <row r="181" spans="2:2" x14ac:dyDescent="0.25">
      <c r="B181" s="9"/>
    </row>
    <row r="182" spans="2:2" x14ac:dyDescent="0.25">
      <c r="B182" s="9"/>
    </row>
    <row r="183" spans="2:2" x14ac:dyDescent="0.25">
      <c r="B183" s="9"/>
    </row>
    <row r="184" spans="2:2" x14ac:dyDescent="0.25">
      <c r="B184" s="9"/>
    </row>
    <row r="185" spans="2:2" x14ac:dyDescent="0.25">
      <c r="B185" s="9"/>
    </row>
    <row r="186" spans="2:2" x14ac:dyDescent="0.25">
      <c r="B186" s="9"/>
    </row>
    <row r="187" spans="2:2" x14ac:dyDescent="0.25">
      <c r="B187" s="9"/>
    </row>
    <row r="188" spans="2:2" x14ac:dyDescent="0.25">
      <c r="B188" s="9"/>
    </row>
    <row r="189" spans="2:2" x14ac:dyDescent="0.25">
      <c r="B189" s="9"/>
    </row>
    <row r="190" spans="2:2" x14ac:dyDescent="0.25">
      <c r="B190" s="9"/>
    </row>
    <row r="191" spans="2:2" x14ac:dyDescent="0.25">
      <c r="B191" s="9"/>
    </row>
    <row r="192" spans="2:2" x14ac:dyDescent="0.25">
      <c r="B192" s="9"/>
    </row>
    <row r="193" spans="2:2" x14ac:dyDescent="0.25">
      <c r="B193" s="9"/>
    </row>
    <row r="194" spans="2:2" x14ac:dyDescent="0.25">
      <c r="B194" s="9"/>
    </row>
    <row r="195" spans="2:2" x14ac:dyDescent="0.25">
      <c r="B195" s="9"/>
    </row>
    <row r="196" spans="2:2" x14ac:dyDescent="0.25">
      <c r="B196" s="9"/>
    </row>
    <row r="197" spans="2:2" x14ac:dyDescent="0.25">
      <c r="B197" s="9"/>
    </row>
    <row r="198" spans="2:2" x14ac:dyDescent="0.25">
      <c r="B198" s="9"/>
    </row>
    <row r="199" spans="2:2" x14ac:dyDescent="0.25">
      <c r="B199" s="9"/>
    </row>
    <row r="200" spans="2:2" x14ac:dyDescent="0.25">
      <c r="B200" s="9"/>
    </row>
    <row r="201" spans="2:2" x14ac:dyDescent="0.25">
      <c r="B201" s="9"/>
    </row>
    <row r="202" spans="2:2" x14ac:dyDescent="0.25">
      <c r="B202" s="9"/>
    </row>
    <row r="203" spans="2:2" x14ac:dyDescent="0.25">
      <c r="B203" s="9"/>
    </row>
    <row r="204" spans="2:2" x14ac:dyDescent="0.25">
      <c r="B204" s="9"/>
    </row>
    <row r="205" spans="2:2" x14ac:dyDescent="0.25">
      <c r="B205" s="9"/>
    </row>
    <row r="206" spans="2:2" x14ac:dyDescent="0.25">
      <c r="B206" s="9"/>
    </row>
    <row r="207" spans="2:2" x14ac:dyDescent="0.25">
      <c r="B207" s="9"/>
    </row>
    <row r="208" spans="2:2" x14ac:dyDescent="0.25">
      <c r="B208" s="9"/>
    </row>
    <row r="209" spans="2:2" x14ac:dyDescent="0.25">
      <c r="B209" s="9"/>
    </row>
    <row r="210" spans="2:2" x14ac:dyDescent="0.25">
      <c r="B210" s="9"/>
    </row>
    <row r="211" spans="2:2" x14ac:dyDescent="0.25">
      <c r="B211" s="9"/>
    </row>
    <row r="212" spans="2:2" x14ac:dyDescent="0.25">
      <c r="B212" s="9"/>
    </row>
    <row r="213" spans="2:2" x14ac:dyDescent="0.25">
      <c r="B213" s="9"/>
    </row>
    <row r="214" spans="2:2" x14ac:dyDescent="0.25">
      <c r="B214" s="9"/>
    </row>
    <row r="215" spans="2:2" x14ac:dyDescent="0.25">
      <c r="B215" s="9"/>
    </row>
    <row r="216" spans="2:2" x14ac:dyDescent="0.25">
      <c r="B216" s="9"/>
    </row>
    <row r="217" spans="2:2" x14ac:dyDescent="0.25">
      <c r="B217" s="9"/>
    </row>
    <row r="218" spans="2:2" x14ac:dyDescent="0.25">
      <c r="B218" s="9"/>
    </row>
    <row r="219" spans="2:2" x14ac:dyDescent="0.25">
      <c r="B219" s="9"/>
    </row>
    <row r="220" spans="2:2" x14ac:dyDescent="0.25">
      <c r="B220" s="9"/>
    </row>
    <row r="221" spans="2:2" x14ac:dyDescent="0.25">
      <c r="B221" s="9"/>
    </row>
    <row r="222" spans="2:2" x14ac:dyDescent="0.25">
      <c r="B222" s="9"/>
    </row>
    <row r="223" spans="2:2" x14ac:dyDescent="0.25">
      <c r="B223" s="9"/>
    </row>
    <row r="224" spans="2:2" x14ac:dyDescent="0.25">
      <c r="B224" s="9"/>
    </row>
    <row r="225" spans="2:2" x14ac:dyDescent="0.25">
      <c r="B225" s="9"/>
    </row>
    <row r="226" spans="2:2" x14ac:dyDescent="0.25">
      <c r="B226" s="9"/>
    </row>
    <row r="227" spans="2:2" x14ac:dyDescent="0.25">
      <c r="B227" s="9"/>
    </row>
    <row r="228" spans="2:2" x14ac:dyDescent="0.25">
      <c r="B228" s="9"/>
    </row>
    <row r="229" spans="2:2" x14ac:dyDescent="0.25">
      <c r="B229" s="9"/>
    </row>
    <row r="230" spans="2:2" x14ac:dyDescent="0.25">
      <c r="B230" s="9"/>
    </row>
    <row r="231" spans="2:2" x14ac:dyDescent="0.25">
      <c r="B231" s="9"/>
    </row>
    <row r="232" spans="2:2" x14ac:dyDescent="0.25">
      <c r="B232" s="9"/>
    </row>
    <row r="233" spans="2:2" x14ac:dyDescent="0.25">
      <c r="B233" s="9"/>
    </row>
    <row r="234" spans="2:2" x14ac:dyDescent="0.25">
      <c r="B234" s="9"/>
    </row>
    <row r="235" spans="2:2" x14ac:dyDescent="0.25">
      <c r="B235" s="9"/>
    </row>
    <row r="236" spans="2:2" x14ac:dyDescent="0.25">
      <c r="B236" s="9"/>
    </row>
    <row r="237" spans="2:2" x14ac:dyDescent="0.25">
      <c r="B237" s="9"/>
    </row>
    <row r="238" spans="2:2" x14ac:dyDescent="0.25">
      <c r="B238" s="9"/>
    </row>
    <row r="239" spans="2:2" x14ac:dyDescent="0.25">
      <c r="B239" s="9"/>
    </row>
    <row r="240" spans="2:2" x14ac:dyDescent="0.25">
      <c r="B240" s="9"/>
    </row>
    <row r="241" spans="2:2" x14ac:dyDescent="0.25">
      <c r="B241" s="9"/>
    </row>
    <row r="242" spans="2:2" x14ac:dyDescent="0.25">
      <c r="B242" s="9"/>
    </row>
    <row r="243" spans="2:2" x14ac:dyDescent="0.25">
      <c r="B243" s="9"/>
    </row>
    <row r="244" spans="2:2" x14ac:dyDescent="0.25">
      <c r="B244" s="9"/>
    </row>
    <row r="245" spans="2:2" x14ac:dyDescent="0.25">
      <c r="B245" s="9"/>
    </row>
    <row r="246" spans="2:2" x14ac:dyDescent="0.25">
      <c r="B246" s="9"/>
    </row>
    <row r="247" spans="2:2" x14ac:dyDescent="0.25">
      <c r="B247" s="9"/>
    </row>
    <row r="248" spans="2:2" x14ac:dyDescent="0.25">
      <c r="B248" s="9"/>
    </row>
    <row r="249" spans="2:2" x14ac:dyDescent="0.25">
      <c r="B249" s="9"/>
    </row>
    <row r="250" spans="2:2" x14ac:dyDescent="0.25">
      <c r="B250" s="9"/>
    </row>
    <row r="251" spans="2:2" x14ac:dyDescent="0.25">
      <c r="B251" s="9"/>
    </row>
    <row r="252" spans="2:2" x14ac:dyDescent="0.25">
      <c r="B252" s="9"/>
    </row>
    <row r="253" spans="2:2" x14ac:dyDescent="0.25">
      <c r="B253" s="9"/>
    </row>
    <row r="254" spans="2:2" x14ac:dyDescent="0.25">
      <c r="B254" s="9"/>
    </row>
    <row r="255" spans="2:2" x14ac:dyDescent="0.25">
      <c r="B255" s="9"/>
    </row>
    <row r="256" spans="2:2" x14ac:dyDescent="0.25">
      <c r="B256" s="9"/>
    </row>
    <row r="257" spans="2:2" x14ac:dyDescent="0.25">
      <c r="B257" s="9"/>
    </row>
    <row r="258" spans="2:2" x14ac:dyDescent="0.25">
      <c r="B258" s="9"/>
    </row>
    <row r="259" spans="2:2" x14ac:dyDescent="0.25">
      <c r="B259" s="9"/>
    </row>
    <row r="260" spans="2:2" x14ac:dyDescent="0.25">
      <c r="B260" s="9"/>
    </row>
    <row r="261" spans="2:2" x14ac:dyDescent="0.25">
      <c r="B261" s="9"/>
    </row>
    <row r="262" spans="2:2" x14ac:dyDescent="0.25">
      <c r="B262" s="9"/>
    </row>
    <row r="263" spans="2:2" x14ac:dyDescent="0.25">
      <c r="B263" s="9"/>
    </row>
    <row r="264" spans="2:2" x14ac:dyDescent="0.25">
      <c r="B264" s="9"/>
    </row>
    <row r="265" spans="2:2" x14ac:dyDescent="0.25">
      <c r="B265" s="9"/>
    </row>
    <row r="266" spans="2:2" x14ac:dyDescent="0.25">
      <c r="B266" s="9"/>
    </row>
    <row r="267" spans="2:2" x14ac:dyDescent="0.25">
      <c r="B267" s="9"/>
    </row>
    <row r="268" spans="2:2" x14ac:dyDescent="0.25">
      <c r="B268" s="9"/>
    </row>
    <row r="269" spans="2:2" x14ac:dyDescent="0.25">
      <c r="B269" s="9"/>
    </row>
    <row r="270" spans="2:2" x14ac:dyDescent="0.25">
      <c r="B270" s="9"/>
    </row>
    <row r="271" spans="2:2" x14ac:dyDescent="0.25">
      <c r="B271" s="9"/>
    </row>
    <row r="272" spans="2:2" x14ac:dyDescent="0.25">
      <c r="B272" s="9"/>
    </row>
    <row r="273" spans="2:2" x14ac:dyDescent="0.25">
      <c r="B273" s="9"/>
    </row>
    <row r="274" spans="2:2" x14ac:dyDescent="0.25">
      <c r="B274" s="9"/>
    </row>
    <row r="275" spans="2:2" x14ac:dyDescent="0.25">
      <c r="B275" s="9"/>
    </row>
    <row r="276" spans="2:2" x14ac:dyDescent="0.25">
      <c r="B276" s="9"/>
    </row>
    <row r="277" spans="2:2" x14ac:dyDescent="0.25">
      <c r="B277" s="9"/>
    </row>
    <row r="278" spans="2:2" x14ac:dyDescent="0.25">
      <c r="B278" s="9"/>
    </row>
    <row r="279" spans="2:2" x14ac:dyDescent="0.25">
      <c r="B279" s="9"/>
    </row>
    <row r="280" spans="2:2" x14ac:dyDescent="0.25">
      <c r="B280" s="9"/>
    </row>
    <row r="281" spans="2:2" x14ac:dyDescent="0.25">
      <c r="B281" s="9"/>
    </row>
    <row r="282" spans="2:2" x14ac:dyDescent="0.25">
      <c r="B282" s="9"/>
    </row>
    <row r="283" spans="2:2" x14ac:dyDescent="0.25">
      <c r="B283" s="9"/>
    </row>
    <row r="284" spans="2:2" x14ac:dyDescent="0.25">
      <c r="B284" s="9"/>
    </row>
    <row r="285" spans="2:2" x14ac:dyDescent="0.25">
      <c r="B285" s="9"/>
    </row>
    <row r="286" spans="2:2" x14ac:dyDescent="0.25">
      <c r="B286" s="9"/>
    </row>
    <row r="287" spans="2:2" x14ac:dyDescent="0.25">
      <c r="B287" s="9"/>
    </row>
    <row r="288" spans="2:2" x14ac:dyDescent="0.25">
      <c r="B288" s="9"/>
    </row>
    <row r="289" spans="2:2" x14ac:dyDescent="0.25">
      <c r="B289" s="9"/>
    </row>
    <row r="290" spans="2:2" x14ac:dyDescent="0.25">
      <c r="B290" s="9"/>
    </row>
    <row r="291" spans="2:2" x14ac:dyDescent="0.25">
      <c r="B291" s="9"/>
    </row>
    <row r="292" spans="2:2" x14ac:dyDescent="0.25">
      <c r="B292" s="9"/>
    </row>
    <row r="293" spans="2:2" x14ac:dyDescent="0.25">
      <c r="B293" s="9"/>
    </row>
    <row r="294" spans="2:2" x14ac:dyDescent="0.25">
      <c r="B294" s="9"/>
    </row>
    <row r="295" spans="2:2" x14ac:dyDescent="0.25">
      <c r="B295" s="9"/>
    </row>
    <row r="296" spans="2:2" x14ac:dyDescent="0.25">
      <c r="B296" s="9"/>
    </row>
    <row r="297" spans="2:2" x14ac:dyDescent="0.25">
      <c r="B297" s="9"/>
    </row>
    <row r="298" spans="2:2" x14ac:dyDescent="0.25">
      <c r="B298" s="9"/>
    </row>
    <row r="299" spans="2:2" x14ac:dyDescent="0.25">
      <c r="B299" s="9"/>
    </row>
    <row r="300" spans="2:2" x14ac:dyDescent="0.25">
      <c r="B300" s="9"/>
    </row>
    <row r="301" spans="2:2" x14ac:dyDescent="0.25">
      <c r="B301" s="9"/>
    </row>
    <row r="302" spans="2:2" x14ac:dyDescent="0.25">
      <c r="B302" s="9"/>
    </row>
    <row r="303" spans="2:2" x14ac:dyDescent="0.25">
      <c r="B303" s="9"/>
    </row>
    <row r="304" spans="2:2" x14ac:dyDescent="0.25">
      <c r="B304" s="9"/>
    </row>
    <row r="305" spans="2:2" x14ac:dyDescent="0.25">
      <c r="B305" s="9"/>
    </row>
    <row r="306" spans="2:2" x14ac:dyDescent="0.25">
      <c r="B306" s="9"/>
    </row>
    <row r="307" spans="2:2" x14ac:dyDescent="0.25">
      <c r="B307" s="9"/>
    </row>
    <row r="308" spans="2:2" x14ac:dyDescent="0.25">
      <c r="B308" s="9"/>
    </row>
    <row r="309" spans="2:2" x14ac:dyDescent="0.25">
      <c r="B309" s="9"/>
    </row>
    <row r="310" spans="2:2" x14ac:dyDescent="0.25">
      <c r="B310" s="9"/>
    </row>
    <row r="311" spans="2:2" x14ac:dyDescent="0.25">
      <c r="B311" s="9"/>
    </row>
    <row r="312" spans="2:2" x14ac:dyDescent="0.25">
      <c r="B312" s="9"/>
    </row>
    <row r="313" spans="2:2" x14ac:dyDescent="0.25">
      <c r="B313" s="9"/>
    </row>
    <row r="314" spans="2:2" x14ac:dyDescent="0.25">
      <c r="B314" s="9"/>
    </row>
    <row r="315" spans="2:2" x14ac:dyDescent="0.25">
      <c r="B315" s="9"/>
    </row>
    <row r="316" spans="2:2" x14ac:dyDescent="0.25">
      <c r="B316" s="9"/>
    </row>
    <row r="317" spans="2:2" x14ac:dyDescent="0.25">
      <c r="B317" s="9"/>
    </row>
    <row r="318" spans="2:2" x14ac:dyDescent="0.25">
      <c r="B318" s="9"/>
    </row>
    <row r="319" spans="2:2" x14ac:dyDescent="0.25">
      <c r="B319" s="9"/>
    </row>
    <row r="320" spans="2:2" x14ac:dyDescent="0.25">
      <c r="B320" s="9"/>
    </row>
    <row r="321" spans="2:2" x14ac:dyDescent="0.25">
      <c r="B321" s="9"/>
    </row>
    <row r="322" spans="2:2" x14ac:dyDescent="0.25">
      <c r="B322" s="9"/>
    </row>
    <row r="323" spans="2:2" x14ac:dyDescent="0.25">
      <c r="B323" s="9"/>
    </row>
    <row r="324" spans="2:2" x14ac:dyDescent="0.25">
      <c r="B324" s="9"/>
    </row>
    <row r="325" spans="2:2" x14ac:dyDescent="0.25">
      <c r="B325" s="9"/>
    </row>
    <row r="326" spans="2:2" x14ac:dyDescent="0.25">
      <c r="B326" s="9"/>
    </row>
    <row r="327" spans="2:2" x14ac:dyDescent="0.25">
      <c r="B327" s="9"/>
    </row>
    <row r="328" spans="2:2" x14ac:dyDescent="0.25">
      <c r="B328" s="9"/>
    </row>
    <row r="329" spans="2:2" x14ac:dyDescent="0.25">
      <c r="B329" s="9"/>
    </row>
    <row r="330" spans="2:2" x14ac:dyDescent="0.25">
      <c r="B330" s="9"/>
    </row>
    <row r="331" spans="2:2" x14ac:dyDescent="0.25">
      <c r="B331" s="9"/>
    </row>
    <row r="332" spans="2:2" x14ac:dyDescent="0.25">
      <c r="B332" s="9"/>
    </row>
    <row r="333" spans="2:2" x14ac:dyDescent="0.25">
      <c r="B333" s="9"/>
    </row>
    <row r="334" spans="2:2" x14ac:dyDescent="0.25">
      <c r="B334" s="9"/>
    </row>
    <row r="335" spans="2:2" x14ac:dyDescent="0.25">
      <c r="B335" s="9"/>
    </row>
    <row r="336" spans="2:2" x14ac:dyDescent="0.25">
      <c r="B336" s="9"/>
    </row>
    <row r="337" spans="2:2" x14ac:dyDescent="0.25">
      <c r="B337" s="9"/>
    </row>
    <row r="338" spans="2:2" x14ac:dyDescent="0.25">
      <c r="B338" s="9"/>
    </row>
    <row r="339" spans="2:2" x14ac:dyDescent="0.25">
      <c r="B339" s="9"/>
    </row>
    <row r="340" spans="2:2" x14ac:dyDescent="0.25">
      <c r="B340" s="9"/>
    </row>
    <row r="341" spans="2:2" x14ac:dyDescent="0.25">
      <c r="B341" s="9"/>
    </row>
    <row r="342" spans="2:2" x14ac:dyDescent="0.25">
      <c r="B342" s="9"/>
    </row>
    <row r="343" spans="2:2" x14ac:dyDescent="0.25">
      <c r="B343" s="9"/>
    </row>
    <row r="344" spans="2:2" x14ac:dyDescent="0.25">
      <c r="B344" s="9"/>
    </row>
    <row r="345" spans="2:2" x14ac:dyDescent="0.25">
      <c r="B345" s="9"/>
    </row>
    <row r="346" spans="2:2" x14ac:dyDescent="0.25">
      <c r="B346" s="9"/>
    </row>
    <row r="347" spans="2:2" x14ac:dyDescent="0.25">
      <c r="B347" s="9"/>
    </row>
    <row r="348" spans="2:2" x14ac:dyDescent="0.25">
      <c r="B348" s="9"/>
    </row>
    <row r="349" spans="2:2" x14ac:dyDescent="0.25">
      <c r="B349" s="9"/>
    </row>
    <row r="350" spans="2:2" x14ac:dyDescent="0.25">
      <c r="B350" s="9"/>
    </row>
    <row r="351" spans="2:2" x14ac:dyDescent="0.25">
      <c r="B351" s="9"/>
    </row>
    <row r="352" spans="2:2" x14ac:dyDescent="0.25">
      <c r="B352" s="9"/>
    </row>
    <row r="353" spans="2:2" x14ac:dyDescent="0.25">
      <c r="B353" s="9"/>
    </row>
    <row r="354" spans="2:2" x14ac:dyDescent="0.25">
      <c r="B354" s="9"/>
    </row>
    <row r="355" spans="2:2" x14ac:dyDescent="0.25">
      <c r="B355" s="9"/>
    </row>
    <row r="356" spans="2:2" x14ac:dyDescent="0.25">
      <c r="B356" s="9"/>
    </row>
    <row r="357" spans="2:2" x14ac:dyDescent="0.25">
      <c r="B357" s="9"/>
    </row>
    <row r="358" spans="2:2" x14ac:dyDescent="0.25">
      <c r="B358" s="9"/>
    </row>
    <row r="359" spans="2:2" x14ac:dyDescent="0.25">
      <c r="B359" s="9"/>
    </row>
    <row r="360" spans="2:2" x14ac:dyDescent="0.25">
      <c r="B360" s="9"/>
    </row>
    <row r="361" spans="2:2" x14ac:dyDescent="0.25">
      <c r="B361" s="9"/>
    </row>
    <row r="362" spans="2:2" x14ac:dyDescent="0.25">
      <c r="B362" s="9"/>
    </row>
    <row r="363" spans="2:2" x14ac:dyDescent="0.25">
      <c r="B363" s="9"/>
    </row>
    <row r="364" spans="2:2" x14ac:dyDescent="0.25">
      <c r="B364" s="9"/>
    </row>
    <row r="365" spans="2:2" x14ac:dyDescent="0.25">
      <c r="B365" s="9"/>
    </row>
    <row r="366" spans="2:2" x14ac:dyDescent="0.25">
      <c r="B366" s="9"/>
    </row>
    <row r="367" spans="2:2" x14ac:dyDescent="0.25">
      <c r="B367" s="9"/>
    </row>
    <row r="368" spans="2:2" x14ac:dyDescent="0.25">
      <c r="B368" s="9"/>
    </row>
    <row r="369" spans="2:2" x14ac:dyDescent="0.25">
      <c r="B369" s="9"/>
    </row>
    <row r="370" spans="2:2" x14ac:dyDescent="0.25">
      <c r="B370" s="9"/>
    </row>
    <row r="371" spans="2:2" x14ac:dyDescent="0.25">
      <c r="B371" s="9"/>
    </row>
    <row r="372" spans="2:2" x14ac:dyDescent="0.25">
      <c r="B372" s="9"/>
    </row>
    <row r="373" spans="2:2" x14ac:dyDescent="0.25">
      <c r="B373" s="9"/>
    </row>
    <row r="374" spans="2:2" x14ac:dyDescent="0.25">
      <c r="B374" s="9"/>
    </row>
    <row r="375" spans="2:2" x14ac:dyDescent="0.25">
      <c r="B375" s="9"/>
    </row>
    <row r="376" spans="2:2" x14ac:dyDescent="0.25">
      <c r="B376" s="9"/>
    </row>
    <row r="377" spans="2:2" x14ac:dyDescent="0.25">
      <c r="B377" s="9"/>
    </row>
    <row r="378" spans="2:2" x14ac:dyDescent="0.25">
      <c r="B378" s="9"/>
    </row>
    <row r="379" spans="2:2" x14ac:dyDescent="0.25">
      <c r="B379" s="9"/>
    </row>
    <row r="380" spans="2:2" x14ac:dyDescent="0.25">
      <c r="B380" s="9"/>
    </row>
    <row r="381" spans="2:2" x14ac:dyDescent="0.25">
      <c r="B381" s="9"/>
    </row>
    <row r="382" spans="2:2" x14ac:dyDescent="0.25">
      <c r="B382" s="9"/>
    </row>
    <row r="383" spans="2:2" x14ac:dyDescent="0.25">
      <c r="B383" s="9"/>
    </row>
    <row r="384" spans="2:2" x14ac:dyDescent="0.25">
      <c r="B384" s="9"/>
    </row>
    <row r="385" spans="2:2" x14ac:dyDescent="0.25">
      <c r="B385" s="9"/>
    </row>
    <row r="386" spans="2:2" x14ac:dyDescent="0.25">
      <c r="B386" s="9"/>
    </row>
    <row r="387" spans="2:2" x14ac:dyDescent="0.25">
      <c r="B387" s="9"/>
    </row>
    <row r="388" spans="2:2" x14ac:dyDescent="0.25">
      <c r="B388" s="9"/>
    </row>
    <row r="389" spans="2:2" x14ac:dyDescent="0.25">
      <c r="B389" s="9"/>
    </row>
    <row r="390" spans="2:2" x14ac:dyDescent="0.25">
      <c r="B390" s="9"/>
    </row>
    <row r="391" spans="2:2" x14ac:dyDescent="0.25">
      <c r="B391" s="9"/>
    </row>
    <row r="392" spans="2:2" x14ac:dyDescent="0.25">
      <c r="B392" s="9"/>
    </row>
    <row r="393" spans="2:2" x14ac:dyDescent="0.25">
      <c r="B393" s="9"/>
    </row>
    <row r="394" spans="2:2" x14ac:dyDescent="0.25">
      <c r="B394" s="9"/>
    </row>
    <row r="395" spans="2:2" x14ac:dyDescent="0.25">
      <c r="B395" s="9"/>
    </row>
    <row r="396" spans="2:2" x14ac:dyDescent="0.25">
      <c r="B396" s="9"/>
    </row>
    <row r="397" spans="2:2" x14ac:dyDescent="0.25">
      <c r="B397" s="9"/>
    </row>
    <row r="398" spans="2:2" x14ac:dyDescent="0.25">
      <c r="B398" s="9"/>
    </row>
    <row r="399" spans="2:2" x14ac:dyDescent="0.25">
      <c r="B399" s="9"/>
    </row>
    <row r="400" spans="2:2" x14ac:dyDescent="0.25">
      <c r="B400" s="9"/>
    </row>
    <row r="401" spans="2:2" x14ac:dyDescent="0.25">
      <c r="B401" s="9"/>
    </row>
    <row r="402" spans="2:2" x14ac:dyDescent="0.25">
      <c r="B402" s="9"/>
    </row>
    <row r="403" spans="2:2" x14ac:dyDescent="0.25">
      <c r="B403" s="9"/>
    </row>
    <row r="404" spans="2:2" x14ac:dyDescent="0.25">
      <c r="B404" s="9"/>
    </row>
    <row r="405" spans="2:2" x14ac:dyDescent="0.25">
      <c r="B405" s="9"/>
    </row>
    <row r="406" spans="2:2" x14ac:dyDescent="0.25">
      <c r="B406" s="9"/>
    </row>
    <row r="407" spans="2:2" x14ac:dyDescent="0.25">
      <c r="B407" s="9"/>
    </row>
    <row r="408" spans="2:2" x14ac:dyDescent="0.25">
      <c r="B408" s="9"/>
    </row>
    <row r="409" spans="2:2" x14ac:dyDescent="0.25">
      <c r="B409" s="9"/>
    </row>
    <row r="410" spans="2:2" x14ac:dyDescent="0.25">
      <c r="B410" s="9"/>
    </row>
    <row r="411" spans="2:2" x14ac:dyDescent="0.25">
      <c r="B411" s="9"/>
    </row>
    <row r="412" spans="2:2" x14ac:dyDescent="0.25">
      <c r="B412" s="9"/>
    </row>
    <row r="413" spans="2:2" x14ac:dyDescent="0.25">
      <c r="B413" s="9"/>
    </row>
    <row r="414" spans="2:2" x14ac:dyDescent="0.25">
      <c r="B414" s="9"/>
    </row>
    <row r="415" spans="2:2" x14ac:dyDescent="0.25">
      <c r="B415" s="9"/>
    </row>
    <row r="416" spans="2:2" x14ac:dyDescent="0.25">
      <c r="B416" s="9"/>
    </row>
    <row r="417" spans="2:2" x14ac:dyDescent="0.25">
      <c r="B417" s="9"/>
    </row>
    <row r="418" spans="2:2" x14ac:dyDescent="0.25">
      <c r="B418" s="9"/>
    </row>
    <row r="419" spans="2:2" x14ac:dyDescent="0.25">
      <c r="B419" s="9"/>
    </row>
    <row r="420" spans="2:2" x14ac:dyDescent="0.25">
      <c r="B420" s="9"/>
    </row>
    <row r="421" spans="2:2" x14ac:dyDescent="0.25">
      <c r="B421" s="9"/>
    </row>
    <row r="422" spans="2:2" x14ac:dyDescent="0.25">
      <c r="B422" s="9"/>
    </row>
    <row r="423" spans="2:2" x14ac:dyDescent="0.25">
      <c r="B423" s="9"/>
    </row>
    <row r="424" spans="2:2" x14ac:dyDescent="0.25">
      <c r="B424" s="9"/>
    </row>
    <row r="425" spans="2:2" x14ac:dyDescent="0.25">
      <c r="B425" s="9"/>
    </row>
    <row r="426" spans="2:2" x14ac:dyDescent="0.25">
      <c r="B426" s="9"/>
    </row>
    <row r="427" spans="2:2" x14ac:dyDescent="0.25">
      <c r="B427" s="9"/>
    </row>
    <row r="428" spans="2:2" x14ac:dyDescent="0.25">
      <c r="B428" s="9"/>
    </row>
    <row r="429" spans="2:2" x14ac:dyDescent="0.25">
      <c r="B429" s="9"/>
    </row>
    <row r="430" spans="2:2" x14ac:dyDescent="0.25">
      <c r="B430" s="9"/>
    </row>
    <row r="431" spans="2:2" x14ac:dyDescent="0.25">
      <c r="B431" s="9"/>
    </row>
    <row r="432" spans="2:2" x14ac:dyDescent="0.25">
      <c r="B432" s="9"/>
    </row>
    <row r="433" spans="2:2" x14ac:dyDescent="0.25">
      <c r="B433" s="9"/>
    </row>
    <row r="434" spans="2:2" x14ac:dyDescent="0.25">
      <c r="B434" s="9"/>
    </row>
    <row r="435" spans="2:2" x14ac:dyDescent="0.25">
      <c r="B435" s="9"/>
    </row>
    <row r="436" spans="2:2" x14ac:dyDescent="0.25">
      <c r="B436" s="9"/>
    </row>
    <row r="437" spans="2:2" x14ac:dyDescent="0.25">
      <c r="B437" s="9"/>
    </row>
    <row r="438" spans="2:2" x14ac:dyDescent="0.25">
      <c r="B438" s="9"/>
    </row>
    <row r="439" spans="2:2" x14ac:dyDescent="0.25">
      <c r="B439" s="9"/>
    </row>
    <row r="440" spans="2:2" x14ac:dyDescent="0.25">
      <c r="B440" s="9"/>
    </row>
    <row r="441" spans="2:2" x14ac:dyDescent="0.25">
      <c r="B441" s="9"/>
    </row>
    <row r="442" spans="2:2" x14ac:dyDescent="0.25">
      <c r="B442" s="9"/>
    </row>
    <row r="443" spans="2:2" x14ac:dyDescent="0.25">
      <c r="B443" s="9"/>
    </row>
    <row r="444" spans="2:2" x14ac:dyDescent="0.25">
      <c r="B444" s="9"/>
    </row>
    <row r="445" spans="2:2" x14ac:dyDescent="0.25">
      <c r="B445" s="9"/>
    </row>
    <row r="446" spans="2:2" x14ac:dyDescent="0.25">
      <c r="B446" s="9"/>
    </row>
    <row r="447" spans="2:2" x14ac:dyDescent="0.25">
      <c r="B447" s="9"/>
    </row>
    <row r="448" spans="2:2" x14ac:dyDescent="0.25">
      <c r="B448" s="9"/>
    </row>
    <row r="449" spans="2:2" x14ac:dyDescent="0.25">
      <c r="B449" s="9"/>
    </row>
    <row r="450" spans="2:2" x14ac:dyDescent="0.25">
      <c r="B450" s="9"/>
    </row>
    <row r="451" spans="2:2" x14ac:dyDescent="0.25">
      <c r="B451" s="9"/>
    </row>
    <row r="452" spans="2:2" x14ac:dyDescent="0.25">
      <c r="B452" s="9"/>
    </row>
    <row r="453" spans="2:2" x14ac:dyDescent="0.25">
      <c r="B453" s="9"/>
    </row>
    <row r="454" spans="2:2" x14ac:dyDescent="0.25">
      <c r="B454" s="9"/>
    </row>
    <row r="455" spans="2:2" x14ac:dyDescent="0.25">
      <c r="B455" s="9"/>
    </row>
    <row r="456" spans="2:2" x14ac:dyDescent="0.25">
      <c r="B456" s="9"/>
    </row>
    <row r="457" spans="2:2" x14ac:dyDescent="0.25">
      <c r="B457" s="9"/>
    </row>
    <row r="458" spans="2:2" x14ac:dyDescent="0.25">
      <c r="B458" s="9"/>
    </row>
    <row r="459" spans="2:2" x14ac:dyDescent="0.25">
      <c r="B459" s="9"/>
    </row>
    <row r="460" spans="2:2" x14ac:dyDescent="0.25">
      <c r="B460" s="9"/>
    </row>
    <row r="461" spans="2:2" x14ac:dyDescent="0.25">
      <c r="B461" s="9"/>
    </row>
    <row r="462" spans="2:2" x14ac:dyDescent="0.25">
      <c r="B462" s="9"/>
    </row>
    <row r="463" spans="2:2" x14ac:dyDescent="0.25">
      <c r="B463" s="9"/>
    </row>
    <row r="464" spans="2:2" x14ac:dyDescent="0.25">
      <c r="B464" s="9"/>
    </row>
    <row r="465" spans="2:2" x14ac:dyDescent="0.25">
      <c r="B465" s="9"/>
    </row>
    <row r="466" spans="2:2" x14ac:dyDescent="0.25">
      <c r="B466" s="9"/>
    </row>
    <row r="467" spans="2:2" x14ac:dyDescent="0.25">
      <c r="B467" s="9"/>
    </row>
    <row r="468" spans="2:2" x14ac:dyDescent="0.25">
      <c r="B468" s="9"/>
    </row>
    <row r="469" spans="2:2" x14ac:dyDescent="0.25">
      <c r="B469" s="9"/>
    </row>
    <row r="470" spans="2:2" x14ac:dyDescent="0.25">
      <c r="B470" s="9"/>
    </row>
    <row r="471" spans="2:2" x14ac:dyDescent="0.25">
      <c r="B471" s="9"/>
    </row>
    <row r="472" spans="2:2" x14ac:dyDescent="0.25">
      <c r="B472" s="9"/>
    </row>
    <row r="473" spans="2:2" x14ac:dyDescent="0.25">
      <c r="B473" s="9"/>
    </row>
    <row r="474" spans="2:2" x14ac:dyDescent="0.25">
      <c r="B474" s="9"/>
    </row>
    <row r="475" spans="2:2" x14ac:dyDescent="0.25">
      <c r="B475" s="9"/>
    </row>
    <row r="476" spans="2:2" x14ac:dyDescent="0.25">
      <c r="B476" s="9"/>
    </row>
    <row r="477" spans="2:2" x14ac:dyDescent="0.25">
      <c r="B477" s="9"/>
    </row>
    <row r="478" spans="2:2" x14ac:dyDescent="0.25">
      <c r="B478" s="9"/>
    </row>
    <row r="479" spans="2:2" x14ac:dyDescent="0.25">
      <c r="B479" s="9"/>
    </row>
    <row r="480" spans="2:2" x14ac:dyDescent="0.25">
      <c r="B480" s="9"/>
    </row>
    <row r="481" spans="2:2" x14ac:dyDescent="0.25">
      <c r="B481" s="9"/>
    </row>
    <row r="482" spans="2:2" x14ac:dyDescent="0.25">
      <c r="B482" s="9"/>
    </row>
    <row r="483" spans="2:2" x14ac:dyDescent="0.25">
      <c r="B483" s="9"/>
    </row>
    <row r="484" spans="2:2" x14ac:dyDescent="0.25">
      <c r="B484" s="9"/>
    </row>
    <row r="485" spans="2:2" x14ac:dyDescent="0.25">
      <c r="B485" s="9"/>
    </row>
    <row r="486" spans="2:2" x14ac:dyDescent="0.25">
      <c r="B486" s="9"/>
    </row>
    <row r="487" spans="2:2" x14ac:dyDescent="0.25">
      <c r="B487" s="9"/>
    </row>
    <row r="488" spans="2:2" x14ac:dyDescent="0.25">
      <c r="B488" s="9"/>
    </row>
    <row r="489" spans="2:2" x14ac:dyDescent="0.25">
      <c r="B489" s="9"/>
    </row>
    <row r="490" spans="2:2" x14ac:dyDescent="0.25">
      <c r="B490" s="9"/>
    </row>
    <row r="491" spans="2:2" x14ac:dyDescent="0.25">
      <c r="B491" s="9"/>
    </row>
    <row r="492" spans="2:2" x14ac:dyDescent="0.25">
      <c r="B492" s="9"/>
    </row>
    <row r="493" spans="2:2" x14ac:dyDescent="0.25">
      <c r="B493" s="9"/>
    </row>
    <row r="494" spans="2:2" x14ac:dyDescent="0.25">
      <c r="B494" s="9"/>
    </row>
    <row r="495" spans="2:2" x14ac:dyDescent="0.25">
      <c r="B495" s="9"/>
    </row>
    <row r="496" spans="2:2" x14ac:dyDescent="0.25">
      <c r="B496" s="9"/>
    </row>
    <row r="497" spans="2:2" x14ac:dyDescent="0.25">
      <c r="B497" s="9"/>
    </row>
    <row r="498" spans="2:2" x14ac:dyDescent="0.25">
      <c r="B498" s="9"/>
    </row>
    <row r="499" spans="2:2" x14ac:dyDescent="0.25">
      <c r="B499" s="9"/>
    </row>
    <row r="500" spans="2:2" x14ac:dyDescent="0.25">
      <c r="B500" s="9"/>
    </row>
    <row r="501" spans="2:2" x14ac:dyDescent="0.25">
      <c r="B501" s="9"/>
    </row>
    <row r="502" spans="2:2" x14ac:dyDescent="0.25">
      <c r="B502" s="9"/>
    </row>
    <row r="503" spans="2:2" x14ac:dyDescent="0.25">
      <c r="B503" s="9"/>
    </row>
    <row r="504" spans="2:2" x14ac:dyDescent="0.25">
      <c r="B504" s="9"/>
    </row>
    <row r="505" spans="2:2" x14ac:dyDescent="0.25">
      <c r="B505" s="9"/>
    </row>
    <row r="506" spans="2:2" x14ac:dyDescent="0.25">
      <c r="B506" s="9"/>
    </row>
    <row r="507" spans="2:2" x14ac:dyDescent="0.25">
      <c r="B507" s="9"/>
    </row>
    <row r="508" spans="2:2" x14ac:dyDescent="0.25">
      <c r="B508" s="9"/>
    </row>
    <row r="509" spans="2:2" x14ac:dyDescent="0.25">
      <c r="B509" s="9"/>
    </row>
    <row r="510" spans="2:2" x14ac:dyDescent="0.25">
      <c r="B510" s="9"/>
    </row>
    <row r="511" spans="2:2" x14ac:dyDescent="0.25">
      <c r="B511" s="9"/>
    </row>
    <row r="512" spans="2:2" x14ac:dyDescent="0.25">
      <c r="B512" s="9"/>
    </row>
    <row r="513" spans="2:2" x14ac:dyDescent="0.25">
      <c r="B513" s="9"/>
    </row>
    <row r="514" spans="2:2" x14ac:dyDescent="0.25">
      <c r="B514" s="9"/>
    </row>
    <row r="515" spans="2:2" x14ac:dyDescent="0.25">
      <c r="B515" s="9"/>
    </row>
    <row r="516" spans="2:2" x14ac:dyDescent="0.25">
      <c r="B516" s="9"/>
    </row>
    <row r="517" spans="2:2" x14ac:dyDescent="0.25">
      <c r="B517" s="9"/>
    </row>
    <row r="518" spans="2:2" x14ac:dyDescent="0.25">
      <c r="B518" s="9"/>
    </row>
    <row r="519" spans="2:2" x14ac:dyDescent="0.25">
      <c r="B519" s="9"/>
    </row>
    <row r="520" spans="2:2" x14ac:dyDescent="0.25">
      <c r="B520" s="9"/>
    </row>
    <row r="521" spans="2:2" x14ac:dyDescent="0.25">
      <c r="B521" s="9"/>
    </row>
    <row r="522" spans="2:2" x14ac:dyDescent="0.25">
      <c r="B522" s="9"/>
    </row>
    <row r="523" spans="2:2" x14ac:dyDescent="0.25">
      <c r="B523" s="9"/>
    </row>
    <row r="524" spans="2:2" x14ac:dyDescent="0.25">
      <c r="B524" s="9"/>
    </row>
    <row r="525" spans="2:2" x14ac:dyDescent="0.25">
      <c r="B525" s="9"/>
    </row>
    <row r="526" spans="2:2" x14ac:dyDescent="0.25">
      <c r="B526" s="9"/>
    </row>
    <row r="527" spans="2:2" x14ac:dyDescent="0.25">
      <c r="B527" s="9"/>
    </row>
    <row r="528" spans="2:2" x14ac:dyDescent="0.25">
      <c r="B528" s="9"/>
    </row>
    <row r="529" spans="2:2" x14ac:dyDescent="0.25">
      <c r="B529" s="9"/>
    </row>
    <row r="530" spans="2:2" x14ac:dyDescent="0.25">
      <c r="B530" s="9"/>
    </row>
    <row r="531" spans="2:2" x14ac:dyDescent="0.25">
      <c r="B531" s="9"/>
    </row>
    <row r="532" spans="2:2" x14ac:dyDescent="0.25">
      <c r="B532" s="9"/>
    </row>
    <row r="533" spans="2:2" x14ac:dyDescent="0.25">
      <c r="B533" s="9"/>
    </row>
    <row r="534" spans="2:2" x14ac:dyDescent="0.25">
      <c r="B534" s="9"/>
    </row>
    <row r="535" spans="2:2" x14ac:dyDescent="0.25">
      <c r="B535" s="9"/>
    </row>
    <row r="536" spans="2:2" x14ac:dyDescent="0.25">
      <c r="B536" s="9"/>
    </row>
    <row r="537" spans="2:2" x14ac:dyDescent="0.25">
      <c r="B537" s="9"/>
    </row>
    <row r="538" spans="2:2" x14ac:dyDescent="0.25">
      <c r="B538" s="9"/>
    </row>
    <row r="539" spans="2:2" x14ac:dyDescent="0.25">
      <c r="B539" s="9"/>
    </row>
    <row r="540" spans="2:2" x14ac:dyDescent="0.25">
      <c r="B540" s="9"/>
    </row>
    <row r="541" spans="2:2" x14ac:dyDescent="0.25">
      <c r="B541" s="9"/>
    </row>
    <row r="542" spans="2:2" x14ac:dyDescent="0.25">
      <c r="B542" s="9"/>
    </row>
    <row r="543" spans="2:2" x14ac:dyDescent="0.25">
      <c r="B543" s="9"/>
    </row>
    <row r="544" spans="2:2" x14ac:dyDescent="0.25">
      <c r="B544" s="9"/>
    </row>
    <row r="545" spans="2:2" x14ac:dyDescent="0.25">
      <c r="B545" s="9"/>
    </row>
    <row r="546" spans="2:2" x14ac:dyDescent="0.25">
      <c r="B546" s="9"/>
    </row>
    <row r="547" spans="2:2" x14ac:dyDescent="0.25">
      <c r="B547" s="9"/>
    </row>
    <row r="548" spans="2:2" x14ac:dyDescent="0.25">
      <c r="B548" s="9"/>
    </row>
    <row r="549" spans="2:2" x14ac:dyDescent="0.25">
      <c r="B549" s="9"/>
    </row>
    <row r="550" spans="2:2" x14ac:dyDescent="0.25">
      <c r="B550" s="9"/>
    </row>
    <row r="551" spans="2:2" x14ac:dyDescent="0.25">
      <c r="B551" s="9"/>
    </row>
    <row r="552" spans="2:2" x14ac:dyDescent="0.25">
      <c r="B552" s="9"/>
    </row>
    <row r="553" spans="2:2" x14ac:dyDescent="0.25">
      <c r="B553" s="9"/>
    </row>
    <row r="554" spans="2:2" x14ac:dyDescent="0.25">
      <c r="B554" s="9"/>
    </row>
    <row r="555" spans="2:2" x14ac:dyDescent="0.25">
      <c r="B555" s="9"/>
    </row>
    <row r="556" spans="2:2" x14ac:dyDescent="0.25">
      <c r="B556" s="9"/>
    </row>
    <row r="557" spans="2:2" x14ac:dyDescent="0.25">
      <c r="B557" s="9"/>
    </row>
    <row r="558" spans="2:2" x14ac:dyDescent="0.25">
      <c r="B558" s="9"/>
    </row>
    <row r="559" spans="2:2" x14ac:dyDescent="0.25">
      <c r="B559" s="9"/>
    </row>
    <row r="560" spans="2:2" x14ac:dyDescent="0.25">
      <c r="B560" s="9"/>
    </row>
    <row r="561" spans="2:2" x14ac:dyDescent="0.25">
      <c r="B561" s="9"/>
    </row>
    <row r="562" spans="2:2" x14ac:dyDescent="0.25">
      <c r="B562" s="9"/>
    </row>
    <row r="563" spans="2:2" x14ac:dyDescent="0.25">
      <c r="B563" s="9"/>
    </row>
    <row r="564" spans="2:2" x14ac:dyDescent="0.25">
      <c r="B564" s="9"/>
    </row>
    <row r="565" spans="2:2" x14ac:dyDescent="0.25">
      <c r="B565" s="9"/>
    </row>
    <row r="566" spans="2:2" x14ac:dyDescent="0.25">
      <c r="B566" s="9"/>
    </row>
    <row r="567" spans="2:2" x14ac:dyDescent="0.25">
      <c r="B567" s="9"/>
    </row>
    <row r="568" spans="2:2" x14ac:dyDescent="0.25">
      <c r="B568" s="9"/>
    </row>
    <row r="569" spans="2:2" x14ac:dyDescent="0.25">
      <c r="B569" s="9"/>
    </row>
    <row r="570" spans="2:2" x14ac:dyDescent="0.25">
      <c r="B570" s="9"/>
    </row>
    <row r="571" spans="2:2" x14ac:dyDescent="0.25">
      <c r="B571" s="9"/>
    </row>
    <row r="572" spans="2:2" x14ac:dyDescent="0.25">
      <c r="B572" s="9"/>
    </row>
    <row r="573" spans="2:2" x14ac:dyDescent="0.25">
      <c r="B573" s="9"/>
    </row>
    <row r="574" spans="2:2" x14ac:dyDescent="0.25">
      <c r="B574" s="9"/>
    </row>
    <row r="575" spans="2:2" x14ac:dyDescent="0.25">
      <c r="B575" s="9"/>
    </row>
    <row r="576" spans="2:2" x14ac:dyDescent="0.25">
      <c r="B576" s="9"/>
    </row>
    <row r="577" spans="2:2" x14ac:dyDescent="0.25">
      <c r="B577" s="9"/>
    </row>
    <row r="578" spans="2:2" x14ac:dyDescent="0.25">
      <c r="B578" s="9"/>
    </row>
    <row r="579" spans="2:2" x14ac:dyDescent="0.25">
      <c r="B579" s="9"/>
    </row>
    <row r="580" spans="2:2" x14ac:dyDescent="0.25">
      <c r="B580" s="9"/>
    </row>
    <row r="581" spans="2:2" x14ac:dyDescent="0.25">
      <c r="B581" s="9"/>
    </row>
    <row r="582" spans="2:2" x14ac:dyDescent="0.25">
      <c r="B582" s="9"/>
    </row>
    <row r="583" spans="2:2" x14ac:dyDescent="0.25">
      <c r="B583" s="9"/>
    </row>
    <row r="584" spans="2:2" x14ac:dyDescent="0.25">
      <c r="B584" s="9"/>
    </row>
    <row r="585" spans="2:2" x14ac:dyDescent="0.25">
      <c r="B585" s="9"/>
    </row>
    <row r="586" spans="2:2" x14ac:dyDescent="0.25">
      <c r="B586" s="9"/>
    </row>
    <row r="587" spans="2:2" x14ac:dyDescent="0.25">
      <c r="B587" s="9"/>
    </row>
    <row r="588" spans="2:2" x14ac:dyDescent="0.25">
      <c r="B588" s="9"/>
    </row>
    <row r="589" spans="2:2" x14ac:dyDescent="0.25">
      <c r="B589" s="9"/>
    </row>
    <row r="590" spans="2:2" x14ac:dyDescent="0.25">
      <c r="B590" s="9"/>
    </row>
    <row r="591" spans="2:2" x14ac:dyDescent="0.25">
      <c r="B591" s="9"/>
    </row>
    <row r="592" spans="2:2" x14ac:dyDescent="0.25">
      <c r="B592" s="9"/>
    </row>
    <row r="593" spans="2:2" x14ac:dyDescent="0.25">
      <c r="B593" s="9"/>
    </row>
    <row r="594" spans="2:2" x14ac:dyDescent="0.25">
      <c r="B594" s="9"/>
    </row>
    <row r="595" spans="2:2" x14ac:dyDescent="0.25">
      <c r="B595" s="9"/>
    </row>
    <row r="596" spans="2:2" x14ac:dyDescent="0.25">
      <c r="B596" s="9"/>
    </row>
    <row r="597" spans="2:2" x14ac:dyDescent="0.25">
      <c r="B597" s="9"/>
    </row>
    <row r="598" spans="2:2" x14ac:dyDescent="0.25">
      <c r="B598" s="9"/>
    </row>
    <row r="599" spans="2:2" x14ac:dyDescent="0.25">
      <c r="B599" s="9"/>
    </row>
    <row r="600" spans="2:2" x14ac:dyDescent="0.25">
      <c r="B600" s="9"/>
    </row>
    <row r="601" spans="2:2" x14ac:dyDescent="0.25">
      <c r="B601" s="9"/>
    </row>
    <row r="602" spans="2:2" x14ac:dyDescent="0.25">
      <c r="B602" s="9"/>
    </row>
    <row r="603" spans="2:2" x14ac:dyDescent="0.25">
      <c r="B603" s="9"/>
    </row>
    <row r="604" spans="2:2" x14ac:dyDescent="0.25">
      <c r="B604" s="9"/>
    </row>
    <row r="605" spans="2:2" x14ac:dyDescent="0.25">
      <c r="B605" s="9"/>
    </row>
    <row r="606" spans="2:2" x14ac:dyDescent="0.25">
      <c r="B606" s="9"/>
    </row>
    <row r="607" spans="2:2" x14ac:dyDescent="0.25">
      <c r="B607" s="9"/>
    </row>
    <row r="608" spans="2:2" x14ac:dyDescent="0.25">
      <c r="B608" s="9"/>
    </row>
    <row r="609" spans="2:2" x14ac:dyDescent="0.25">
      <c r="B609" s="9"/>
    </row>
    <row r="610" spans="2:2" x14ac:dyDescent="0.25">
      <c r="B610" s="9"/>
    </row>
    <row r="611" spans="2:2" x14ac:dyDescent="0.25">
      <c r="B611" s="9"/>
    </row>
    <row r="612" spans="2:2" x14ac:dyDescent="0.25">
      <c r="B612" s="9"/>
    </row>
    <row r="613" spans="2:2" x14ac:dyDescent="0.25">
      <c r="B613" s="9"/>
    </row>
    <row r="614" spans="2:2" x14ac:dyDescent="0.25">
      <c r="B614" s="9"/>
    </row>
    <row r="615" spans="2:2" x14ac:dyDescent="0.25">
      <c r="B615" s="9"/>
    </row>
    <row r="616" spans="2:2" x14ac:dyDescent="0.25">
      <c r="B616" s="9"/>
    </row>
    <row r="617" spans="2:2" x14ac:dyDescent="0.25">
      <c r="B617" s="9"/>
    </row>
    <row r="618" spans="2:2" x14ac:dyDescent="0.25">
      <c r="B618" s="9"/>
    </row>
    <row r="619" spans="2:2" x14ac:dyDescent="0.25">
      <c r="B619" s="9"/>
    </row>
    <row r="620" spans="2:2" x14ac:dyDescent="0.25">
      <c r="B620" s="9"/>
    </row>
    <row r="621" spans="2:2" x14ac:dyDescent="0.25">
      <c r="B621" s="9"/>
    </row>
    <row r="622" spans="2:2" x14ac:dyDescent="0.25">
      <c r="B622" s="9"/>
    </row>
    <row r="623" spans="2:2" x14ac:dyDescent="0.25">
      <c r="B623" s="9"/>
    </row>
    <row r="624" spans="2:2" x14ac:dyDescent="0.25">
      <c r="B624" s="9"/>
    </row>
    <row r="625" spans="2:2" x14ac:dyDescent="0.25">
      <c r="B625" s="9"/>
    </row>
    <row r="626" spans="2:2" x14ac:dyDescent="0.25">
      <c r="B626" s="9"/>
    </row>
    <row r="627" spans="2:2" x14ac:dyDescent="0.25">
      <c r="B627" s="9"/>
    </row>
    <row r="628" spans="2:2" x14ac:dyDescent="0.25">
      <c r="B628" s="9"/>
    </row>
    <row r="629" spans="2:2" x14ac:dyDescent="0.25">
      <c r="B629" s="9"/>
    </row>
    <row r="630" spans="2:2" x14ac:dyDescent="0.25">
      <c r="B630" s="9"/>
    </row>
    <row r="631" spans="2:2" x14ac:dyDescent="0.25">
      <c r="B631" s="9"/>
    </row>
    <row r="632" spans="2:2" x14ac:dyDescent="0.25">
      <c r="B632" s="9"/>
    </row>
    <row r="633" spans="2:2" x14ac:dyDescent="0.25">
      <c r="B633" s="9"/>
    </row>
    <row r="634" spans="2:2" x14ac:dyDescent="0.25">
      <c r="B634" s="9"/>
    </row>
    <row r="635" spans="2:2" x14ac:dyDescent="0.25">
      <c r="B635" s="9"/>
    </row>
    <row r="636" spans="2:2" x14ac:dyDescent="0.25">
      <c r="B636" s="9"/>
    </row>
    <row r="637" spans="2:2" x14ac:dyDescent="0.25">
      <c r="B637" s="9"/>
    </row>
    <row r="638" spans="2:2" x14ac:dyDescent="0.25">
      <c r="B638" s="9"/>
    </row>
    <row r="639" spans="2:2" x14ac:dyDescent="0.25">
      <c r="B639" s="9"/>
    </row>
    <row r="640" spans="2:2" x14ac:dyDescent="0.25">
      <c r="B640" s="9"/>
    </row>
    <row r="641" spans="2:2" x14ac:dyDescent="0.25">
      <c r="B641" s="9"/>
    </row>
    <row r="642" spans="2:2" x14ac:dyDescent="0.25">
      <c r="B642" s="9"/>
    </row>
    <row r="643" spans="2:2" x14ac:dyDescent="0.25">
      <c r="B643" s="9"/>
    </row>
    <row r="644" spans="2:2" x14ac:dyDescent="0.25">
      <c r="B644" s="9"/>
    </row>
    <row r="645" spans="2:2" x14ac:dyDescent="0.25">
      <c r="B645" s="9"/>
    </row>
    <row r="646" spans="2:2" x14ac:dyDescent="0.25">
      <c r="B646" s="9"/>
    </row>
    <row r="647" spans="2:2" x14ac:dyDescent="0.25">
      <c r="B647" s="9"/>
    </row>
    <row r="648" spans="2:2" x14ac:dyDescent="0.25">
      <c r="B648" s="9"/>
    </row>
    <row r="649" spans="2:2" x14ac:dyDescent="0.25">
      <c r="B649" s="9"/>
    </row>
    <row r="650" spans="2:2" x14ac:dyDescent="0.25">
      <c r="B650" s="9"/>
    </row>
    <row r="651" spans="2:2" x14ac:dyDescent="0.25">
      <c r="B651" s="9"/>
    </row>
    <row r="652" spans="2:2" x14ac:dyDescent="0.25">
      <c r="B652" s="9"/>
    </row>
    <row r="653" spans="2:2" x14ac:dyDescent="0.25">
      <c r="B653" s="9"/>
    </row>
    <row r="654" spans="2:2" x14ac:dyDescent="0.25">
      <c r="B654" s="9"/>
    </row>
    <row r="655" spans="2:2" x14ac:dyDescent="0.25">
      <c r="B655" s="9"/>
    </row>
    <row r="656" spans="2:2" x14ac:dyDescent="0.25">
      <c r="B656" s="9"/>
    </row>
    <row r="657" spans="2:2" x14ac:dyDescent="0.25">
      <c r="B657" s="9"/>
    </row>
    <row r="658" spans="2:2" x14ac:dyDescent="0.25">
      <c r="B658" s="9"/>
    </row>
    <row r="659" spans="2:2" x14ac:dyDescent="0.25">
      <c r="B659" s="9"/>
    </row>
    <row r="660" spans="2:2" x14ac:dyDescent="0.25">
      <c r="B660" s="9"/>
    </row>
    <row r="661" spans="2:2" x14ac:dyDescent="0.25">
      <c r="B661" s="9"/>
    </row>
    <row r="662" spans="2:2" x14ac:dyDescent="0.25">
      <c r="B662" s="9"/>
    </row>
    <row r="663" spans="2:2" x14ac:dyDescent="0.25">
      <c r="B663" s="9"/>
    </row>
    <row r="664" spans="2:2" x14ac:dyDescent="0.25">
      <c r="B664" s="9"/>
    </row>
    <row r="665" spans="2:2" x14ac:dyDescent="0.25">
      <c r="B665" s="9"/>
    </row>
    <row r="666" spans="2:2" x14ac:dyDescent="0.25">
      <c r="B666" s="9"/>
    </row>
    <row r="667" spans="2:2" x14ac:dyDescent="0.25">
      <c r="B667" s="9"/>
    </row>
    <row r="668" spans="2:2" x14ac:dyDescent="0.25">
      <c r="B668" s="9"/>
    </row>
    <row r="669" spans="2:2" x14ac:dyDescent="0.25">
      <c r="B669" s="9"/>
    </row>
    <row r="670" spans="2:2" x14ac:dyDescent="0.25">
      <c r="B670" s="9"/>
    </row>
    <row r="671" spans="2:2" x14ac:dyDescent="0.25">
      <c r="B671" s="9"/>
    </row>
    <row r="672" spans="2:2" x14ac:dyDescent="0.25">
      <c r="B672" s="9"/>
    </row>
    <row r="673" spans="2:2" x14ac:dyDescent="0.25">
      <c r="B673" s="9"/>
    </row>
    <row r="674" spans="2:2" x14ac:dyDescent="0.25">
      <c r="B674" s="9"/>
    </row>
    <row r="675" spans="2:2" x14ac:dyDescent="0.25">
      <c r="B675" s="9"/>
    </row>
    <row r="676" spans="2:2" x14ac:dyDescent="0.25">
      <c r="B676" s="9"/>
    </row>
    <row r="677" spans="2:2" x14ac:dyDescent="0.25">
      <c r="B677" s="9"/>
    </row>
    <row r="678" spans="2:2" x14ac:dyDescent="0.25">
      <c r="B678" s="9"/>
    </row>
    <row r="679" spans="2:2" x14ac:dyDescent="0.25">
      <c r="B679" s="9"/>
    </row>
    <row r="680" spans="2:2" x14ac:dyDescent="0.25">
      <c r="B680" s="9"/>
    </row>
    <row r="681" spans="2:2" x14ac:dyDescent="0.25">
      <c r="B681" s="9"/>
    </row>
    <row r="682" spans="2:2" x14ac:dyDescent="0.25">
      <c r="B682" s="9"/>
    </row>
    <row r="683" spans="2:2" x14ac:dyDescent="0.25">
      <c r="B683" s="9"/>
    </row>
    <row r="684" spans="2:2" x14ac:dyDescent="0.25">
      <c r="B684" s="9"/>
    </row>
    <row r="685" spans="2:2" x14ac:dyDescent="0.25">
      <c r="B685" s="9"/>
    </row>
    <row r="686" spans="2:2" x14ac:dyDescent="0.25">
      <c r="B686" s="9"/>
    </row>
    <row r="687" spans="2:2" x14ac:dyDescent="0.25">
      <c r="B687" s="9"/>
    </row>
    <row r="688" spans="2:2" x14ac:dyDescent="0.25">
      <c r="B688" s="9"/>
    </row>
    <row r="689" spans="2:2" x14ac:dyDescent="0.25">
      <c r="B689" s="9"/>
    </row>
    <row r="690" spans="2:2" x14ac:dyDescent="0.25">
      <c r="B690" s="9"/>
    </row>
    <row r="691" spans="2:2" x14ac:dyDescent="0.25">
      <c r="B691" s="9"/>
    </row>
    <row r="692" spans="2:2" x14ac:dyDescent="0.25">
      <c r="B692" s="9"/>
    </row>
    <row r="693" spans="2:2" x14ac:dyDescent="0.25">
      <c r="B693" s="9"/>
    </row>
    <row r="694" spans="2:2" x14ac:dyDescent="0.25">
      <c r="B694" s="9"/>
    </row>
    <row r="695" spans="2:2" x14ac:dyDescent="0.25">
      <c r="B695" s="9"/>
    </row>
    <row r="696" spans="2:2" x14ac:dyDescent="0.25">
      <c r="B696" s="9"/>
    </row>
    <row r="697" spans="2:2" x14ac:dyDescent="0.25">
      <c r="B697" s="9"/>
    </row>
    <row r="698" spans="2:2" x14ac:dyDescent="0.25">
      <c r="B698" s="9"/>
    </row>
    <row r="699" spans="2:2" x14ac:dyDescent="0.25">
      <c r="B699" s="9"/>
    </row>
    <row r="700" spans="2:2" x14ac:dyDescent="0.25">
      <c r="B700" s="9"/>
    </row>
    <row r="701" spans="2:2" x14ac:dyDescent="0.25">
      <c r="B701" s="9"/>
    </row>
    <row r="702" spans="2:2" x14ac:dyDescent="0.25">
      <c r="B702" s="9"/>
    </row>
    <row r="703" spans="2:2" x14ac:dyDescent="0.25">
      <c r="B703" s="9"/>
    </row>
    <row r="704" spans="2:2" x14ac:dyDescent="0.25">
      <c r="B704" s="9"/>
    </row>
    <row r="705" spans="2:2" x14ac:dyDescent="0.25">
      <c r="B705" s="9"/>
    </row>
    <row r="706" spans="2:2" x14ac:dyDescent="0.25">
      <c r="B706" s="9"/>
    </row>
    <row r="707" spans="2:2" x14ac:dyDescent="0.25">
      <c r="B707" s="9"/>
    </row>
    <row r="708" spans="2:2" x14ac:dyDescent="0.25">
      <c r="B708" s="9"/>
    </row>
    <row r="709" spans="2:2" x14ac:dyDescent="0.25">
      <c r="B709" s="9"/>
    </row>
    <row r="710" spans="2:2" x14ac:dyDescent="0.25">
      <c r="B710" s="9"/>
    </row>
    <row r="711" spans="2:2" x14ac:dyDescent="0.25">
      <c r="B711" s="9"/>
    </row>
    <row r="712" spans="2:2" x14ac:dyDescent="0.25">
      <c r="B712" s="9"/>
    </row>
    <row r="713" spans="2:2" x14ac:dyDescent="0.25">
      <c r="B713" s="9"/>
    </row>
    <row r="714" spans="2:2" x14ac:dyDescent="0.25">
      <c r="B714" s="9"/>
    </row>
    <row r="715" spans="2:2" x14ac:dyDescent="0.25">
      <c r="B715" s="9"/>
    </row>
    <row r="716" spans="2:2" x14ac:dyDescent="0.25">
      <c r="B716" s="9"/>
    </row>
    <row r="717" spans="2:2" x14ac:dyDescent="0.25">
      <c r="B717" s="9"/>
    </row>
    <row r="718" spans="2:2" x14ac:dyDescent="0.25">
      <c r="B718" s="9"/>
    </row>
    <row r="719" spans="2:2" x14ac:dyDescent="0.25">
      <c r="B719" s="9"/>
    </row>
    <row r="720" spans="2:2" x14ac:dyDescent="0.25">
      <c r="B720" s="9"/>
    </row>
    <row r="721" spans="2:2" x14ac:dyDescent="0.25">
      <c r="B721" s="9"/>
    </row>
    <row r="722" spans="2:2" x14ac:dyDescent="0.25">
      <c r="B722" s="9"/>
    </row>
    <row r="723" spans="2:2" x14ac:dyDescent="0.25">
      <c r="B723" s="9"/>
    </row>
    <row r="724" spans="2:2" x14ac:dyDescent="0.25">
      <c r="B724" s="9"/>
    </row>
    <row r="725" spans="2:2" x14ac:dyDescent="0.25">
      <c r="B725" s="9"/>
    </row>
    <row r="726" spans="2:2" x14ac:dyDescent="0.25">
      <c r="B726" s="9"/>
    </row>
    <row r="727" spans="2:2" x14ac:dyDescent="0.25">
      <c r="B727" s="9"/>
    </row>
    <row r="728" spans="2:2" x14ac:dyDescent="0.25">
      <c r="B728" s="9"/>
    </row>
    <row r="729" spans="2:2" x14ac:dyDescent="0.25">
      <c r="B729" s="9"/>
    </row>
    <row r="730" spans="2:2" x14ac:dyDescent="0.25">
      <c r="B730" s="9"/>
    </row>
    <row r="731" spans="2:2" x14ac:dyDescent="0.25">
      <c r="B731" s="9"/>
    </row>
    <row r="732" spans="2:2" x14ac:dyDescent="0.25">
      <c r="B732" s="9"/>
    </row>
    <row r="733" spans="2:2" x14ac:dyDescent="0.25">
      <c r="B733" s="9"/>
    </row>
    <row r="734" spans="2:2" x14ac:dyDescent="0.25">
      <c r="B734" s="9"/>
    </row>
    <row r="735" spans="2:2" x14ac:dyDescent="0.25">
      <c r="B735" s="9"/>
    </row>
    <row r="736" spans="2:2" x14ac:dyDescent="0.25">
      <c r="B736" s="9"/>
    </row>
    <row r="737" spans="2:2" x14ac:dyDescent="0.25">
      <c r="B737" s="9"/>
    </row>
    <row r="738" spans="2:2" x14ac:dyDescent="0.25">
      <c r="B738" s="9"/>
    </row>
    <row r="739" spans="2:2" x14ac:dyDescent="0.25">
      <c r="B739" s="9"/>
    </row>
    <row r="740" spans="2:2" x14ac:dyDescent="0.25">
      <c r="B740" s="9"/>
    </row>
    <row r="741" spans="2:2" x14ac:dyDescent="0.25">
      <c r="B741" s="9"/>
    </row>
    <row r="742" spans="2:2" x14ac:dyDescent="0.25">
      <c r="B742" s="9"/>
    </row>
    <row r="743" spans="2:2" x14ac:dyDescent="0.25">
      <c r="B743" s="9"/>
    </row>
    <row r="744" spans="2:2" x14ac:dyDescent="0.25">
      <c r="B744" s="9"/>
    </row>
    <row r="745" spans="2:2" x14ac:dyDescent="0.25">
      <c r="B745" s="9"/>
    </row>
    <row r="746" spans="2:2" x14ac:dyDescent="0.25">
      <c r="B746" s="9"/>
    </row>
    <row r="747" spans="2:2" x14ac:dyDescent="0.25">
      <c r="B747" s="9"/>
    </row>
    <row r="748" spans="2:2" x14ac:dyDescent="0.25">
      <c r="B748" s="9"/>
    </row>
    <row r="749" spans="2:2" x14ac:dyDescent="0.25">
      <c r="B749" s="9"/>
    </row>
    <row r="750" spans="2:2" x14ac:dyDescent="0.25">
      <c r="B750" s="9"/>
    </row>
    <row r="751" spans="2:2" x14ac:dyDescent="0.25">
      <c r="B751" s="9"/>
    </row>
    <row r="752" spans="2:2" x14ac:dyDescent="0.25">
      <c r="B752" s="9"/>
    </row>
    <row r="753" spans="2:2" x14ac:dyDescent="0.25">
      <c r="B753" s="9"/>
    </row>
    <row r="754" spans="2:2" x14ac:dyDescent="0.25">
      <c r="B754" s="9"/>
    </row>
    <row r="755" spans="2:2" x14ac:dyDescent="0.25">
      <c r="B755" s="9"/>
    </row>
    <row r="756" spans="2:2" x14ac:dyDescent="0.25">
      <c r="B756" s="9"/>
    </row>
    <row r="757" spans="2:2" x14ac:dyDescent="0.25">
      <c r="B757" s="9"/>
    </row>
    <row r="758" spans="2:2" x14ac:dyDescent="0.25">
      <c r="B758" s="9"/>
    </row>
    <row r="759" spans="2:2" x14ac:dyDescent="0.25">
      <c r="B759" s="9"/>
    </row>
    <row r="760" spans="2:2" x14ac:dyDescent="0.25">
      <c r="B760" s="9"/>
    </row>
    <row r="761" spans="2:2" x14ac:dyDescent="0.25">
      <c r="B761" s="9"/>
    </row>
    <row r="762" spans="2:2" x14ac:dyDescent="0.25">
      <c r="B762" s="9"/>
    </row>
    <row r="763" spans="2:2" x14ac:dyDescent="0.25">
      <c r="B763" s="9"/>
    </row>
    <row r="764" spans="2:2" x14ac:dyDescent="0.25">
      <c r="B764" s="9"/>
    </row>
    <row r="765" spans="2:2" x14ac:dyDescent="0.25">
      <c r="B765" s="9"/>
    </row>
    <row r="766" spans="2:2" x14ac:dyDescent="0.25">
      <c r="B766" s="9"/>
    </row>
    <row r="767" spans="2:2" x14ac:dyDescent="0.25">
      <c r="B767" s="9"/>
    </row>
    <row r="768" spans="2:2" x14ac:dyDescent="0.25">
      <c r="B768" s="9"/>
    </row>
    <row r="769" spans="2:2" x14ac:dyDescent="0.25">
      <c r="B769" s="9"/>
    </row>
    <row r="770" spans="2:2" x14ac:dyDescent="0.25">
      <c r="B770" s="9"/>
    </row>
    <row r="771" spans="2:2" x14ac:dyDescent="0.25">
      <c r="B771" s="9"/>
    </row>
  </sheetData>
  <mergeCells count="3">
    <mergeCell ref="I1:N1"/>
    <mergeCell ref="P1:U1"/>
    <mergeCell ref="B1:G1"/>
  </mergeCells>
  <pageMargins left="0.7" right="0.7" top="0.75" bottom="0.75" header="0.3" footer="0.3"/>
  <pageSetup orientation="portrait" horizontalDpi="4294967293" verticalDpi="0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K30"/>
  <sheetViews>
    <sheetView workbookViewId="0">
      <pane ySplit="1" topLeftCell="A26" activePane="bottomLeft" state="frozen"/>
      <selection pane="bottomLeft" activeCell="G28" sqref="G28"/>
    </sheetView>
  </sheetViews>
  <sheetFormatPr baseColWidth="10" defaultColWidth="10.42578125" defaultRowHeight="36.950000000000003" customHeight="1" x14ac:dyDescent="0.25"/>
  <cols>
    <col min="1" max="1" width="2.140625" style="437" bestFit="1" customWidth="1"/>
    <col min="2" max="2" width="16.42578125" style="437" bestFit="1" customWidth="1"/>
    <col min="3" max="3" width="14.7109375" style="437" bestFit="1" customWidth="1"/>
    <col min="4" max="4" width="51.140625" style="437" bestFit="1" customWidth="1"/>
    <col min="5" max="5" width="16.7109375" style="437" bestFit="1" customWidth="1"/>
    <col min="6" max="6" width="21.42578125" style="437" customWidth="1"/>
    <col min="7" max="7" width="16.85546875" style="437" bestFit="1" customWidth="1"/>
    <col min="8" max="8" width="18.42578125" style="437" customWidth="1"/>
    <col min="9" max="9" width="27.42578125" style="437" customWidth="1"/>
    <col min="10" max="10" width="16.85546875" style="437" bestFit="1" customWidth="1"/>
    <col min="11" max="11" width="14.5703125" style="437" bestFit="1" customWidth="1"/>
    <col min="12" max="16384" width="10.42578125" style="437"/>
  </cols>
  <sheetData>
    <row r="1" spans="1:11" ht="36.950000000000003" customHeight="1" x14ac:dyDescent="0.25">
      <c r="A1" s="437" t="s">
        <v>574</v>
      </c>
      <c r="B1" s="438" t="s">
        <v>556</v>
      </c>
      <c r="C1" s="438" t="s">
        <v>575</v>
      </c>
      <c r="D1" s="438" t="s">
        <v>423</v>
      </c>
      <c r="E1" s="438" t="s">
        <v>6</v>
      </c>
      <c r="F1" s="439" t="s">
        <v>576</v>
      </c>
      <c r="G1" s="438" t="s">
        <v>577</v>
      </c>
      <c r="H1" s="439" t="s">
        <v>578</v>
      </c>
      <c r="I1" s="438" t="s">
        <v>579</v>
      </c>
      <c r="J1" s="438" t="s">
        <v>580</v>
      </c>
      <c r="K1" s="438" t="s">
        <v>581</v>
      </c>
    </row>
    <row r="2" spans="1:11" ht="36.950000000000003" hidden="1" customHeight="1" x14ac:dyDescent="0.25">
      <c r="B2" s="440" t="s">
        <v>582</v>
      </c>
      <c r="C2" s="440">
        <v>1135748</v>
      </c>
      <c r="D2" s="440" t="s">
        <v>583</v>
      </c>
      <c r="E2" s="440" t="s">
        <v>584</v>
      </c>
      <c r="F2" s="440" t="s">
        <v>585</v>
      </c>
      <c r="G2" s="441">
        <v>5</v>
      </c>
      <c r="H2" s="440" t="s">
        <v>586</v>
      </c>
      <c r="I2" s="440"/>
      <c r="J2" s="441">
        <v>0</v>
      </c>
      <c r="K2" s="440" t="s">
        <v>587</v>
      </c>
    </row>
    <row r="3" spans="1:11" ht="36.950000000000003" hidden="1" customHeight="1" x14ac:dyDescent="0.25">
      <c r="B3" s="440" t="s">
        <v>582</v>
      </c>
      <c r="C3" s="440">
        <v>1137471</v>
      </c>
      <c r="D3" s="440" t="s">
        <v>588</v>
      </c>
      <c r="E3" s="440" t="s">
        <v>589</v>
      </c>
      <c r="F3" s="440" t="s">
        <v>590</v>
      </c>
      <c r="G3" s="441">
        <v>21</v>
      </c>
      <c r="H3" s="440" t="s">
        <v>591</v>
      </c>
      <c r="I3" s="440"/>
      <c r="J3" s="441">
        <v>0</v>
      </c>
      <c r="K3" s="440" t="s">
        <v>587</v>
      </c>
    </row>
    <row r="4" spans="1:11" ht="36.950000000000003" hidden="1" customHeight="1" x14ac:dyDescent="0.25">
      <c r="B4" s="440" t="s">
        <v>582</v>
      </c>
      <c r="C4" s="440">
        <v>1137472</v>
      </c>
      <c r="D4" s="440" t="s">
        <v>592</v>
      </c>
      <c r="E4" s="440" t="s">
        <v>589</v>
      </c>
      <c r="F4" s="440" t="s">
        <v>593</v>
      </c>
      <c r="G4" s="441">
        <v>1</v>
      </c>
      <c r="H4" s="440" t="s">
        <v>591</v>
      </c>
      <c r="I4" s="440"/>
      <c r="J4" s="441">
        <v>0</v>
      </c>
      <c r="K4" s="440" t="s">
        <v>587</v>
      </c>
    </row>
    <row r="5" spans="1:11" ht="36.950000000000003" hidden="1" customHeight="1" x14ac:dyDescent="0.25">
      <c r="B5" s="440" t="s">
        <v>582</v>
      </c>
      <c r="C5" s="440">
        <v>1137473</v>
      </c>
      <c r="D5" s="440" t="s">
        <v>594</v>
      </c>
      <c r="E5" s="440" t="s">
        <v>589</v>
      </c>
      <c r="F5" s="440" t="s">
        <v>595</v>
      </c>
      <c r="G5" s="441">
        <v>0</v>
      </c>
      <c r="H5" s="440" t="s">
        <v>591</v>
      </c>
      <c r="I5" s="440"/>
      <c r="J5" s="441">
        <v>0</v>
      </c>
      <c r="K5" s="440" t="s">
        <v>587</v>
      </c>
    </row>
    <row r="6" spans="1:11" ht="36.950000000000003" hidden="1" customHeight="1" x14ac:dyDescent="0.25">
      <c r="B6" s="440" t="s">
        <v>582</v>
      </c>
      <c r="C6" s="440">
        <v>1137474</v>
      </c>
      <c r="D6" s="440" t="s">
        <v>596</v>
      </c>
      <c r="E6" s="440" t="s">
        <v>589</v>
      </c>
      <c r="F6" s="440" t="s">
        <v>597</v>
      </c>
      <c r="G6" s="441">
        <v>0</v>
      </c>
      <c r="H6" s="440" t="s">
        <v>591</v>
      </c>
      <c r="I6" s="440"/>
      <c r="J6" s="441">
        <v>0</v>
      </c>
      <c r="K6" s="440" t="s">
        <v>587</v>
      </c>
    </row>
    <row r="7" spans="1:11" ht="36.950000000000003" hidden="1" customHeight="1" x14ac:dyDescent="0.25">
      <c r="B7" s="440" t="s">
        <v>582</v>
      </c>
      <c r="C7" s="440">
        <v>1135749</v>
      </c>
      <c r="D7" s="440" t="s">
        <v>424</v>
      </c>
      <c r="E7" s="440" t="s">
        <v>598</v>
      </c>
      <c r="F7" s="440" t="s">
        <v>599</v>
      </c>
      <c r="G7" s="441">
        <v>10</v>
      </c>
      <c r="H7" s="440" t="s">
        <v>591</v>
      </c>
      <c r="I7" s="440"/>
      <c r="J7" s="442">
        <v>38820</v>
      </c>
      <c r="K7" s="440" t="s">
        <v>600</v>
      </c>
    </row>
    <row r="8" spans="1:11" ht="36.950000000000003" hidden="1" customHeight="1" x14ac:dyDescent="0.25">
      <c r="B8" s="440" t="s">
        <v>582</v>
      </c>
      <c r="C8" s="440">
        <v>1135750</v>
      </c>
      <c r="D8" s="440" t="s">
        <v>425</v>
      </c>
      <c r="E8" s="440" t="s">
        <v>598</v>
      </c>
      <c r="F8" s="440" t="s">
        <v>601</v>
      </c>
      <c r="G8" s="441">
        <v>22</v>
      </c>
      <c r="H8" s="440" t="s">
        <v>591</v>
      </c>
      <c r="I8" s="440"/>
      <c r="J8" s="442">
        <v>13530</v>
      </c>
      <c r="K8" s="440" t="s">
        <v>600</v>
      </c>
    </row>
    <row r="9" spans="1:11" ht="36.950000000000003" hidden="1" customHeight="1" x14ac:dyDescent="0.25">
      <c r="B9" s="440" t="s">
        <v>582</v>
      </c>
      <c r="C9" s="440">
        <v>1135752</v>
      </c>
      <c r="D9" s="440" t="s">
        <v>427</v>
      </c>
      <c r="E9" s="440" t="s">
        <v>598</v>
      </c>
      <c r="F9" s="440" t="s">
        <v>602</v>
      </c>
      <c r="G9" s="441">
        <v>1</v>
      </c>
      <c r="H9" s="440" t="s">
        <v>591</v>
      </c>
      <c r="I9" s="440"/>
      <c r="J9" s="442">
        <v>480</v>
      </c>
      <c r="K9" s="440" t="s">
        <v>600</v>
      </c>
    </row>
    <row r="10" spans="1:11" ht="36.950000000000003" hidden="1" customHeight="1" x14ac:dyDescent="0.25">
      <c r="B10" s="440" t="s">
        <v>582</v>
      </c>
      <c r="C10" s="440">
        <v>1135753</v>
      </c>
      <c r="D10" s="440" t="s">
        <v>426</v>
      </c>
      <c r="E10" s="440" t="s">
        <v>598</v>
      </c>
      <c r="F10" s="440" t="s">
        <v>603</v>
      </c>
      <c r="G10" s="441">
        <v>3</v>
      </c>
      <c r="H10" s="440" t="s">
        <v>591</v>
      </c>
      <c r="I10" s="440"/>
      <c r="J10" s="442">
        <v>21243</v>
      </c>
      <c r="K10" s="440" t="s">
        <v>600</v>
      </c>
    </row>
    <row r="11" spans="1:11" ht="36.950000000000003" hidden="1" customHeight="1" x14ac:dyDescent="0.25">
      <c r="B11" s="440" t="s">
        <v>582</v>
      </c>
      <c r="C11" s="440">
        <v>1140327</v>
      </c>
      <c r="D11" s="440" t="s">
        <v>429</v>
      </c>
      <c r="E11" s="440" t="s">
        <v>598</v>
      </c>
      <c r="F11" s="440" t="s">
        <v>604</v>
      </c>
      <c r="G11" s="441">
        <v>25</v>
      </c>
      <c r="H11" s="440" t="s">
        <v>591</v>
      </c>
      <c r="I11" s="440"/>
      <c r="J11" s="442">
        <v>71250</v>
      </c>
      <c r="K11" s="440" t="s">
        <v>600</v>
      </c>
    </row>
    <row r="12" spans="1:11" ht="36.950000000000003" hidden="1" customHeight="1" x14ac:dyDescent="0.25">
      <c r="B12" s="440" t="s">
        <v>582</v>
      </c>
      <c r="C12" s="440">
        <v>1146021</v>
      </c>
      <c r="D12" s="440" t="s">
        <v>431</v>
      </c>
      <c r="E12" s="440" t="s">
        <v>598</v>
      </c>
      <c r="F12" s="440" t="s">
        <v>605</v>
      </c>
      <c r="G12" s="441">
        <v>1</v>
      </c>
      <c r="H12" s="440" t="s">
        <v>591</v>
      </c>
      <c r="I12" s="440"/>
      <c r="J12" s="442">
        <v>1136</v>
      </c>
      <c r="K12" s="440" t="s">
        <v>600</v>
      </c>
    </row>
    <row r="13" spans="1:11" ht="36.950000000000003" hidden="1" customHeight="1" x14ac:dyDescent="0.25">
      <c r="B13" s="440" t="s">
        <v>582</v>
      </c>
      <c r="C13" s="440">
        <v>1146022</v>
      </c>
      <c r="D13" s="440" t="s">
        <v>432</v>
      </c>
      <c r="E13" s="440" t="s">
        <v>598</v>
      </c>
      <c r="F13" s="440" t="s">
        <v>606</v>
      </c>
      <c r="G13" s="441">
        <v>0</v>
      </c>
      <c r="H13" s="440" t="s">
        <v>591</v>
      </c>
      <c r="I13" s="440"/>
      <c r="J13" s="441">
        <v>0</v>
      </c>
      <c r="K13" s="440" t="s">
        <v>587</v>
      </c>
    </row>
    <row r="14" spans="1:11" ht="36.950000000000003" hidden="1" customHeight="1" x14ac:dyDescent="0.25">
      <c r="B14" s="440" t="s">
        <v>582</v>
      </c>
      <c r="C14" s="440">
        <v>1146024</v>
      </c>
      <c r="D14" s="440" t="s">
        <v>433</v>
      </c>
      <c r="E14" s="440" t="s">
        <v>598</v>
      </c>
      <c r="F14" s="440" t="s">
        <v>607</v>
      </c>
      <c r="G14" s="441">
        <v>5</v>
      </c>
      <c r="H14" s="440" t="s">
        <v>591</v>
      </c>
      <c r="I14" s="440"/>
      <c r="J14" s="442">
        <v>9175</v>
      </c>
      <c r="K14" s="440" t="s">
        <v>600</v>
      </c>
    </row>
    <row r="15" spans="1:11" ht="36.950000000000003" hidden="1" customHeight="1" x14ac:dyDescent="0.25">
      <c r="B15" s="440" t="s">
        <v>582</v>
      </c>
      <c r="C15" s="440">
        <v>1146028</v>
      </c>
      <c r="D15" s="440" t="s">
        <v>434</v>
      </c>
      <c r="E15" s="440" t="s">
        <v>598</v>
      </c>
      <c r="F15" s="440" t="s">
        <v>608</v>
      </c>
      <c r="G15" s="441">
        <v>3</v>
      </c>
      <c r="H15" s="440" t="s">
        <v>591</v>
      </c>
      <c r="I15" s="440"/>
      <c r="J15" s="442">
        <v>6630</v>
      </c>
      <c r="K15" s="440" t="s">
        <v>600</v>
      </c>
    </row>
    <row r="16" spans="1:11" ht="36.950000000000003" hidden="1" customHeight="1" x14ac:dyDescent="0.25">
      <c r="B16" s="440" t="s">
        <v>582</v>
      </c>
      <c r="C16" s="440">
        <v>1146029</v>
      </c>
      <c r="D16" s="440" t="s">
        <v>435</v>
      </c>
      <c r="E16" s="440" t="s">
        <v>598</v>
      </c>
      <c r="F16" s="440" t="s">
        <v>609</v>
      </c>
      <c r="G16" s="441">
        <v>4</v>
      </c>
      <c r="H16" s="440" t="s">
        <v>591</v>
      </c>
      <c r="I16" s="440"/>
      <c r="J16" s="441">
        <v>0</v>
      </c>
      <c r="K16" s="440" t="s">
        <v>586</v>
      </c>
    </row>
    <row r="17" spans="1:11" ht="36.950000000000003" hidden="1" customHeight="1" x14ac:dyDescent="0.25">
      <c r="B17" s="440" t="s">
        <v>582</v>
      </c>
      <c r="C17" s="440">
        <v>1146032</v>
      </c>
      <c r="D17" s="440" t="s">
        <v>436</v>
      </c>
      <c r="E17" s="440" t="s">
        <v>598</v>
      </c>
      <c r="F17" s="440" t="s">
        <v>610</v>
      </c>
      <c r="G17" s="441">
        <v>0</v>
      </c>
      <c r="H17" s="440" t="s">
        <v>591</v>
      </c>
      <c r="I17" s="440"/>
      <c r="J17" s="441">
        <v>0</v>
      </c>
      <c r="K17" s="440" t="s">
        <v>600</v>
      </c>
    </row>
    <row r="18" spans="1:11" ht="36.950000000000003" hidden="1" customHeight="1" x14ac:dyDescent="0.25">
      <c r="B18" s="440" t="s">
        <v>582</v>
      </c>
      <c r="C18" s="440">
        <v>1151231</v>
      </c>
      <c r="D18" s="440" t="s">
        <v>437</v>
      </c>
      <c r="E18" s="440" t="s">
        <v>598</v>
      </c>
      <c r="F18" s="440" t="s">
        <v>611</v>
      </c>
      <c r="G18" s="441">
        <v>9</v>
      </c>
      <c r="H18" s="440" t="s">
        <v>591</v>
      </c>
      <c r="I18" s="440"/>
      <c r="J18" s="442">
        <v>42255</v>
      </c>
      <c r="K18" s="440" t="s">
        <v>600</v>
      </c>
    </row>
    <row r="19" spans="1:11" ht="36.950000000000003" hidden="1" customHeight="1" x14ac:dyDescent="0.25">
      <c r="B19" s="440" t="s">
        <v>582</v>
      </c>
      <c r="C19" s="440">
        <v>1151650</v>
      </c>
      <c r="D19" s="440" t="s">
        <v>439</v>
      </c>
      <c r="E19" s="440" t="s">
        <v>598</v>
      </c>
      <c r="F19" s="440" t="s">
        <v>612</v>
      </c>
      <c r="G19" s="441">
        <v>2</v>
      </c>
      <c r="H19" s="440" t="s">
        <v>591</v>
      </c>
      <c r="I19" s="440"/>
      <c r="J19" s="442">
        <v>7210</v>
      </c>
      <c r="K19" s="440" t="s">
        <v>600</v>
      </c>
    </row>
    <row r="20" spans="1:11" ht="36.950000000000003" hidden="1" customHeight="1" x14ac:dyDescent="0.25">
      <c r="B20" s="440" t="s">
        <v>582</v>
      </c>
      <c r="C20" s="440">
        <v>1151651</v>
      </c>
      <c r="D20" s="440" t="s">
        <v>440</v>
      </c>
      <c r="E20" s="440" t="s">
        <v>598</v>
      </c>
      <c r="F20" s="440" t="s">
        <v>613</v>
      </c>
      <c r="G20" s="441">
        <v>7</v>
      </c>
      <c r="H20" s="440" t="s">
        <v>591</v>
      </c>
      <c r="I20" s="440"/>
      <c r="J20" s="442">
        <v>40229</v>
      </c>
      <c r="K20" s="440" t="s">
        <v>600</v>
      </c>
    </row>
    <row r="21" spans="1:11" ht="36.950000000000003" hidden="1" customHeight="1" x14ac:dyDescent="0.25">
      <c r="B21" s="440" t="s">
        <v>582</v>
      </c>
      <c r="C21" s="440">
        <v>1151653</v>
      </c>
      <c r="D21" s="440" t="s">
        <v>405</v>
      </c>
      <c r="E21" s="440" t="s">
        <v>598</v>
      </c>
      <c r="F21" s="440" t="s">
        <v>614</v>
      </c>
      <c r="G21" s="441">
        <v>3</v>
      </c>
      <c r="H21" s="440" t="s">
        <v>591</v>
      </c>
      <c r="I21" s="440"/>
      <c r="J21" s="442">
        <v>61377</v>
      </c>
      <c r="K21" s="440" t="s">
        <v>600</v>
      </c>
    </row>
    <row r="22" spans="1:11" ht="36.950000000000003" hidden="1" customHeight="1" x14ac:dyDescent="0.25">
      <c r="B22" s="440" t="s">
        <v>582</v>
      </c>
      <c r="C22" s="440">
        <v>1699118</v>
      </c>
      <c r="D22" s="440" t="s">
        <v>441</v>
      </c>
      <c r="E22" s="440" t="s">
        <v>598</v>
      </c>
      <c r="F22" s="440" t="s">
        <v>615</v>
      </c>
      <c r="G22" s="441">
        <v>0</v>
      </c>
      <c r="H22" s="440" t="s">
        <v>591</v>
      </c>
      <c r="I22" s="440"/>
      <c r="J22" s="441">
        <v>0</v>
      </c>
      <c r="K22" s="440" t="s">
        <v>600</v>
      </c>
    </row>
    <row r="23" spans="1:11" ht="36.950000000000003" hidden="1" customHeight="1" x14ac:dyDescent="0.25">
      <c r="B23" s="440" t="s">
        <v>582</v>
      </c>
      <c r="C23" s="440">
        <v>1699119</v>
      </c>
      <c r="D23" s="440" t="s">
        <v>442</v>
      </c>
      <c r="E23" s="440" t="s">
        <v>598</v>
      </c>
      <c r="F23" s="440" t="s">
        <v>616</v>
      </c>
      <c r="G23" s="441">
        <v>3</v>
      </c>
      <c r="H23" s="440" t="s">
        <v>591</v>
      </c>
      <c r="I23" s="440"/>
      <c r="J23" s="442">
        <v>4779</v>
      </c>
      <c r="K23" s="440" t="s">
        <v>600</v>
      </c>
    </row>
    <row r="24" spans="1:11" ht="36.950000000000003" hidden="1" customHeight="1" x14ac:dyDescent="0.25">
      <c r="B24" s="440" t="s">
        <v>582</v>
      </c>
      <c r="C24" s="440">
        <v>1699131</v>
      </c>
      <c r="D24" s="440" t="s">
        <v>444</v>
      </c>
      <c r="E24" s="440" t="s">
        <v>598</v>
      </c>
      <c r="F24" s="440" t="s">
        <v>617</v>
      </c>
      <c r="G24" s="441">
        <v>2</v>
      </c>
      <c r="H24" s="440" t="s">
        <v>591</v>
      </c>
      <c r="I24" s="440"/>
      <c r="J24" s="442">
        <v>5380</v>
      </c>
      <c r="K24" s="440" t="s">
        <v>600</v>
      </c>
    </row>
    <row r="25" spans="1:11" ht="36.950000000000003" hidden="1" customHeight="1" x14ac:dyDescent="0.25">
      <c r="B25" s="440" t="s">
        <v>582</v>
      </c>
      <c r="C25" s="440">
        <v>1699132</v>
      </c>
      <c r="D25" s="440" t="s">
        <v>445</v>
      </c>
      <c r="E25" s="440" t="s">
        <v>598</v>
      </c>
      <c r="F25" s="440" t="s">
        <v>618</v>
      </c>
      <c r="G25" s="441">
        <v>3</v>
      </c>
      <c r="H25" s="440" t="s">
        <v>591</v>
      </c>
      <c r="I25" s="440"/>
      <c r="J25" s="442">
        <v>6162</v>
      </c>
      <c r="K25" s="440" t="s">
        <v>600</v>
      </c>
    </row>
    <row r="26" spans="1:11" s="446" customFormat="1" ht="36.950000000000003" hidden="1" customHeight="1" x14ac:dyDescent="0.25">
      <c r="B26" s="447" t="s">
        <v>582</v>
      </c>
      <c r="C26" s="447">
        <v>1135751</v>
      </c>
      <c r="D26" s="447" t="s">
        <v>428</v>
      </c>
      <c r="E26" s="447" t="s">
        <v>619</v>
      </c>
      <c r="F26" s="447" t="s">
        <v>620</v>
      </c>
      <c r="G26" s="448">
        <v>12</v>
      </c>
      <c r="H26" s="447" t="s">
        <v>591</v>
      </c>
      <c r="I26" s="447"/>
      <c r="J26" s="449">
        <v>8928</v>
      </c>
      <c r="K26" s="447" t="s">
        <v>600</v>
      </c>
    </row>
    <row r="27" spans="1:11" ht="36.950000000000003" hidden="1" customHeight="1" x14ac:dyDescent="0.25">
      <c r="B27" s="440" t="s">
        <v>582</v>
      </c>
      <c r="C27" s="440">
        <v>1146018</v>
      </c>
      <c r="D27" s="440" t="s">
        <v>430</v>
      </c>
      <c r="E27" s="440" t="s">
        <v>621</v>
      </c>
      <c r="F27" s="440" t="s">
        <v>622</v>
      </c>
      <c r="G27" s="441">
        <v>2</v>
      </c>
      <c r="H27" s="440" t="s">
        <v>591</v>
      </c>
      <c r="I27" s="440"/>
      <c r="J27" s="442">
        <v>17108</v>
      </c>
      <c r="K27" s="440" t="s">
        <v>600</v>
      </c>
    </row>
    <row r="28" spans="1:11" s="446" customFormat="1" ht="36.950000000000003" hidden="1" customHeight="1" x14ac:dyDescent="0.25">
      <c r="B28" s="447" t="s">
        <v>582</v>
      </c>
      <c r="C28" s="447">
        <v>1699130</v>
      </c>
      <c r="D28" s="447" t="s">
        <v>443</v>
      </c>
      <c r="E28" s="447" t="s">
        <v>621</v>
      </c>
      <c r="F28" s="447" t="s">
        <v>623</v>
      </c>
      <c r="G28" s="448">
        <v>3</v>
      </c>
      <c r="H28" s="447" t="s">
        <v>591</v>
      </c>
      <c r="I28" s="447"/>
      <c r="J28" s="449">
        <v>25482</v>
      </c>
      <c r="K28" s="447" t="s">
        <v>600</v>
      </c>
    </row>
    <row r="29" spans="1:11" ht="36.950000000000003" hidden="1" customHeight="1" x14ac:dyDescent="0.25">
      <c r="B29" s="440" t="s">
        <v>582</v>
      </c>
      <c r="C29" s="440">
        <v>1137475</v>
      </c>
      <c r="D29" s="440" t="s">
        <v>624</v>
      </c>
      <c r="E29" s="440" t="s">
        <v>625</v>
      </c>
      <c r="F29" s="440" t="s">
        <v>626</v>
      </c>
      <c r="G29" s="441">
        <v>1</v>
      </c>
      <c r="H29" s="440" t="s">
        <v>591</v>
      </c>
      <c r="I29" s="440"/>
      <c r="J29" s="441">
        <v>0</v>
      </c>
      <c r="K29" s="440" t="s">
        <v>587</v>
      </c>
    </row>
    <row r="30" spans="1:11" s="446" customFormat="1" ht="36.950000000000003" customHeight="1" x14ac:dyDescent="0.25">
      <c r="A30" s="446" t="s">
        <v>574</v>
      </c>
      <c r="B30" s="447" t="s">
        <v>582</v>
      </c>
      <c r="C30" s="447">
        <v>1151649</v>
      </c>
      <c r="D30" s="447" t="s">
        <v>438</v>
      </c>
      <c r="E30" s="447" t="s">
        <v>627</v>
      </c>
      <c r="F30" s="447" t="s">
        <v>628</v>
      </c>
      <c r="G30" s="448">
        <v>3</v>
      </c>
      <c r="H30" s="447" t="s">
        <v>591</v>
      </c>
      <c r="I30" s="447"/>
      <c r="J30" s="449">
        <v>25503</v>
      </c>
      <c r="K30" s="447" t="s">
        <v>600</v>
      </c>
    </row>
  </sheetData>
  <autoFilter ref="B1:K30" xr:uid="{00000000-0009-0000-0000-000001000000}">
    <filterColumn colId="1">
      <filters>
        <filter val="1151649"/>
      </filters>
    </filterColumn>
    <sortState ref="B2:K30">
      <sortCondition ref="E1:E30"/>
    </sortState>
  </autoFilter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4"/>
  <sheetViews>
    <sheetView topLeftCell="A13" workbookViewId="0">
      <selection activeCell="K7" sqref="K7"/>
    </sheetView>
  </sheetViews>
  <sheetFormatPr baseColWidth="10" defaultRowHeight="15" x14ac:dyDescent="0.25"/>
  <cols>
    <col min="1" max="1" width="4.28515625" customWidth="1"/>
    <col min="2" max="2" width="42.7109375" bestFit="1" customWidth="1"/>
    <col min="3" max="3" width="14.85546875" customWidth="1"/>
  </cols>
  <sheetData>
    <row r="1" spans="1:8" x14ac:dyDescent="0.25">
      <c r="A1" s="455" t="s">
        <v>234</v>
      </c>
      <c r="B1" s="456"/>
      <c r="C1" s="456"/>
      <c r="D1" s="71"/>
      <c r="E1" s="71"/>
      <c r="F1" s="71"/>
      <c r="G1" s="71"/>
      <c r="H1" s="71"/>
    </row>
    <row r="2" spans="1:8" ht="15.75" thickBot="1" x14ac:dyDescent="0.3">
      <c r="A2" s="427"/>
      <c r="B2" s="426" t="s">
        <v>2</v>
      </c>
      <c r="C2" s="426" t="s">
        <v>1</v>
      </c>
      <c r="D2" s="425"/>
      <c r="E2" s="425"/>
      <c r="F2" s="425"/>
      <c r="G2" s="425"/>
      <c r="H2" s="425"/>
    </row>
    <row r="3" spans="1:8" x14ac:dyDescent="0.25">
      <c r="A3" s="457" t="s">
        <v>416</v>
      </c>
      <c r="B3" s="419" t="s">
        <v>7</v>
      </c>
      <c r="C3" s="419">
        <v>1135749</v>
      </c>
      <c r="D3" s="418"/>
      <c r="E3" s="418"/>
      <c r="F3" s="418"/>
      <c r="G3" s="418"/>
      <c r="H3" s="418"/>
    </row>
    <row r="4" spans="1:8" x14ac:dyDescent="0.25">
      <c r="A4" s="458"/>
      <c r="B4" s="419" t="s">
        <v>9</v>
      </c>
      <c r="C4" s="419">
        <v>1135750</v>
      </c>
      <c r="D4" s="418"/>
      <c r="E4" s="418"/>
      <c r="F4" s="418"/>
      <c r="G4" s="418"/>
      <c r="H4" s="418"/>
    </row>
    <row r="5" spans="1:8" x14ac:dyDescent="0.25">
      <c r="A5" s="458"/>
      <c r="B5" s="419" t="s">
        <v>10</v>
      </c>
      <c r="C5" s="419">
        <v>1135753</v>
      </c>
      <c r="D5" s="418"/>
      <c r="E5" s="418"/>
      <c r="F5" s="418"/>
      <c r="G5" s="418"/>
      <c r="H5" s="418"/>
    </row>
    <row r="6" spans="1:8" x14ac:dyDescent="0.25">
      <c r="A6" s="458"/>
      <c r="B6" s="419" t="s">
        <v>11</v>
      </c>
      <c r="C6" s="419">
        <v>1135752</v>
      </c>
      <c r="D6" s="418"/>
      <c r="E6" s="418"/>
      <c r="F6" s="418"/>
      <c r="G6" s="418"/>
      <c r="H6" s="418"/>
    </row>
    <row r="7" spans="1:8" ht="15.75" thickBot="1" x14ac:dyDescent="0.3">
      <c r="A7" s="459"/>
      <c r="B7" s="422" t="s">
        <v>12</v>
      </c>
      <c r="C7" s="422">
        <v>1135751</v>
      </c>
      <c r="D7" s="423"/>
      <c r="E7" s="423"/>
      <c r="F7" s="423"/>
      <c r="G7" s="423"/>
      <c r="H7" s="423"/>
    </row>
    <row r="8" spans="1:8" x14ac:dyDescent="0.25">
      <c r="A8" s="457" t="s">
        <v>417</v>
      </c>
      <c r="B8" s="462" t="s">
        <v>569</v>
      </c>
      <c r="C8" s="462"/>
      <c r="D8" s="462"/>
      <c r="E8" s="462"/>
      <c r="F8" s="462"/>
      <c r="G8" s="462"/>
      <c r="H8" s="462"/>
    </row>
    <row r="9" spans="1:8" x14ac:dyDescent="0.25">
      <c r="A9" s="458"/>
      <c r="B9" s="424" t="s">
        <v>394</v>
      </c>
      <c r="C9" s="424">
        <v>1140327</v>
      </c>
      <c r="D9" s="425"/>
      <c r="E9" s="425"/>
      <c r="F9" s="425"/>
      <c r="G9" s="425"/>
      <c r="H9" s="425"/>
    </row>
    <row r="10" spans="1:8" x14ac:dyDescent="0.25">
      <c r="A10" s="458"/>
      <c r="B10" s="419" t="s">
        <v>395</v>
      </c>
      <c r="C10" s="419">
        <v>1151231</v>
      </c>
      <c r="D10" s="418"/>
      <c r="E10" s="418"/>
      <c r="F10" s="418"/>
      <c r="G10" s="418"/>
      <c r="H10" s="418"/>
    </row>
    <row r="11" spans="1:8" x14ac:dyDescent="0.25">
      <c r="A11" s="458"/>
      <c r="B11" s="460" t="s">
        <v>570</v>
      </c>
      <c r="C11" s="461"/>
      <c r="D11" s="461"/>
      <c r="E11" s="461"/>
      <c r="F11" s="461"/>
      <c r="G11" s="461"/>
      <c r="H11" s="461"/>
    </row>
    <row r="12" spans="1:8" x14ac:dyDescent="0.25">
      <c r="A12" s="458"/>
      <c r="B12" s="419" t="s">
        <v>396</v>
      </c>
      <c r="C12" s="419">
        <v>1146032</v>
      </c>
      <c r="D12" s="418"/>
      <c r="E12" s="418"/>
      <c r="F12" s="418"/>
      <c r="G12" s="418"/>
      <c r="H12" s="418"/>
    </row>
    <row r="13" spans="1:8" x14ac:dyDescent="0.25">
      <c r="A13" s="458"/>
      <c r="B13" s="419" t="s">
        <v>397</v>
      </c>
      <c r="C13" s="419">
        <v>1146021</v>
      </c>
      <c r="D13" s="418"/>
      <c r="E13" s="418"/>
      <c r="F13" s="418"/>
      <c r="G13" s="418"/>
      <c r="H13" s="418"/>
    </row>
    <row r="14" spans="1:8" x14ac:dyDescent="0.25">
      <c r="A14" s="458"/>
      <c r="B14" s="419" t="s">
        <v>398</v>
      </c>
      <c r="C14" s="419">
        <v>1146018</v>
      </c>
      <c r="D14" s="418"/>
      <c r="E14" s="418"/>
      <c r="F14" s="418"/>
      <c r="G14" s="418"/>
      <c r="H14" s="418"/>
    </row>
    <row r="15" spans="1:8" x14ac:dyDescent="0.25">
      <c r="A15" s="458"/>
      <c r="B15" s="419" t="s">
        <v>399</v>
      </c>
      <c r="C15" s="419">
        <v>1146024</v>
      </c>
      <c r="D15" s="418"/>
      <c r="E15" s="418"/>
      <c r="F15" s="418"/>
      <c r="G15" s="418"/>
      <c r="H15" s="418"/>
    </row>
    <row r="16" spans="1:8" x14ac:dyDescent="0.25">
      <c r="A16" s="458"/>
      <c r="B16" s="419" t="s">
        <v>400</v>
      </c>
      <c r="C16" s="419">
        <v>1146028</v>
      </c>
      <c r="D16" s="418"/>
      <c r="E16" s="418"/>
      <c r="F16" s="418"/>
      <c r="G16" s="418"/>
      <c r="H16" s="418"/>
    </row>
    <row r="17" spans="1:8" x14ac:dyDescent="0.25">
      <c r="A17" s="458"/>
      <c r="B17" s="460" t="s">
        <v>571</v>
      </c>
      <c r="C17" s="461"/>
      <c r="D17" s="461"/>
      <c r="E17" s="461"/>
      <c r="F17" s="461"/>
      <c r="G17" s="461"/>
      <c r="H17" s="461"/>
    </row>
    <row r="18" spans="1:8" x14ac:dyDescent="0.25">
      <c r="A18" s="458"/>
      <c r="B18" s="419" t="s">
        <v>401</v>
      </c>
      <c r="C18" s="419">
        <v>1146031</v>
      </c>
      <c r="D18" s="418"/>
      <c r="E18" s="418"/>
      <c r="F18" s="418"/>
      <c r="G18" s="418"/>
      <c r="H18" s="418"/>
    </row>
    <row r="19" spans="1:8" x14ac:dyDescent="0.25">
      <c r="A19" s="458"/>
      <c r="B19" s="419" t="s">
        <v>402</v>
      </c>
      <c r="C19" s="419">
        <v>1146020</v>
      </c>
      <c r="D19" s="418"/>
      <c r="E19" s="418"/>
      <c r="F19" s="418"/>
      <c r="G19" s="418"/>
      <c r="H19" s="418"/>
    </row>
    <row r="20" spans="1:8" x14ac:dyDescent="0.25">
      <c r="A20" s="458"/>
      <c r="B20" s="419" t="s">
        <v>398</v>
      </c>
      <c r="C20" s="419">
        <v>1146016</v>
      </c>
      <c r="D20" s="418"/>
      <c r="E20" s="418"/>
      <c r="F20" s="418"/>
      <c r="G20" s="418"/>
      <c r="H20" s="418"/>
    </row>
    <row r="21" spans="1:8" x14ac:dyDescent="0.25">
      <c r="A21" s="458"/>
      <c r="B21" s="419" t="s">
        <v>403</v>
      </c>
      <c r="C21" s="419">
        <v>1146022</v>
      </c>
      <c r="D21" s="418"/>
      <c r="E21" s="418"/>
      <c r="F21" s="418"/>
      <c r="G21" s="418"/>
      <c r="H21" s="418"/>
    </row>
    <row r="22" spans="1:8" x14ac:dyDescent="0.25">
      <c r="A22" s="458"/>
      <c r="B22" s="419" t="s">
        <v>404</v>
      </c>
      <c r="C22" s="419">
        <v>1146027</v>
      </c>
      <c r="D22" s="418"/>
      <c r="E22" s="418"/>
      <c r="F22" s="418"/>
      <c r="G22" s="418"/>
      <c r="H22" s="418"/>
    </row>
    <row r="23" spans="1:8" x14ac:dyDescent="0.25">
      <c r="A23" s="458"/>
      <c r="B23" s="460" t="s">
        <v>572</v>
      </c>
      <c r="C23" s="461"/>
      <c r="D23" s="461"/>
      <c r="E23" s="461"/>
      <c r="F23" s="461"/>
      <c r="G23" s="461"/>
      <c r="H23" s="461"/>
    </row>
    <row r="24" spans="1:8" x14ac:dyDescent="0.25">
      <c r="A24" s="458"/>
      <c r="B24" s="419" t="s">
        <v>405</v>
      </c>
      <c r="C24" s="419">
        <v>1151653</v>
      </c>
      <c r="D24" s="418"/>
      <c r="E24" s="418"/>
      <c r="F24" s="418"/>
      <c r="G24" s="418"/>
      <c r="H24" s="418"/>
    </row>
    <row r="25" spans="1:8" x14ac:dyDescent="0.25">
      <c r="A25" s="458"/>
      <c r="B25" s="419" t="s">
        <v>406</v>
      </c>
      <c r="C25" s="419">
        <v>1151650</v>
      </c>
      <c r="D25" s="418"/>
      <c r="E25" s="418"/>
      <c r="F25" s="418"/>
      <c r="G25" s="418"/>
      <c r="H25" s="418"/>
    </row>
    <row r="26" spans="1:8" x14ac:dyDescent="0.25">
      <c r="A26" s="458"/>
      <c r="B26" s="419" t="s">
        <v>407</v>
      </c>
      <c r="C26" s="419">
        <v>1151649</v>
      </c>
      <c r="D26" s="418"/>
      <c r="E26" s="418"/>
      <c r="F26" s="418"/>
      <c r="G26" s="418"/>
      <c r="H26" s="418"/>
    </row>
    <row r="27" spans="1:8" x14ac:dyDescent="0.25">
      <c r="A27" s="458"/>
      <c r="B27" s="419" t="s">
        <v>408</v>
      </c>
      <c r="C27" s="419">
        <v>1151651</v>
      </c>
      <c r="D27" s="418"/>
      <c r="E27" s="418"/>
      <c r="F27" s="418"/>
      <c r="G27" s="418"/>
      <c r="H27" s="418"/>
    </row>
    <row r="28" spans="1:8" x14ac:dyDescent="0.25">
      <c r="A28" s="458"/>
      <c r="B28" s="419" t="s">
        <v>409</v>
      </c>
      <c r="C28" s="419">
        <v>1146029</v>
      </c>
      <c r="D28" s="418"/>
      <c r="E28" s="418"/>
      <c r="F28" s="418"/>
      <c r="G28" s="418"/>
      <c r="H28" s="418"/>
    </row>
    <row r="29" spans="1:8" x14ac:dyDescent="0.25">
      <c r="A29" s="458"/>
      <c r="B29" s="460" t="s">
        <v>573</v>
      </c>
      <c r="C29" s="461"/>
      <c r="D29" s="461"/>
      <c r="E29" s="461"/>
      <c r="F29" s="461"/>
      <c r="G29" s="461"/>
      <c r="H29" s="461"/>
    </row>
    <row r="30" spans="1:8" x14ac:dyDescent="0.25">
      <c r="A30" s="458"/>
      <c r="B30" s="419" t="s">
        <v>411</v>
      </c>
      <c r="C30" s="419">
        <v>1699118</v>
      </c>
      <c r="D30" s="418"/>
      <c r="E30" s="418"/>
      <c r="F30" s="418"/>
      <c r="G30" s="418"/>
      <c r="H30" s="418"/>
    </row>
    <row r="31" spans="1:8" x14ac:dyDescent="0.25">
      <c r="A31" s="458"/>
      <c r="B31" s="419" t="s">
        <v>412</v>
      </c>
      <c r="C31" s="419">
        <v>1699119</v>
      </c>
      <c r="D31" s="418"/>
      <c r="E31" s="418"/>
      <c r="F31" s="418"/>
      <c r="G31" s="418"/>
      <c r="H31" s="418"/>
    </row>
    <row r="32" spans="1:8" x14ac:dyDescent="0.25">
      <c r="A32" s="458"/>
      <c r="B32" s="419" t="s">
        <v>413</v>
      </c>
      <c r="C32" s="419">
        <v>1699130</v>
      </c>
      <c r="D32" s="418"/>
      <c r="E32" s="418"/>
      <c r="F32" s="418"/>
      <c r="G32" s="418"/>
      <c r="H32" s="418"/>
    </row>
    <row r="33" spans="1:8" x14ac:dyDescent="0.25">
      <c r="A33" s="458"/>
      <c r="B33" s="419" t="s">
        <v>414</v>
      </c>
      <c r="C33" s="419">
        <v>1699131</v>
      </c>
      <c r="D33" s="418"/>
      <c r="E33" s="418"/>
      <c r="F33" s="418"/>
      <c r="G33" s="418"/>
      <c r="H33" s="418"/>
    </row>
    <row r="34" spans="1:8" ht="15.75" thickBot="1" x14ac:dyDescent="0.3">
      <c r="A34" s="459"/>
      <c r="B34" s="428" t="s">
        <v>415</v>
      </c>
      <c r="C34" s="428">
        <v>1699132</v>
      </c>
      <c r="D34" s="429"/>
      <c r="E34" s="429"/>
      <c r="F34" s="429"/>
      <c r="G34" s="429"/>
      <c r="H34" s="429"/>
    </row>
  </sheetData>
  <mergeCells count="8">
    <mergeCell ref="A1:C1"/>
    <mergeCell ref="A3:A7"/>
    <mergeCell ref="A8:A34"/>
    <mergeCell ref="B11:H11"/>
    <mergeCell ref="B8:H8"/>
    <mergeCell ref="B17:H17"/>
    <mergeCell ref="B23:H23"/>
    <mergeCell ref="B29:H29"/>
  </mergeCells>
  <pageMargins left="0.7" right="0.7" top="0.75" bottom="0.75" header="0.3" footer="0.3"/>
  <pageSetup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1"/>
  <dimension ref="A1:XFD2858"/>
  <sheetViews>
    <sheetView showGridLines="0" zoomScale="60" zoomScaleNormal="60" workbookViewId="0">
      <pane xSplit="4" topLeftCell="E1" activePane="topRight" state="frozen"/>
      <selection pane="topRight" activeCell="H7" sqref="H7"/>
    </sheetView>
  </sheetViews>
  <sheetFormatPr baseColWidth="10" defaultColWidth="11.42578125" defaultRowHeight="13.5" x14ac:dyDescent="0.25"/>
  <cols>
    <col min="1" max="1" width="4.28515625" style="14" customWidth="1"/>
    <col min="2" max="2" width="16.28515625" style="290" hidden="1" customWidth="1"/>
    <col min="3" max="3" width="45.7109375" style="290" customWidth="1"/>
    <col min="4" max="4" width="42.7109375" style="290" bestFit="1" customWidth="1"/>
    <col min="5" max="5" width="16" style="290" customWidth="1"/>
    <col min="6" max="6" width="16.28515625" style="290" customWidth="1"/>
    <col min="7" max="7" width="25.5703125" style="290" customWidth="1"/>
    <col min="8" max="8" width="23.5703125" style="290" customWidth="1"/>
    <col min="9" max="9" width="29" style="290" customWidth="1"/>
    <col min="10" max="10" width="27.140625" style="290" hidden="1" customWidth="1"/>
    <col min="11" max="11" width="33.28515625" style="290" customWidth="1"/>
    <col min="12" max="12" width="27.7109375" style="290" customWidth="1"/>
    <col min="13" max="13" width="16.5703125" style="290" customWidth="1"/>
    <col min="14" max="14" width="27.7109375" style="290" customWidth="1"/>
    <col min="15" max="15" width="23.85546875" style="290" customWidth="1"/>
    <col min="16" max="17" width="22.7109375" style="290" customWidth="1"/>
    <col min="18" max="18" width="24.28515625" style="290" customWidth="1"/>
    <col min="19" max="19" width="20.28515625" style="290" customWidth="1"/>
    <col min="20" max="20" width="21.28515625" style="290" customWidth="1"/>
    <col min="21" max="21" width="23.7109375" style="290" customWidth="1"/>
    <col min="22" max="22" width="23.42578125" style="290" customWidth="1"/>
    <col min="23" max="23" width="22.7109375" style="290" customWidth="1"/>
    <col min="24" max="24" width="26.28515625" style="290" customWidth="1"/>
    <col min="25" max="25" width="23" style="290" bestFit="1" customWidth="1"/>
    <col min="26" max="26" width="25.5703125" style="290" bestFit="1" customWidth="1"/>
    <col min="27" max="27" width="25" style="290" bestFit="1" customWidth="1"/>
    <col min="28" max="28" width="40.7109375" style="290" bestFit="1" customWidth="1"/>
    <col min="29" max="30" width="22.7109375" style="290" bestFit="1" customWidth="1"/>
    <col min="31" max="31" width="24.28515625" style="290" bestFit="1" customWidth="1"/>
    <col min="32" max="32" width="20.140625" style="290" bestFit="1" customWidth="1"/>
    <col min="33" max="33" width="20.42578125" style="290" bestFit="1" customWidth="1"/>
    <col min="34" max="34" width="24.42578125" style="290" bestFit="1" customWidth="1"/>
    <col min="35" max="35" width="24.42578125" style="290" customWidth="1"/>
    <col min="36" max="36" width="25.7109375" style="290" bestFit="1" customWidth="1"/>
    <col min="37" max="37" width="26.7109375" style="290" bestFit="1" customWidth="1"/>
    <col min="38" max="16384" width="11.42578125" style="14"/>
  </cols>
  <sheetData>
    <row r="1" spans="1:45" ht="14.25" thickBot="1" x14ac:dyDescent="0.3">
      <c r="B1" s="338" t="s">
        <v>18</v>
      </c>
      <c r="C1" s="339">
        <v>45874</v>
      </c>
      <c r="AA1" s="290">
        <v>0</v>
      </c>
      <c r="AL1" s="290"/>
      <c r="AM1" s="290"/>
    </row>
    <row r="2" spans="1:45" ht="41.25" thickBot="1" x14ac:dyDescent="0.3">
      <c r="B2" s="283" t="s">
        <v>0</v>
      </c>
      <c r="C2" s="284" t="s">
        <v>1</v>
      </c>
      <c r="D2" s="284" t="s">
        <v>2</v>
      </c>
      <c r="E2" s="284" t="s">
        <v>3</v>
      </c>
      <c r="F2" s="4" t="s">
        <v>318</v>
      </c>
      <c r="G2" s="351" t="s">
        <v>632</v>
      </c>
      <c r="H2" s="382" t="s">
        <v>460</v>
      </c>
      <c r="I2" s="234" t="s">
        <v>633</v>
      </c>
      <c r="J2" s="234"/>
      <c r="K2" s="258" t="s">
        <v>634</v>
      </c>
      <c r="L2" s="258" t="s">
        <v>328</v>
      </c>
      <c r="M2" s="258" t="s">
        <v>327</v>
      </c>
      <c r="N2" s="234" t="s">
        <v>389</v>
      </c>
      <c r="O2" s="240" t="s">
        <v>130</v>
      </c>
      <c r="P2" s="243" t="s">
        <v>303</v>
      </c>
      <c r="Q2" s="244" t="s">
        <v>304</v>
      </c>
      <c r="R2" s="244" t="s">
        <v>314</v>
      </c>
      <c r="S2" s="245" t="s">
        <v>338</v>
      </c>
      <c r="T2" s="245" t="s">
        <v>345</v>
      </c>
      <c r="U2" s="245" t="s">
        <v>361</v>
      </c>
      <c r="V2" s="245" t="s">
        <v>387</v>
      </c>
      <c r="W2" s="245" t="s">
        <v>421</v>
      </c>
      <c r="X2" s="245" t="s">
        <v>452</v>
      </c>
      <c r="Y2" s="245" t="s">
        <v>463</v>
      </c>
      <c r="Z2" s="245" t="s">
        <v>481</v>
      </c>
      <c r="AA2" s="245" t="s">
        <v>498</v>
      </c>
      <c r="AB2" s="245" t="s">
        <v>303</v>
      </c>
      <c r="AC2" s="245" t="s">
        <v>304</v>
      </c>
      <c r="AD2" s="245" t="s">
        <v>314</v>
      </c>
      <c r="AE2" s="245" t="s">
        <v>338</v>
      </c>
      <c r="AF2" s="245" t="s">
        <v>345</v>
      </c>
      <c r="AG2" s="245" t="s">
        <v>361</v>
      </c>
      <c r="AH2" s="245" t="s">
        <v>387</v>
      </c>
      <c r="AI2" s="245" t="s">
        <v>421</v>
      </c>
      <c r="AJ2" s="245" t="s">
        <v>360</v>
      </c>
      <c r="AK2" s="246" t="s">
        <v>268</v>
      </c>
      <c r="AL2" s="247" t="s">
        <v>269</v>
      </c>
      <c r="AM2" s="291" t="s">
        <v>288</v>
      </c>
      <c r="AN2" s="292" t="s">
        <v>289</v>
      </c>
      <c r="AO2" s="292" t="s">
        <v>287</v>
      </c>
      <c r="AP2" s="293" t="s">
        <v>290</v>
      </c>
      <c r="AQ2" s="290" t="s">
        <v>306</v>
      </c>
      <c r="AR2" s="290" t="s">
        <v>310</v>
      </c>
      <c r="AS2" s="290" t="s">
        <v>311</v>
      </c>
    </row>
    <row r="3" spans="1:45" ht="17.25" thickBot="1" x14ac:dyDescent="0.3">
      <c r="A3" s="463" t="s">
        <v>416</v>
      </c>
      <c r="B3" s="285">
        <v>273664</v>
      </c>
      <c r="C3" s="286">
        <v>1135749</v>
      </c>
      <c r="D3" s="286" t="s">
        <v>7</v>
      </c>
      <c r="E3" s="286">
        <v>6060050026</v>
      </c>
      <c r="F3" s="253" t="e">
        <f>#REF!-AK3+AL3</f>
        <v>#REF!</v>
      </c>
      <c r="G3" s="235">
        <v>6</v>
      </c>
      <c r="H3" s="394">
        <v>5</v>
      </c>
      <c r="I3" s="443">
        <v>6</v>
      </c>
      <c r="J3" s="232">
        <f>I3-G3</f>
        <v>0</v>
      </c>
      <c r="K3" s="232">
        <v>4</v>
      </c>
      <c r="L3" s="232" t="e">
        <f>IF(#REF!=K2,#REF!+AK3,K3)</f>
        <v>#REF!</v>
      </c>
      <c r="M3" s="232" t="e">
        <f>IF(#REF!=K2,0,#REF!+AK3-K3)</f>
        <v>#REF!</v>
      </c>
      <c r="N3" s="267">
        <v>5</v>
      </c>
      <c r="O3" s="241">
        <f>N3-G3</f>
        <v>-1</v>
      </c>
      <c r="P3" s="277">
        <v>4</v>
      </c>
      <c r="Q3" s="278">
        <v>4</v>
      </c>
      <c r="R3" s="279"/>
      <c r="S3" s="279">
        <v>3</v>
      </c>
      <c r="T3" s="279">
        <v>4</v>
      </c>
      <c r="U3" s="279">
        <v>2</v>
      </c>
      <c r="V3" s="279"/>
      <c r="W3" s="279">
        <f>2+3</f>
        <v>5</v>
      </c>
      <c r="X3" s="241"/>
      <c r="Y3" s="241"/>
      <c r="Z3" s="241"/>
      <c r="AA3" s="241">
        <v>4</v>
      </c>
      <c r="AB3" s="241">
        <v>5</v>
      </c>
      <c r="AC3" s="241"/>
      <c r="AD3" s="241">
        <v>6</v>
      </c>
      <c r="AE3" s="241"/>
      <c r="AF3" s="241">
        <v>2</v>
      </c>
      <c r="AG3" s="241"/>
      <c r="AH3" s="241"/>
      <c r="AI3" s="241"/>
      <c r="AJ3" s="241">
        <f>N3-V3</f>
        <v>5</v>
      </c>
      <c r="AK3" s="235" t="e">
        <f>#REF!+AL3-G3</f>
        <v>#REF!</v>
      </c>
      <c r="AL3" s="350"/>
      <c r="AM3" s="294">
        <v>1.5</v>
      </c>
      <c r="AN3" s="295">
        <v>4</v>
      </c>
      <c r="AO3" s="296">
        <f>G3/(AN3)</f>
        <v>1.5</v>
      </c>
      <c r="AP3" s="297">
        <f>AN3*6</f>
        <v>24</v>
      </c>
      <c r="AQ3" s="290">
        <f>G3+K3</f>
        <v>10</v>
      </c>
      <c r="AR3" s="290" t="e">
        <f>IF(G3&lt;#REF!,(#REF!-G3+#REF!-K3),#REF!-K3)</f>
        <v>#REF!</v>
      </c>
      <c r="AS3" s="290">
        <f>21-8</f>
        <v>13</v>
      </c>
    </row>
    <row r="4" spans="1:45" ht="17.25" thickBot="1" x14ac:dyDescent="0.3">
      <c r="A4" s="464"/>
      <c r="B4" s="285">
        <v>273672</v>
      </c>
      <c r="C4" s="286">
        <v>1135750</v>
      </c>
      <c r="D4" s="286" t="s">
        <v>9</v>
      </c>
      <c r="E4" s="287">
        <v>204000000000</v>
      </c>
      <c r="F4" s="253" t="e">
        <f>#REF!-AK4+AL4</f>
        <v>#REF!</v>
      </c>
      <c r="G4" s="235">
        <v>14</v>
      </c>
      <c r="H4" s="394">
        <v>16</v>
      </c>
      <c r="I4" s="443">
        <v>14</v>
      </c>
      <c r="J4" s="232">
        <f t="shared" ref="J4:J34" si="0">I4-G4</f>
        <v>0</v>
      </c>
      <c r="K4" s="232">
        <v>8</v>
      </c>
      <c r="L4" s="232" t="e">
        <f>IF(#REF!=K2,#REF!+AK4,K4)</f>
        <v>#REF!</v>
      </c>
      <c r="M4" s="232" t="e">
        <f>IF(#REF!=K2,0,#REF!+AK4-K4)</f>
        <v>#REF!</v>
      </c>
      <c r="N4" s="267">
        <v>10</v>
      </c>
      <c r="O4" s="241">
        <f>N4-G4</f>
        <v>-4</v>
      </c>
      <c r="P4" s="277">
        <v>13</v>
      </c>
      <c r="Q4" s="278">
        <v>2</v>
      </c>
      <c r="R4" s="279">
        <v>6</v>
      </c>
      <c r="S4" s="279">
        <v>6</v>
      </c>
      <c r="T4" s="279">
        <v>10</v>
      </c>
      <c r="U4" s="279">
        <v>4</v>
      </c>
      <c r="V4" s="279">
        <v>6</v>
      </c>
      <c r="W4" s="279">
        <v>16</v>
      </c>
      <c r="X4" s="241"/>
      <c r="Y4" s="241">
        <v>6</v>
      </c>
      <c r="Z4" s="241">
        <v>4</v>
      </c>
      <c r="AA4" s="241">
        <v>6</v>
      </c>
      <c r="AB4" s="241">
        <v>14</v>
      </c>
      <c r="AC4" s="241"/>
      <c r="AD4" s="241">
        <v>12</v>
      </c>
      <c r="AE4" s="241">
        <v>6</v>
      </c>
      <c r="AF4" s="241">
        <v>14</v>
      </c>
      <c r="AG4" s="241"/>
      <c r="AH4" s="241"/>
      <c r="AI4" s="241"/>
      <c r="AJ4" s="241">
        <f>N4-V4</f>
        <v>4</v>
      </c>
      <c r="AK4" s="235" t="e">
        <f>#REF!+AL4-G4</f>
        <v>#REF!</v>
      </c>
      <c r="AL4" s="236"/>
      <c r="AM4" s="298">
        <v>4.2</v>
      </c>
      <c r="AN4" s="295">
        <v>9</v>
      </c>
      <c r="AO4" s="296">
        <f>G4/(AN4)</f>
        <v>1.5555555555555556</v>
      </c>
      <c r="AP4" s="297">
        <f>AN4*6</f>
        <v>54</v>
      </c>
      <c r="AQ4" s="290">
        <f>G4+K4</f>
        <v>22</v>
      </c>
      <c r="AR4" s="290" t="e">
        <f>IF(G4&lt;#REF!,(#REF!-G4+#REF!-K4),#REF!-K4)</f>
        <v>#REF!</v>
      </c>
      <c r="AS4" s="290">
        <f>21-8</f>
        <v>13</v>
      </c>
    </row>
    <row r="5" spans="1:45" ht="17.25" thickBot="1" x14ac:dyDescent="0.3">
      <c r="A5" s="464"/>
      <c r="B5" s="285">
        <v>273702</v>
      </c>
      <c r="C5" s="286">
        <v>1135753</v>
      </c>
      <c r="D5" s="286" t="s">
        <v>10</v>
      </c>
      <c r="E5" s="287">
        <v>301000000000</v>
      </c>
      <c r="F5" s="253" t="e">
        <f>#REF!-AK5+AL5</f>
        <v>#REF!</v>
      </c>
      <c r="G5" s="235">
        <v>3</v>
      </c>
      <c r="H5" s="394">
        <v>1</v>
      </c>
      <c r="I5" s="443">
        <v>3</v>
      </c>
      <c r="J5" s="232">
        <f t="shared" si="0"/>
        <v>0</v>
      </c>
      <c r="K5" s="232">
        <v>4</v>
      </c>
      <c r="L5" s="232" t="e">
        <f>IF(#REF!=K2,#REF!+AK5,K5)</f>
        <v>#REF!</v>
      </c>
      <c r="M5" s="232" t="e">
        <f>IF(#REF!=K2,0,#REF!+AK5-K5)</f>
        <v>#REF!</v>
      </c>
      <c r="N5" s="232">
        <v>2</v>
      </c>
      <c r="O5" s="241">
        <f>N5-G5</f>
        <v>-1</v>
      </c>
      <c r="P5" s="277"/>
      <c r="Q5" s="278"/>
      <c r="R5" s="279"/>
      <c r="S5" s="279"/>
      <c r="T5" s="279"/>
      <c r="U5" s="279"/>
      <c r="V5" s="279"/>
      <c r="W5" s="279"/>
      <c r="X5" s="241"/>
      <c r="Y5" s="241"/>
      <c r="Z5" s="241"/>
      <c r="AA5" s="241"/>
      <c r="AB5" s="241">
        <v>2</v>
      </c>
      <c r="AC5" s="241"/>
      <c r="AD5" s="241"/>
      <c r="AE5" s="241"/>
      <c r="AF5" s="241"/>
      <c r="AG5" s="241"/>
      <c r="AH5" s="241"/>
      <c r="AI5" s="241"/>
      <c r="AJ5" s="241">
        <f>N5-V5</f>
        <v>2</v>
      </c>
      <c r="AK5" s="417" t="e">
        <f>#REF!+AL5-G5</f>
        <v>#REF!</v>
      </c>
      <c r="AL5" s="236"/>
      <c r="AM5" s="294">
        <f>4/12</f>
        <v>0.33333333333333331</v>
      </c>
      <c r="AN5" s="295">
        <v>2</v>
      </c>
      <c r="AO5" s="296">
        <f>G5/(AN5)</f>
        <v>1.5</v>
      </c>
      <c r="AP5" s="297">
        <f>AN5*6</f>
        <v>12</v>
      </c>
      <c r="AQ5" s="290">
        <f>G5+K5</f>
        <v>7</v>
      </c>
      <c r="AR5" s="290" t="e">
        <f>IF(G5&lt;#REF!,(#REF!-G5+#REF!-K5),#REF!-K5)</f>
        <v>#REF!</v>
      </c>
      <c r="AS5" s="290">
        <f>21-8</f>
        <v>13</v>
      </c>
    </row>
    <row r="6" spans="1:45" ht="17.25" thickBot="1" x14ac:dyDescent="0.3">
      <c r="A6" s="464"/>
      <c r="B6" s="285">
        <v>273698</v>
      </c>
      <c r="C6" s="286">
        <v>1135752</v>
      </c>
      <c r="D6" s="286" t="s">
        <v>11</v>
      </c>
      <c r="E6" s="287">
        <v>701000000000</v>
      </c>
      <c r="F6" s="253" t="e">
        <f>#REF!-AK6+AL6</f>
        <v>#REF!</v>
      </c>
      <c r="G6" s="235">
        <v>1</v>
      </c>
      <c r="H6" s="394">
        <v>2</v>
      </c>
      <c r="I6" s="443">
        <v>1</v>
      </c>
      <c r="J6" s="232">
        <f t="shared" si="0"/>
        <v>0</v>
      </c>
      <c r="K6" s="232">
        <v>0</v>
      </c>
      <c r="L6" s="232" t="e">
        <f>IF(#REF!=K2,#REF!+AK6,K6)</f>
        <v>#REF!</v>
      </c>
      <c r="M6" s="232" t="e">
        <f>IF(#REF!=K2,0,#REF!+AK6-K6)</f>
        <v>#REF!</v>
      </c>
      <c r="N6" s="232">
        <v>3</v>
      </c>
      <c r="O6" s="241">
        <f>N6-G6</f>
        <v>2</v>
      </c>
      <c r="P6" s="277">
        <v>2</v>
      </c>
      <c r="Q6" s="278"/>
      <c r="R6" s="279"/>
      <c r="S6" s="279"/>
      <c r="T6" s="279"/>
      <c r="U6" s="279"/>
      <c r="V6" s="279"/>
      <c r="W6" s="279">
        <v>1</v>
      </c>
      <c r="X6" s="241"/>
      <c r="Y6" s="241"/>
      <c r="Z6" s="241"/>
      <c r="AA6" s="241"/>
      <c r="AB6" s="241">
        <v>2</v>
      </c>
      <c r="AC6" s="241"/>
      <c r="AD6" s="241">
        <v>2</v>
      </c>
      <c r="AE6" s="241"/>
      <c r="AF6" s="241">
        <v>1</v>
      </c>
      <c r="AG6" s="241">
        <v>2</v>
      </c>
      <c r="AH6" s="241"/>
      <c r="AI6" s="241"/>
      <c r="AJ6" s="241">
        <f>N6-V6</f>
        <v>3</v>
      </c>
      <c r="AK6" s="235" t="e">
        <f>#REF!+AL6-G6</f>
        <v>#REF!</v>
      </c>
      <c r="AL6" s="236"/>
      <c r="AM6" s="294">
        <f>4/12</f>
        <v>0.33333333333333331</v>
      </c>
      <c r="AN6" s="295">
        <v>2</v>
      </c>
      <c r="AO6" s="296">
        <f>G6/(AN6)</f>
        <v>0.5</v>
      </c>
      <c r="AP6" s="297">
        <f>AN6*6</f>
        <v>12</v>
      </c>
      <c r="AQ6" s="290">
        <f>G6+K6</f>
        <v>1</v>
      </c>
      <c r="AR6" s="290" t="e">
        <f>IF(G6&lt;#REF!,(#REF!-G6+#REF!-K6),#REF!-K6)</f>
        <v>#REF!</v>
      </c>
      <c r="AS6" s="290">
        <f>21-8</f>
        <v>13</v>
      </c>
    </row>
    <row r="7" spans="1:45" ht="17.25" thickBot="1" x14ac:dyDescent="0.3">
      <c r="A7" s="465"/>
      <c r="B7" s="285">
        <v>273680</v>
      </c>
      <c r="C7" s="286">
        <v>1135751</v>
      </c>
      <c r="D7" s="450" t="s">
        <v>12</v>
      </c>
      <c r="E7" s="286" t="s">
        <v>13</v>
      </c>
      <c r="F7" s="254" t="e">
        <f>#REF!-AK7+AL7</f>
        <v>#REF!</v>
      </c>
      <c r="G7" s="237">
        <v>12</v>
      </c>
      <c r="H7" s="395">
        <v>8</v>
      </c>
      <c r="I7" s="444">
        <v>12</v>
      </c>
      <c r="J7" s="232">
        <f t="shared" si="0"/>
        <v>0</v>
      </c>
      <c r="K7" s="238">
        <v>0</v>
      </c>
      <c r="L7" s="238" t="e">
        <f>IF(#REF!=K2,#REF!+AK7,K7)</f>
        <v>#REF!</v>
      </c>
      <c r="M7" s="238" t="e">
        <f>IF(#REF!=K2,0,#REF!+AK7-K7)</f>
        <v>#REF!</v>
      </c>
      <c r="N7" s="238">
        <v>9</v>
      </c>
      <c r="O7" s="242">
        <f>N7-G7</f>
        <v>-3</v>
      </c>
      <c r="P7" s="280"/>
      <c r="Q7" s="281"/>
      <c r="R7" s="282"/>
      <c r="S7" s="282"/>
      <c r="T7" s="282">
        <v>11</v>
      </c>
      <c r="U7" s="282"/>
      <c r="V7" s="282"/>
      <c r="W7" s="282">
        <v>9</v>
      </c>
      <c r="X7" s="242"/>
      <c r="Y7" s="242">
        <v>9</v>
      </c>
      <c r="Z7" s="242"/>
      <c r="AA7" s="242"/>
      <c r="AB7" s="242">
        <v>5</v>
      </c>
      <c r="AC7" s="242"/>
      <c r="AD7" s="242">
        <v>5</v>
      </c>
      <c r="AE7" s="242"/>
      <c r="AF7" s="242">
        <v>9</v>
      </c>
      <c r="AG7" s="242"/>
      <c r="AH7" s="242"/>
      <c r="AI7" s="242"/>
      <c r="AJ7" s="242">
        <f>N7-V7</f>
        <v>9</v>
      </c>
      <c r="AK7" s="420" t="e">
        <f>#REF!+AL7-G7</f>
        <v>#REF!</v>
      </c>
      <c r="AL7" s="239"/>
      <c r="AM7" s="299">
        <f>30/12</f>
        <v>2.5</v>
      </c>
      <c r="AN7" s="300">
        <f>AM7*2</f>
        <v>5</v>
      </c>
      <c r="AO7" s="301">
        <f>G7/(AN7)</f>
        <v>2.4</v>
      </c>
      <c r="AP7" s="302">
        <f>AN7*6</f>
        <v>30</v>
      </c>
      <c r="AQ7" s="290">
        <f>G7+K7</f>
        <v>12</v>
      </c>
      <c r="AR7" s="290" t="e">
        <f>IF(G7&lt;#REF!,(#REF!-G7+#REF!-K7),#REF!-K7)</f>
        <v>#REF!</v>
      </c>
      <c r="AS7" s="290">
        <f>21-8</f>
        <v>13</v>
      </c>
    </row>
    <row r="8" spans="1:45" ht="17.25" thickBot="1" x14ac:dyDescent="0.3">
      <c r="A8" s="466" t="s">
        <v>417</v>
      </c>
      <c r="B8" s="355" t="s">
        <v>129</v>
      </c>
      <c r="C8" s="356" t="s">
        <v>635</v>
      </c>
      <c r="D8" s="356"/>
      <c r="E8" s="359"/>
      <c r="F8" s="359"/>
      <c r="G8" s="356"/>
      <c r="H8" s="396"/>
      <c r="I8" s="356"/>
      <c r="J8" s="232">
        <f t="shared" si="0"/>
        <v>0</v>
      </c>
      <c r="K8" s="356"/>
      <c r="L8" s="356"/>
      <c r="M8" s="356"/>
      <c r="N8" s="356"/>
      <c r="O8" s="356"/>
      <c r="P8" s="356"/>
      <c r="Q8" s="356"/>
      <c r="R8" s="356"/>
      <c r="S8" s="356"/>
      <c r="T8" s="356"/>
      <c r="U8" s="356"/>
      <c r="V8" s="356"/>
      <c r="W8" s="356"/>
      <c r="X8" s="356"/>
      <c r="Y8" s="356"/>
      <c r="Z8" s="356"/>
      <c r="AA8" s="356"/>
      <c r="AB8" s="356"/>
      <c r="AC8" s="356"/>
      <c r="AD8" s="356"/>
      <c r="AE8" s="356"/>
      <c r="AF8" s="356"/>
      <c r="AG8" s="356"/>
      <c r="AH8" s="356"/>
      <c r="AI8" s="356"/>
      <c r="AJ8" s="356"/>
      <c r="AK8" s="356"/>
      <c r="AL8" s="367"/>
      <c r="AM8" s="356"/>
      <c r="AN8" s="356"/>
      <c r="AO8" s="356"/>
      <c r="AP8" s="356"/>
      <c r="AQ8" s="356"/>
      <c r="AR8" s="356"/>
      <c r="AS8" s="357"/>
    </row>
    <row r="9" spans="1:45" ht="17.25" thickBot="1" x14ac:dyDescent="0.3">
      <c r="A9" s="467"/>
      <c r="B9" s="354"/>
      <c r="C9" s="354">
        <v>1140327</v>
      </c>
      <c r="D9" s="358" t="s">
        <v>394</v>
      </c>
      <c r="E9" s="360"/>
      <c r="F9" s="361" t="e">
        <f>#REF!-AK9+AL9</f>
        <v>#REF!</v>
      </c>
      <c r="G9" s="218">
        <v>21</v>
      </c>
      <c r="H9" s="397">
        <v>23</v>
      </c>
      <c r="I9" s="445">
        <v>21</v>
      </c>
      <c r="J9" s="232">
        <f t="shared" si="0"/>
        <v>0</v>
      </c>
      <c r="K9" s="218">
        <v>6</v>
      </c>
      <c r="L9" s="218" t="e">
        <f>IF(#REF!=K2,#REF!+AK9,K9)</f>
        <v>#REF!</v>
      </c>
      <c r="M9" s="218" t="e">
        <f>IF(#REF!=K2,0,#REF!+AK9-K9)</f>
        <v>#REF!</v>
      </c>
      <c r="N9" s="218"/>
      <c r="O9" s="218"/>
      <c r="P9" s="352"/>
      <c r="Q9" s="352"/>
      <c r="R9" s="352"/>
      <c r="S9" s="352"/>
      <c r="T9" s="352"/>
      <c r="U9" s="352"/>
      <c r="V9" s="218"/>
      <c r="W9" s="218"/>
      <c r="X9" s="218">
        <v>4</v>
      </c>
      <c r="Y9" s="218">
        <v>9</v>
      </c>
      <c r="Z9" s="218">
        <v>14</v>
      </c>
      <c r="AA9" s="218">
        <v>8</v>
      </c>
      <c r="AB9" s="218">
        <f>14+6</f>
        <v>20</v>
      </c>
      <c r="AC9" s="218">
        <v>10</v>
      </c>
      <c r="AD9" s="218">
        <v>12</v>
      </c>
      <c r="AE9" s="218">
        <v>17</v>
      </c>
      <c r="AF9" s="218">
        <v>6</v>
      </c>
      <c r="AG9" s="218">
        <v>6</v>
      </c>
      <c r="AH9" s="218">
        <v>6</v>
      </c>
      <c r="AI9" s="218"/>
      <c r="AJ9" s="242">
        <f>N9-V9</f>
        <v>0</v>
      </c>
      <c r="AK9" s="274" t="e">
        <f>#REF!+AL9-G9</f>
        <v>#REF!</v>
      </c>
      <c r="AL9" s="232"/>
      <c r="AM9" s="353"/>
      <c r="AN9" s="295"/>
      <c r="AO9" s="296"/>
      <c r="AP9" s="353"/>
      <c r="AQ9" s="290"/>
      <c r="AR9" s="290"/>
      <c r="AS9" s="290"/>
    </row>
    <row r="10" spans="1:45" ht="17.25" thickBot="1" x14ac:dyDescent="0.3">
      <c r="A10" s="467"/>
      <c r="B10" s="354"/>
      <c r="C10" s="285">
        <v>1151231</v>
      </c>
      <c r="D10" s="358" t="s">
        <v>395</v>
      </c>
      <c r="E10" s="360"/>
      <c r="F10" s="361">
        <v>12</v>
      </c>
      <c r="G10" s="369">
        <v>5</v>
      </c>
      <c r="H10" s="397">
        <v>13</v>
      </c>
      <c r="I10" s="445">
        <v>2</v>
      </c>
      <c r="J10" s="232">
        <f t="shared" si="0"/>
        <v>-3</v>
      </c>
      <c r="K10" s="218">
        <v>4</v>
      </c>
      <c r="L10" s="218" t="e">
        <f>IF(#REF!=K2,#REF!+AK10,K10)</f>
        <v>#REF!</v>
      </c>
      <c r="M10" s="218" t="e">
        <f>IF(#REF!=K2,0,#REF!+AK10-K10)</f>
        <v>#REF!</v>
      </c>
      <c r="N10" s="218"/>
      <c r="O10" s="218"/>
      <c r="P10" s="352"/>
      <c r="Q10" s="352"/>
      <c r="R10" s="352"/>
      <c r="S10" s="352"/>
      <c r="T10" s="352"/>
      <c r="U10" s="352"/>
      <c r="V10" s="218"/>
      <c r="W10" s="218"/>
      <c r="X10" s="218">
        <v>3</v>
      </c>
      <c r="Y10" s="218">
        <v>8</v>
      </c>
      <c r="Z10" s="218">
        <v>6</v>
      </c>
      <c r="AA10" s="218"/>
      <c r="AB10" s="218">
        <v>4</v>
      </c>
      <c r="AC10" s="218">
        <v>4</v>
      </c>
      <c r="AD10" s="218">
        <v>4</v>
      </c>
      <c r="AE10" s="218"/>
      <c r="AF10" s="218">
        <v>4</v>
      </c>
      <c r="AG10" s="218">
        <v>3</v>
      </c>
      <c r="AH10" s="218"/>
      <c r="AI10" s="218"/>
      <c r="AJ10" s="242">
        <f>N10-V10</f>
        <v>0</v>
      </c>
      <c r="AK10" s="421" t="e">
        <f>#REF!+AL10-G10</f>
        <v>#REF!</v>
      </c>
      <c r="AL10" s="267"/>
      <c r="AM10" s="353"/>
      <c r="AN10" s="295"/>
      <c r="AO10" s="296"/>
      <c r="AP10" s="353"/>
      <c r="AQ10" s="290"/>
      <c r="AR10" s="290"/>
      <c r="AS10" s="290"/>
    </row>
    <row r="11" spans="1:45" ht="17.25" thickBot="1" x14ac:dyDescent="0.3">
      <c r="A11" s="467"/>
      <c r="B11" s="355" t="s">
        <v>420</v>
      </c>
      <c r="C11" s="356" t="s">
        <v>636</v>
      </c>
      <c r="D11" s="356" t="s">
        <v>523</v>
      </c>
      <c r="E11" s="359"/>
      <c r="F11" s="359"/>
      <c r="G11" s="356"/>
      <c r="H11" s="396"/>
      <c r="I11" s="356"/>
      <c r="J11" s="232">
        <f t="shared" si="0"/>
        <v>0</v>
      </c>
      <c r="K11" s="356"/>
      <c r="L11" s="356"/>
      <c r="M11" s="356"/>
      <c r="N11" s="356"/>
      <c r="O11" s="356"/>
      <c r="P11" s="356"/>
      <c r="Q11" s="356"/>
      <c r="R11" s="356"/>
      <c r="S11" s="356"/>
      <c r="T11" s="356"/>
      <c r="U11" s="356"/>
      <c r="V11" s="356"/>
      <c r="W11" s="356"/>
      <c r="X11" s="356"/>
      <c r="Y11" s="356"/>
      <c r="Z11" s="356"/>
      <c r="AA11" s="356"/>
      <c r="AB11" s="356"/>
      <c r="AC11" s="356"/>
      <c r="AD11" s="356"/>
      <c r="AE11" s="356"/>
      <c r="AF11" s="356"/>
      <c r="AG11" s="356"/>
      <c r="AH11" s="356"/>
      <c r="AI11" s="356"/>
      <c r="AJ11" s="356"/>
      <c r="AK11" s="356"/>
      <c r="AL11" s="368"/>
      <c r="AM11" s="356"/>
      <c r="AN11" s="356"/>
      <c r="AO11" s="356"/>
      <c r="AP11" s="356"/>
      <c r="AQ11" s="356"/>
      <c r="AR11" s="356"/>
      <c r="AS11" s="357"/>
    </row>
    <row r="12" spans="1:45" ht="17.25" thickBot="1" x14ac:dyDescent="0.3">
      <c r="A12" s="467"/>
      <c r="B12" s="354"/>
      <c r="C12" s="285">
        <v>1146032</v>
      </c>
      <c r="D12" s="358" t="s">
        <v>396</v>
      </c>
      <c r="E12" s="360"/>
      <c r="F12" s="361" t="e">
        <f>#REF!-AK12+AL12</f>
        <v>#REF!</v>
      </c>
      <c r="G12" s="364">
        <v>0</v>
      </c>
      <c r="H12" s="364">
        <v>1</v>
      </c>
      <c r="I12" s="445">
        <v>0</v>
      </c>
      <c r="J12" s="232">
        <f t="shared" si="0"/>
        <v>0</v>
      </c>
      <c r="K12" s="364">
        <v>3</v>
      </c>
      <c r="L12" s="218"/>
      <c r="M12" s="218"/>
      <c r="N12" s="218"/>
      <c r="O12" s="218"/>
      <c r="P12" s="352"/>
      <c r="Q12" s="352"/>
      <c r="R12" s="352"/>
      <c r="S12" s="352"/>
      <c r="T12" s="352"/>
      <c r="U12" s="352"/>
      <c r="V12" s="218"/>
      <c r="W12" s="218"/>
      <c r="X12" s="218"/>
      <c r="Y12" s="218"/>
      <c r="Z12" s="218"/>
      <c r="AA12" s="218"/>
      <c r="AB12" s="218"/>
      <c r="AC12" s="218"/>
      <c r="AD12" s="218"/>
      <c r="AE12" s="218"/>
      <c r="AF12" s="218">
        <v>1</v>
      </c>
      <c r="AG12" s="218"/>
      <c r="AH12" s="218"/>
      <c r="AI12" s="218"/>
      <c r="AJ12" s="218"/>
      <c r="AK12" s="218" t="e">
        <f>#REF!+AL12-G12</f>
        <v>#REF!</v>
      </c>
      <c r="AL12" s="218"/>
      <c r="AM12" s="353"/>
      <c r="AN12" s="295"/>
      <c r="AO12" s="296"/>
      <c r="AP12" s="353"/>
      <c r="AQ12" s="290"/>
      <c r="AR12" s="290"/>
      <c r="AS12" s="290"/>
    </row>
    <row r="13" spans="1:45" ht="17.25" thickBot="1" x14ac:dyDescent="0.3">
      <c r="A13" s="467"/>
      <c r="B13" s="354"/>
      <c r="C13" s="285">
        <v>1146021</v>
      </c>
      <c r="D13" s="358" t="s">
        <v>397</v>
      </c>
      <c r="E13" s="360"/>
      <c r="F13" s="361" t="e">
        <f>#REF!-AK13+AL13</f>
        <v>#REF!</v>
      </c>
      <c r="G13" s="364">
        <v>1</v>
      </c>
      <c r="H13" s="364">
        <v>2</v>
      </c>
      <c r="I13" s="415">
        <v>2</v>
      </c>
      <c r="J13" s="232">
        <f t="shared" si="0"/>
        <v>1</v>
      </c>
      <c r="K13" s="364">
        <v>1</v>
      </c>
      <c r="L13" s="218"/>
      <c r="M13" s="218"/>
      <c r="N13" s="218"/>
      <c r="O13" s="218"/>
      <c r="P13" s="352"/>
      <c r="Q13" s="352"/>
      <c r="R13" s="352"/>
      <c r="S13" s="352"/>
      <c r="T13" s="352"/>
      <c r="U13" s="352"/>
      <c r="V13" s="218"/>
      <c r="W13" s="218"/>
      <c r="X13" s="218"/>
      <c r="Y13" s="218"/>
      <c r="Z13" s="218"/>
      <c r="AA13" s="218"/>
      <c r="AB13" s="218"/>
      <c r="AC13" s="218"/>
      <c r="AD13" s="218"/>
      <c r="AE13" s="218"/>
      <c r="AF13" s="218"/>
      <c r="AG13" s="218">
        <v>1</v>
      </c>
      <c r="AH13" s="218"/>
      <c r="AI13" s="218"/>
      <c r="AJ13" s="218"/>
      <c r="AK13" s="218" t="e">
        <f>#REF!+AL13-G13</f>
        <v>#REF!</v>
      </c>
      <c r="AL13" s="218"/>
      <c r="AM13" s="353"/>
      <c r="AN13" s="295"/>
      <c r="AO13" s="296"/>
      <c r="AP13" s="353"/>
      <c r="AQ13" s="290"/>
      <c r="AR13" s="290"/>
      <c r="AS13" s="290"/>
    </row>
    <row r="14" spans="1:45" ht="17.25" thickBot="1" x14ac:dyDescent="0.3">
      <c r="A14" s="467"/>
      <c r="B14" s="354"/>
      <c r="C14" s="285">
        <v>1146018</v>
      </c>
      <c r="D14" s="451" t="s">
        <v>398</v>
      </c>
      <c r="E14" s="360"/>
      <c r="F14" s="361" t="e">
        <f>#REF!-AK14+AL14</f>
        <v>#REF!</v>
      </c>
      <c r="G14" s="364">
        <v>2</v>
      </c>
      <c r="H14" s="364">
        <v>1</v>
      </c>
      <c r="I14" s="445">
        <v>2</v>
      </c>
      <c r="J14" s="232">
        <f t="shared" si="0"/>
        <v>0</v>
      </c>
      <c r="K14" s="364">
        <v>0</v>
      </c>
      <c r="L14" s="218"/>
      <c r="M14" s="218"/>
      <c r="N14" s="218"/>
      <c r="O14" s="218"/>
      <c r="P14" s="352"/>
      <c r="Q14" s="352"/>
      <c r="R14" s="352"/>
      <c r="S14" s="352"/>
      <c r="T14" s="352"/>
      <c r="U14" s="352"/>
      <c r="V14" s="218"/>
      <c r="W14" s="218"/>
      <c r="X14" s="218"/>
      <c r="Y14" s="218"/>
      <c r="Z14" s="218"/>
      <c r="AA14" s="218"/>
      <c r="AB14" s="218">
        <v>2</v>
      </c>
      <c r="AC14" s="218"/>
      <c r="AD14" s="218"/>
      <c r="AE14" s="218"/>
      <c r="AF14" s="218">
        <v>2</v>
      </c>
      <c r="AG14" s="218"/>
      <c r="AH14" s="218"/>
      <c r="AI14" s="218"/>
      <c r="AJ14" s="218"/>
      <c r="AK14" s="218" t="e">
        <f>#REF!+AL14-G14</f>
        <v>#REF!</v>
      </c>
      <c r="AL14" s="218"/>
      <c r="AM14" s="353"/>
      <c r="AN14" s="295"/>
      <c r="AO14" s="296"/>
      <c r="AP14" s="353"/>
      <c r="AQ14" s="290"/>
      <c r="AR14" s="290"/>
      <c r="AS14" s="290"/>
    </row>
    <row r="15" spans="1:45" ht="17.25" thickBot="1" x14ac:dyDescent="0.3">
      <c r="A15" s="467"/>
      <c r="B15" s="354"/>
      <c r="C15" s="285">
        <v>1146024</v>
      </c>
      <c r="D15" s="358" t="s">
        <v>399</v>
      </c>
      <c r="E15" s="360"/>
      <c r="F15" s="361">
        <v>1</v>
      </c>
      <c r="G15" s="364">
        <v>5</v>
      </c>
      <c r="H15" s="364">
        <v>2</v>
      </c>
      <c r="I15" s="445">
        <v>5</v>
      </c>
      <c r="J15" s="232">
        <f t="shared" si="0"/>
        <v>0</v>
      </c>
      <c r="K15" s="369">
        <v>1</v>
      </c>
      <c r="L15" s="218"/>
      <c r="M15" s="218"/>
      <c r="N15" s="218"/>
      <c r="O15" s="218"/>
      <c r="P15" s="352"/>
      <c r="Q15" s="352"/>
      <c r="R15" s="352"/>
      <c r="S15" s="352"/>
      <c r="T15" s="352"/>
      <c r="U15" s="352"/>
      <c r="V15" s="218"/>
      <c r="W15" s="218"/>
      <c r="X15" s="218"/>
      <c r="Y15" s="218"/>
      <c r="Z15" s="218"/>
      <c r="AA15" s="218">
        <v>1</v>
      </c>
      <c r="AB15" s="218">
        <v>1</v>
      </c>
      <c r="AC15" s="218"/>
      <c r="AD15" s="218"/>
      <c r="AE15" s="218"/>
      <c r="AF15" s="218">
        <v>2</v>
      </c>
      <c r="AG15" s="218"/>
      <c r="AH15" s="218"/>
      <c r="AI15" s="218"/>
      <c r="AJ15" s="218"/>
      <c r="AK15" s="415" t="e">
        <f>#REF!+AL15-G15</f>
        <v>#REF!</v>
      </c>
      <c r="AL15" s="218"/>
      <c r="AM15" s="353"/>
      <c r="AN15" s="295"/>
      <c r="AO15" s="296"/>
      <c r="AP15" s="353"/>
      <c r="AQ15" s="290"/>
      <c r="AR15" s="290"/>
      <c r="AS15" s="290"/>
    </row>
    <row r="16" spans="1:45" ht="17.25" thickBot="1" x14ac:dyDescent="0.3">
      <c r="A16" s="467"/>
      <c r="B16" s="354"/>
      <c r="C16" s="285">
        <v>1146028</v>
      </c>
      <c r="D16" s="358" t="s">
        <v>400</v>
      </c>
      <c r="E16" s="360"/>
      <c r="F16" s="361" t="e">
        <f>#REF!-AK16+AL16</f>
        <v>#REF!</v>
      </c>
      <c r="G16" s="364">
        <v>3</v>
      </c>
      <c r="H16" s="364">
        <v>2</v>
      </c>
      <c r="I16" s="445">
        <v>3</v>
      </c>
      <c r="J16" s="232">
        <f t="shared" si="0"/>
        <v>0</v>
      </c>
      <c r="K16" s="364">
        <v>2</v>
      </c>
      <c r="L16" s="218"/>
      <c r="M16" s="218"/>
      <c r="N16" s="218"/>
      <c r="O16" s="218"/>
      <c r="P16" s="352"/>
      <c r="Q16" s="352"/>
      <c r="R16" s="352"/>
      <c r="S16" s="352"/>
      <c r="T16" s="352"/>
      <c r="U16" s="352"/>
      <c r="V16" s="218"/>
      <c r="W16" s="218"/>
      <c r="X16" s="218"/>
      <c r="Y16" s="218"/>
      <c r="Z16" s="218"/>
      <c r="AA16" s="218"/>
      <c r="AB16" s="218"/>
      <c r="AC16" s="218"/>
      <c r="AD16" s="218">
        <v>2</v>
      </c>
      <c r="AE16" s="218"/>
      <c r="AF16" s="218"/>
      <c r="AG16" s="218">
        <v>2</v>
      </c>
      <c r="AH16" s="218"/>
      <c r="AI16" s="218"/>
      <c r="AJ16" s="218"/>
      <c r="AK16" s="218" t="e">
        <f>#REF!+AL16-G16</f>
        <v>#REF!</v>
      </c>
      <c r="AL16" s="218"/>
      <c r="AM16" s="353"/>
      <c r="AN16" s="295"/>
      <c r="AO16" s="296"/>
      <c r="AP16" s="353"/>
      <c r="AQ16" s="290"/>
      <c r="AR16" s="290"/>
      <c r="AS16" s="290"/>
    </row>
    <row r="17" spans="1:45" ht="17.25" thickBot="1" x14ac:dyDescent="0.3">
      <c r="A17" s="467"/>
      <c r="B17" s="355" t="s">
        <v>419</v>
      </c>
      <c r="C17" s="356" t="s">
        <v>637</v>
      </c>
      <c r="D17" s="356"/>
      <c r="E17" s="359"/>
      <c r="F17" s="359"/>
      <c r="G17" s="356"/>
      <c r="H17" s="396"/>
      <c r="I17" s="356"/>
      <c r="J17" s="232">
        <f t="shared" si="0"/>
        <v>0</v>
      </c>
      <c r="K17" s="356"/>
      <c r="L17" s="356"/>
      <c r="M17" s="356"/>
      <c r="N17" s="356"/>
      <c r="O17" s="356"/>
      <c r="P17" s="356"/>
      <c r="Q17" s="356"/>
      <c r="R17" s="356"/>
      <c r="S17" s="356"/>
      <c r="T17" s="356"/>
      <c r="U17" s="356"/>
      <c r="V17" s="356"/>
      <c r="W17" s="356"/>
      <c r="X17" s="356"/>
      <c r="Y17" s="356"/>
      <c r="Z17" s="356"/>
      <c r="AA17" s="356"/>
      <c r="AB17" s="356"/>
      <c r="AC17" s="356"/>
      <c r="AD17" s="356"/>
      <c r="AE17" s="356"/>
      <c r="AF17" s="356"/>
      <c r="AG17" s="356"/>
      <c r="AH17" s="356"/>
      <c r="AI17" s="356"/>
      <c r="AJ17" s="356"/>
      <c r="AK17" s="356"/>
      <c r="AL17" s="356"/>
      <c r="AM17" s="356"/>
      <c r="AN17" s="356"/>
      <c r="AO17" s="356"/>
      <c r="AP17" s="356"/>
      <c r="AQ17" s="356"/>
      <c r="AR17" s="356"/>
      <c r="AS17" s="357"/>
    </row>
    <row r="18" spans="1:45" ht="17.25" thickBot="1" x14ac:dyDescent="0.3">
      <c r="A18" s="467"/>
      <c r="B18" s="372"/>
      <c r="C18" s="373">
        <v>1146031</v>
      </c>
      <c r="D18" s="374" t="s">
        <v>401</v>
      </c>
      <c r="E18" s="375"/>
      <c r="F18" s="376" t="e">
        <f>#REF!-AK18+AL18</f>
        <v>#REF!</v>
      </c>
      <c r="G18" s="377">
        <v>2</v>
      </c>
      <c r="H18" s="397">
        <v>1</v>
      </c>
      <c r="I18" s="415"/>
      <c r="J18" s="232">
        <f t="shared" si="0"/>
        <v>-2</v>
      </c>
      <c r="K18" s="377">
        <v>2</v>
      </c>
      <c r="L18" s="377"/>
      <c r="M18" s="377"/>
      <c r="N18" s="377"/>
      <c r="O18" s="377"/>
      <c r="P18" s="377"/>
      <c r="Q18" s="377"/>
      <c r="R18" s="377"/>
      <c r="S18" s="377"/>
      <c r="T18" s="377"/>
      <c r="U18" s="377"/>
      <c r="V18" s="377"/>
      <c r="W18" s="377"/>
      <c r="X18" s="377"/>
      <c r="Y18" s="377"/>
      <c r="Z18" s="377"/>
      <c r="AA18" s="377"/>
      <c r="AB18" s="377"/>
      <c r="AC18" s="377"/>
      <c r="AD18" s="377"/>
      <c r="AE18" s="377"/>
      <c r="AF18" s="377"/>
      <c r="AG18" s="377"/>
      <c r="AH18" s="377"/>
      <c r="AI18" s="377"/>
      <c r="AJ18" s="377"/>
      <c r="AK18" s="377" t="e">
        <f>#REF!+AL18-G18</f>
        <v>#REF!</v>
      </c>
      <c r="AL18" s="377"/>
      <c r="AM18" s="378"/>
      <c r="AN18" s="379"/>
      <c r="AO18" s="380"/>
      <c r="AP18" s="378"/>
      <c r="AQ18" s="381"/>
      <c r="AR18" s="381"/>
      <c r="AS18" s="381"/>
    </row>
    <row r="19" spans="1:45" ht="17.25" thickBot="1" x14ac:dyDescent="0.3">
      <c r="A19" s="467"/>
      <c r="B19" s="372"/>
      <c r="C19" s="373">
        <v>1146020</v>
      </c>
      <c r="D19" s="374" t="s">
        <v>402</v>
      </c>
      <c r="E19" s="375"/>
      <c r="F19" s="376" t="e">
        <f>#REF!-AK19+AL19</f>
        <v>#REF!</v>
      </c>
      <c r="G19" s="377">
        <v>1</v>
      </c>
      <c r="H19" s="397">
        <v>1</v>
      </c>
      <c r="I19" s="415"/>
      <c r="J19" s="232">
        <f t="shared" si="0"/>
        <v>-1</v>
      </c>
      <c r="K19" s="377">
        <v>1</v>
      </c>
      <c r="L19" s="377"/>
      <c r="M19" s="377"/>
      <c r="N19" s="377"/>
      <c r="O19" s="377"/>
      <c r="P19" s="377"/>
      <c r="Q19" s="377"/>
      <c r="R19" s="377"/>
      <c r="S19" s="377"/>
      <c r="T19" s="377"/>
      <c r="U19" s="377"/>
      <c r="V19" s="377"/>
      <c r="W19" s="377"/>
      <c r="X19" s="377"/>
      <c r="Y19" s="377"/>
      <c r="Z19" s="377"/>
      <c r="AA19" s="377"/>
      <c r="AB19" s="377"/>
      <c r="AC19" s="377"/>
      <c r="AD19" s="377"/>
      <c r="AE19" s="377"/>
      <c r="AF19" s="377"/>
      <c r="AG19" s="377"/>
      <c r="AH19" s="377"/>
      <c r="AI19" s="377"/>
      <c r="AJ19" s="377"/>
      <c r="AK19" s="377" t="e">
        <f>#REF!+AL19-G19</f>
        <v>#REF!</v>
      </c>
      <c r="AL19" s="377"/>
      <c r="AM19" s="378"/>
      <c r="AN19" s="379"/>
      <c r="AO19" s="380"/>
      <c r="AP19" s="378"/>
      <c r="AQ19" s="381"/>
      <c r="AR19" s="381"/>
      <c r="AS19" s="381"/>
    </row>
    <row r="20" spans="1:45" ht="17.25" thickBot="1" x14ac:dyDescent="0.3">
      <c r="A20" s="467"/>
      <c r="B20" s="372"/>
      <c r="C20" s="373">
        <v>1146016</v>
      </c>
      <c r="D20" s="451" t="s">
        <v>398</v>
      </c>
      <c r="E20" s="375"/>
      <c r="F20" s="376" t="e">
        <f>#REF!-AK20+AL20</f>
        <v>#REF!</v>
      </c>
      <c r="G20" s="377">
        <v>6</v>
      </c>
      <c r="H20" s="397">
        <v>1</v>
      </c>
      <c r="I20" s="415"/>
      <c r="J20" s="232">
        <f t="shared" si="0"/>
        <v>-6</v>
      </c>
      <c r="K20" s="377">
        <v>0</v>
      </c>
      <c r="L20" s="377"/>
      <c r="M20" s="377"/>
      <c r="N20" s="377"/>
      <c r="O20" s="377"/>
      <c r="P20" s="377"/>
      <c r="Q20" s="377"/>
      <c r="R20" s="377"/>
      <c r="S20" s="377"/>
      <c r="T20" s="377"/>
      <c r="U20" s="377"/>
      <c r="V20" s="377"/>
      <c r="W20" s="377"/>
      <c r="X20" s="377"/>
      <c r="Y20" s="377"/>
      <c r="Z20" s="377"/>
      <c r="AA20" s="377"/>
      <c r="AB20" s="377"/>
      <c r="AC20" s="377"/>
      <c r="AD20" s="377"/>
      <c r="AE20" s="377"/>
      <c r="AF20" s="377"/>
      <c r="AG20" s="377"/>
      <c r="AH20" s="377"/>
      <c r="AI20" s="377"/>
      <c r="AJ20" s="377"/>
      <c r="AK20" s="377" t="e">
        <f>#REF!+AL20-G20</f>
        <v>#REF!</v>
      </c>
      <c r="AL20" s="377"/>
      <c r="AM20" s="378"/>
      <c r="AN20" s="379"/>
      <c r="AO20" s="380"/>
      <c r="AP20" s="378"/>
      <c r="AQ20" s="381"/>
      <c r="AR20" s="381"/>
      <c r="AS20" s="381"/>
    </row>
    <row r="21" spans="1:45" ht="17.25" thickBot="1" x14ac:dyDescent="0.3">
      <c r="A21" s="467"/>
      <c r="B21" s="372"/>
      <c r="C21" s="373">
        <v>1146022</v>
      </c>
      <c r="D21" s="374" t="s">
        <v>403</v>
      </c>
      <c r="E21" s="375"/>
      <c r="F21" s="376" t="e">
        <f>#REF!-AK21+AL21</f>
        <v>#REF!</v>
      </c>
      <c r="G21" s="377">
        <v>0</v>
      </c>
      <c r="H21" s="397">
        <v>2</v>
      </c>
      <c r="I21" s="445">
        <v>0</v>
      </c>
      <c r="J21" s="232">
        <f t="shared" si="0"/>
        <v>0</v>
      </c>
      <c r="K21" s="377">
        <v>0</v>
      </c>
      <c r="L21" s="377"/>
      <c r="M21" s="377"/>
      <c r="N21" s="377"/>
      <c r="O21" s="377"/>
      <c r="P21" s="377"/>
      <c r="Q21" s="377"/>
      <c r="R21" s="377"/>
      <c r="S21" s="377"/>
      <c r="T21" s="377"/>
      <c r="U21" s="377"/>
      <c r="V21" s="377"/>
      <c r="W21" s="377"/>
      <c r="X21" s="377"/>
      <c r="Y21" s="377"/>
      <c r="Z21" s="377"/>
      <c r="AA21" s="377"/>
      <c r="AB21" s="377"/>
      <c r="AC21" s="377"/>
      <c r="AD21" s="377"/>
      <c r="AE21" s="377"/>
      <c r="AF21" s="377"/>
      <c r="AG21" s="377"/>
      <c r="AH21" s="377"/>
      <c r="AI21" s="377"/>
      <c r="AJ21" s="377"/>
      <c r="AK21" s="377" t="e">
        <f>#REF!+AL21-G21</f>
        <v>#REF!</v>
      </c>
      <c r="AL21" s="377"/>
      <c r="AM21" s="378"/>
      <c r="AN21" s="379"/>
      <c r="AO21" s="380"/>
      <c r="AP21" s="378"/>
      <c r="AQ21" s="381"/>
      <c r="AR21" s="381"/>
      <c r="AS21" s="381"/>
    </row>
    <row r="22" spans="1:45" ht="17.25" thickBot="1" x14ac:dyDescent="0.3">
      <c r="A22" s="467"/>
      <c r="B22" s="372"/>
      <c r="C22" s="373">
        <v>1146027</v>
      </c>
      <c r="D22" s="374" t="s">
        <v>404</v>
      </c>
      <c r="E22" s="375"/>
      <c r="F22" s="376" t="e">
        <f>#REF!-AK22+AL22</f>
        <v>#REF!</v>
      </c>
      <c r="G22" s="377">
        <v>2</v>
      </c>
      <c r="H22" s="397">
        <v>2</v>
      </c>
      <c r="I22" s="415">
        <v>1</v>
      </c>
      <c r="J22" s="232">
        <f t="shared" si="0"/>
        <v>-1</v>
      </c>
      <c r="K22" s="377">
        <v>0</v>
      </c>
      <c r="L22" s="377"/>
      <c r="M22" s="377"/>
      <c r="N22" s="377"/>
      <c r="O22" s="377"/>
      <c r="P22" s="377"/>
      <c r="Q22" s="377"/>
      <c r="R22" s="377"/>
      <c r="S22" s="377"/>
      <c r="T22" s="377"/>
      <c r="U22" s="377"/>
      <c r="V22" s="377"/>
      <c r="W22" s="377"/>
      <c r="X22" s="377"/>
      <c r="Y22" s="377"/>
      <c r="Z22" s="377"/>
      <c r="AA22" s="377"/>
      <c r="AB22" s="377"/>
      <c r="AC22" s="377"/>
      <c r="AD22" s="377"/>
      <c r="AE22" s="377"/>
      <c r="AF22" s="377"/>
      <c r="AG22" s="377"/>
      <c r="AH22" s="377"/>
      <c r="AI22" s="377"/>
      <c r="AJ22" s="377"/>
      <c r="AK22" s="377" t="e">
        <f>#REF!+AL22-G22</f>
        <v>#REF!</v>
      </c>
      <c r="AL22" s="377"/>
      <c r="AM22" s="378"/>
      <c r="AN22" s="379"/>
      <c r="AO22" s="380"/>
      <c r="AP22" s="378"/>
      <c r="AQ22" s="381"/>
      <c r="AR22" s="381"/>
      <c r="AS22" s="381"/>
    </row>
    <row r="23" spans="1:45" ht="17.25" thickBot="1" x14ac:dyDescent="0.3">
      <c r="A23" s="467"/>
      <c r="B23" s="355" t="s">
        <v>418</v>
      </c>
      <c r="C23" s="356" t="s">
        <v>638</v>
      </c>
      <c r="D23" s="356"/>
      <c r="E23" s="359"/>
      <c r="F23" s="359"/>
      <c r="G23" s="356"/>
      <c r="H23" s="396"/>
      <c r="I23" s="356"/>
      <c r="J23" s="232">
        <f t="shared" si="0"/>
        <v>0</v>
      </c>
      <c r="K23" s="356"/>
      <c r="L23" s="356"/>
      <c r="M23" s="356"/>
      <c r="N23" s="356"/>
      <c r="O23" s="356"/>
      <c r="P23" s="356"/>
      <c r="Q23" s="356"/>
      <c r="R23" s="356"/>
      <c r="S23" s="356"/>
      <c r="T23" s="356"/>
      <c r="U23" s="356"/>
      <c r="V23" s="356"/>
      <c r="W23" s="356"/>
      <c r="X23" s="356"/>
      <c r="Y23" s="356"/>
      <c r="Z23" s="356"/>
      <c r="AA23" s="356"/>
      <c r="AB23" s="356"/>
      <c r="AC23" s="356"/>
      <c r="AD23" s="356"/>
      <c r="AE23" s="356"/>
      <c r="AF23" s="356"/>
      <c r="AG23" s="356"/>
      <c r="AH23" s="356"/>
      <c r="AI23" s="356"/>
      <c r="AJ23" s="356"/>
      <c r="AK23" s="356"/>
      <c r="AL23" s="356"/>
      <c r="AM23" s="356"/>
      <c r="AN23" s="356"/>
      <c r="AO23" s="356"/>
      <c r="AP23" s="356"/>
      <c r="AQ23" s="356"/>
      <c r="AR23" s="356"/>
      <c r="AS23" s="357"/>
    </row>
    <row r="24" spans="1:45" ht="17.25" thickBot="1" x14ac:dyDescent="0.3">
      <c r="A24" s="467"/>
      <c r="B24" s="354"/>
      <c r="C24" s="285">
        <v>1151653</v>
      </c>
      <c r="D24" s="358" t="s">
        <v>405</v>
      </c>
      <c r="E24" s="360"/>
      <c r="F24" s="361" t="e">
        <f>#REF!-AK24+AL24</f>
        <v>#REF!</v>
      </c>
      <c r="G24" s="364">
        <v>3</v>
      </c>
      <c r="H24" s="397">
        <v>1</v>
      </c>
      <c r="I24" s="445">
        <v>3</v>
      </c>
      <c r="J24" s="232">
        <f t="shared" si="0"/>
        <v>0</v>
      </c>
      <c r="K24" s="364">
        <v>0</v>
      </c>
      <c r="L24" s="218"/>
      <c r="M24" s="218"/>
      <c r="N24" s="218"/>
      <c r="O24" s="218"/>
      <c r="P24" s="352"/>
      <c r="Q24" s="352"/>
      <c r="R24" s="352"/>
      <c r="S24" s="352"/>
      <c r="T24" s="352"/>
      <c r="U24" s="352"/>
      <c r="V24" s="218"/>
      <c r="W24" s="218"/>
      <c r="X24" s="218"/>
      <c r="Y24" s="218"/>
      <c r="Z24" s="218"/>
      <c r="AA24" s="218"/>
      <c r="AB24" s="218"/>
      <c r="AC24" s="218"/>
      <c r="AD24" s="218"/>
      <c r="AE24" s="218"/>
      <c r="AF24" s="218"/>
      <c r="AG24" s="218"/>
      <c r="AH24" s="218"/>
      <c r="AI24" s="218"/>
      <c r="AJ24" s="218"/>
      <c r="AK24" s="218" t="e">
        <f>#REF!+AL24-G24</f>
        <v>#REF!</v>
      </c>
      <c r="AL24" s="218"/>
      <c r="AM24" s="353"/>
      <c r="AN24" s="295"/>
      <c r="AO24" s="296"/>
      <c r="AP24" s="353"/>
      <c r="AQ24" s="290"/>
      <c r="AR24" s="290"/>
      <c r="AS24" s="290"/>
    </row>
    <row r="25" spans="1:45" ht="17.25" thickBot="1" x14ac:dyDescent="0.3">
      <c r="A25" s="467"/>
      <c r="B25" s="354"/>
      <c r="C25" s="285">
        <v>1151650</v>
      </c>
      <c r="D25" s="358" t="s">
        <v>406</v>
      </c>
      <c r="E25" s="360"/>
      <c r="F25" s="361" t="e">
        <f>#REF!-AK25+AL25</f>
        <v>#REF!</v>
      </c>
      <c r="G25" s="364">
        <v>2</v>
      </c>
      <c r="H25" s="397">
        <v>2</v>
      </c>
      <c r="I25" s="445">
        <v>2</v>
      </c>
      <c r="J25" s="232">
        <f t="shared" si="0"/>
        <v>0</v>
      </c>
      <c r="K25" s="364">
        <v>4</v>
      </c>
      <c r="L25" s="218"/>
      <c r="M25" s="218"/>
      <c r="N25" s="218"/>
      <c r="O25" s="218"/>
      <c r="P25" s="352"/>
      <c r="Q25" s="352"/>
      <c r="R25" s="352"/>
      <c r="S25" s="352"/>
      <c r="T25" s="352"/>
      <c r="U25" s="352"/>
      <c r="V25" s="218"/>
      <c r="W25" s="218"/>
      <c r="X25" s="218"/>
      <c r="Y25" s="218"/>
      <c r="Z25" s="218"/>
      <c r="AA25" s="218"/>
      <c r="AB25" s="218"/>
      <c r="AC25" s="218"/>
      <c r="AD25" s="218"/>
      <c r="AE25" s="218"/>
      <c r="AF25" s="218"/>
      <c r="AG25" s="218"/>
      <c r="AH25" s="218"/>
      <c r="AI25" s="218"/>
      <c r="AJ25" s="218"/>
      <c r="AK25" s="218" t="e">
        <f>#REF!+AL25-G25</f>
        <v>#REF!</v>
      </c>
      <c r="AL25" s="218"/>
      <c r="AM25" s="353"/>
      <c r="AN25" s="295"/>
      <c r="AO25" s="296"/>
      <c r="AP25" s="353"/>
      <c r="AQ25" s="290"/>
      <c r="AR25" s="290"/>
      <c r="AS25" s="290"/>
    </row>
    <row r="26" spans="1:45" ht="17.25" thickBot="1" x14ac:dyDescent="0.3">
      <c r="A26" s="467"/>
      <c r="B26" s="354"/>
      <c r="C26" s="285">
        <v>1151649</v>
      </c>
      <c r="D26" s="451" t="s">
        <v>407</v>
      </c>
      <c r="E26" s="360"/>
      <c r="F26" s="361" t="e">
        <f>#REF!-AK26+AL26</f>
        <v>#REF!</v>
      </c>
      <c r="G26" s="364">
        <v>5</v>
      </c>
      <c r="H26" s="369">
        <v>4</v>
      </c>
      <c r="I26" s="445">
        <v>5</v>
      </c>
      <c r="J26" s="232">
        <f t="shared" si="0"/>
        <v>0</v>
      </c>
      <c r="K26" s="369">
        <v>2</v>
      </c>
      <c r="L26" s="218"/>
      <c r="M26" s="218"/>
      <c r="N26" s="218"/>
      <c r="O26" s="218"/>
      <c r="P26" s="352"/>
      <c r="Q26" s="352"/>
      <c r="R26" s="352"/>
      <c r="S26" s="352"/>
      <c r="T26" s="352"/>
      <c r="U26" s="352"/>
      <c r="V26" s="218"/>
      <c r="W26" s="218"/>
      <c r="X26" s="218"/>
      <c r="Y26" s="218"/>
      <c r="Z26" s="218"/>
      <c r="AA26" s="218"/>
      <c r="AB26" s="218">
        <v>2</v>
      </c>
      <c r="AC26" s="218"/>
      <c r="AD26" s="218">
        <v>2</v>
      </c>
      <c r="AE26" s="218"/>
      <c r="AF26" s="218"/>
      <c r="AG26" s="218">
        <v>2</v>
      </c>
      <c r="AH26" s="218"/>
      <c r="AI26" s="218"/>
      <c r="AJ26" s="218"/>
      <c r="AK26" s="415" t="e">
        <f>#REF!+AL26-G26</f>
        <v>#REF!</v>
      </c>
      <c r="AL26" s="218"/>
      <c r="AM26" s="353"/>
      <c r="AN26" s="295"/>
      <c r="AO26" s="296"/>
      <c r="AP26" s="353"/>
      <c r="AQ26" s="290"/>
      <c r="AR26" s="290"/>
      <c r="AS26" s="290"/>
    </row>
    <row r="27" spans="1:45" ht="17.25" thickBot="1" x14ac:dyDescent="0.3">
      <c r="A27" s="467"/>
      <c r="B27" s="354"/>
      <c r="C27" s="285">
        <v>1151651</v>
      </c>
      <c r="D27" s="358" t="s">
        <v>408</v>
      </c>
      <c r="E27" s="360"/>
      <c r="F27" s="361" t="e">
        <f>#REF!-AK27+AL27</f>
        <v>#REF!</v>
      </c>
      <c r="G27" s="364">
        <v>7</v>
      </c>
      <c r="H27" s="369">
        <v>1</v>
      </c>
      <c r="I27" s="445">
        <v>7</v>
      </c>
      <c r="J27" s="232">
        <f t="shared" si="0"/>
        <v>0</v>
      </c>
      <c r="K27" s="369">
        <v>1</v>
      </c>
      <c r="L27" s="218"/>
      <c r="M27" s="218"/>
      <c r="N27" s="218"/>
      <c r="O27" s="218"/>
      <c r="P27" s="352"/>
      <c r="Q27" s="352"/>
      <c r="R27" s="352"/>
      <c r="S27" s="352"/>
      <c r="T27" s="352"/>
      <c r="U27" s="352"/>
      <c r="V27" s="218"/>
      <c r="W27" s="218"/>
      <c r="X27" s="218"/>
      <c r="Y27" s="218"/>
      <c r="Z27" s="218">
        <v>2</v>
      </c>
      <c r="AA27" s="218"/>
      <c r="AB27" s="218">
        <v>2</v>
      </c>
      <c r="AC27" s="218"/>
      <c r="AD27" s="218">
        <v>3</v>
      </c>
      <c r="AE27" s="218"/>
      <c r="AF27" s="218"/>
      <c r="AG27" s="218"/>
      <c r="AH27" s="218"/>
      <c r="AI27" s="218"/>
      <c r="AJ27" s="218"/>
      <c r="AK27" s="218" t="e">
        <f>#REF!+AL27-G27</f>
        <v>#REF!</v>
      </c>
      <c r="AL27" s="218"/>
      <c r="AM27" s="353"/>
      <c r="AN27" s="295"/>
      <c r="AO27" s="296"/>
      <c r="AP27" s="353"/>
      <c r="AQ27" s="290"/>
      <c r="AR27" s="290"/>
      <c r="AS27" s="290"/>
    </row>
    <row r="28" spans="1:45" ht="17.25" thickBot="1" x14ac:dyDescent="0.3">
      <c r="A28" s="467"/>
      <c r="B28" s="354"/>
      <c r="C28" s="285">
        <v>1146029</v>
      </c>
      <c r="D28" s="358" t="s">
        <v>409</v>
      </c>
      <c r="E28" s="360"/>
      <c r="F28" s="361" t="e">
        <f>#REF!-AK28+AL28</f>
        <v>#REF!</v>
      </c>
      <c r="G28" s="364">
        <v>4</v>
      </c>
      <c r="H28" s="369">
        <v>2</v>
      </c>
      <c r="I28" s="445">
        <v>4</v>
      </c>
      <c r="J28" s="232">
        <f t="shared" si="0"/>
        <v>0</v>
      </c>
      <c r="K28" s="369">
        <v>2</v>
      </c>
      <c r="L28" s="218"/>
      <c r="M28" s="218"/>
      <c r="N28" s="218"/>
      <c r="O28" s="218"/>
      <c r="P28" s="352"/>
      <c r="Q28" s="352"/>
      <c r="R28" s="352"/>
      <c r="S28" s="352"/>
      <c r="T28" s="352"/>
      <c r="U28" s="352"/>
      <c r="V28" s="218"/>
      <c r="W28" s="218"/>
      <c r="X28" s="218"/>
      <c r="Y28" s="218"/>
      <c r="Z28" s="218"/>
      <c r="AA28" s="218"/>
      <c r="AB28" s="218"/>
      <c r="AC28" s="218">
        <v>2</v>
      </c>
      <c r="AD28" s="218"/>
      <c r="AE28" s="218"/>
      <c r="AF28" s="218"/>
      <c r="AG28" s="218">
        <v>2</v>
      </c>
      <c r="AH28" s="218"/>
      <c r="AI28" s="218"/>
      <c r="AJ28" s="218"/>
      <c r="AK28" s="218" t="e">
        <f>#REF!+AL28-G28</f>
        <v>#REF!</v>
      </c>
      <c r="AL28" s="218"/>
      <c r="AM28" s="353"/>
      <c r="AN28" s="295"/>
      <c r="AO28" s="296"/>
      <c r="AP28" s="353"/>
      <c r="AQ28" s="290"/>
      <c r="AR28" s="290"/>
      <c r="AS28" s="290"/>
    </row>
    <row r="29" spans="1:45" ht="17.25" thickBot="1" x14ac:dyDescent="0.3">
      <c r="A29" s="467"/>
      <c r="B29" s="355" t="s">
        <v>410</v>
      </c>
      <c r="C29" s="356" t="s">
        <v>639</v>
      </c>
      <c r="D29" s="356"/>
      <c r="E29" s="359"/>
      <c r="F29" s="359"/>
      <c r="G29" s="356"/>
      <c r="H29" s="396"/>
      <c r="I29" s="356"/>
      <c r="J29" s="232">
        <f t="shared" si="0"/>
        <v>0</v>
      </c>
      <c r="K29" s="356"/>
      <c r="L29" s="356"/>
      <c r="M29" s="356"/>
      <c r="N29" s="356"/>
      <c r="O29" s="356"/>
      <c r="P29" s="356"/>
      <c r="Q29" s="356"/>
      <c r="R29" s="356"/>
      <c r="S29" s="356"/>
      <c r="T29" s="356"/>
      <c r="U29" s="356"/>
      <c r="V29" s="356"/>
      <c r="W29" s="356"/>
      <c r="X29" s="356"/>
      <c r="Y29" s="356"/>
      <c r="Z29" s="356"/>
      <c r="AA29" s="356"/>
      <c r="AB29" s="356"/>
      <c r="AC29" s="356"/>
      <c r="AD29" s="356"/>
      <c r="AE29" s="356"/>
      <c r="AF29" s="356"/>
      <c r="AG29" s="356"/>
      <c r="AH29" s="356"/>
      <c r="AI29" s="356"/>
      <c r="AJ29" s="356"/>
      <c r="AK29" s="356"/>
      <c r="AL29" s="356"/>
      <c r="AM29" s="356"/>
      <c r="AN29" s="356"/>
      <c r="AO29" s="356"/>
      <c r="AP29" s="356"/>
      <c r="AQ29" s="356"/>
      <c r="AR29" s="356"/>
      <c r="AS29" s="357"/>
    </row>
    <row r="30" spans="1:45" ht="17.25" thickBot="1" x14ac:dyDescent="0.3">
      <c r="A30" s="467"/>
      <c r="B30" s="354"/>
      <c r="C30" s="285">
        <v>1699118</v>
      </c>
      <c r="D30" s="358" t="s">
        <v>411</v>
      </c>
      <c r="E30" s="360"/>
      <c r="F30" s="361" t="e">
        <f>#REF!-AK30+AL30</f>
        <v>#REF!</v>
      </c>
      <c r="G30" s="364">
        <v>0</v>
      </c>
      <c r="H30" s="369">
        <v>1</v>
      </c>
      <c r="I30" s="445">
        <v>0</v>
      </c>
      <c r="J30" s="232">
        <f t="shared" si="0"/>
        <v>0</v>
      </c>
      <c r="K30" s="369">
        <v>0</v>
      </c>
      <c r="L30" s="218"/>
      <c r="M30" s="218"/>
      <c r="N30" s="218"/>
      <c r="O30" s="218"/>
      <c r="P30" s="352"/>
      <c r="Q30" s="352"/>
      <c r="R30" s="352"/>
      <c r="S30" s="352"/>
      <c r="T30" s="352"/>
      <c r="U30" s="352"/>
      <c r="V30" s="218"/>
      <c r="W30" s="218"/>
      <c r="X30" s="218"/>
      <c r="Y30" s="218"/>
      <c r="Z30" s="218"/>
      <c r="AA30" s="218"/>
      <c r="AB30" s="218">
        <v>1</v>
      </c>
      <c r="AC30" s="218"/>
      <c r="AD30" s="218"/>
      <c r="AE30" s="218"/>
      <c r="AF30" s="218">
        <v>1</v>
      </c>
      <c r="AG30" s="218"/>
      <c r="AH30" s="218"/>
      <c r="AI30" s="218"/>
      <c r="AJ30" s="218"/>
      <c r="AK30" s="218" t="e">
        <f>#REF!+AL30-G30</f>
        <v>#REF!</v>
      </c>
      <c r="AL30" s="218"/>
      <c r="AM30" s="353"/>
      <c r="AN30" s="295"/>
      <c r="AO30" s="296"/>
      <c r="AP30" s="353"/>
      <c r="AQ30" s="290"/>
      <c r="AR30" s="290"/>
      <c r="AS30" s="290"/>
    </row>
    <row r="31" spans="1:45" ht="17.25" thickBot="1" x14ac:dyDescent="0.3">
      <c r="A31" s="467"/>
      <c r="B31" s="354"/>
      <c r="C31" s="285">
        <v>1699119</v>
      </c>
      <c r="D31" s="358" t="s">
        <v>412</v>
      </c>
      <c r="E31" s="360"/>
      <c r="F31" s="361" t="e">
        <f>#REF!-AK31+AL31</f>
        <v>#REF!</v>
      </c>
      <c r="G31" s="364">
        <v>3</v>
      </c>
      <c r="H31" s="369">
        <v>1</v>
      </c>
      <c r="I31" s="445">
        <v>3</v>
      </c>
      <c r="J31" s="232">
        <f>I31-G31</f>
        <v>0</v>
      </c>
      <c r="K31" s="369">
        <v>2</v>
      </c>
      <c r="L31" s="218"/>
      <c r="M31" s="218"/>
      <c r="N31" s="218"/>
      <c r="O31" s="218"/>
      <c r="P31" s="352"/>
      <c r="Q31" s="352"/>
      <c r="R31" s="352"/>
      <c r="S31" s="352"/>
      <c r="T31" s="352"/>
      <c r="U31" s="352"/>
      <c r="V31" s="218"/>
      <c r="W31" s="218"/>
      <c r="X31" s="218"/>
      <c r="Y31" s="218"/>
      <c r="Z31" s="218"/>
      <c r="AA31" s="218"/>
      <c r="AB31" s="218">
        <v>2</v>
      </c>
      <c r="AC31" s="218"/>
      <c r="AD31" s="218"/>
      <c r="AE31" s="218"/>
      <c r="AF31" s="218">
        <v>1</v>
      </c>
      <c r="AG31" s="218">
        <v>1</v>
      </c>
      <c r="AH31" s="218"/>
      <c r="AI31" s="218"/>
      <c r="AJ31" s="218"/>
      <c r="AK31" s="218" t="e">
        <f>#REF!+AL31-G31</f>
        <v>#REF!</v>
      </c>
      <c r="AL31" s="218"/>
      <c r="AM31" s="353"/>
      <c r="AN31" s="295"/>
      <c r="AO31" s="296"/>
      <c r="AP31" s="353"/>
      <c r="AQ31" s="290"/>
      <c r="AR31" s="290"/>
      <c r="AS31" s="290"/>
    </row>
    <row r="32" spans="1:45" ht="17.25" thickBot="1" x14ac:dyDescent="0.3">
      <c r="A32" s="467"/>
      <c r="B32" s="354"/>
      <c r="C32" s="285">
        <v>1699130</v>
      </c>
      <c r="D32" s="358" t="s">
        <v>413</v>
      </c>
      <c r="E32" s="360"/>
      <c r="F32" s="361" t="e">
        <f>#REF!-AK32+AL32</f>
        <v>#REF!</v>
      </c>
      <c r="G32" s="364">
        <v>3</v>
      </c>
      <c r="H32" s="369">
        <v>4</v>
      </c>
      <c r="I32" s="445">
        <v>3</v>
      </c>
      <c r="J32" s="232">
        <f>I32-G32</f>
        <v>0</v>
      </c>
      <c r="K32" s="369">
        <v>1</v>
      </c>
      <c r="L32" s="218"/>
      <c r="M32" s="218"/>
      <c r="N32" s="218"/>
      <c r="O32" s="218"/>
      <c r="P32" s="352"/>
      <c r="Q32" s="352"/>
      <c r="R32" s="352"/>
      <c r="S32" s="352"/>
      <c r="T32" s="352"/>
      <c r="U32" s="352"/>
      <c r="V32" s="218"/>
      <c r="W32" s="218"/>
      <c r="X32" s="218"/>
      <c r="Y32" s="218"/>
      <c r="Z32" s="218"/>
      <c r="AA32" s="218">
        <v>2</v>
      </c>
      <c r="AB32" s="218"/>
      <c r="AC32" s="218"/>
      <c r="AD32" s="218">
        <v>4</v>
      </c>
      <c r="AE32" s="218"/>
      <c r="AF32" s="218"/>
      <c r="AG32" s="218">
        <v>1</v>
      </c>
      <c r="AH32" s="218"/>
      <c r="AI32" s="218"/>
      <c r="AJ32" s="218"/>
      <c r="AK32" s="218" t="e">
        <f>#REF!+AL32-G32</f>
        <v>#REF!</v>
      </c>
      <c r="AL32" s="218"/>
      <c r="AM32" s="353"/>
      <c r="AN32" s="295"/>
      <c r="AO32" s="296"/>
      <c r="AP32" s="353"/>
      <c r="AQ32" s="290"/>
      <c r="AR32" s="290"/>
      <c r="AS32" s="290"/>
    </row>
    <row r="33" spans="1:45" ht="17.25" thickBot="1" x14ac:dyDescent="0.3">
      <c r="A33" s="467"/>
      <c r="B33" s="354"/>
      <c r="C33" s="285">
        <v>1699131</v>
      </c>
      <c r="D33" s="358" t="s">
        <v>414</v>
      </c>
      <c r="E33" s="360"/>
      <c r="F33" s="361" t="e">
        <f>#REF!-AK33+AL33</f>
        <v>#REF!</v>
      </c>
      <c r="G33" s="364">
        <v>2</v>
      </c>
      <c r="H33" s="397">
        <v>3</v>
      </c>
      <c r="I33" s="415">
        <v>1</v>
      </c>
      <c r="J33" s="232">
        <f t="shared" si="0"/>
        <v>-1</v>
      </c>
      <c r="K33" s="364">
        <v>1</v>
      </c>
      <c r="L33" s="218"/>
      <c r="M33" s="218"/>
      <c r="N33" s="218"/>
      <c r="O33" s="218"/>
      <c r="P33" s="352"/>
      <c r="Q33" s="352"/>
      <c r="R33" s="352"/>
      <c r="S33" s="352"/>
      <c r="T33" s="352"/>
      <c r="U33" s="352"/>
      <c r="V33" s="218"/>
      <c r="W33" s="218"/>
      <c r="X33" s="218"/>
      <c r="Y33" s="218"/>
      <c r="Z33" s="218"/>
      <c r="AA33" s="218"/>
      <c r="AB33" s="218">
        <v>1</v>
      </c>
      <c r="AC33" s="218"/>
      <c r="AD33" s="218"/>
      <c r="AE33" s="218"/>
      <c r="AF33" s="218">
        <v>2</v>
      </c>
      <c r="AG33" s="218">
        <v>1</v>
      </c>
      <c r="AH33" s="218"/>
      <c r="AI33" s="218"/>
      <c r="AJ33" s="218"/>
      <c r="AK33" s="218" t="e">
        <f>#REF!+AL33-G33</f>
        <v>#REF!</v>
      </c>
      <c r="AL33" s="218"/>
      <c r="AM33" s="353"/>
      <c r="AN33" s="295"/>
      <c r="AO33" s="296"/>
      <c r="AP33" s="353"/>
      <c r="AQ33" s="290"/>
      <c r="AR33" s="290"/>
      <c r="AS33" s="290"/>
    </row>
    <row r="34" spans="1:45" ht="17.25" thickBot="1" x14ac:dyDescent="0.3">
      <c r="A34" s="468"/>
      <c r="B34" s="354"/>
      <c r="C34" s="285">
        <v>1699132</v>
      </c>
      <c r="D34" s="358" t="s">
        <v>415</v>
      </c>
      <c r="E34" s="285"/>
      <c r="F34" s="362" t="e">
        <f>#REF!-AK34+AL34</f>
        <v>#REF!</v>
      </c>
      <c r="G34" s="364">
        <v>3</v>
      </c>
      <c r="H34" s="397">
        <v>3</v>
      </c>
      <c r="I34" s="445">
        <v>3</v>
      </c>
      <c r="J34" s="232">
        <f t="shared" si="0"/>
        <v>0</v>
      </c>
      <c r="K34" s="364">
        <v>0</v>
      </c>
      <c r="L34" s="218"/>
      <c r="M34" s="218"/>
      <c r="N34" s="218"/>
      <c r="O34" s="218"/>
      <c r="P34" s="352"/>
      <c r="Q34" s="352"/>
      <c r="R34" s="352"/>
      <c r="S34" s="352"/>
      <c r="T34" s="352"/>
      <c r="U34" s="352"/>
      <c r="V34" s="218"/>
      <c r="W34" s="218"/>
      <c r="X34" s="218"/>
      <c r="Y34" s="218"/>
      <c r="Z34" s="218"/>
      <c r="AA34" s="218"/>
      <c r="AB34" s="218"/>
      <c r="AC34" s="218"/>
      <c r="AD34" s="218"/>
      <c r="AE34" s="218"/>
      <c r="AF34" s="218">
        <v>2</v>
      </c>
      <c r="AG34" s="218"/>
      <c r="AH34" s="218"/>
      <c r="AI34" s="218"/>
      <c r="AJ34" s="218"/>
      <c r="AK34" s="218" t="e">
        <f>#REF!+AL34-G34</f>
        <v>#REF!</v>
      </c>
      <c r="AL34" s="218"/>
      <c r="AM34" s="353"/>
      <c r="AN34" s="295"/>
      <c r="AO34" s="296"/>
      <c r="AP34" s="353"/>
      <c r="AQ34" s="290"/>
      <c r="AR34" s="290"/>
      <c r="AS34" s="290"/>
    </row>
    <row r="35" spans="1:45" ht="14.25" thickBot="1" x14ac:dyDescent="0.3">
      <c r="B35" s="338" t="s">
        <v>18</v>
      </c>
      <c r="C35" s="339">
        <v>45859</v>
      </c>
      <c r="AA35" s="290">
        <v>0</v>
      </c>
      <c r="AL35" s="290"/>
      <c r="AM35" s="290"/>
    </row>
    <row r="36" spans="1:45" ht="41.25" thickBot="1" x14ac:dyDescent="0.3">
      <c r="B36" s="283" t="s">
        <v>0</v>
      </c>
      <c r="C36" s="284" t="s">
        <v>1</v>
      </c>
      <c r="D36" s="284" t="s">
        <v>2</v>
      </c>
      <c r="E36" s="284" t="s">
        <v>3</v>
      </c>
      <c r="F36" s="4" t="s">
        <v>318</v>
      </c>
      <c r="G36" s="351" t="s">
        <v>629</v>
      </c>
      <c r="H36" s="382" t="s">
        <v>460</v>
      </c>
      <c r="I36" s="234" t="s">
        <v>630</v>
      </c>
      <c r="J36" s="234"/>
      <c r="K36" s="258" t="s">
        <v>631</v>
      </c>
      <c r="L36" s="258" t="s">
        <v>328</v>
      </c>
      <c r="M36" s="258" t="s">
        <v>327</v>
      </c>
      <c r="N36" s="234" t="s">
        <v>389</v>
      </c>
      <c r="O36" s="240" t="s">
        <v>130</v>
      </c>
      <c r="P36" s="243" t="s">
        <v>303</v>
      </c>
      <c r="Q36" s="244" t="s">
        <v>304</v>
      </c>
      <c r="R36" s="244" t="s">
        <v>314</v>
      </c>
      <c r="S36" s="245" t="s">
        <v>338</v>
      </c>
      <c r="T36" s="245" t="s">
        <v>345</v>
      </c>
      <c r="U36" s="245" t="s">
        <v>361</v>
      </c>
      <c r="V36" s="245" t="s">
        <v>387</v>
      </c>
      <c r="W36" s="245" t="s">
        <v>421</v>
      </c>
      <c r="X36" s="245" t="s">
        <v>452</v>
      </c>
      <c r="Y36" s="245" t="s">
        <v>463</v>
      </c>
      <c r="Z36" s="245" t="s">
        <v>481</v>
      </c>
      <c r="AA36" s="245" t="s">
        <v>498</v>
      </c>
      <c r="AB36" s="245" t="s">
        <v>303</v>
      </c>
      <c r="AC36" s="245" t="s">
        <v>304</v>
      </c>
      <c r="AD36" s="245" t="s">
        <v>314</v>
      </c>
      <c r="AE36" s="245" t="s">
        <v>338</v>
      </c>
      <c r="AF36" s="245" t="s">
        <v>345</v>
      </c>
      <c r="AG36" s="245" t="s">
        <v>361</v>
      </c>
      <c r="AH36" s="245" t="s">
        <v>387</v>
      </c>
      <c r="AI36" s="245"/>
      <c r="AJ36" s="245" t="s">
        <v>360</v>
      </c>
      <c r="AK36" s="246" t="s">
        <v>268</v>
      </c>
      <c r="AL36" s="247" t="s">
        <v>269</v>
      </c>
      <c r="AM36" s="291" t="s">
        <v>288</v>
      </c>
      <c r="AN36" s="292" t="s">
        <v>289</v>
      </c>
      <c r="AO36" s="292" t="s">
        <v>287</v>
      </c>
      <c r="AP36" s="293" t="s">
        <v>290</v>
      </c>
      <c r="AQ36" s="290" t="s">
        <v>306</v>
      </c>
      <c r="AR36" s="290" t="s">
        <v>310</v>
      </c>
      <c r="AS36" s="290" t="s">
        <v>311</v>
      </c>
    </row>
    <row r="37" spans="1:45" ht="17.25" thickBot="1" x14ac:dyDescent="0.3">
      <c r="A37" s="463" t="s">
        <v>416</v>
      </c>
      <c r="B37" s="285">
        <v>273664</v>
      </c>
      <c r="C37" s="286">
        <v>1135749</v>
      </c>
      <c r="D37" s="286" t="s">
        <v>7</v>
      </c>
      <c r="E37" s="286">
        <v>6060050026</v>
      </c>
      <c r="F37" s="253">
        <f>G72-AK37+AL37</f>
        <v>10</v>
      </c>
      <c r="G37" s="235">
        <v>10</v>
      </c>
      <c r="H37" s="394">
        <v>5</v>
      </c>
      <c r="I37" s="232">
        <v>10</v>
      </c>
      <c r="J37" s="232">
        <f>I37-G37</f>
        <v>0</v>
      </c>
      <c r="K37" s="232">
        <v>4</v>
      </c>
      <c r="L37" s="232">
        <f>IF(K71=K36,L72+AK37,K37)</f>
        <v>4</v>
      </c>
      <c r="M37" s="232">
        <f>IF(K71=K36,0,L72+AK37-K37)</f>
        <v>12</v>
      </c>
      <c r="N37" s="267">
        <v>5</v>
      </c>
      <c r="O37" s="241">
        <f>N37-G37</f>
        <v>-5</v>
      </c>
      <c r="P37" s="277">
        <v>4</v>
      </c>
      <c r="Q37" s="278">
        <v>4</v>
      </c>
      <c r="R37" s="279"/>
      <c r="S37" s="279">
        <v>3</v>
      </c>
      <c r="T37" s="279">
        <v>4</v>
      </c>
      <c r="U37" s="279">
        <v>2</v>
      </c>
      <c r="V37" s="279"/>
      <c r="W37" s="279">
        <f>2+3</f>
        <v>5</v>
      </c>
      <c r="X37" s="241"/>
      <c r="Y37" s="241"/>
      <c r="Z37" s="241"/>
      <c r="AA37" s="241">
        <v>4</v>
      </c>
      <c r="AB37" s="241">
        <v>5</v>
      </c>
      <c r="AC37" s="241"/>
      <c r="AD37" s="241">
        <v>6</v>
      </c>
      <c r="AE37" s="241"/>
      <c r="AF37" s="241">
        <v>2</v>
      </c>
      <c r="AG37" s="241"/>
      <c r="AH37" s="241"/>
      <c r="AI37" s="241"/>
      <c r="AJ37" s="241">
        <f>N37-V37</f>
        <v>5</v>
      </c>
      <c r="AK37" s="235">
        <f>G72+AL37-G37</f>
        <v>12</v>
      </c>
      <c r="AL37" s="350"/>
      <c r="AM37" s="294">
        <v>1.5</v>
      </c>
      <c r="AN37" s="295">
        <v>4</v>
      </c>
      <c r="AO37" s="296">
        <f>G37/(AN37)</f>
        <v>2.5</v>
      </c>
      <c r="AP37" s="297">
        <f>AN37*6</f>
        <v>24</v>
      </c>
      <c r="AQ37" s="290">
        <f>G37+K37</f>
        <v>14</v>
      </c>
      <c r="AR37" s="290">
        <f>IF(G37&lt;G72,(G72-G37+K72-K37),K72-K37)</f>
        <v>12</v>
      </c>
      <c r="AS37" s="290">
        <f>21-8</f>
        <v>13</v>
      </c>
    </row>
    <row r="38" spans="1:45" ht="17.25" thickBot="1" x14ac:dyDescent="0.3">
      <c r="A38" s="464"/>
      <c r="B38" s="285">
        <v>273672</v>
      </c>
      <c r="C38" s="286">
        <v>1135750</v>
      </c>
      <c r="D38" s="286" t="s">
        <v>9</v>
      </c>
      <c r="E38" s="287">
        <v>204000000000</v>
      </c>
      <c r="F38" s="253">
        <f>G73-AK38+AL38</f>
        <v>22</v>
      </c>
      <c r="G38" s="235">
        <v>22</v>
      </c>
      <c r="H38" s="394">
        <v>16</v>
      </c>
      <c r="I38" s="232">
        <v>22</v>
      </c>
      <c r="J38" s="232">
        <f t="shared" ref="J38:J68" si="1">I38-G38</f>
        <v>0</v>
      </c>
      <c r="K38" s="232">
        <v>11</v>
      </c>
      <c r="L38" s="232">
        <f>IF(K71=K36,L73+AK38,K38)</f>
        <v>11</v>
      </c>
      <c r="M38" s="232">
        <f>IF(K71=K36,0,L73+AK38-K38)</f>
        <v>-28</v>
      </c>
      <c r="N38" s="267">
        <v>10</v>
      </c>
      <c r="O38" s="241">
        <f>N38-G38</f>
        <v>-12</v>
      </c>
      <c r="P38" s="277">
        <v>13</v>
      </c>
      <c r="Q38" s="278">
        <v>2</v>
      </c>
      <c r="R38" s="279">
        <v>6</v>
      </c>
      <c r="S38" s="279">
        <v>6</v>
      </c>
      <c r="T38" s="279">
        <v>10</v>
      </c>
      <c r="U38" s="279">
        <v>4</v>
      </c>
      <c r="V38" s="279">
        <v>6</v>
      </c>
      <c r="W38" s="279">
        <v>16</v>
      </c>
      <c r="X38" s="241"/>
      <c r="Y38" s="241">
        <v>6</v>
      </c>
      <c r="Z38" s="241">
        <v>4</v>
      </c>
      <c r="AA38" s="241">
        <v>6</v>
      </c>
      <c r="AB38" s="241">
        <v>14</v>
      </c>
      <c r="AC38" s="241"/>
      <c r="AD38" s="241">
        <v>12</v>
      </c>
      <c r="AE38" s="241">
        <v>6</v>
      </c>
      <c r="AF38" s="241">
        <v>14</v>
      </c>
      <c r="AG38" s="241"/>
      <c r="AH38" s="241"/>
      <c r="AI38" s="241"/>
      <c r="AJ38" s="241">
        <f>N38-V38</f>
        <v>4</v>
      </c>
      <c r="AK38" s="235">
        <f>G73+AL38-G38</f>
        <v>-19</v>
      </c>
      <c r="AL38" s="236"/>
      <c r="AM38" s="298">
        <v>4.2</v>
      </c>
      <c r="AN38" s="295">
        <v>9</v>
      </c>
      <c r="AO38" s="296">
        <f>G38/(AN38)</f>
        <v>2.4444444444444446</v>
      </c>
      <c r="AP38" s="297">
        <f>AN38*6</f>
        <v>54</v>
      </c>
      <c r="AQ38" s="290">
        <f>G38+K38</f>
        <v>33</v>
      </c>
      <c r="AR38" s="290">
        <f>IF(G38&lt;G73,(G73-G38+K73-K38),K73-K38)</f>
        <v>-9</v>
      </c>
      <c r="AS38" s="290">
        <f>21-8</f>
        <v>13</v>
      </c>
    </row>
    <row r="39" spans="1:45" ht="17.25" thickBot="1" x14ac:dyDescent="0.3">
      <c r="A39" s="464"/>
      <c r="B39" s="285">
        <v>273702</v>
      </c>
      <c r="C39" s="286">
        <v>1135753</v>
      </c>
      <c r="D39" s="286" t="s">
        <v>10</v>
      </c>
      <c r="E39" s="287">
        <v>301000000000</v>
      </c>
      <c r="F39" s="253">
        <f>G74-AK39+AL39</f>
        <v>3</v>
      </c>
      <c r="G39" s="235">
        <v>3</v>
      </c>
      <c r="H39" s="394">
        <v>1</v>
      </c>
      <c r="I39" s="232">
        <v>3</v>
      </c>
      <c r="J39" s="232">
        <f t="shared" si="1"/>
        <v>0</v>
      </c>
      <c r="K39" s="232">
        <v>2</v>
      </c>
      <c r="L39" s="232">
        <f>IF(K71=K36,L74+AK39,K39)</f>
        <v>2</v>
      </c>
      <c r="M39" s="232">
        <f>IF(K71=K36,0,L74+AK39-K39)</f>
        <v>-2</v>
      </c>
      <c r="N39" s="232">
        <v>2</v>
      </c>
      <c r="O39" s="241">
        <f>N39-G39</f>
        <v>-1</v>
      </c>
      <c r="P39" s="277"/>
      <c r="Q39" s="278"/>
      <c r="R39" s="279"/>
      <c r="S39" s="279"/>
      <c r="T39" s="279"/>
      <c r="U39" s="279"/>
      <c r="V39" s="279"/>
      <c r="W39" s="279"/>
      <c r="X39" s="241"/>
      <c r="Y39" s="241"/>
      <c r="Z39" s="241"/>
      <c r="AA39" s="241"/>
      <c r="AB39" s="241">
        <v>2</v>
      </c>
      <c r="AC39" s="241"/>
      <c r="AD39" s="241"/>
      <c r="AE39" s="241"/>
      <c r="AF39" s="241"/>
      <c r="AG39" s="241"/>
      <c r="AH39" s="241"/>
      <c r="AI39" s="241"/>
      <c r="AJ39" s="241">
        <f>N39-V39</f>
        <v>2</v>
      </c>
      <c r="AK39" s="417">
        <f>G74+AL39-G39</f>
        <v>-2</v>
      </c>
      <c r="AL39" s="236"/>
      <c r="AM39" s="294">
        <f>4/12</f>
        <v>0.33333333333333331</v>
      </c>
      <c r="AN39" s="295">
        <v>2</v>
      </c>
      <c r="AO39" s="296">
        <f>G39/(AN39)</f>
        <v>1.5</v>
      </c>
      <c r="AP39" s="297">
        <f>AN39*6</f>
        <v>12</v>
      </c>
      <c r="AQ39" s="290">
        <f>G39+K39</f>
        <v>5</v>
      </c>
      <c r="AR39" s="290">
        <f>IF(G39&lt;G74,(G74-G39+K74-K39),K74-K39)</f>
        <v>0</v>
      </c>
      <c r="AS39" s="290">
        <f>21-8</f>
        <v>13</v>
      </c>
    </row>
    <row r="40" spans="1:45" ht="17.25" thickBot="1" x14ac:dyDescent="0.3">
      <c r="A40" s="464"/>
      <c r="B40" s="285">
        <v>273698</v>
      </c>
      <c r="C40" s="286">
        <v>1135752</v>
      </c>
      <c r="D40" s="286" t="s">
        <v>11</v>
      </c>
      <c r="E40" s="287">
        <v>701000000000</v>
      </c>
      <c r="F40" s="253">
        <f>G75-AK40+AL40</f>
        <v>1</v>
      </c>
      <c r="G40" s="235">
        <v>1</v>
      </c>
      <c r="H40" s="394">
        <v>2</v>
      </c>
      <c r="I40" s="232">
        <v>1</v>
      </c>
      <c r="J40" s="232">
        <f t="shared" si="1"/>
        <v>0</v>
      </c>
      <c r="K40" s="232">
        <v>2</v>
      </c>
      <c r="L40" s="232">
        <f>IF(K71=K36,L75+AK40,K40)</f>
        <v>2</v>
      </c>
      <c r="M40" s="232">
        <f>IF(K71=K36,0,L75+AK40-K40)</f>
        <v>18</v>
      </c>
      <c r="N40" s="232">
        <v>3</v>
      </c>
      <c r="O40" s="241">
        <f>N40-G40</f>
        <v>2</v>
      </c>
      <c r="P40" s="277">
        <v>2</v>
      </c>
      <c r="Q40" s="278"/>
      <c r="R40" s="279"/>
      <c r="S40" s="279"/>
      <c r="T40" s="279"/>
      <c r="U40" s="279"/>
      <c r="V40" s="279"/>
      <c r="W40" s="279">
        <v>1</v>
      </c>
      <c r="X40" s="241"/>
      <c r="Y40" s="241"/>
      <c r="Z40" s="241"/>
      <c r="AA40" s="241"/>
      <c r="AB40" s="241">
        <v>2</v>
      </c>
      <c r="AC40" s="241"/>
      <c r="AD40" s="241">
        <v>2</v>
      </c>
      <c r="AE40" s="241"/>
      <c r="AF40" s="241">
        <v>1</v>
      </c>
      <c r="AG40" s="241">
        <v>2</v>
      </c>
      <c r="AH40" s="241"/>
      <c r="AI40" s="241"/>
      <c r="AJ40" s="241">
        <f>N40-V40</f>
        <v>3</v>
      </c>
      <c r="AK40" s="235">
        <f>G75+AL40-G40</f>
        <v>11</v>
      </c>
      <c r="AL40" s="236"/>
      <c r="AM40" s="294">
        <f>4/12</f>
        <v>0.33333333333333331</v>
      </c>
      <c r="AN40" s="295">
        <v>2</v>
      </c>
      <c r="AO40" s="296">
        <f>G40/(AN40)</f>
        <v>0.5</v>
      </c>
      <c r="AP40" s="297">
        <f>AN40*6</f>
        <v>12</v>
      </c>
      <c r="AQ40" s="290">
        <f>G40+K40</f>
        <v>3</v>
      </c>
      <c r="AR40" s="290">
        <f>IF(G40&lt;G75,(G75-G40+K75-K40),K75-K40)</f>
        <v>18</v>
      </c>
      <c r="AS40" s="290">
        <f>21-8</f>
        <v>13</v>
      </c>
    </row>
    <row r="41" spans="1:45" ht="17.25" thickBot="1" x14ac:dyDescent="0.3">
      <c r="A41" s="465"/>
      <c r="B41" s="285">
        <v>273680</v>
      </c>
      <c r="C41" s="286">
        <v>1135751</v>
      </c>
      <c r="D41" s="286" t="s">
        <v>12</v>
      </c>
      <c r="E41" s="286" t="s">
        <v>13</v>
      </c>
      <c r="F41" s="254">
        <f>G76-AK41+AL41</f>
        <v>12</v>
      </c>
      <c r="G41" s="237">
        <v>12</v>
      </c>
      <c r="H41" s="395">
        <v>8</v>
      </c>
      <c r="I41" s="238">
        <v>12</v>
      </c>
      <c r="J41" s="232">
        <f t="shared" si="1"/>
        <v>0</v>
      </c>
      <c r="K41" s="238">
        <v>9</v>
      </c>
      <c r="L41" s="238">
        <f>IF(K71=K36,L76+AK41,K41)</f>
        <v>9</v>
      </c>
      <c r="M41" s="238">
        <f>IF(K71=K36,0,L76+AK41-K41)</f>
        <v>-21</v>
      </c>
      <c r="N41" s="238">
        <v>9</v>
      </c>
      <c r="O41" s="242">
        <f>N41-G41</f>
        <v>-3</v>
      </c>
      <c r="P41" s="280"/>
      <c r="Q41" s="281"/>
      <c r="R41" s="282"/>
      <c r="S41" s="282"/>
      <c r="T41" s="282">
        <v>11</v>
      </c>
      <c r="U41" s="282"/>
      <c r="V41" s="282"/>
      <c r="W41" s="282">
        <v>9</v>
      </c>
      <c r="X41" s="242"/>
      <c r="Y41" s="242">
        <v>9</v>
      </c>
      <c r="Z41" s="242"/>
      <c r="AA41" s="242"/>
      <c r="AB41" s="242">
        <v>5</v>
      </c>
      <c r="AC41" s="242"/>
      <c r="AD41" s="242">
        <v>5</v>
      </c>
      <c r="AE41" s="242"/>
      <c r="AF41" s="242">
        <v>9</v>
      </c>
      <c r="AG41" s="242"/>
      <c r="AH41" s="242"/>
      <c r="AI41" s="242"/>
      <c r="AJ41" s="242">
        <f>N41-V41</f>
        <v>9</v>
      </c>
      <c r="AK41" s="420">
        <f>G76+AL41-G41</f>
        <v>-12</v>
      </c>
      <c r="AL41" s="239"/>
      <c r="AM41" s="299">
        <f>30/12</f>
        <v>2.5</v>
      </c>
      <c r="AN41" s="300">
        <f>AM41*2</f>
        <v>5</v>
      </c>
      <c r="AO41" s="301">
        <f>G41/(AN41)</f>
        <v>2.4</v>
      </c>
      <c r="AP41" s="302">
        <f>AN41*6</f>
        <v>30</v>
      </c>
      <c r="AQ41" s="290">
        <f>G41+K41</f>
        <v>21</v>
      </c>
      <c r="AR41" s="290">
        <f>IF(G41&lt;G76,(G76-G41+K76-K41),K76-K41)</f>
        <v>-9</v>
      </c>
      <c r="AS41" s="290">
        <f>21-8</f>
        <v>13</v>
      </c>
    </row>
    <row r="42" spans="1:45" ht="17.25" thickBot="1" x14ac:dyDescent="0.3">
      <c r="A42" s="466" t="s">
        <v>417</v>
      </c>
      <c r="B42" s="355" t="s">
        <v>129</v>
      </c>
      <c r="C42" s="356"/>
      <c r="D42" s="356"/>
      <c r="E42" s="359"/>
      <c r="F42" s="359"/>
      <c r="G42" s="356"/>
      <c r="H42" s="396"/>
      <c r="I42" s="356"/>
      <c r="J42" s="232">
        <f t="shared" si="1"/>
        <v>0</v>
      </c>
      <c r="K42" s="356"/>
      <c r="L42" s="356"/>
      <c r="M42" s="356"/>
      <c r="N42" s="356"/>
      <c r="O42" s="356"/>
      <c r="P42" s="356"/>
      <c r="Q42" s="356"/>
      <c r="R42" s="356"/>
      <c r="S42" s="356"/>
      <c r="T42" s="356"/>
      <c r="U42" s="356"/>
      <c r="V42" s="356"/>
      <c r="W42" s="356"/>
      <c r="X42" s="356"/>
      <c r="Y42" s="356"/>
      <c r="Z42" s="356"/>
      <c r="AA42" s="356"/>
      <c r="AB42" s="356"/>
      <c r="AC42" s="356"/>
      <c r="AD42" s="356"/>
      <c r="AE42" s="356"/>
      <c r="AF42" s="356"/>
      <c r="AG42" s="356"/>
      <c r="AH42" s="356"/>
      <c r="AI42" s="356"/>
      <c r="AJ42" s="356"/>
      <c r="AK42" s="356"/>
      <c r="AL42" s="367"/>
      <c r="AM42" s="356"/>
      <c r="AN42" s="356"/>
      <c r="AO42" s="356"/>
      <c r="AP42" s="356"/>
      <c r="AQ42" s="356"/>
      <c r="AR42" s="356"/>
      <c r="AS42" s="357"/>
    </row>
    <row r="43" spans="1:45" ht="17.25" thickBot="1" x14ac:dyDescent="0.3">
      <c r="A43" s="467"/>
      <c r="B43" s="354"/>
      <c r="C43" s="354">
        <v>1140327</v>
      </c>
      <c r="D43" s="358" t="s">
        <v>394</v>
      </c>
      <c r="E43" s="360"/>
      <c r="F43" s="361">
        <f>G78-AK43+AL43</f>
        <v>25</v>
      </c>
      <c r="G43" s="218">
        <v>25</v>
      </c>
      <c r="H43" s="397">
        <v>23</v>
      </c>
      <c r="I43" s="218">
        <v>25</v>
      </c>
      <c r="J43" s="232">
        <f t="shared" si="1"/>
        <v>0</v>
      </c>
      <c r="K43" s="218">
        <v>9</v>
      </c>
      <c r="L43" s="218">
        <f>IF(K71=K36,L78+AK43,K43)</f>
        <v>9</v>
      </c>
      <c r="M43" s="218">
        <f>IF(K71=K36,0,L78+AK43-K43)</f>
        <v>-21</v>
      </c>
      <c r="N43" s="218"/>
      <c r="O43" s="218"/>
      <c r="P43" s="352"/>
      <c r="Q43" s="352"/>
      <c r="R43" s="352"/>
      <c r="S43" s="352"/>
      <c r="T43" s="352"/>
      <c r="U43" s="352"/>
      <c r="V43" s="218"/>
      <c r="W43" s="218"/>
      <c r="X43" s="218">
        <v>4</v>
      </c>
      <c r="Y43" s="218">
        <v>9</v>
      </c>
      <c r="Z43" s="218">
        <v>14</v>
      </c>
      <c r="AA43" s="218">
        <v>8</v>
      </c>
      <c r="AB43" s="218">
        <f>14+6</f>
        <v>20</v>
      </c>
      <c r="AC43" s="218">
        <v>10</v>
      </c>
      <c r="AD43" s="218">
        <v>12</v>
      </c>
      <c r="AE43" s="218">
        <v>17</v>
      </c>
      <c r="AF43" s="218">
        <v>6</v>
      </c>
      <c r="AG43" s="218">
        <v>6</v>
      </c>
      <c r="AH43" s="218">
        <v>6</v>
      </c>
      <c r="AI43" s="218"/>
      <c r="AJ43" s="242">
        <f>N43-V43</f>
        <v>0</v>
      </c>
      <c r="AK43" s="274">
        <f>G78+AL43-G43</f>
        <v>-16</v>
      </c>
      <c r="AL43" s="232"/>
      <c r="AM43" s="353"/>
      <c r="AN43" s="295"/>
      <c r="AO43" s="296"/>
      <c r="AP43" s="353"/>
      <c r="AQ43" s="290"/>
      <c r="AR43" s="290"/>
      <c r="AS43" s="290"/>
    </row>
    <row r="44" spans="1:45" ht="17.25" thickBot="1" x14ac:dyDescent="0.3">
      <c r="A44" s="467"/>
      <c r="B44" s="354"/>
      <c r="C44" s="285">
        <v>1151231</v>
      </c>
      <c r="D44" s="358" t="s">
        <v>395</v>
      </c>
      <c r="E44" s="360"/>
      <c r="F44" s="361">
        <v>12</v>
      </c>
      <c r="G44" s="369">
        <v>9</v>
      </c>
      <c r="H44" s="397">
        <v>13</v>
      </c>
      <c r="I44" s="218">
        <v>6</v>
      </c>
      <c r="J44" s="232">
        <f t="shared" si="1"/>
        <v>-3</v>
      </c>
      <c r="K44" s="218">
        <v>6</v>
      </c>
      <c r="L44" s="218">
        <f>IF(K71=K36,L79+AK44,K44)</f>
        <v>6</v>
      </c>
      <c r="M44" s="218">
        <f>IF(K71=K36,0,L79+AK44-K44)</f>
        <v>-15</v>
      </c>
      <c r="N44" s="218"/>
      <c r="O44" s="218"/>
      <c r="P44" s="352"/>
      <c r="Q44" s="352"/>
      <c r="R44" s="352"/>
      <c r="S44" s="352"/>
      <c r="T44" s="352"/>
      <c r="U44" s="352"/>
      <c r="V44" s="218"/>
      <c r="W44" s="218"/>
      <c r="X44" s="218">
        <v>3</v>
      </c>
      <c r="Y44" s="218">
        <v>8</v>
      </c>
      <c r="Z44" s="218">
        <v>6</v>
      </c>
      <c r="AA44" s="218"/>
      <c r="AB44" s="218">
        <v>4</v>
      </c>
      <c r="AC44" s="218">
        <v>4</v>
      </c>
      <c r="AD44" s="218">
        <v>4</v>
      </c>
      <c r="AE44" s="218"/>
      <c r="AF44" s="218">
        <v>4</v>
      </c>
      <c r="AG44" s="218">
        <v>3</v>
      </c>
      <c r="AH44" s="218"/>
      <c r="AI44" s="218"/>
      <c r="AJ44" s="242">
        <f>N44-V44</f>
        <v>0</v>
      </c>
      <c r="AK44" s="421">
        <f>G79+AL44-G44</f>
        <v>-9</v>
      </c>
      <c r="AL44" s="267"/>
      <c r="AM44" s="353"/>
      <c r="AN44" s="295"/>
      <c r="AO44" s="296"/>
      <c r="AP44" s="353"/>
      <c r="AQ44" s="290"/>
      <c r="AR44" s="290"/>
      <c r="AS44" s="290"/>
    </row>
    <row r="45" spans="1:45" ht="17.25" thickBot="1" x14ac:dyDescent="0.3">
      <c r="A45" s="467"/>
      <c r="B45" s="355" t="s">
        <v>420</v>
      </c>
      <c r="C45" s="356"/>
      <c r="D45" s="356" t="s">
        <v>523</v>
      </c>
      <c r="E45" s="359"/>
      <c r="F45" s="359"/>
      <c r="G45" s="356"/>
      <c r="H45" s="396"/>
      <c r="I45" s="356"/>
      <c r="J45" s="232">
        <f t="shared" si="1"/>
        <v>0</v>
      </c>
      <c r="K45" s="356"/>
      <c r="L45" s="356"/>
      <c r="M45" s="356"/>
      <c r="N45" s="356"/>
      <c r="O45" s="356"/>
      <c r="P45" s="356"/>
      <c r="Q45" s="356"/>
      <c r="R45" s="356"/>
      <c r="S45" s="356"/>
      <c r="T45" s="356"/>
      <c r="U45" s="356"/>
      <c r="V45" s="356"/>
      <c r="W45" s="356"/>
      <c r="X45" s="356"/>
      <c r="Y45" s="356"/>
      <c r="Z45" s="356"/>
      <c r="AA45" s="356"/>
      <c r="AB45" s="356"/>
      <c r="AC45" s="356"/>
      <c r="AD45" s="356"/>
      <c r="AE45" s="356"/>
      <c r="AF45" s="356"/>
      <c r="AG45" s="356"/>
      <c r="AH45" s="356"/>
      <c r="AI45" s="356"/>
      <c r="AJ45" s="356"/>
      <c r="AK45" s="356"/>
      <c r="AL45" s="368"/>
      <c r="AM45" s="356"/>
      <c r="AN45" s="356"/>
      <c r="AO45" s="356"/>
      <c r="AP45" s="356"/>
      <c r="AQ45" s="356"/>
      <c r="AR45" s="356"/>
      <c r="AS45" s="357"/>
    </row>
    <row r="46" spans="1:45" ht="17.25" thickBot="1" x14ac:dyDescent="0.3">
      <c r="A46" s="467"/>
      <c r="B46" s="354"/>
      <c r="C46" s="285">
        <v>1146032</v>
      </c>
      <c r="D46" s="358" t="s">
        <v>396</v>
      </c>
      <c r="E46" s="360"/>
      <c r="F46" s="361">
        <f>G81-AK46+AL46</f>
        <v>0</v>
      </c>
      <c r="G46" s="364">
        <v>0</v>
      </c>
      <c r="H46" s="364">
        <v>1</v>
      </c>
      <c r="I46" s="364">
        <v>0</v>
      </c>
      <c r="J46" s="232">
        <f t="shared" si="1"/>
        <v>0</v>
      </c>
      <c r="K46" s="364">
        <v>3</v>
      </c>
      <c r="L46" s="218"/>
      <c r="M46" s="218"/>
      <c r="N46" s="218"/>
      <c r="O46" s="218"/>
      <c r="P46" s="352"/>
      <c r="Q46" s="352"/>
      <c r="R46" s="352"/>
      <c r="S46" s="352"/>
      <c r="T46" s="352"/>
      <c r="U46" s="352"/>
      <c r="V46" s="218"/>
      <c r="W46" s="218"/>
      <c r="X46" s="218"/>
      <c r="Y46" s="218"/>
      <c r="Z46" s="218"/>
      <c r="AA46" s="218"/>
      <c r="AB46" s="218"/>
      <c r="AC46" s="218"/>
      <c r="AD46" s="218"/>
      <c r="AE46" s="218"/>
      <c r="AF46" s="218">
        <v>1</v>
      </c>
      <c r="AG46" s="218"/>
      <c r="AH46" s="218"/>
      <c r="AI46" s="218"/>
      <c r="AJ46" s="218"/>
      <c r="AK46" s="218">
        <f>G81+AL46-G46</f>
        <v>1</v>
      </c>
      <c r="AL46" s="218"/>
      <c r="AM46" s="353"/>
      <c r="AN46" s="295"/>
      <c r="AO46" s="296"/>
      <c r="AP46" s="353"/>
      <c r="AQ46" s="290"/>
      <c r="AR46" s="290"/>
      <c r="AS46" s="290"/>
    </row>
    <row r="47" spans="1:45" ht="17.25" thickBot="1" x14ac:dyDescent="0.3">
      <c r="A47" s="467"/>
      <c r="B47" s="354"/>
      <c r="C47" s="285">
        <v>1146021</v>
      </c>
      <c r="D47" s="358" t="s">
        <v>397</v>
      </c>
      <c r="E47" s="360"/>
      <c r="F47" s="361">
        <f>G82-AK47+AL47</f>
        <v>1</v>
      </c>
      <c r="G47" s="364">
        <v>1</v>
      </c>
      <c r="H47" s="364">
        <v>2</v>
      </c>
      <c r="I47" s="415"/>
      <c r="J47" s="232">
        <f t="shared" si="1"/>
        <v>-1</v>
      </c>
      <c r="K47" s="364">
        <v>1</v>
      </c>
      <c r="L47" s="218"/>
      <c r="M47" s="218"/>
      <c r="N47" s="218"/>
      <c r="O47" s="218"/>
      <c r="P47" s="352"/>
      <c r="Q47" s="352"/>
      <c r="R47" s="352"/>
      <c r="S47" s="352"/>
      <c r="T47" s="352"/>
      <c r="U47" s="352"/>
      <c r="V47" s="218"/>
      <c r="W47" s="218"/>
      <c r="X47" s="218"/>
      <c r="Y47" s="218"/>
      <c r="Z47" s="218"/>
      <c r="AA47" s="218"/>
      <c r="AB47" s="218"/>
      <c r="AC47" s="218"/>
      <c r="AD47" s="218"/>
      <c r="AE47" s="218"/>
      <c r="AF47" s="218"/>
      <c r="AG47" s="218">
        <v>1</v>
      </c>
      <c r="AH47" s="218"/>
      <c r="AI47" s="218"/>
      <c r="AJ47" s="218"/>
      <c r="AK47" s="218">
        <f>G82+AL47-G47</f>
        <v>1</v>
      </c>
      <c r="AL47" s="218"/>
      <c r="AM47" s="353"/>
      <c r="AN47" s="295"/>
      <c r="AO47" s="296"/>
      <c r="AP47" s="353"/>
      <c r="AQ47" s="290"/>
      <c r="AR47" s="290"/>
      <c r="AS47" s="290"/>
    </row>
    <row r="48" spans="1:45" ht="17.25" thickBot="1" x14ac:dyDescent="0.3">
      <c r="A48" s="467"/>
      <c r="B48" s="354"/>
      <c r="C48" s="285">
        <v>1146018</v>
      </c>
      <c r="D48" s="358" t="s">
        <v>398</v>
      </c>
      <c r="E48" s="360"/>
      <c r="F48" s="361">
        <f>G83-AK48+AL48</f>
        <v>2</v>
      </c>
      <c r="G48" s="364">
        <v>2</v>
      </c>
      <c r="H48" s="364">
        <v>1</v>
      </c>
      <c r="I48" s="415"/>
      <c r="J48" s="232">
        <f t="shared" si="1"/>
        <v>-2</v>
      </c>
      <c r="K48" s="364">
        <v>2</v>
      </c>
      <c r="L48" s="218"/>
      <c r="M48" s="218"/>
      <c r="N48" s="218"/>
      <c r="O48" s="218"/>
      <c r="P48" s="352"/>
      <c r="Q48" s="352"/>
      <c r="R48" s="352"/>
      <c r="S48" s="352"/>
      <c r="T48" s="352"/>
      <c r="U48" s="352"/>
      <c r="V48" s="218"/>
      <c r="W48" s="218"/>
      <c r="X48" s="218"/>
      <c r="Y48" s="218"/>
      <c r="Z48" s="218"/>
      <c r="AA48" s="218"/>
      <c r="AB48" s="218">
        <v>2</v>
      </c>
      <c r="AC48" s="218"/>
      <c r="AD48" s="218"/>
      <c r="AE48" s="218"/>
      <c r="AF48" s="218">
        <v>2</v>
      </c>
      <c r="AG48" s="218"/>
      <c r="AH48" s="218"/>
      <c r="AI48" s="218"/>
      <c r="AJ48" s="218"/>
      <c r="AK48" s="218">
        <f>G83+AL48-G48</f>
        <v>3</v>
      </c>
      <c r="AL48" s="218"/>
      <c r="AM48" s="353"/>
      <c r="AN48" s="295"/>
      <c r="AO48" s="296"/>
      <c r="AP48" s="353"/>
      <c r="AQ48" s="290"/>
      <c r="AR48" s="290"/>
      <c r="AS48" s="290"/>
    </row>
    <row r="49" spans="1:45" ht="17.25" thickBot="1" x14ac:dyDescent="0.3">
      <c r="A49" s="467"/>
      <c r="B49" s="354"/>
      <c r="C49" s="285">
        <v>1146024</v>
      </c>
      <c r="D49" s="358" t="s">
        <v>399</v>
      </c>
      <c r="E49" s="360"/>
      <c r="F49" s="361">
        <v>1</v>
      </c>
      <c r="G49" s="364">
        <v>5</v>
      </c>
      <c r="H49" s="364">
        <v>2</v>
      </c>
      <c r="I49" s="415">
        <v>3</v>
      </c>
      <c r="J49" s="232">
        <f t="shared" si="1"/>
        <v>-2</v>
      </c>
      <c r="K49" s="369">
        <v>1</v>
      </c>
      <c r="L49" s="218"/>
      <c r="M49" s="218"/>
      <c r="N49" s="218"/>
      <c r="O49" s="218"/>
      <c r="P49" s="352"/>
      <c r="Q49" s="352"/>
      <c r="R49" s="352"/>
      <c r="S49" s="352"/>
      <c r="T49" s="352"/>
      <c r="U49" s="352"/>
      <c r="V49" s="218"/>
      <c r="W49" s="218"/>
      <c r="X49" s="218"/>
      <c r="Y49" s="218"/>
      <c r="Z49" s="218"/>
      <c r="AA49" s="218">
        <v>1</v>
      </c>
      <c r="AB49" s="218">
        <v>1</v>
      </c>
      <c r="AC49" s="218"/>
      <c r="AD49" s="218"/>
      <c r="AE49" s="218"/>
      <c r="AF49" s="218">
        <v>2</v>
      </c>
      <c r="AG49" s="218"/>
      <c r="AH49" s="218"/>
      <c r="AI49" s="218"/>
      <c r="AJ49" s="218"/>
      <c r="AK49" s="415">
        <f>G84+AL49-G49</f>
        <v>-2</v>
      </c>
      <c r="AL49" s="218"/>
      <c r="AM49" s="353"/>
      <c r="AN49" s="295"/>
      <c r="AO49" s="296"/>
      <c r="AP49" s="353"/>
      <c r="AQ49" s="290"/>
      <c r="AR49" s="290"/>
      <c r="AS49" s="290"/>
    </row>
    <row r="50" spans="1:45" ht="17.25" thickBot="1" x14ac:dyDescent="0.3">
      <c r="A50" s="467"/>
      <c r="B50" s="354"/>
      <c r="C50" s="285">
        <v>1146028</v>
      </c>
      <c r="D50" s="358" t="s">
        <v>400</v>
      </c>
      <c r="E50" s="360"/>
      <c r="F50" s="361">
        <f>G85-AK50+AL50</f>
        <v>3</v>
      </c>
      <c r="G50" s="364">
        <v>3</v>
      </c>
      <c r="H50" s="364">
        <v>2</v>
      </c>
      <c r="I50" s="364">
        <v>3</v>
      </c>
      <c r="J50" s="232">
        <f t="shared" si="1"/>
        <v>0</v>
      </c>
      <c r="K50" s="364">
        <v>2</v>
      </c>
      <c r="L50" s="218"/>
      <c r="M50" s="218"/>
      <c r="N50" s="218"/>
      <c r="O50" s="218"/>
      <c r="P50" s="352"/>
      <c r="Q50" s="352"/>
      <c r="R50" s="352"/>
      <c r="S50" s="352"/>
      <c r="T50" s="352"/>
      <c r="U50" s="352"/>
      <c r="V50" s="218"/>
      <c r="W50" s="218"/>
      <c r="X50" s="218"/>
      <c r="Y50" s="218"/>
      <c r="Z50" s="218"/>
      <c r="AA50" s="218"/>
      <c r="AB50" s="218"/>
      <c r="AC50" s="218"/>
      <c r="AD50" s="218">
        <v>2</v>
      </c>
      <c r="AE50" s="218"/>
      <c r="AF50" s="218"/>
      <c r="AG50" s="218">
        <v>2</v>
      </c>
      <c r="AH50" s="218"/>
      <c r="AI50" s="218"/>
      <c r="AJ50" s="218"/>
      <c r="AK50" s="218">
        <f>G85+AL50-G50</f>
        <v>-3</v>
      </c>
      <c r="AL50" s="218"/>
      <c r="AM50" s="353"/>
      <c r="AN50" s="295"/>
      <c r="AO50" s="296"/>
      <c r="AP50" s="353"/>
      <c r="AQ50" s="290"/>
      <c r="AR50" s="290"/>
      <c r="AS50" s="290"/>
    </row>
    <row r="51" spans="1:45" ht="17.25" thickBot="1" x14ac:dyDescent="0.3">
      <c r="A51" s="467"/>
      <c r="B51" s="355" t="s">
        <v>419</v>
      </c>
      <c r="C51" s="356"/>
      <c r="D51" s="356"/>
      <c r="E51" s="359"/>
      <c r="F51" s="359"/>
      <c r="G51" s="356"/>
      <c r="H51" s="396"/>
      <c r="I51" s="356"/>
      <c r="J51" s="232">
        <f t="shared" si="1"/>
        <v>0</v>
      </c>
      <c r="K51" s="356"/>
      <c r="L51" s="356"/>
      <c r="M51" s="356"/>
      <c r="N51" s="356"/>
      <c r="O51" s="356"/>
      <c r="P51" s="356"/>
      <c r="Q51" s="356"/>
      <c r="R51" s="356"/>
      <c r="S51" s="356"/>
      <c r="T51" s="356"/>
      <c r="U51" s="356"/>
      <c r="V51" s="356"/>
      <c r="W51" s="356"/>
      <c r="X51" s="356"/>
      <c r="Y51" s="356"/>
      <c r="Z51" s="356"/>
      <c r="AA51" s="356"/>
      <c r="AB51" s="356"/>
      <c r="AC51" s="356"/>
      <c r="AD51" s="356"/>
      <c r="AE51" s="356"/>
      <c r="AF51" s="356"/>
      <c r="AG51" s="356"/>
      <c r="AH51" s="356"/>
      <c r="AI51" s="356"/>
      <c r="AJ51" s="356"/>
      <c r="AK51" s="356"/>
      <c r="AL51" s="356"/>
      <c r="AM51" s="356"/>
      <c r="AN51" s="356"/>
      <c r="AO51" s="356"/>
      <c r="AP51" s="356"/>
      <c r="AQ51" s="356"/>
      <c r="AR51" s="356"/>
      <c r="AS51" s="357"/>
    </row>
    <row r="52" spans="1:45" ht="17.25" thickBot="1" x14ac:dyDescent="0.3">
      <c r="A52" s="467"/>
      <c r="B52" s="372"/>
      <c r="C52" s="373">
        <v>1146031</v>
      </c>
      <c r="D52" s="374" t="s">
        <v>401</v>
      </c>
      <c r="E52" s="375"/>
      <c r="F52" s="376">
        <f>G87-AK52+AL52</f>
        <v>0</v>
      </c>
      <c r="G52" s="377"/>
      <c r="H52" s="397">
        <v>1</v>
      </c>
      <c r="I52" s="377"/>
      <c r="J52" s="232">
        <f t="shared" si="1"/>
        <v>0</v>
      </c>
      <c r="K52" s="377">
        <v>2</v>
      </c>
      <c r="L52" s="377"/>
      <c r="M52" s="377"/>
      <c r="N52" s="377"/>
      <c r="O52" s="377"/>
      <c r="P52" s="377"/>
      <c r="Q52" s="377"/>
      <c r="R52" s="377"/>
      <c r="S52" s="377"/>
      <c r="T52" s="377"/>
      <c r="U52" s="377"/>
      <c r="V52" s="377"/>
      <c r="W52" s="377"/>
      <c r="X52" s="377"/>
      <c r="Y52" s="377"/>
      <c r="Z52" s="377"/>
      <c r="AA52" s="377"/>
      <c r="AB52" s="377"/>
      <c r="AC52" s="377"/>
      <c r="AD52" s="377"/>
      <c r="AE52" s="377"/>
      <c r="AF52" s="377"/>
      <c r="AG52" s="377"/>
      <c r="AH52" s="377"/>
      <c r="AI52" s="377"/>
      <c r="AJ52" s="377"/>
      <c r="AK52" s="377">
        <f>G87+AL52-G52</f>
        <v>0</v>
      </c>
      <c r="AL52" s="377"/>
      <c r="AM52" s="378"/>
      <c r="AN52" s="379"/>
      <c r="AO52" s="380"/>
      <c r="AP52" s="378"/>
      <c r="AQ52" s="381"/>
      <c r="AR52" s="381"/>
      <c r="AS52" s="381"/>
    </row>
    <row r="53" spans="1:45" ht="17.25" thickBot="1" x14ac:dyDescent="0.3">
      <c r="A53" s="467"/>
      <c r="B53" s="372"/>
      <c r="C53" s="373">
        <v>1146020</v>
      </c>
      <c r="D53" s="374" t="s">
        <v>402</v>
      </c>
      <c r="E53" s="375"/>
      <c r="F53" s="376">
        <f>G88-AK53+AL53</f>
        <v>0</v>
      </c>
      <c r="G53" s="377"/>
      <c r="H53" s="397">
        <v>1</v>
      </c>
      <c r="I53" s="377"/>
      <c r="J53" s="232">
        <f t="shared" si="1"/>
        <v>0</v>
      </c>
      <c r="K53" s="377">
        <v>1</v>
      </c>
      <c r="L53" s="377"/>
      <c r="M53" s="377"/>
      <c r="N53" s="377"/>
      <c r="O53" s="377"/>
      <c r="P53" s="377"/>
      <c r="Q53" s="377"/>
      <c r="R53" s="377"/>
      <c r="S53" s="377"/>
      <c r="T53" s="377"/>
      <c r="U53" s="377"/>
      <c r="V53" s="377"/>
      <c r="W53" s="377"/>
      <c r="X53" s="377"/>
      <c r="Y53" s="377"/>
      <c r="Z53" s="377"/>
      <c r="AA53" s="377"/>
      <c r="AB53" s="377"/>
      <c r="AC53" s="377"/>
      <c r="AD53" s="377"/>
      <c r="AE53" s="377"/>
      <c r="AF53" s="377"/>
      <c r="AG53" s="377"/>
      <c r="AH53" s="377"/>
      <c r="AI53" s="377"/>
      <c r="AJ53" s="377"/>
      <c r="AK53" s="377">
        <f>G88+AL53-G53</f>
        <v>0</v>
      </c>
      <c r="AL53" s="377"/>
      <c r="AM53" s="378"/>
      <c r="AN53" s="379"/>
      <c r="AO53" s="380"/>
      <c r="AP53" s="378"/>
      <c r="AQ53" s="381"/>
      <c r="AR53" s="381"/>
      <c r="AS53" s="381"/>
    </row>
    <row r="54" spans="1:45" ht="17.25" thickBot="1" x14ac:dyDescent="0.3">
      <c r="A54" s="467"/>
      <c r="B54" s="372"/>
      <c r="C54" s="373">
        <v>1146016</v>
      </c>
      <c r="D54" s="374" t="s">
        <v>398</v>
      </c>
      <c r="E54" s="375"/>
      <c r="F54" s="376">
        <f>G89-AK54+AL54</f>
        <v>0</v>
      </c>
      <c r="G54" s="377"/>
      <c r="H54" s="397">
        <v>1</v>
      </c>
      <c r="I54" s="377"/>
      <c r="J54" s="232">
        <f t="shared" si="1"/>
        <v>0</v>
      </c>
      <c r="K54" s="377">
        <v>1</v>
      </c>
      <c r="L54" s="377"/>
      <c r="M54" s="377"/>
      <c r="N54" s="377"/>
      <c r="O54" s="377"/>
      <c r="P54" s="377"/>
      <c r="Q54" s="377"/>
      <c r="R54" s="377"/>
      <c r="S54" s="377"/>
      <c r="T54" s="377"/>
      <c r="U54" s="377"/>
      <c r="V54" s="377"/>
      <c r="W54" s="377"/>
      <c r="X54" s="377"/>
      <c r="Y54" s="377"/>
      <c r="Z54" s="377"/>
      <c r="AA54" s="377"/>
      <c r="AB54" s="377"/>
      <c r="AC54" s="377"/>
      <c r="AD54" s="377"/>
      <c r="AE54" s="377"/>
      <c r="AF54" s="377"/>
      <c r="AG54" s="377"/>
      <c r="AH54" s="377"/>
      <c r="AI54" s="377"/>
      <c r="AJ54" s="377"/>
      <c r="AK54" s="377">
        <f>G89+AL54-G54</f>
        <v>0</v>
      </c>
      <c r="AL54" s="377"/>
      <c r="AM54" s="378"/>
      <c r="AN54" s="379"/>
      <c r="AO54" s="380"/>
      <c r="AP54" s="378"/>
      <c r="AQ54" s="381"/>
      <c r="AR54" s="381"/>
      <c r="AS54" s="381"/>
    </row>
    <row r="55" spans="1:45" ht="17.25" thickBot="1" x14ac:dyDescent="0.3">
      <c r="A55" s="467"/>
      <c r="B55" s="372"/>
      <c r="C55" s="373">
        <v>1146022</v>
      </c>
      <c r="D55" s="374" t="s">
        <v>403</v>
      </c>
      <c r="E55" s="375"/>
      <c r="F55" s="376">
        <f>G90-AK55+AL55</f>
        <v>0</v>
      </c>
      <c r="G55" s="377"/>
      <c r="H55" s="397">
        <v>2</v>
      </c>
      <c r="I55" s="377"/>
      <c r="J55" s="232">
        <f t="shared" si="1"/>
        <v>0</v>
      </c>
      <c r="K55" s="377">
        <v>0</v>
      </c>
      <c r="L55" s="377"/>
      <c r="M55" s="377"/>
      <c r="N55" s="377"/>
      <c r="O55" s="377"/>
      <c r="P55" s="377"/>
      <c r="Q55" s="377"/>
      <c r="R55" s="377"/>
      <c r="S55" s="377"/>
      <c r="T55" s="377"/>
      <c r="U55" s="377"/>
      <c r="V55" s="377"/>
      <c r="W55" s="377"/>
      <c r="X55" s="377"/>
      <c r="Y55" s="377"/>
      <c r="Z55" s="377"/>
      <c r="AA55" s="377"/>
      <c r="AB55" s="377"/>
      <c r="AC55" s="377"/>
      <c r="AD55" s="377"/>
      <c r="AE55" s="377"/>
      <c r="AF55" s="377"/>
      <c r="AG55" s="377"/>
      <c r="AH55" s="377"/>
      <c r="AI55" s="377"/>
      <c r="AJ55" s="377"/>
      <c r="AK55" s="377">
        <f>G90+AL55-G55</f>
        <v>0</v>
      </c>
      <c r="AL55" s="377"/>
      <c r="AM55" s="378"/>
      <c r="AN55" s="379"/>
      <c r="AO55" s="380"/>
      <c r="AP55" s="378"/>
      <c r="AQ55" s="381"/>
      <c r="AR55" s="381"/>
      <c r="AS55" s="381"/>
    </row>
    <row r="56" spans="1:45" ht="17.25" thickBot="1" x14ac:dyDescent="0.3">
      <c r="A56" s="467"/>
      <c r="B56" s="372"/>
      <c r="C56" s="373">
        <v>1146027</v>
      </c>
      <c r="D56" s="374" t="s">
        <v>404</v>
      </c>
      <c r="E56" s="375"/>
      <c r="F56" s="376">
        <f>G91-AK56+AL56</f>
        <v>0</v>
      </c>
      <c r="G56" s="377"/>
      <c r="H56" s="397">
        <v>2</v>
      </c>
      <c r="I56" s="377"/>
      <c r="J56" s="232">
        <f t="shared" si="1"/>
        <v>0</v>
      </c>
      <c r="K56" s="377">
        <v>0</v>
      </c>
      <c r="L56" s="377"/>
      <c r="M56" s="377"/>
      <c r="N56" s="377"/>
      <c r="O56" s="377"/>
      <c r="P56" s="377"/>
      <c r="Q56" s="377"/>
      <c r="R56" s="377"/>
      <c r="S56" s="377"/>
      <c r="T56" s="377"/>
      <c r="U56" s="377"/>
      <c r="V56" s="377"/>
      <c r="W56" s="377"/>
      <c r="X56" s="377"/>
      <c r="Y56" s="377"/>
      <c r="Z56" s="377"/>
      <c r="AA56" s="377"/>
      <c r="AB56" s="377"/>
      <c r="AC56" s="377"/>
      <c r="AD56" s="377"/>
      <c r="AE56" s="377"/>
      <c r="AF56" s="377"/>
      <c r="AG56" s="377"/>
      <c r="AH56" s="377"/>
      <c r="AI56" s="377"/>
      <c r="AJ56" s="377"/>
      <c r="AK56" s="377">
        <f>G91+AL56-G56</f>
        <v>0</v>
      </c>
      <c r="AL56" s="377"/>
      <c r="AM56" s="378"/>
      <c r="AN56" s="379"/>
      <c r="AO56" s="380"/>
      <c r="AP56" s="378"/>
      <c r="AQ56" s="381"/>
      <c r="AR56" s="381"/>
      <c r="AS56" s="381"/>
    </row>
    <row r="57" spans="1:45" ht="17.25" thickBot="1" x14ac:dyDescent="0.3">
      <c r="A57" s="467"/>
      <c r="B57" s="355" t="s">
        <v>418</v>
      </c>
      <c r="C57" s="356"/>
      <c r="D57" s="356"/>
      <c r="E57" s="359"/>
      <c r="F57" s="359"/>
      <c r="G57" s="356"/>
      <c r="H57" s="396"/>
      <c r="I57" s="356"/>
      <c r="J57" s="232">
        <f t="shared" si="1"/>
        <v>0</v>
      </c>
      <c r="K57" s="356"/>
      <c r="L57" s="356"/>
      <c r="M57" s="356"/>
      <c r="N57" s="356"/>
      <c r="O57" s="356"/>
      <c r="P57" s="356"/>
      <c r="Q57" s="356"/>
      <c r="R57" s="356"/>
      <c r="S57" s="356"/>
      <c r="T57" s="356"/>
      <c r="U57" s="356"/>
      <c r="V57" s="356"/>
      <c r="W57" s="356"/>
      <c r="X57" s="356"/>
      <c r="Y57" s="356"/>
      <c r="Z57" s="356"/>
      <c r="AA57" s="356"/>
      <c r="AB57" s="356"/>
      <c r="AC57" s="356"/>
      <c r="AD57" s="356"/>
      <c r="AE57" s="356"/>
      <c r="AF57" s="356"/>
      <c r="AG57" s="356"/>
      <c r="AH57" s="356"/>
      <c r="AI57" s="356"/>
      <c r="AJ57" s="356"/>
      <c r="AK57" s="356"/>
      <c r="AL57" s="356"/>
      <c r="AM57" s="356"/>
      <c r="AN57" s="356"/>
      <c r="AO57" s="356"/>
      <c r="AP57" s="356"/>
      <c r="AQ57" s="356"/>
      <c r="AR57" s="356"/>
      <c r="AS57" s="357"/>
    </row>
    <row r="58" spans="1:45" ht="17.25" thickBot="1" x14ac:dyDescent="0.3">
      <c r="A58" s="467"/>
      <c r="B58" s="354"/>
      <c r="C58" s="285">
        <v>1151653</v>
      </c>
      <c r="D58" s="358" t="s">
        <v>405</v>
      </c>
      <c r="E58" s="360"/>
      <c r="F58" s="361">
        <f>G93-AK58+AL58</f>
        <v>3</v>
      </c>
      <c r="G58" s="364">
        <v>3</v>
      </c>
      <c r="H58" s="397">
        <v>1</v>
      </c>
      <c r="I58" s="364">
        <v>3</v>
      </c>
      <c r="J58" s="232">
        <f t="shared" si="1"/>
        <v>0</v>
      </c>
      <c r="K58" s="364">
        <v>0</v>
      </c>
      <c r="L58" s="218"/>
      <c r="M58" s="218"/>
      <c r="N58" s="218"/>
      <c r="O58" s="218"/>
      <c r="P58" s="352"/>
      <c r="Q58" s="352"/>
      <c r="R58" s="352"/>
      <c r="S58" s="352"/>
      <c r="T58" s="352"/>
      <c r="U58" s="352"/>
      <c r="V58" s="218"/>
      <c r="W58" s="218"/>
      <c r="X58" s="218"/>
      <c r="Y58" s="218"/>
      <c r="Z58" s="218"/>
      <c r="AA58" s="218"/>
      <c r="AB58" s="218"/>
      <c r="AC58" s="218"/>
      <c r="AD58" s="218"/>
      <c r="AE58" s="218"/>
      <c r="AF58" s="218"/>
      <c r="AG58" s="218"/>
      <c r="AH58" s="218"/>
      <c r="AI58" s="218"/>
      <c r="AJ58" s="218"/>
      <c r="AK58" s="218">
        <f>G93+AL58-G58</f>
        <v>-1</v>
      </c>
      <c r="AL58" s="218"/>
      <c r="AM58" s="353"/>
      <c r="AN58" s="295"/>
      <c r="AO58" s="296"/>
      <c r="AP58" s="353"/>
      <c r="AQ58" s="290"/>
      <c r="AR58" s="290"/>
      <c r="AS58" s="290"/>
    </row>
    <row r="59" spans="1:45" ht="17.25" thickBot="1" x14ac:dyDescent="0.3">
      <c r="A59" s="467"/>
      <c r="B59" s="354"/>
      <c r="C59" s="285">
        <v>1151650</v>
      </c>
      <c r="D59" s="358" t="s">
        <v>406</v>
      </c>
      <c r="E59" s="360"/>
      <c r="F59" s="361">
        <f>G94-AK59+AL59</f>
        <v>2</v>
      </c>
      <c r="G59" s="364">
        <v>2</v>
      </c>
      <c r="H59" s="397">
        <v>2</v>
      </c>
      <c r="I59" s="364">
        <v>2</v>
      </c>
      <c r="J59" s="232">
        <f t="shared" si="1"/>
        <v>0</v>
      </c>
      <c r="K59" s="364">
        <v>4</v>
      </c>
      <c r="L59" s="218"/>
      <c r="M59" s="218"/>
      <c r="N59" s="218"/>
      <c r="O59" s="218"/>
      <c r="P59" s="352"/>
      <c r="Q59" s="352"/>
      <c r="R59" s="352"/>
      <c r="S59" s="352"/>
      <c r="T59" s="352"/>
      <c r="U59" s="352"/>
      <c r="V59" s="218"/>
      <c r="W59" s="218"/>
      <c r="X59" s="218"/>
      <c r="Y59" s="218"/>
      <c r="Z59" s="218"/>
      <c r="AA59" s="218"/>
      <c r="AB59" s="218"/>
      <c r="AC59" s="218"/>
      <c r="AD59" s="218"/>
      <c r="AE59" s="218"/>
      <c r="AF59" s="218"/>
      <c r="AG59" s="218"/>
      <c r="AH59" s="218"/>
      <c r="AI59" s="218"/>
      <c r="AJ59" s="218"/>
      <c r="AK59" s="218">
        <f>G94+AL59-G59</f>
        <v>1</v>
      </c>
      <c r="AL59" s="218"/>
      <c r="AM59" s="353"/>
      <c r="AN59" s="295"/>
      <c r="AO59" s="296"/>
      <c r="AP59" s="353"/>
      <c r="AQ59" s="290"/>
      <c r="AR59" s="290"/>
      <c r="AS59" s="290"/>
    </row>
    <row r="60" spans="1:45" ht="17.25" thickBot="1" x14ac:dyDescent="0.3">
      <c r="A60" s="467"/>
      <c r="B60" s="354"/>
      <c r="C60" s="285">
        <v>1151649</v>
      </c>
      <c r="D60" s="358" t="s">
        <v>407</v>
      </c>
      <c r="E60" s="360"/>
      <c r="F60" s="361">
        <f>G95-AK60+AL60</f>
        <v>3</v>
      </c>
      <c r="G60" s="364">
        <v>3</v>
      </c>
      <c r="H60" s="369">
        <v>4</v>
      </c>
      <c r="I60" s="415"/>
      <c r="J60" s="232">
        <f t="shared" si="1"/>
        <v>-3</v>
      </c>
      <c r="K60" s="369">
        <v>2</v>
      </c>
      <c r="L60" s="218"/>
      <c r="M60" s="218"/>
      <c r="N60" s="218"/>
      <c r="O60" s="218"/>
      <c r="P60" s="352"/>
      <c r="Q60" s="352"/>
      <c r="R60" s="352"/>
      <c r="S60" s="352"/>
      <c r="T60" s="352"/>
      <c r="U60" s="352"/>
      <c r="V60" s="218"/>
      <c r="W60" s="218"/>
      <c r="X60" s="218"/>
      <c r="Y60" s="218"/>
      <c r="Z60" s="218"/>
      <c r="AA60" s="218"/>
      <c r="AB60" s="218">
        <v>2</v>
      </c>
      <c r="AC60" s="218"/>
      <c r="AD60" s="218">
        <v>2</v>
      </c>
      <c r="AE60" s="218"/>
      <c r="AF60" s="218"/>
      <c r="AG60" s="218">
        <v>2</v>
      </c>
      <c r="AH60" s="218"/>
      <c r="AI60" s="218"/>
      <c r="AJ60" s="218"/>
      <c r="AK60" s="415">
        <f>G95+AL60-G60</f>
        <v>4</v>
      </c>
      <c r="AL60" s="218"/>
      <c r="AM60" s="353"/>
      <c r="AN60" s="295"/>
      <c r="AO60" s="296"/>
      <c r="AP60" s="353"/>
      <c r="AQ60" s="290"/>
      <c r="AR60" s="290"/>
      <c r="AS60" s="290"/>
    </row>
    <row r="61" spans="1:45" ht="17.25" thickBot="1" x14ac:dyDescent="0.3">
      <c r="A61" s="467"/>
      <c r="B61" s="354"/>
      <c r="C61" s="285">
        <v>1151651</v>
      </c>
      <c r="D61" s="358" t="s">
        <v>408</v>
      </c>
      <c r="E61" s="360"/>
      <c r="F61" s="361">
        <f>G96-AK61+AL61</f>
        <v>7</v>
      </c>
      <c r="G61" s="364">
        <v>7</v>
      </c>
      <c r="H61" s="369">
        <v>1</v>
      </c>
      <c r="I61" s="364">
        <v>7</v>
      </c>
      <c r="J61" s="232">
        <f t="shared" si="1"/>
        <v>0</v>
      </c>
      <c r="K61" s="369">
        <v>1</v>
      </c>
      <c r="L61" s="218"/>
      <c r="M61" s="218"/>
      <c r="N61" s="218"/>
      <c r="O61" s="218"/>
      <c r="P61" s="352"/>
      <c r="Q61" s="352"/>
      <c r="R61" s="352"/>
      <c r="S61" s="352"/>
      <c r="T61" s="352"/>
      <c r="U61" s="352"/>
      <c r="V61" s="218"/>
      <c r="W61" s="218"/>
      <c r="X61" s="218"/>
      <c r="Y61" s="218"/>
      <c r="Z61" s="218">
        <v>2</v>
      </c>
      <c r="AA61" s="218"/>
      <c r="AB61" s="218">
        <v>2</v>
      </c>
      <c r="AC61" s="218"/>
      <c r="AD61" s="218">
        <v>3</v>
      </c>
      <c r="AE61" s="218"/>
      <c r="AF61" s="218"/>
      <c r="AG61" s="218"/>
      <c r="AH61" s="218"/>
      <c r="AI61" s="218"/>
      <c r="AJ61" s="218"/>
      <c r="AK61" s="218">
        <f>G96+AL61-G61</f>
        <v>-3</v>
      </c>
      <c r="AL61" s="218"/>
      <c r="AM61" s="353"/>
      <c r="AN61" s="295"/>
      <c r="AO61" s="296"/>
      <c r="AP61" s="353"/>
      <c r="AQ61" s="290"/>
      <c r="AR61" s="290"/>
      <c r="AS61" s="290"/>
    </row>
    <row r="62" spans="1:45" ht="17.25" thickBot="1" x14ac:dyDescent="0.3">
      <c r="A62" s="467"/>
      <c r="B62" s="354"/>
      <c r="C62" s="285">
        <v>1146029</v>
      </c>
      <c r="D62" s="358" t="s">
        <v>409</v>
      </c>
      <c r="E62" s="360"/>
      <c r="F62" s="361">
        <f>G97-AK62+AL62</f>
        <v>4</v>
      </c>
      <c r="G62" s="364">
        <v>4</v>
      </c>
      <c r="H62" s="369">
        <v>2</v>
      </c>
      <c r="I62" s="415">
        <v>2</v>
      </c>
      <c r="J62" s="232">
        <f t="shared" si="1"/>
        <v>-2</v>
      </c>
      <c r="K62" s="369">
        <v>2</v>
      </c>
      <c r="L62" s="218"/>
      <c r="M62" s="218"/>
      <c r="N62" s="218"/>
      <c r="O62" s="218"/>
      <c r="P62" s="352"/>
      <c r="Q62" s="352"/>
      <c r="R62" s="352"/>
      <c r="S62" s="352"/>
      <c r="T62" s="352"/>
      <c r="U62" s="352"/>
      <c r="V62" s="218"/>
      <c r="W62" s="218"/>
      <c r="X62" s="218"/>
      <c r="Y62" s="218"/>
      <c r="Z62" s="218"/>
      <c r="AA62" s="218"/>
      <c r="AB62" s="218"/>
      <c r="AC62" s="218">
        <v>2</v>
      </c>
      <c r="AD62" s="218"/>
      <c r="AE62" s="218"/>
      <c r="AF62" s="218"/>
      <c r="AG62" s="218">
        <v>2</v>
      </c>
      <c r="AH62" s="218"/>
      <c r="AI62" s="218"/>
      <c r="AJ62" s="218"/>
      <c r="AK62" s="218">
        <f>G97+AL62-G62</f>
        <v>-4</v>
      </c>
      <c r="AL62" s="218"/>
      <c r="AM62" s="353"/>
      <c r="AN62" s="295"/>
      <c r="AO62" s="296"/>
      <c r="AP62" s="353"/>
      <c r="AQ62" s="290"/>
      <c r="AR62" s="290"/>
      <c r="AS62" s="290"/>
    </row>
    <row r="63" spans="1:45" ht="17.25" thickBot="1" x14ac:dyDescent="0.3">
      <c r="A63" s="467"/>
      <c r="B63" s="355" t="s">
        <v>410</v>
      </c>
      <c r="C63" s="356"/>
      <c r="D63" s="356"/>
      <c r="E63" s="359"/>
      <c r="F63" s="359"/>
      <c r="G63" s="356"/>
      <c r="H63" s="396"/>
      <c r="I63" s="356"/>
      <c r="J63" s="232">
        <f t="shared" si="1"/>
        <v>0</v>
      </c>
      <c r="K63" s="356"/>
      <c r="L63" s="356"/>
      <c r="M63" s="356"/>
      <c r="N63" s="356"/>
      <c r="O63" s="356"/>
      <c r="P63" s="356"/>
      <c r="Q63" s="356"/>
      <c r="R63" s="356"/>
      <c r="S63" s="356"/>
      <c r="T63" s="356"/>
      <c r="U63" s="356"/>
      <c r="V63" s="356"/>
      <c r="W63" s="356"/>
      <c r="X63" s="356"/>
      <c r="Y63" s="356"/>
      <c r="Z63" s="356"/>
      <c r="AA63" s="356"/>
      <c r="AB63" s="356"/>
      <c r="AC63" s="356"/>
      <c r="AD63" s="356"/>
      <c r="AE63" s="356"/>
      <c r="AF63" s="356"/>
      <c r="AG63" s="356"/>
      <c r="AH63" s="356"/>
      <c r="AI63" s="356"/>
      <c r="AJ63" s="356"/>
      <c r="AK63" s="356"/>
      <c r="AL63" s="356"/>
      <c r="AM63" s="356"/>
      <c r="AN63" s="356"/>
      <c r="AO63" s="356"/>
      <c r="AP63" s="356"/>
      <c r="AQ63" s="356"/>
      <c r="AR63" s="356"/>
      <c r="AS63" s="357"/>
    </row>
    <row r="64" spans="1:45" ht="17.25" thickBot="1" x14ac:dyDescent="0.3">
      <c r="A64" s="467"/>
      <c r="B64" s="354"/>
      <c r="C64" s="285">
        <v>1699118</v>
      </c>
      <c r="D64" s="358" t="s">
        <v>411</v>
      </c>
      <c r="E64" s="360"/>
      <c r="F64" s="361">
        <f>G99-AK64+AL64</f>
        <v>0</v>
      </c>
      <c r="G64" s="364">
        <v>0</v>
      </c>
      <c r="H64" s="369">
        <v>1</v>
      </c>
      <c r="I64" s="364">
        <v>0</v>
      </c>
      <c r="J64" s="232">
        <f t="shared" si="1"/>
        <v>0</v>
      </c>
      <c r="K64" s="369">
        <v>0</v>
      </c>
      <c r="L64" s="218"/>
      <c r="M64" s="218"/>
      <c r="N64" s="218"/>
      <c r="O64" s="218"/>
      <c r="P64" s="352"/>
      <c r="Q64" s="352"/>
      <c r="R64" s="352"/>
      <c r="S64" s="352"/>
      <c r="T64" s="352"/>
      <c r="U64" s="352"/>
      <c r="V64" s="218"/>
      <c r="W64" s="218"/>
      <c r="X64" s="218"/>
      <c r="Y64" s="218"/>
      <c r="Z64" s="218"/>
      <c r="AA64" s="218"/>
      <c r="AB64" s="218">
        <v>1</v>
      </c>
      <c r="AC64" s="218"/>
      <c r="AD64" s="218"/>
      <c r="AE64" s="218"/>
      <c r="AF64" s="218">
        <v>1</v>
      </c>
      <c r="AG64" s="218"/>
      <c r="AH64" s="218"/>
      <c r="AI64" s="218"/>
      <c r="AJ64" s="218"/>
      <c r="AK64" s="218">
        <f>G99+AL64-G64</f>
        <v>3</v>
      </c>
      <c r="AL64" s="218"/>
      <c r="AM64" s="353"/>
      <c r="AN64" s="295"/>
      <c r="AO64" s="296"/>
      <c r="AP64" s="353"/>
      <c r="AQ64" s="290"/>
      <c r="AR64" s="290"/>
      <c r="AS64" s="290"/>
    </row>
    <row r="65" spans="1:45" ht="17.25" thickBot="1" x14ac:dyDescent="0.3">
      <c r="A65" s="467"/>
      <c r="B65" s="354"/>
      <c r="C65" s="285">
        <v>1699119</v>
      </c>
      <c r="D65" s="358" t="s">
        <v>412</v>
      </c>
      <c r="E65" s="360"/>
      <c r="F65" s="361">
        <f>G100-AK65+AL65</f>
        <v>3</v>
      </c>
      <c r="G65" s="364">
        <v>3</v>
      </c>
      <c r="H65" s="369">
        <v>1</v>
      </c>
      <c r="I65" s="364">
        <v>3</v>
      </c>
      <c r="J65" s="232">
        <f t="shared" si="1"/>
        <v>0</v>
      </c>
      <c r="K65" s="369">
        <v>2</v>
      </c>
      <c r="L65" s="218"/>
      <c r="M65" s="218"/>
      <c r="N65" s="218"/>
      <c r="O65" s="218"/>
      <c r="P65" s="352"/>
      <c r="Q65" s="352"/>
      <c r="R65" s="352"/>
      <c r="S65" s="352"/>
      <c r="T65" s="352"/>
      <c r="U65" s="352"/>
      <c r="V65" s="218"/>
      <c r="W65" s="218"/>
      <c r="X65" s="218"/>
      <c r="Y65" s="218"/>
      <c r="Z65" s="218"/>
      <c r="AA65" s="218"/>
      <c r="AB65" s="218">
        <v>2</v>
      </c>
      <c r="AC65" s="218"/>
      <c r="AD65" s="218"/>
      <c r="AE65" s="218"/>
      <c r="AF65" s="218">
        <v>1</v>
      </c>
      <c r="AG65" s="218">
        <v>1</v>
      </c>
      <c r="AH65" s="218"/>
      <c r="AI65" s="218"/>
      <c r="AJ65" s="218"/>
      <c r="AK65" s="218">
        <f>G100+AL65-G65</f>
        <v>0</v>
      </c>
      <c r="AL65" s="218"/>
      <c r="AM65" s="353"/>
      <c r="AN65" s="295"/>
      <c r="AO65" s="296"/>
      <c r="AP65" s="353"/>
      <c r="AQ65" s="290"/>
      <c r="AR65" s="290"/>
      <c r="AS65" s="290"/>
    </row>
    <row r="66" spans="1:45" ht="17.25" thickBot="1" x14ac:dyDescent="0.3">
      <c r="A66" s="467"/>
      <c r="B66" s="354"/>
      <c r="C66" s="285">
        <v>1699130</v>
      </c>
      <c r="D66" s="358" t="s">
        <v>413</v>
      </c>
      <c r="E66" s="360"/>
      <c r="F66" s="361">
        <f>G101-AK66+AL66</f>
        <v>3</v>
      </c>
      <c r="G66" s="364">
        <v>3</v>
      </c>
      <c r="H66" s="369">
        <v>4</v>
      </c>
      <c r="I66" s="415"/>
      <c r="J66" s="232">
        <f t="shared" si="1"/>
        <v>-3</v>
      </c>
      <c r="K66" s="369">
        <v>0</v>
      </c>
      <c r="L66" s="218"/>
      <c r="M66" s="218"/>
      <c r="N66" s="218"/>
      <c r="O66" s="218"/>
      <c r="P66" s="352"/>
      <c r="Q66" s="352"/>
      <c r="R66" s="352"/>
      <c r="S66" s="352"/>
      <c r="T66" s="352"/>
      <c r="U66" s="352"/>
      <c r="V66" s="218"/>
      <c r="W66" s="218"/>
      <c r="X66" s="218"/>
      <c r="Y66" s="218"/>
      <c r="Z66" s="218"/>
      <c r="AA66" s="218">
        <v>2</v>
      </c>
      <c r="AB66" s="218"/>
      <c r="AC66" s="218"/>
      <c r="AD66" s="218">
        <v>4</v>
      </c>
      <c r="AE66" s="218"/>
      <c r="AF66" s="218"/>
      <c r="AG66" s="218">
        <v>1</v>
      </c>
      <c r="AH66" s="218"/>
      <c r="AI66" s="218"/>
      <c r="AJ66" s="218"/>
      <c r="AK66" s="218">
        <f>G101+AL66-G66</f>
        <v>-1</v>
      </c>
      <c r="AL66" s="218"/>
      <c r="AM66" s="353"/>
      <c r="AN66" s="295"/>
      <c r="AO66" s="296"/>
      <c r="AP66" s="353"/>
      <c r="AQ66" s="290"/>
      <c r="AR66" s="290"/>
      <c r="AS66" s="290"/>
    </row>
    <row r="67" spans="1:45" ht="17.25" thickBot="1" x14ac:dyDescent="0.3">
      <c r="A67" s="467"/>
      <c r="B67" s="354"/>
      <c r="C67" s="285">
        <v>1699131</v>
      </c>
      <c r="D67" s="358" t="s">
        <v>414</v>
      </c>
      <c r="E67" s="360"/>
      <c r="F67" s="361">
        <f>G102-AK67+AL67</f>
        <v>2</v>
      </c>
      <c r="G67" s="364">
        <v>2</v>
      </c>
      <c r="H67" s="397">
        <v>3</v>
      </c>
      <c r="I67" s="364">
        <v>2</v>
      </c>
      <c r="J67" s="232">
        <f t="shared" si="1"/>
        <v>0</v>
      </c>
      <c r="K67" s="364">
        <v>2</v>
      </c>
      <c r="L67" s="218"/>
      <c r="M67" s="218"/>
      <c r="N67" s="218"/>
      <c r="O67" s="218"/>
      <c r="P67" s="352"/>
      <c r="Q67" s="352"/>
      <c r="R67" s="352"/>
      <c r="S67" s="352"/>
      <c r="T67" s="352"/>
      <c r="U67" s="352"/>
      <c r="V67" s="218"/>
      <c r="W67" s="218"/>
      <c r="X67" s="218"/>
      <c r="Y67" s="218"/>
      <c r="Z67" s="218"/>
      <c r="AA67" s="218"/>
      <c r="AB67" s="218">
        <v>1</v>
      </c>
      <c r="AC67" s="218"/>
      <c r="AD67" s="218"/>
      <c r="AE67" s="218"/>
      <c r="AF67" s="218">
        <v>2</v>
      </c>
      <c r="AG67" s="218">
        <v>1</v>
      </c>
      <c r="AH67" s="218"/>
      <c r="AI67" s="218"/>
      <c r="AJ67" s="218"/>
      <c r="AK67" s="218">
        <f>G102+AL67-G67</f>
        <v>1</v>
      </c>
      <c r="AL67" s="218"/>
      <c r="AM67" s="353"/>
      <c r="AN67" s="295"/>
      <c r="AO67" s="296"/>
      <c r="AP67" s="353"/>
      <c r="AQ67" s="290"/>
      <c r="AR67" s="290"/>
      <c r="AS67" s="290"/>
    </row>
    <row r="68" spans="1:45" ht="17.25" thickBot="1" x14ac:dyDescent="0.3">
      <c r="A68" s="468"/>
      <c r="B68" s="354"/>
      <c r="C68" s="285">
        <v>1699132</v>
      </c>
      <c r="D68" s="358" t="s">
        <v>415</v>
      </c>
      <c r="E68" s="285"/>
      <c r="F68" s="362">
        <f>G103-AK68+AL68</f>
        <v>3</v>
      </c>
      <c r="G68" s="364">
        <v>3</v>
      </c>
      <c r="H68" s="397">
        <v>3</v>
      </c>
      <c r="I68" s="415">
        <v>1</v>
      </c>
      <c r="J68" s="232">
        <f t="shared" si="1"/>
        <v>-2</v>
      </c>
      <c r="K68" s="364">
        <v>1</v>
      </c>
      <c r="L68" s="218"/>
      <c r="M68" s="218"/>
      <c r="N68" s="218"/>
      <c r="O68" s="218"/>
      <c r="P68" s="352"/>
      <c r="Q68" s="352"/>
      <c r="R68" s="352"/>
      <c r="S68" s="352"/>
      <c r="T68" s="352"/>
      <c r="U68" s="352"/>
      <c r="V68" s="218"/>
      <c r="W68" s="218"/>
      <c r="X68" s="218"/>
      <c r="Y68" s="218"/>
      <c r="Z68" s="218"/>
      <c r="AA68" s="218"/>
      <c r="AB68" s="218"/>
      <c r="AC68" s="218"/>
      <c r="AD68" s="218"/>
      <c r="AE68" s="218"/>
      <c r="AF68" s="218">
        <v>2</v>
      </c>
      <c r="AG68" s="218"/>
      <c r="AH68" s="218"/>
      <c r="AI68" s="218"/>
      <c r="AJ68" s="218"/>
      <c r="AK68" s="218">
        <f>G103+AL68-G68</f>
        <v>-3</v>
      </c>
      <c r="AL68" s="218"/>
      <c r="AM68" s="353"/>
      <c r="AN68" s="295"/>
      <c r="AO68" s="296"/>
      <c r="AP68" s="353"/>
      <c r="AQ68" s="290"/>
      <c r="AR68" s="290"/>
      <c r="AS68" s="290"/>
    </row>
    <row r="69" spans="1:45" ht="14.25" thickBot="1" x14ac:dyDescent="0.3">
      <c r="B69" s="338" t="s">
        <v>18</v>
      </c>
      <c r="C69" s="339">
        <v>45852</v>
      </c>
      <c r="AA69" s="290">
        <v>0</v>
      </c>
      <c r="AL69" s="290"/>
      <c r="AM69" s="290"/>
    </row>
    <row r="70" spans="1:45" ht="41.25" thickBot="1" x14ac:dyDescent="0.3">
      <c r="B70" s="283" t="s">
        <v>0</v>
      </c>
      <c r="C70" s="284" t="s">
        <v>1</v>
      </c>
      <c r="D70" s="284" t="s">
        <v>2</v>
      </c>
      <c r="E70" s="284" t="s">
        <v>3</v>
      </c>
      <c r="F70" s="4" t="s">
        <v>318</v>
      </c>
      <c r="G70" s="351" t="s">
        <v>629</v>
      </c>
      <c r="H70" s="382" t="s">
        <v>460</v>
      </c>
      <c r="I70" s="234" t="s">
        <v>630</v>
      </c>
      <c r="J70" s="234"/>
      <c r="K70" s="258" t="s">
        <v>568</v>
      </c>
      <c r="L70" s="258" t="s">
        <v>328</v>
      </c>
      <c r="M70" s="258" t="s">
        <v>327</v>
      </c>
      <c r="N70" s="234" t="s">
        <v>389</v>
      </c>
      <c r="O70" s="240" t="s">
        <v>130</v>
      </c>
      <c r="P70" s="243" t="s">
        <v>303</v>
      </c>
      <c r="Q70" s="244" t="s">
        <v>304</v>
      </c>
      <c r="R70" s="244" t="s">
        <v>314</v>
      </c>
      <c r="S70" s="245" t="s">
        <v>338</v>
      </c>
      <c r="T70" s="245" t="s">
        <v>345</v>
      </c>
      <c r="U70" s="245" t="s">
        <v>361</v>
      </c>
      <c r="V70" s="245" t="s">
        <v>387</v>
      </c>
      <c r="W70" s="245" t="s">
        <v>421</v>
      </c>
      <c r="X70" s="245" t="s">
        <v>452</v>
      </c>
      <c r="Y70" s="245" t="s">
        <v>463</v>
      </c>
      <c r="Z70" s="245" t="s">
        <v>481</v>
      </c>
      <c r="AA70" s="245" t="s">
        <v>498</v>
      </c>
      <c r="AB70" s="245" t="s">
        <v>303</v>
      </c>
      <c r="AC70" s="245" t="s">
        <v>304</v>
      </c>
      <c r="AD70" s="245" t="s">
        <v>314</v>
      </c>
      <c r="AE70" s="245" t="s">
        <v>338</v>
      </c>
      <c r="AF70" s="245" t="s">
        <v>345</v>
      </c>
      <c r="AG70" s="245" t="s">
        <v>361</v>
      </c>
      <c r="AH70" s="245" t="s">
        <v>387</v>
      </c>
      <c r="AI70" s="245"/>
      <c r="AJ70" s="245" t="s">
        <v>360</v>
      </c>
      <c r="AK70" s="246" t="s">
        <v>268</v>
      </c>
      <c r="AL70" s="247" t="s">
        <v>269</v>
      </c>
      <c r="AM70" s="291" t="s">
        <v>288</v>
      </c>
      <c r="AN70" s="292" t="s">
        <v>289</v>
      </c>
      <c r="AO70" s="292" t="s">
        <v>287</v>
      </c>
      <c r="AP70" s="293" t="s">
        <v>290</v>
      </c>
      <c r="AQ70" s="290" t="s">
        <v>306</v>
      </c>
      <c r="AR70" s="290" t="s">
        <v>310</v>
      </c>
      <c r="AS70" s="290" t="s">
        <v>311</v>
      </c>
    </row>
    <row r="71" spans="1:45" ht="17.25" thickBot="1" x14ac:dyDescent="0.3">
      <c r="A71" s="463" t="s">
        <v>416</v>
      </c>
      <c r="B71" s="285">
        <v>273664</v>
      </c>
      <c r="C71" s="286">
        <v>1135749</v>
      </c>
      <c r="D71" s="286" t="s">
        <v>7</v>
      </c>
      <c r="E71" s="286">
        <v>6060050026</v>
      </c>
      <c r="F71" s="253">
        <f>G106-AK71+AL71</f>
        <v>10</v>
      </c>
      <c r="G71" s="235">
        <v>10</v>
      </c>
      <c r="H71" s="394">
        <v>5</v>
      </c>
      <c r="I71" s="232">
        <v>10</v>
      </c>
      <c r="J71" s="232">
        <f>I71-G71</f>
        <v>0</v>
      </c>
      <c r="K71" s="232">
        <v>1</v>
      </c>
      <c r="L71" s="232">
        <f>IF(K105=K70,L106+AK71,K71)</f>
        <v>1</v>
      </c>
      <c r="M71" s="232">
        <f>IF(K105=K70,0,L106+AK71-K71)</f>
        <v>-6</v>
      </c>
      <c r="N71" s="267">
        <v>5</v>
      </c>
      <c r="O71" s="241">
        <f>N71-G71</f>
        <v>-5</v>
      </c>
      <c r="P71" s="277">
        <v>4</v>
      </c>
      <c r="Q71" s="278">
        <v>4</v>
      </c>
      <c r="R71" s="279"/>
      <c r="S71" s="279">
        <v>3</v>
      </c>
      <c r="T71" s="279">
        <v>4</v>
      </c>
      <c r="U71" s="279">
        <v>2</v>
      </c>
      <c r="V71" s="279"/>
      <c r="W71" s="279">
        <f>2+3</f>
        <v>5</v>
      </c>
      <c r="X71" s="241"/>
      <c r="Y71" s="241"/>
      <c r="Z71" s="241"/>
      <c r="AA71" s="241">
        <v>4</v>
      </c>
      <c r="AB71" s="241">
        <v>5</v>
      </c>
      <c r="AC71" s="241"/>
      <c r="AD71" s="241">
        <v>6</v>
      </c>
      <c r="AE71" s="241"/>
      <c r="AF71" s="241">
        <v>2</v>
      </c>
      <c r="AG71" s="241"/>
      <c r="AH71" s="241"/>
      <c r="AI71" s="241"/>
      <c r="AJ71" s="241">
        <f>N71-V71</f>
        <v>5</v>
      </c>
      <c r="AK71" s="235">
        <f>G106+AL71-G71</f>
        <v>-7</v>
      </c>
      <c r="AL71" s="350"/>
      <c r="AM71" s="294">
        <v>1.5</v>
      </c>
      <c r="AN71" s="295">
        <v>4</v>
      </c>
      <c r="AO71" s="296">
        <f>G71/(AN71)</f>
        <v>2.5</v>
      </c>
      <c r="AP71" s="297">
        <f>AN71*6</f>
        <v>24</v>
      </c>
      <c r="AQ71" s="290">
        <f>G71+K71</f>
        <v>11</v>
      </c>
      <c r="AR71" s="290">
        <f>IF(G71&lt;G106,(G106-G71+K106-K71),K106-K71)</f>
        <v>1</v>
      </c>
      <c r="AS71" s="290">
        <f>21-8</f>
        <v>13</v>
      </c>
    </row>
    <row r="72" spans="1:45" ht="17.25" thickBot="1" x14ac:dyDescent="0.3">
      <c r="A72" s="464"/>
      <c r="B72" s="285">
        <v>273672</v>
      </c>
      <c r="C72" s="286">
        <v>1135750</v>
      </c>
      <c r="D72" s="286" t="s">
        <v>9</v>
      </c>
      <c r="E72" s="287">
        <v>204000000000</v>
      </c>
      <c r="F72" s="253">
        <f>G107-AK72+AL72</f>
        <v>22</v>
      </c>
      <c r="G72" s="235">
        <v>22</v>
      </c>
      <c r="H72" s="394">
        <v>16</v>
      </c>
      <c r="I72" s="232">
        <v>22</v>
      </c>
      <c r="J72" s="232">
        <f t="shared" ref="J72:J102" si="2">I72-G72</f>
        <v>0</v>
      </c>
      <c r="K72" s="232">
        <v>4</v>
      </c>
      <c r="L72" s="232">
        <f>IF(K105=K70,L107+AK72,K72)</f>
        <v>4</v>
      </c>
      <c r="M72" s="232">
        <f>IF(K105=K70,0,L107+AK72-K72)</f>
        <v>3</v>
      </c>
      <c r="N72" s="267">
        <v>10</v>
      </c>
      <c r="O72" s="241">
        <f>N72-G72</f>
        <v>-12</v>
      </c>
      <c r="P72" s="277">
        <v>13</v>
      </c>
      <c r="Q72" s="278">
        <v>2</v>
      </c>
      <c r="R72" s="279">
        <v>6</v>
      </c>
      <c r="S72" s="279">
        <v>6</v>
      </c>
      <c r="T72" s="279">
        <v>10</v>
      </c>
      <c r="U72" s="279">
        <v>4</v>
      </c>
      <c r="V72" s="279">
        <v>6</v>
      </c>
      <c r="W72" s="279">
        <v>16</v>
      </c>
      <c r="X72" s="241"/>
      <c r="Y72" s="241">
        <v>6</v>
      </c>
      <c r="Z72" s="241">
        <v>4</v>
      </c>
      <c r="AA72" s="241">
        <v>6</v>
      </c>
      <c r="AB72" s="241">
        <v>14</v>
      </c>
      <c r="AC72" s="241"/>
      <c r="AD72" s="241">
        <v>12</v>
      </c>
      <c r="AE72" s="241">
        <v>6</v>
      </c>
      <c r="AF72" s="241">
        <v>14</v>
      </c>
      <c r="AG72" s="241"/>
      <c r="AH72" s="241"/>
      <c r="AI72" s="241"/>
      <c r="AJ72" s="241">
        <f>N72-V72</f>
        <v>4</v>
      </c>
      <c r="AK72" s="235">
        <f>G107+AL72-G72</f>
        <v>0</v>
      </c>
      <c r="AL72" s="236"/>
      <c r="AM72" s="298">
        <v>4.2</v>
      </c>
      <c r="AN72" s="295">
        <v>9</v>
      </c>
      <c r="AO72" s="296">
        <f>G72/(AN72)</f>
        <v>2.4444444444444446</v>
      </c>
      <c r="AP72" s="297">
        <f>AN72*6</f>
        <v>54</v>
      </c>
      <c r="AQ72" s="290">
        <f>G72+K72</f>
        <v>26</v>
      </c>
      <c r="AR72" s="290">
        <f>IF(G72&lt;G107,(G107-G72+K107-K72),K107-K72)</f>
        <v>3</v>
      </c>
      <c r="AS72" s="290">
        <f>21-8</f>
        <v>13</v>
      </c>
    </row>
    <row r="73" spans="1:45" ht="17.25" thickBot="1" x14ac:dyDescent="0.3">
      <c r="A73" s="464"/>
      <c r="B73" s="285">
        <v>273702</v>
      </c>
      <c r="C73" s="286">
        <v>1135753</v>
      </c>
      <c r="D73" s="286" t="s">
        <v>10</v>
      </c>
      <c r="E73" s="287">
        <v>301000000000</v>
      </c>
      <c r="F73" s="253">
        <f>G108-AK73+AL73</f>
        <v>3</v>
      </c>
      <c r="G73" s="235">
        <v>3</v>
      </c>
      <c r="H73" s="394">
        <v>1</v>
      </c>
      <c r="I73" s="232">
        <v>3</v>
      </c>
      <c r="J73" s="232">
        <f t="shared" si="2"/>
        <v>0</v>
      </c>
      <c r="K73" s="232">
        <v>2</v>
      </c>
      <c r="L73" s="232">
        <f>IF(K105=K70,L108+AK73,K73)</f>
        <v>2</v>
      </c>
      <c r="M73" s="232">
        <f>IF(K105=K70,0,L108+AK73-K73)</f>
        <v>0</v>
      </c>
      <c r="N73" s="232">
        <v>2</v>
      </c>
      <c r="O73" s="241">
        <f>N73-G73</f>
        <v>-1</v>
      </c>
      <c r="P73" s="277"/>
      <c r="Q73" s="278"/>
      <c r="R73" s="279"/>
      <c r="S73" s="279"/>
      <c r="T73" s="279"/>
      <c r="U73" s="279"/>
      <c r="V73" s="279"/>
      <c r="W73" s="279"/>
      <c r="X73" s="241"/>
      <c r="Y73" s="241"/>
      <c r="Z73" s="241"/>
      <c r="AA73" s="241"/>
      <c r="AB73" s="241">
        <v>2</v>
      </c>
      <c r="AC73" s="241"/>
      <c r="AD73" s="241"/>
      <c r="AE73" s="241"/>
      <c r="AF73" s="241"/>
      <c r="AG73" s="241"/>
      <c r="AH73" s="241"/>
      <c r="AI73" s="241"/>
      <c r="AJ73" s="241">
        <f>N73-V73</f>
        <v>2</v>
      </c>
      <c r="AK73" s="417">
        <f>G108+AL73-G73</f>
        <v>0</v>
      </c>
      <c r="AL73" s="236"/>
      <c r="AM73" s="294">
        <f>4/12</f>
        <v>0.33333333333333331</v>
      </c>
      <c r="AN73" s="295">
        <v>2</v>
      </c>
      <c r="AO73" s="296">
        <f>G73/(AN73)</f>
        <v>1.5</v>
      </c>
      <c r="AP73" s="297">
        <f>AN73*6</f>
        <v>12</v>
      </c>
      <c r="AQ73" s="290">
        <f>G73+K73</f>
        <v>5</v>
      </c>
      <c r="AR73" s="290">
        <f>IF(G73&lt;G108,(G108-G73+K108-K73),K108-K73)</f>
        <v>0</v>
      </c>
      <c r="AS73" s="290">
        <f>21-8</f>
        <v>13</v>
      </c>
    </row>
    <row r="74" spans="1:45" ht="17.25" thickBot="1" x14ac:dyDescent="0.3">
      <c r="A74" s="464"/>
      <c r="B74" s="285">
        <v>273698</v>
      </c>
      <c r="C74" s="286">
        <v>1135752</v>
      </c>
      <c r="D74" s="286" t="s">
        <v>11</v>
      </c>
      <c r="E74" s="287">
        <v>701000000000</v>
      </c>
      <c r="F74" s="253">
        <f>G109-AK74+AL74</f>
        <v>1</v>
      </c>
      <c r="G74" s="235">
        <v>1</v>
      </c>
      <c r="H74" s="394">
        <v>2</v>
      </c>
      <c r="I74" s="232">
        <v>1</v>
      </c>
      <c r="J74" s="232">
        <f t="shared" si="2"/>
        <v>0</v>
      </c>
      <c r="K74" s="232">
        <v>2</v>
      </c>
      <c r="L74" s="232">
        <f>IF(K105=K70,L109+AK74,K74)</f>
        <v>2</v>
      </c>
      <c r="M74" s="232">
        <f>IF(K105=K70,0,L109+AK74-K74)</f>
        <v>0</v>
      </c>
      <c r="N74" s="232">
        <v>3</v>
      </c>
      <c r="O74" s="241">
        <f>N74-G74</f>
        <v>2</v>
      </c>
      <c r="P74" s="277">
        <v>2</v>
      </c>
      <c r="Q74" s="278"/>
      <c r="R74" s="279"/>
      <c r="S74" s="279"/>
      <c r="T74" s="279"/>
      <c r="U74" s="279"/>
      <c r="V74" s="279"/>
      <c r="W74" s="279">
        <v>1</v>
      </c>
      <c r="X74" s="241"/>
      <c r="Y74" s="241"/>
      <c r="Z74" s="241"/>
      <c r="AA74" s="241"/>
      <c r="AB74" s="241">
        <v>2</v>
      </c>
      <c r="AC74" s="241"/>
      <c r="AD74" s="241">
        <v>2</v>
      </c>
      <c r="AE74" s="241"/>
      <c r="AF74" s="241">
        <v>1</v>
      </c>
      <c r="AG74" s="241">
        <v>2</v>
      </c>
      <c r="AH74" s="241"/>
      <c r="AI74" s="241"/>
      <c r="AJ74" s="241">
        <f>N74-V74</f>
        <v>3</v>
      </c>
      <c r="AK74" s="235">
        <f>G109+AL74-G74</f>
        <v>0</v>
      </c>
      <c r="AL74" s="236"/>
      <c r="AM74" s="294">
        <f>4/12</f>
        <v>0.33333333333333331</v>
      </c>
      <c r="AN74" s="295">
        <v>2</v>
      </c>
      <c r="AO74" s="296">
        <f>G74/(AN74)</f>
        <v>0.5</v>
      </c>
      <c r="AP74" s="297">
        <f>AN74*6</f>
        <v>12</v>
      </c>
      <c r="AQ74" s="290">
        <f>G74+K74</f>
        <v>3</v>
      </c>
      <c r="AR74" s="290">
        <f>IF(G74&lt;G109,(G109-G74+K109-K74),K109-K74)</f>
        <v>0</v>
      </c>
      <c r="AS74" s="290">
        <f>21-8</f>
        <v>13</v>
      </c>
    </row>
    <row r="75" spans="1:45" ht="17.25" thickBot="1" x14ac:dyDescent="0.3">
      <c r="A75" s="465"/>
      <c r="B75" s="285">
        <v>273680</v>
      </c>
      <c r="C75" s="286">
        <v>1135751</v>
      </c>
      <c r="D75" s="286" t="s">
        <v>12</v>
      </c>
      <c r="E75" s="286" t="s">
        <v>13</v>
      </c>
      <c r="F75" s="254">
        <f>G110-AK75+AL75</f>
        <v>12</v>
      </c>
      <c r="G75" s="237">
        <v>12</v>
      </c>
      <c r="H75" s="395">
        <v>8</v>
      </c>
      <c r="I75" s="238">
        <v>12</v>
      </c>
      <c r="J75" s="232">
        <f t="shared" si="2"/>
        <v>0</v>
      </c>
      <c r="K75" s="238">
        <v>9</v>
      </c>
      <c r="L75" s="238">
        <f>IF(K105=K70,L110+AK75,K75)</f>
        <v>9</v>
      </c>
      <c r="M75" s="238">
        <f>IF(K105=K70,0,L110+AK75-K75)</f>
        <v>-12</v>
      </c>
      <c r="N75" s="238">
        <v>9</v>
      </c>
      <c r="O75" s="242">
        <f>N75-G75</f>
        <v>-3</v>
      </c>
      <c r="P75" s="280"/>
      <c r="Q75" s="281"/>
      <c r="R75" s="282"/>
      <c r="S75" s="282"/>
      <c r="T75" s="282">
        <v>11</v>
      </c>
      <c r="U75" s="282"/>
      <c r="V75" s="282"/>
      <c r="W75" s="282">
        <v>9</v>
      </c>
      <c r="X75" s="242"/>
      <c r="Y75" s="242">
        <v>9</v>
      </c>
      <c r="Z75" s="242"/>
      <c r="AA75" s="242"/>
      <c r="AB75" s="242">
        <v>5</v>
      </c>
      <c r="AC75" s="242"/>
      <c r="AD75" s="242">
        <v>5</v>
      </c>
      <c r="AE75" s="242"/>
      <c r="AF75" s="242">
        <v>9</v>
      </c>
      <c r="AG75" s="242"/>
      <c r="AH75" s="242"/>
      <c r="AI75" s="242"/>
      <c r="AJ75" s="242">
        <f>N75-V75</f>
        <v>9</v>
      </c>
      <c r="AK75" s="420">
        <f>G110+AL75-G75</f>
        <v>-12</v>
      </c>
      <c r="AL75" s="239"/>
      <c r="AM75" s="299">
        <f>30/12</f>
        <v>2.5</v>
      </c>
      <c r="AN75" s="300">
        <f>AM75*2</f>
        <v>5</v>
      </c>
      <c r="AO75" s="301">
        <f>G75/(AN75)</f>
        <v>2.4</v>
      </c>
      <c r="AP75" s="302">
        <f>AN75*6</f>
        <v>30</v>
      </c>
      <c r="AQ75" s="290">
        <f>G75+K75</f>
        <v>21</v>
      </c>
      <c r="AR75" s="290">
        <f>IF(G75&lt;G110,(G110-G75+K110-K75),K110-K75)</f>
        <v>0</v>
      </c>
      <c r="AS75" s="290">
        <f>21-8</f>
        <v>13</v>
      </c>
    </row>
    <row r="76" spans="1:45" ht="17.25" thickBot="1" x14ac:dyDescent="0.3">
      <c r="A76" s="466" t="s">
        <v>417</v>
      </c>
      <c r="B76" s="355" t="s">
        <v>129</v>
      </c>
      <c r="C76" s="356"/>
      <c r="D76" s="356"/>
      <c r="E76" s="359"/>
      <c r="F76" s="359"/>
      <c r="G76" s="356"/>
      <c r="H76" s="396"/>
      <c r="I76" s="356"/>
      <c r="J76" s="232">
        <f t="shared" si="2"/>
        <v>0</v>
      </c>
      <c r="K76" s="356"/>
      <c r="L76" s="356"/>
      <c r="M76" s="356"/>
      <c r="N76" s="356"/>
      <c r="O76" s="356"/>
      <c r="P76" s="356"/>
      <c r="Q76" s="356"/>
      <c r="R76" s="356"/>
      <c r="S76" s="356"/>
      <c r="T76" s="356"/>
      <c r="U76" s="356"/>
      <c r="V76" s="356"/>
      <c r="W76" s="356"/>
      <c r="X76" s="356"/>
      <c r="Y76" s="356"/>
      <c r="Z76" s="356"/>
      <c r="AA76" s="356"/>
      <c r="AB76" s="356"/>
      <c r="AC76" s="356"/>
      <c r="AD76" s="356"/>
      <c r="AE76" s="356"/>
      <c r="AF76" s="356"/>
      <c r="AG76" s="356"/>
      <c r="AH76" s="356"/>
      <c r="AI76" s="356"/>
      <c r="AJ76" s="356"/>
      <c r="AK76" s="356"/>
      <c r="AL76" s="367"/>
      <c r="AM76" s="356"/>
      <c r="AN76" s="356"/>
      <c r="AO76" s="356"/>
      <c r="AP76" s="356"/>
      <c r="AQ76" s="356"/>
      <c r="AR76" s="356"/>
      <c r="AS76" s="357"/>
    </row>
    <row r="77" spans="1:45" ht="17.25" thickBot="1" x14ac:dyDescent="0.3">
      <c r="A77" s="467"/>
      <c r="B77" s="354"/>
      <c r="C77" s="354">
        <v>1140327</v>
      </c>
      <c r="D77" s="358" t="s">
        <v>394</v>
      </c>
      <c r="E77" s="360"/>
      <c r="F77" s="361">
        <f>G112-AK77+AL77</f>
        <v>25</v>
      </c>
      <c r="G77" s="218">
        <v>25</v>
      </c>
      <c r="H77" s="397">
        <v>23</v>
      </c>
      <c r="I77" s="218">
        <v>25</v>
      </c>
      <c r="J77" s="232">
        <f t="shared" si="2"/>
        <v>0</v>
      </c>
      <c r="K77" s="218">
        <v>6</v>
      </c>
      <c r="L77" s="218">
        <f>IF(K105=K70,L112+AK77,K77)</f>
        <v>6</v>
      </c>
      <c r="M77" s="218">
        <f>IF(K105=K70,0,L112+AK77-K77)</f>
        <v>0</v>
      </c>
      <c r="N77" s="218"/>
      <c r="O77" s="218"/>
      <c r="P77" s="352"/>
      <c r="Q77" s="352"/>
      <c r="R77" s="352"/>
      <c r="S77" s="352"/>
      <c r="T77" s="352"/>
      <c r="U77" s="352"/>
      <c r="V77" s="218"/>
      <c r="W77" s="218"/>
      <c r="X77" s="218">
        <v>4</v>
      </c>
      <c r="Y77" s="218">
        <v>9</v>
      </c>
      <c r="Z77" s="218">
        <v>14</v>
      </c>
      <c r="AA77" s="218">
        <v>8</v>
      </c>
      <c r="AB77" s="218">
        <f>14+6</f>
        <v>20</v>
      </c>
      <c r="AC77" s="218">
        <v>10</v>
      </c>
      <c r="AD77" s="218">
        <v>12</v>
      </c>
      <c r="AE77" s="218">
        <v>17</v>
      </c>
      <c r="AF77" s="218">
        <v>6</v>
      </c>
      <c r="AG77" s="218">
        <v>6</v>
      </c>
      <c r="AH77" s="218">
        <v>6</v>
      </c>
      <c r="AI77" s="218"/>
      <c r="AJ77" s="242">
        <f>N77-V77</f>
        <v>0</v>
      </c>
      <c r="AK77" s="274">
        <f>G112+AL77-G77</f>
        <v>-6</v>
      </c>
      <c r="AL77" s="232"/>
      <c r="AM77" s="353"/>
      <c r="AN77" s="295"/>
      <c r="AO77" s="296"/>
      <c r="AP77" s="353"/>
      <c r="AQ77" s="290"/>
      <c r="AR77" s="290"/>
      <c r="AS77" s="290"/>
    </row>
    <row r="78" spans="1:45" ht="17.25" thickBot="1" x14ac:dyDescent="0.3">
      <c r="A78" s="467"/>
      <c r="B78" s="354"/>
      <c r="C78" s="285">
        <v>1151231</v>
      </c>
      <c r="D78" s="358" t="s">
        <v>395</v>
      </c>
      <c r="E78" s="360"/>
      <c r="F78" s="361">
        <v>12</v>
      </c>
      <c r="G78" s="369">
        <v>9</v>
      </c>
      <c r="H78" s="397">
        <v>13</v>
      </c>
      <c r="I78" s="218">
        <v>6</v>
      </c>
      <c r="J78" s="232">
        <f t="shared" si="2"/>
        <v>-3</v>
      </c>
      <c r="K78" s="218">
        <v>4</v>
      </c>
      <c r="L78" s="218">
        <f>IF(K105=K70,L113+AK78,K78)</f>
        <v>4</v>
      </c>
      <c r="M78" s="218">
        <f>IF(K105=K70,0,L113+AK78-K78)</f>
        <v>5</v>
      </c>
      <c r="N78" s="218"/>
      <c r="O78" s="218"/>
      <c r="P78" s="352"/>
      <c r="Q78" s="352"/>
      <c r="R78" s="352"/>
      <c r="S78" s="352"/>
      <c r="T78" s="352"/>
      <c r="U78" s="352"/>
      <c r="V78" s="218"/>
      <c r="W78" s="218"/>
      <c r="X78" s="218">
        <v>3</v>
      </c>
      <c r="Y78" s="218">
        <v>8</v>
      </c>
      <c r="Z78" s="218">
        <v>6</v>
      </c>
      <c r="AA78" s="218"/>
      <c r="AB78" s="218">
        <v>4</v>
      </c>
      <c r="AC78" s="218">
        <v>4</v>
      </c>
      <c r="AD78" s="218">
        <v>4</v>
      </c>
      <c r="AE78" s="218"/>
      <c r="AF78" s="218">
        <v>4</v>
      </c>
      <c r="AG78" s="218">
        <v>3</v>
      </c>
      <c r="AH78" s="218"/>
      <c r="AI78" s="218"/>
      <c r="AJ78" s="242">
        <f>N78-V78</f>
        <v>0</v>
      </c>
      <c r="AK78" s="421">
        <f>G113+AL78-G78</f>
        <v>3</v>
      </c>
      <c r="AL78" s="267"/>
      <c r="AM78" s="353"/>
      <c r="AN78" s="295"/>
      <c r="AO78" s="296"/>
      <c r="AP78" s="353"/>
      <c r="AQ78" s="290"/>
      <c r="AR78" s="290"/>
      <c r="AS78" s="290"/>
    </row>
    <row r="79" spans="1:45" ht="17.25" thickBot="1" x14ac:dyDescent="0.3">
      <c r="A79" s="467"/>
      <c r="B79" s="355" t="s">
        <v>420</v>
      </c>
      <c r="C79" s="356"/>
      <c r="D79" s="356" t="s">
        <v>523</v>
      </c>
      <c r="E79" s="359"/>
      <c r="F79" s="359"/>
      <c r="G79" s="356"/>
      <c r="H79" s="396"/>
      <c r="I79" s="356"/>
      <c r="J79" s="232">
        <f t="shared" si="2"/>
        <v>0</v>
      </c>
      <c r="K79" s="356"/>
      <c r="L79" s="356"/>
      <c r="M79" s="356"/>
      <c r="N79" s="356"/>
      <c r="O79" s="356"/>
      <c r="P79" s="356"/>
      <c r="Q79" s="356"/>
      <c r="R79" s="356"/>
      <c r="S79" s="356"/>
      <c r="T79" s="356"/>
      <c r="U79" s="356"/>
      <c r="V79" s="356"/>
      <c r="W79" s="356"/>
      <c r="X79" s="356"/>
      <c r="Y79" s="356"/>
      <c r="Z79" s="356"/>
      <c r="AA79" s="356"/>
      <c r="AB79" s="356"/>
      <c r="AC79" s="356"/>
      <c r="AD79" s="356"/>
      <c r="AE79" s="356"/>
      <c r="AF79" s="356"/>
      <c r="AG79" s="356"/>
      <c r="AH79" s="356"/>
      <c r="AI79" s="356"/>
      <c r="AJ79" s="356"/>
      <c r="AK79" s="356"/>
      <c r="AL79" s="368"/>
      <c r="AM79" s="356"/>
      <c r="AN79" s="356"/>
      <c r="AO79" s="356"/>
      <c r="AP79" s="356"/>
      <c r="AQ79" s="356"/>
      <c r="AR79" s="356"/>
      <c r="AS79" s="357"/>
    </row>
    <row r="80" spans="1:45" ht="17.25" thickBot="1" x14ac:dyDescent="0.3">
      <c r="A80" s="467"/>
      <c r="B80" s="354"/>
      <c r="C80" s="285">
        <v>1146032</v>
      </c>
      <c r="D80" s="358" t="s">
        <v>396</v>
      </c>
      <c r="E80" s="360"/>
      <c r="F80" s="361">
        <f>G115-AK80+AL80</f>
        <v>0</v>
      </c>
      <c r="G80" s="364">
        <v>0</v>
      </c>
      <c r="H80" s="364">
        <v>1</v>
      </c>
      <c r="I80" s="364">
        <v>0</v>
      </c>
      <c r="J80" s="232">
        <f t="shared" si="2"/>
        <v>0</v>
      </c>
      <c r="K80" s="364">
        <v>3</v>
      </c>
      <c r="L80" s="218"/>
      <c r="M80" s="218"/>
      <c r="N80" s="218"/>
      <c r="O80" s="218"/>
      <c r="P80" s="352"/>
      <c r="Q80" s="352"/>
      <c r="R80" s="352"/>
      <c r="S80" s="352"/>
      <c r="T80" s="352"/>
      <c r="U80" s="352"/>
      <c r="V80" s="218"/>
      <c r="W80" s="218"/>
      <c r="X80" s="218"/>
      <c r="Y80" s="218"/>
      <c r="Z80" s="218"/>
      <c r="AA80" s="218"/>
      <c r="AB80" s="218"/>
      <c r="AC80" s="218"/>
      <c r="AD80" s="218"/>
      <c r="AE80" s="218"/>
      <c r="AF80" s="218">
        <v>1</v>
      </c>
      <c r="AG80" s="218"/>
      <c r="AH80" s="218"/>
      <c r="AI80" s="218"/>
      <c r="AJ80" s="218"/>
      <c r="AK80" s="218">
        <f>G115+AL80-G80</f>
        <v>0</v>
      </c>
      <c r="AL80" s="218"/>
      <c r="AM80" s="353"/>
      <c r="AN80" s="295"/>
      <c r="AO80" s="296"/>
      <c r="AP80" s="353"/>
      <c r="AQ80" s="290"/>
      <c r="AR80" s="290"/>
      <c r="AS80" s="290"/>
    </row>
    <row r="81" spans="1:45" ht="17.25" thickBot="1" x14ac:dyDescent="0.3">
      <c r="A81" s="467"/>
      <c r="B81" s="354"/>
      <c r="C81" s="285">
        <v>1146021</v>
      </c>
      <c r="D81" s="358" t="s">
        <v>397</v>
      </c>
      <c r="E81" s="360"/>
      <c r="F81" s="361">
        <f>G116-AK81+AL81</f>
        <v>1</v>
      </c>
      <c r="G81" s="364">
        <v>1</v>
      </c>
      <c r="H81" s="364">
        <v>2</v>
      </c>
      <c r="I81" s="415"/>
      <c r="J81" s="232">
        <f t="shared" si="2"/>
        <v>-1</v>
      </c>
      <c r="K81" s="364">
        <v>1</v>
      </c>
      <c r="L81" s="218"/>
      <c r="M81" s="218"/>
      <c r="N81" s="218"/>
      <c r="O81" s="218"/>
      <c r="P81" s="352"/>
      <c r="Q81" s="352"/>
      <c r="R81" s="352"/>
      <c r="S81" s="352"/>
      <c r="T81" s="352"/>
      <c r="U81" s="352"/>
      <c r="V81" s="218"/>
      <c r="W81" s="218"/>
      <c r="X81" s="218"/>
      <c r="Y81" s="218"/>
      <c r="Z81" s="218"/>
      <c r="AA81" s="218"/>
      <c r="AB81" s="218"/>
      <c r="AC81" s="218"/>
      <c r="AD81" s="218"/>
      <c r="AE81" s="218"/>
      <c r="AF81" s="218"/>
      <c r="AG81" s="218">
        <v>1</v>
      </c>
      <c r="AH81" s="218"/>
      <c r="AI81" s="218"/>
      <c r="AJ81" s="218"/>
      <c r="AK81" s="218">
        <f>G116+AL81-G81</f>
        <v>0</v>
      </c>
      <c r="AL81" s="218"/>
      <c r="AM81" s="353"/>
      <c r="AN81" s="295"/>
      <c r="AO81" s="296"/>
      <c r="AP81" s="353"/>
      <c r="AQ81" s="290"/>
      <c r="AR81" s="290"/>
      <c r="AS81" s="290"/>
    </row>
    <row r="82" spans="1:45" ht="17.25" thickBot="1" x14ac:dyDescent="0.3">
      <c r="A82" s="467"/>
      <c r="B82" s="354"/>
      <c r="C82" s="285">
        <v>1146018</v>
      </c>
      <c r="D82" s="358" t="s">
        <v>398</v>
      </c>
      <c r="E82" s="360"/>
      <c r="F82" s="361">
        <f>G117-AK82+AL82</f>
        <v>2</v>
      </c>
      <c r="G82" s="364">
        <v>2</v>
      </c>
      <c r="H82" s="364">
        <v>1</v>
      </c>
      <c r="I82" s="415"/>
      <c r="J82" s="232">
        <f t="shared" si="2"/>
        <v>-2</v>
      </c>
      <c r="K82" s="364">
        <v>2</v>
      </c>
      <c r="L82" s="218"/>
      <c r="M82" s="218"/>
      <c r="N82" s="218"/>
      <c r="O82" s="218"/>
      <c r="P82" s="352"/>
      <c r="Q82" s="352"/>
      <c r="R82" s="352"/>
      <c r="S82" s="352"/>
      <c r="T82" s="352"/>
      <c r="U82" s="352"/>
      <c r="V82" s="218"/>
      <c r="W82" s="218"/>
      <c r="X82" s="218"/>
      <c r="Y82" s="218"/>
      <c r="Z82" s="218"/>
      <c r="AA82" s="218"/>
      <c r="AB82" s="218">
        <v>2</v>
      </c>
      <c r="AC82" s="218"/>
      <c r="AD82" s="218"/>
      <c r="AE82" s="218"/>
      <c r="AF82" s="218">
        <v>2</v>
      </c>
      <c r="AG82" s="218"/>
      <c r="AH82" s="218"/>
      <c r="AI82" s="218"/>
      <c r="AJ82" s="218"/>
      <c r="AK82" s="218">
        <f>G117+AL82-G82</f>
        <v>0</v>
      </c>
      <c r="AL82" s="218"/>
      <c r="AM82" s="353"/>
      <c r="AN82" s="295"/>
      <c r="AO82" s="296"/>
      <c r="AP82" s="353"/>
      <c r="AQ82" s="290"/>
      <c r="AR82" s="290"/>
      <c r="AS82" s="290"/>
    </row>
    <row r="83" spans="1:45" ht="17.25" thickBot="1" x14ac:dyDescent="0.3">
      <c r="A83" s="467"/>
      <c r="B83" s="354"/>
      <c r="C83" s="285">
        <v>1146024</v>
      </c>
      <c r="D83" s="358" t="s">
        <v>399</v>
      </c>
      <c r="E83" s="360"/>
      <c r="F83" s="361">
        <v>1</v>
      </c>
      <c r="G83" s="364">
        <v>5</v>
      </c>
      <c r="H83" s="364">
        <v>2</v>
      </c>
      <c r="I83" s="415">
        <v>3</v>
      </c>
      <c r="J83" s="232">
        <f t="shared" si="2"/>
        <v>-2</v>
      </c>
      <c r="K83" s="369">
        <v>0</v>
      </c>
      <c r="L83" s="218"/>
      <c r="M83" s="218"/>
      <c r="N83" s="218"/>
      <c r="O83" s="218"/>
      <c r="P83" s="352"/>
      <c r="Q83" s="352"/>
      <c r="R83" s="352"/>
      <c r="S83" s="352"/>
      <c r="T83" s="352"/>
      <c r="U83" s="352"/>
      <c r="V83" s="218"/>
      <c r="W83" s="218"/>
      <c r="X83" s="218"/>
      <c r="Y83" s="218"/>
      <c r="Z83" s="218"/>
      <c r="AA83" s="218">
        <v>1</v>
      </c>
      <c r="AB83" s="218">
        <v>1</v>
      </c>
      <c r="AC83" s="218"/>
      <c r="AD83" s="218"/>
      <c r="AE83" s="218"/>
      <c r="AF83" s="218">
        <v>2</v>
      </c>
      <c r="AG83" s="218"/>
      <c r="AH83" s="218"/>
      <c r="AI83" s="218"/>
      <c r="AJ83" s="218"/>
      <c r="AK83" s="415">
        <f>G118+AL83-G83</f>
        <v>1</v>
      </c>
      <c r="AL83" s="218"/>
      <c r="AM83" s="353"/>
      <c r="AN83" s="295"/>
      <c r="AO83" s="296"/>
      <c r="AP83" s="353"/>
      <c r="AQ83" s="290"/>
      <c r="AR83" s="290"/>
      <c r="AS83" s="290"/>
    </row>
    <row r="84" spans="1:45" ht="17.25" thickBot="1" x14ac:dyDescent="0.3">
      <c r="A84" s="467"/>
      <c r="B84" s="354"/>
      <c r="C84" s="285">
        <v>1146028</v>
      </c>
      <c r="D84" s="358" t="s">
        <v>400</v>
      </c>
      <c r="E84" s="360"/>
      <c r="F84" s="361">
        <f>G119-AK84+AL84</f>
        <v>3</v>
      </c>
      <c r="G84" s="364">
        <v>3</v>
      </c>
      <c r="H84" s="364">
        <v>2</v>
      </c>
      <c r="I84" s="364">
        <v>3</v>
      </c>
      <c r="J84" s="232">
        <f t="shared" si="2"/>
        <v>0</v>
      </c>
      <c r="K84" s="364">
        <v>2</v>
      </c>
      <c r="L84" s="218"/>
      <c r="M84" s="218"/>
      <c r="N84" s="218"/>
      <c r="O84" s="218"/>
      <c r="P84" s="352"/>
      <c r="Q84" s="352"/>
      <c r="R84" s="352"/>
      <c r="S84" s="352"/>
      <c r="T84" s="352"/>
      <c r="U84" s="352"/>
      <c r="V84" s="218"/>
      <c r="W84" s="218"/>
      <c r="X84" s="218"/>
      <c r="Y84" s="218"/>
      <c r="Z84" s="218"/>
      <c r="AA84" s="218"/>
      <c r="AB84" s="218"/>
      <c r="AC84" s="218"/>
      <c r="AD84" s="218">
        <v>2</v>
      </c>
      <c r="AE84" s="218"/>
      <c r="AF84" s="218"/>
      <c r="AG84" s="218">
        <v>2</v>
      </c>
      <c r="AH84" s="218"/>
      <c r="AI84" s="218"/>
      <c r="AJ84" s="218"/>
      <c r="AK84" s="218">
        <f>G119+AL84-G84</f>
        <v>0</v>
      </c>
      <c r="AL84" s="218"/>
      <c r="AM84" s="353"/>
      <c r="AN84" s="295"/>
      <c r="AO84" s="296"/>
      <c r="AP84" s="353"/>
      <c r="AQ84" s="290"/>
      <c r="AR84" s="290"/>
      <c r="AS84" s="290"/>
    </row>
    <row r="85" spans="1:45" ht="17.25" thickBot="1" x14ac:dyDescent="0.3">
      <c r="A85" s="467"/>
      <c r="B85" s="355" t="s">
        <v>419</v>
      </c>
      <c r="C85" s="356"/>
      <c r="D85" s="356"/>
      <c r="E85" s="359"/>
      <c r="F85" s="359"/>
      <c r="G85" s="356"/>
      <c r="H85" s="396"/>
      <c r="I85" s="356"/>
      <c r="J85" s="232">
        <f t="shared" si="2"/>
        <v>0</v>
      </c>
      <c r="K85" s="356"/>
      <c r="L85" s="356"/>
      <c r="M85" s="356"/>
      <c r="N85" s="356"/>
      <c r="O85" s="356"/>
      <c r="P85" s="356"/>
      <c r="Q85" s="356"/>
      <c r="R85" s="356"/>
      <c r="S85" s="356"/>
      <c r="T85" s="356"/>
      <c r="U85" s="356"/>
      <c r="V85" s="356"/>
      <c r="W85" s="356"/>
      <c r="X85" s="356"/>
      <c r="Y85" s="356"/>
      <c r="Z85" s="356"/>
      <c r="AA85" s="356"/>
      <c r="AB85" s="356"/>
      <c r="AC85" s="356"/>
      <c r="AD85" s="356"/>
      <c r="AE85" s="356"/>
      <c r="AF85" s="356"/>
      <c r="AG85" s="356"/>
      <c r="AH85" s="356"/>
      <c r="AI85" s="356"/>
      <c r="AJ85" s="356"/>
      <c r="AK85" s="356"/>
      <c r="AL85" s="356"/>
      <c r="AM85" s="356"/>
      <c r="AN85" s="356"/>
      <c r="AO85" s="356"/>
      <c r="AP85" s="356"/>
      <c r="AQ85" s="356"/>
      <c r="AR85" s="356"/>
      <c r="AS85" s="357"/>
    </row>
    <row r="86" spans="1:45" ht="17.25" thickBot="1" x14ac:dyDescent="0.3">
      <c r="A86" s="467"/>
      <c r="B86" s="372"/>
      <c r="C86" s="373">
        <v>1146031</v>
      </c>
      <c r="D86" s="374" t="s">
        <v>401</v>
      </c>
      <c r="E86" s="375"/>
      <c r="F86" s="376">
        <f>G121-AK86+AL86</f>
        <v>0</v>
      </c>
      <c r="G86" s="377"/>
      <c r="H86" s="397">
        <v>1</v>
      </c>
      <c r="I86" s="377"/>
      <c r="J86" s="232">
        <f t="shared" si="2"/>
        <v>0</v>
      </c>
      <c r="K86" s="377">
        <v>2</v>
      </c>
      <c r="L86" s="377"/>
      <c r="M86" s="377"/>
      <c r="N86" s="377"/>
      <c r="O86" s="377"/>
      <c r="P86" s="377"/>
      <c r="Q86" s="377"/>
      <c r="R86" s="377"/>
      <c r="S86" s="377"/>
      <c r="T86" s="377"/>
      <c r="U86" s="377"/>
      <c r="V86" s="377"/>
      <c r="W86" s="377"/>
      <c r="X86" s="377"/>
      <c r="Y86" s="377"/>
      <c r="Z86" s="377"/>
      <c r="AA86" s="377"/>
      <c r="AB86" s="377"/>
      <c r="AC86" s="377"/>
      <c r="AD86" s="377"/>
      <c r="AE86" s="377"/>
      <c r="AF86" s="377"/>
      <c r="AG86" s="377"/>
      <c r="AH86" s="377"/>
      <c r="AI86" s="377"/>
      <c r="AJ86" s="377"/>
      <c r="AK86" s="377">
        <f>G121+AL86-G86</f>
        <v>1</v>
      </c>
      <c r="AL86" s="377"/>
      <c r="AM86" s="378"/>
      <c r="AN86" s="379"/>
      <c r="AO86" s="380"/>
      <c r="AP86" s="378"/>
      <c r="AQ86" s="381"/>
      <c r="AR86" s="381"/>
      <c r="AS86" s="381"/>
    </row>
    <row r="87" spans="1:45" ht="17.25" thickBot="1" x14ac:dyDescent="0.3">
      <c r="A87" s="467"/>
      <c r="B87" s="372"/>
      <c r="C87" s="373">
        <v>1146020</v>
      </c>
      <c r="D87" s="374" t="s">
        <v>402</v>
      </c>
      <c r="E87" s="375"/>
      <c r="F87" s="376">
        <f>G122-AK87+AL87</f>
        <v>0</v>
      </c>
      <c r="G87" s="377"/>
      <c r="H87" s="397">
        <v>1</v>
      </c>
      <c r="I87" s="377"/>
      <c r="J87" s="232">
        <f t="shared" si="2"/>
        <v>0</v>
      </c>
      <c r="K87" s="377">
        <v>1</v>
      </c>
      <c r="L87" s="377"/>
      <c r="M87" s="377"/>
      <c r="N87" s="377"/>
      <c r="O87" s="377"/>
      <c r="P87" s="377"/>
      <c r="Q87" s="377"/>
      <c r="R87" s="377"/>
      <c r="S87" s="377"/>
      <c r="T87" s="377"/>
      <c r="U87" s="377"/>
      <c r="V87" s="377"/>
      <c r="W87" s="377"/>
      <c r="X87" s="377"/>
      <c r="Y87" s="377"/>
      <c r="Z87" s="377"/>
      <c r="AA87" s="377"/>
      <c r="AB87" s="377"/>
      <c r="AC87" s="377"/>
      <c r="AD87" s="377"/>
      <c r="AE87" s="377"/>
      <c r="AF87" s="377"/>
      <c r="AG87" s="377"/>
      <c r="AH87" s="377"/>
      <c r="AI87" s="377"/>
      <c r="AJ87" s="377"/>
      <c r="AK87" s="377">
        <f>G122+AL87-G87</f>
        <v>0</v>
      </c>
      <c r="AL87" s="377"/>
      <c r="AM87" s="378"/>
      <c r="AN87" s="379"/>
      <c r="AO87" s="380"/>
      <c r="AP87" s="378"/>
      <c r="AQ87" s="381"/>
      <c r="AR87" s="381"/>
      <c r="AS87" s="381"/>
    </row>
    <row r="88" spans="1:45" ht="17.25" thickBot="1" x14ac:dyDescent="0.3">
      <c r="A88" s="467"/>
      <c r="B88" s="372"/>
      <c r="C88" s="373">
        <v>1146016</v>
      </c>
      <c r="D88" s="374" t="s">
        <v>398</v>
      </c>
      <c r="E88" s="375"/>
      <c r="F88" s="376">
        <f>G123-AK88+AL88</f>
        <v>0</v>
      </c>
      <c r="G88" s="377"/>
      <c r="H88" s="397">
        <v>1</v>
      </c>
      <c r="I88" s="377"/>
      <c r="J88" s="232">
        <f t="shared" si="2"/>
        <v>0</v>
      </c>
      <c r="K88" s="377">
        <v>0</v>
      </c>
      <c r="L88" s="377"/>
      <c r="M88" s="377"/>
      <c r="N88" s="377"/>
      <c r="O88" s="377"/>
      <c r="P88" s="377"/>
      <c r="Q88" s="377"/>
      <c r="R88" s="377"/>
      <c r="S88" s="377"/>
      <c r="T88" s="377"/>
      <c r="U88" s="377"/>
      <c r="V88" s="377"/>
      <c r="W88" s="377"/>
      <c r="X88" s="377"/>
      <c r="Y88" s="377"/>
      <c r="Z88" s="377"/>
      <c r="AA88" s="377"/>
      <c r="AB88" s="377"/>
      <c r="AC88" s="377"/>
      <c r="AD88" s="377"/>
      <c r="AE88" s="377"/>
      <c r="AF88" s="377"/>
      <c r="AG88" s="377"/>
      <c r="AH88" s="377"/>
      <c r="AI88" s="377"/>
      <c r="AJ88" s="377"/>
      <c r="AK88" s="377">
        <f>G123+AL88-G88</f>
        <v>0</v>
      </c>
      <c r="AL88" s="377"/>
      <c r="AM88" s="378"/>
      <c r="AN88" s="379"/>
      <c r="AO88" s="380"/>
      <c r="AP88" s="378"/>
      <c r="AQ88" s="381"/>
      <c r="AR88" s="381"/>
      <c r="AS88" s="381"/>
    </row>
    <row r="89" spans="1:45" ht="17.25" thickBot="1" x14ac:dyDescent="0.3">
      <c r="A89" s="467"/>
      <c r="B89" s="372"/>
      <c r="C89" s="373">
        <v>1146022</v>
      </c>
      <c r="D89" s="374" t="s">
        <v>403</v>
      </c>
      <c r="E89" s="375"/>
      <c r="F89" s="376">
        <f>G124-AK89+AL89</f>
        <v>0</v>
      </c>
      <c r="G89" s="377"/>
      <c r="H89" s="397">
        <v>2</v>
      </c>
      <c r="I89" s="377"/>
      <c r="J89" s="232">
        <f t="shared" si="2"/>
        <v>0</v>
      </c>
      <c r="K89" s="377">
        <v>0</v>
      </c>
      <c r="L89" s="377"/>
      <c r="M89" s="377"/>
      <c r="N89" s="377"/>
      <c r="O89" s="377"/>
      <c r="P89" s="377"/>
      <c r="Q89" s="377"/>
      <c r="R89" s="377"/>
      <c r="S89" s="377"/>
      <c r="T89" s="377"/>
      <c r="U89" s="377"/>
      <c r="V89" s="377"/>
      <c r="W89" s="377"/>
      <c r="X89" s="377"/>
      <c r="Y89" s="377"/>
      <c r="Z89" s="377"/>
      <c r="AA89" s="377"/>
      <c r="AB89" s="377"/>
      <c r="AC89" s="377"/>
      <c r="AD89" s="377"/>
      <c r="AE89" s="377"/>
      <c r="AF89" s="377"/>
      <c r="AG89" s="377"/>
      <c r="AH89" s="377"/>
      <c r="AI89" s="377"/>
      <c r="AJ89" s="377"/>
      <c r="AK89" s="377">
        <f>G124+AL89-G89</f>
        <v>0</v>
      </c>
      <c r="AL89" s="377"/>
      <c r="AM89" s="378"/>
      <c r="AN89" s="379"/>
      <c r="AO89" s="380"/>
      <c r="AP89" s="378"/>
      <c r="AQ89" s="381"/>
      <c r="AR89" s="381"/>
      <c r="AS89" s="381"/>
    </row>
    <row r="90" spans="1:45" ht="17.25" thickBot="1" x14ac:dyDescent="0.3">
      <c r="A90" s="467"/>
      <c r="B90" s="372"/>
      <c r="C90" s="373">
        <v>1146027</v>
      </c>
      <c r="D90" s="374" t="s">
        <v>404</v>
      </c>
      <c r="E90" s="375"/>
      <c r="F90" s="376">
        <f>G125-AK90+AL90</f>
        <v>0</v>
      </c>
      <c r="G90" s="377"/>
      <c r="H90" s="397">
        <v>2</v>
      </c>
      <c r="I90" s="377"/>
      <c r="J90" s="232">
        <f t="shared" si="2"/>
        <v>0</v>
      </c>
      <c r="K90" s="377">
        <v>0</v>
      </c>
      <c r="L90" s="377"/>
      <c r="M90" s="377"/>
      <c r="N90" s="377"/>
      <c r="O90" s="377"/>
      <c r="P90" s="377"/>
      <c r="Q90" s="377"/>
      <c r="R90" s="377"/>
      <c r="S90" s="377"/>
      <c r="T90" s="377"/>
      <c r="U90" s="377"/>
      <c r="V90" s="377"/>
      <c r="W90" s="377"/>
      <c r="X90" s="377"/>
      <c r="Y90" s="377"/>
      <c r="Z90" s="377"/>
      <c r="AA90" s="377"/>
      <c r="AB90" s="377"/>
      <c r="AC90" s="377"/>
      <c r="AD90" s="377"/>
      <c r="AE90" s="377"/>
      <c r="AF90" s="377"/>
      <c r="AG90" s="377"/>
      <c r="AH90" s="377"/>
      <c r="AI90" s="377"/>
      <c r="AJ90" s="377"/>
      <c r="AK90" s="377">
        <f>G125+AL90-G90</f>
        <v>0</v>
      </c>
      <c r="AL90" s="377"/>
      <c r="AM90" s="378"/>
      <c r="AN90" s="379"/>
      <c r="AO90" s="380"/>
      <c r="AP90" s="378"/>
      <c r="AQ90" s="381"/>
      <c r="AR90" s="381"/>
      <c r="AS90" s="381"/>
    </row>
    <row r="91" spans="1:45" ht="17.25" thickBot="1" x14ac:dyDescent="0.3">
      <c r="A91" s="467"/>
      <c r="B91" s="355" t="s">
        <v>418</v>
      </c>
      <c r="C91" s="356"/>
      <c r="D91" s="356"/>
      <c r="E91" s="359"/>
      <c r="F91" s="359"/>
      <c r="G91" s="356"/>
      <c r="H91" s="396"/>
      <c r="I91" s="356"/>
      <c r="J91" s="232">
        <f t="shared" si="2"/>
        <v>0</v>
      </c>
      <c r="K91" s="356"/>
      <c r="L91" s="356"/>
      <c r="M91" s="356"/>
      <c r="N91" s="356"/>
      <c r="O91" s="356"/>
      <c r="P91" s="356"/>
      <c r="Q91" s="356"/>
      <c r="R91" s="356"/>
      <c r="S91" s="356"/>
      <c r="T91" s="356"/>
      <c r="U91" s="356"/>
      <c r="V91" s="356"/>
      <c r="W91" s="356"/>
      <c r="X91" s="356"/>
      <c r="Y91" s="356"/>
      <c r="Z91" s="356"/>
      <c r="AA91" s="356"/>
      <c r="AB91" s="356"/>
      <c r="AC91" s="356"/>
      <c r="AD91" s="356"/>
      <c r="AE91" s="356"/>
      <c r="AF91" s="356"/>
      <c r="AG91" s="356"/>
      <c r="AH91" s="356"/>
      <c r="AI91" s="356"/>
      <c r="AJ91" s="356"/>
      <c r="AK91" s="356"/>
      <c r="AL91" s="356"/>
      <c r="AM91" s="356"/>
      <c r="AN91" s="356"/>
      <c r="AO91" s="356"/>
      <c r="AP91" s="356"/>
      <c r="AQ91" s="356"/>
      <c r="AR91" s="356"/>
      <c r="AS91" s="357"/>
    </row>
    <row r="92" spans="1:45" ht="17.25" thickBot="1" x14ac:dyDescent="0.3">
      <c r="A92" s="467"/>
      <c r="B92" s="354"/>
      <c r="C92" s="285">
        <v>1151653</v>
      </c>
      <c r="D92" s="358" t="s">
        <v>405</v>
      </c>
      <c r="E92" s="360"/>
      <c r="F92" s="361">
        <f>G127-AK92+AL92</f>
        <v>3</v>
      </c>
      <c r="G92" s="364">
        <v>3</v>
      </c>
      <c r="H92" s="397">
        <v>1</v>
      </c>
      <c r="I92" s="364">
        <v>3</v>
      </c>
      <c r="J92" s="232">
        <f t="shared" si="2"/>
        <v>0</v>
      </c>
      <c r="K92" s="364">
        <v>0</v>
      </c>
      <c r="L92" s="218"/>
      <c r="M92" s="218"/>
      <c r="N92" s="218"/>
      <c r="O92" s="218"/>
      <c r="P92" s="352"/>
      <c r="Q92" s="352"/>
      <c r="R92" s="352"/>
      <c r="S92" s="352"/>
      <c r="T92" s="352"/>
      <c r="U92" s="352"/>
      <c r="V92" s="218"/>
      <c r="W92" s="218"/>
      <c r="X92" s="218"/>
      <c r="Y92" s="218"/>
      <c r="Z92" s="218"/>
      <c r="AA92" s="218"/>
      <c r="AB92" s="218"/>
      <c r="AC92" s="218"/>
      <c r="AD92" s="218"/>
      <c r="AE92" s="218"/>
      <c r="AF92" s="218"/>
      <c r="AG92" s="218"/>
      <c r="AH92" s="218"/>
      <c r="AI92" s="218"/>
      <c r="AJ92" s="218"/>
      <c r="AK92" s="218">
        <f>G127+AL92-G92</f>
        <v>0</v>
      </c>
      <c r="AL92" s="218"/>
      <c r="AM92" s="353"/>
      <c r="AN92" s="295"/>
      <c r="AO92" s="296"/>
      <c r="AP92" s="353"/>
      <c r="AQ92" s="290"/>
      <c r="AR92" s="290"/>
      <c r="AS92" s="290"/>
    </row>
    <row r="93" spans="1:45" ht="17.25" thickBot="1" x14ac:dyDescent="0.3">
      <c r="A93" s="467"/>
      <c r="B93" s="354"/>
      <c r="C93" s="285">
        <v>1151650</v>
      </c>
      <c r="D93" s="358" t="s">
        <v>406</v>
      </c>
      <c r="E93" s="360"/>
      <c r="F93" s="361">
        <f>G128-AK93+AL93</f>
        <v>2</v>
      </c>
      <c r="G93" s="364">
        <v>2</v>
      </c>
      <c r="H93" s="397">
        <v>2</v>
      </c>
      <c r="I93" s="364">
        <v>2</v>
      </c>
      <c r="J93" s="232">
        <f t="shared" si="2"/>
        <v>0</v>
      </c>
      <c r="K93" s="364">
        <v>3</v>
      </c>
      <c r="L93" s="218"/>
      <c r="M93" s="218"/>
      <c r="N93" s="218"/>
      <c r="O93" s="218"/>
      <c r="P93" s="352"/>
      <c r="Q93" s="352"/>
      <c r="R93" s="352"/>
      <c r="S93" s="352"/>
      <c r="T93" s="352"/>
      <c r="U93" s="352"/>
      <c r="V93" s="218"/>
      <c r="W93" s="218"/>
      <c r="X93" s="218"/>
      <c r="Y93" s="218"/>
      <c r="Z93" s="218"/>
      <c r="AA93" s="218"/>
      <c r="AB93" s="218"/>
      <c r="AC93" s="218"/>
      <c r="AD93" s="218"/>
      <c r="AE93" s="218"/>
      <c r="AF93" s="218"/>
      <c r="AG93" s="218"/>
      <c r="AH93" s="218"/>
      <c r="AI93" s="218"/>
      <c r="AJ93" s="218"/>
      <c r="AK93" s="218">
        <f>G128+AL93-G93</f>
        <v>0</v>
      </c>
      <c r="AL93" s="218"/>
      <c r="AM93" s="353"/>
      <c r="AN93" s="295"/>
      <c r="AO93" s="296"/>
      <c r="AP93" s="353"/>
      <c r="AQ93" s="290"/>
      <c r="AR93" s="290"/>
      <c r="AS93" s="290"/>
    </row>
    <row r="94" spans="1:45" ht="17.25" thickBot="1" x14ac:dyDescent="0.3">
      <c r="A94" s="467"/>
      <c r="B94" s="354"/>
      <c r="C94" s="285">
        <v>1151649</v>
      </c>
      <c r="D94" s="358" t="s">
        <v>407</v>
      </c>
      <c r="E94" s="360"/>
      <c r="F94" s="361">
        <f>G129-AK94+AL94</f>
        <v>3</v>
      </c>
      <c r="G94" s="364">
        <v>3</v>
      </c>
      <c r="H94" s="369">
        <v>4</v>
      </c>
      <c r="I94" s="415"/>
      <c r="J94" s="232">
        <f t="shared" si="2"/>
        <v>-3</v>
      </c>
      <c r="K94" s="369">
        <v>2</v>
      </c>
      <c r="L94" s="218"/>
      <c r="M94" s="218"/>
      <c r="N94" s="218"/>
      <c r="O94" s="218"/>
      <c r="P94" s="352"/>
      <c r="Q94" s="352"/>
      <c r="R94" s="352"/>
      <c r="S94" s="352"/>
      <c r="T94" s="352"/>
      <c r="U94" s="352"/>
      <c r="V94" s="218"/>
      <c r="W94" s="218"/>
      <c r="X94" s="218"/>
      <c r="Y94" s="218"/>
      <c r="Z94" s="218"/>
      <c r="AA94" s="218"/>
      <c r="AB94" s="218">
        <v>2</v>
      </c>
      <c r="AC94" s="218"/>
      <c r="AD94" s="218">
        <v>2</v>
      </c>
      <c r="AE94" s="218"/>
      <c r="AF94" s="218"/>
      <c r="AG94" s="218">
        <v>2</v>
      </c>
      <c r="AH94" s="218"/>
      <c r="AI94" s="218"/>
      <c r="AJ94" s="218"/>
      <c r="AK94" s="415">
        <f>G129+AL94-G94</f>
        <v>0</v>
      </c>
      <c r="AL94" s="218"/>
      <c r="AM94" s="353"/>
      <c r="AN94" s="295"/>
      <c r="AO94" s="296"/>
      <c r="AP94" s="353"/>
      <c r="AQ94" s="290"/>
      <c r="AR94" s="290"/>
      <c r="AS94" s="290"/>
    </row>
    <row r="95" spans="1:45" ht="17.25" thickBot="1" x14ac:dyDescent="0.3">
      <c r="A95" s="467"/>
      <c r="B95" s="354"/>
      <c r="C95" s="285">
        <v>1151651</v>
      </c>
      <c r="D95" s="358" t="s">
        <v>408</v>
      </c>
      <c r="E95" s="360"/>
      <c r="F95" s="361">
        <f>G130-AK95+AL95</f>
        <v>7</v>
      </c>
      <c r="G95" s="364">
        <v>7</v>
      </c>
      <c r="H95" s="369">
        <v>1</v>
      </c>
      <c r="I95" s="364">
        <v>7</v>
      </c>
      <c r="J95" s="232">
        <f t="shared" si="2"/>
        <v>0</v>
      </c>
      <c r="K95" s="369">
        <v>1</v>
      </c>
      <c r="L95" s="218"/>
      <c r="M95" s="218"/>
      <c r="N95" s="218"/>
      <c r="O95" s="218"/>
      <c r="P95" s="352"/>
      <c r="Q95" s="352"/>
      <c r="R95" s="352"/>
      <c r="S95" s="352"/>
      <c r="T95" s="352"/>
      <c r="U95" s="352"/>
      <c r="V95" s="218"/>
      <c r="W95" s="218"/>
      <c r="X95" s="218"/>
      <c r="Y95" s="218"/>
      <c r="Z95" s="218">
        <v>2</v>
      </c>
      <c r="AA95" s="218"/>
      <c r="AB95" s="218">
        <v>2</v>
      </c>
      <c r="AC95" s="218"/>
      <c r="AD95" s="218">
        <v>3</v>
      </c>
      <c r="AE95" s="218"/>
      <c r="AF95" s="218"/>
      <c r="AG95" s="218"/>
      <c r="AH95" s="218"/>
      <c r="AI95" s="218"/>
      <c r="AJ95" s="218"/>
      <c r="AK95" s="218">
        <f>G130+AL95-G95</f>
        <v>0</v>
      </c>
      <c r="AL95" s="218"/>
      <c r="AM95" s="353"/>
      <c r="AN95" s="295"/>
      <c r="AO95" s="296"/>
      <c r="AP95" s="353"/>
      <c r="AQ95" s="290"/>
      <c r="AR95" s="290"/>
      <c r="AS95" s="290"/>
    </row>
    <row r="96" spans="1:45" ht="17.25" thickBot="1" x14ac:dyDescent="0.3">
      <c r="A96" s="467"/>
      <c r="B96" s="354"/>
      <c r="C96" s="285">
        <v>1146029</v>
      </c>
      <c r="D96" s="358" t="s">
        <v>409</v>
      </c>
      <c r="E96" s="360"/>
      <c r="F96" s="361">
        <f>G131-AK96+AL96</f>
        <v>4</v>
      </c>
      <c r="G96" s="364">
        <v>4</v>
      </c>
      <c r="H96" s="369">
        <v>2</v>
      </c>
      <c r="I96" s="415">
        <v>2</v>
      </c>
      <c r="J96" s="232">
        <f t="shared" si="2"/>
        <v>-2</v>
      </c>
      <c r="K96" s="369">
        <v>3</v>
      </c>
      <c r="L96" s="218"/>
      <c r="M96" s="218"/>
      <c r="N96" s="218"/>
      <c r="O96" s="218"/>
      <c r="P96" s="352"/>
      <c r="Q96" s="352"/>
      <c r="R96" s="352"/>
      <c r="S96" s="352"/>
      <c r="T96" s="352"/>
      <c r="U96" s="352"/>
      <c r="V96" s="218"/>
      <c r="W96" s="218"/>
      <c r="X96" s="218"/>
      <c r="Y96" s="218"/>
      <c r="Z96" s="218"/>
      <c r="AA96" s="218"/>
      <c r="AB96" s="218"/>
      <c r="AC96" s="218">
        <v>2</v>
      </c>
      <c r="AD96" s="218"/>
      <c r="AE96" s="218"/>
      <c r="AF96" s="218"/>
      <c r="AG96" s="218">
        <v>2</v>
      </c>
      <c r="AH96" s="218"/>
      <c r="AI96" s="218"/>
      <c r="AJ96" s="218"/>
      <c r="AK96" s="218">
        <f>G131+AL96-G96</f>
        <v>-2</v>
      </c>
      <c r="AL96" s="218"/>
      <c r="AM96" s="353"/>
      <c r="AN96" s="295"/>
      <c r="AO96" s="296"/>
      <c r="AP96" s="353"/>
      <c r="AQ96" s="290"/>
      <c r="AR96" s="290"/>
      <c r="AS96" s="290"/>
    </row>
    <row r="97" spans="1:45" ht="17.25" thickBot="1" x14ac:dyDescent="0.3">
      <c r="A97" s="467"/>
      <c r="B97" s="355" t="s">
        <v>410</v>
      </c>
      <c r="C97" s="356"/>
      <c r="D97" s="356"/>
      <c r="E97" s="359"/>
      <c r="F97" s="359"/>
      <c r="G97" s="356"/>
      <c r="H97" s="396"/>
      <c r="I97" s="356"/>
      <c r="J97" s="232">
        <f t="shared" si="2"/>
        <v>0</v>
      </c>
      <c r="K97" s="356"/>
      <c r="L97" s="356"/>
      <c r="M97" s="356"/>
      <c r="N97" s="356"/>
      <c r="O97" s="356"/>
      <c r="P97" s="356"/>
      <c r="Q97" s="356"/>
      <c r="R97" s="356"/>
      <c r="S97" s="356"/>
      <c r="T97" s="356"/>
      <c r="U97" s="356"/>
      <c r="V97" s="356"/>
      <c r="W97" s="356"/>
      <c r="X97" s="356"/>
      <c r="Y97" s="356"/>
      <c r="Z97" s="356"/>
      <c r="AA97" s="356"/>
      <c r="AB97" s="356"/>
      <c r="AC97" s="356"/>
      <c r="AD97" s="356"/>
      <c r="AE97" s="356"/>
      <c r="AF97" s="356"/>
      <c r="AG97" s="356"/>
      <c r="AH97" s="356"/>
      <c r="AI97" s="356"/>
      <c r="AJ97" s="356"/>
      <c r="AK97" s="356"/>
      <c r="AL97" s="356"/>
      <c r="AM97" s="356"/>
      <c r="AN97" s="356"/>
      <c r="AO97" s="356"/>
      <c r="AP97" s="356"/>
      <c r="AQ97" s="356"/>
      <c r="AR97" s="356"/>
      <c r="AS97" s="357"/>
    </row>
    <row r="98" spans="1:45" ht="17.25" thickBot="1" x14ac:dyDescent="0.3">
      <c r="A98" s="467"/>
      <c r="B98" s="354"/>
      <c r="C98" s="285">
        <v>1699118</v>
      </c>
      <c r="D98" s="358" t="s">
        <v>411</v>
      </c>
      <c r="E98" s="360"/>
      <c r="F98" s="361">
        <f>G133-AK98+AL98</f>
        <v>0</v>
      </c>
      <c r="G98" s="364">
        <v>0</v>
      </c>
      <c r="H98" s="369">
        <v>1</v>
      </c>
      <c r="I98" s="364">
        <v>0</v>
      </c>
      <c r="J98" s="232">
        <f t="shared" si="2"/>
        <v>0</v>
      </c>
      <c r="K98" s="369">
        <v>0</v>
      </c>
      <c r="L98" s="218"/>
      <c r="M98" s="218"/>
      <c r="N98" s="218"/>
      <c r="O98" s="218"/>
      <c r="P98" s="352"/>
      <c r="Q98" s="352"/>
      <c r="R98" s="352"/>
      <c r="S98" s="352"/>
      <c r="T98" s="352"/>
      <c r="U98" s="352"/>
      <c r="V98" s="218"/>
      <c r="W98" s="218"/>
      <c r="X98" s="218"/>
      <c r="Y98" s="218"/>
      <c r="Z98" s="218"/>
      <c r="AA98" s="218"/>
      <c r="AB98" s="218">
        <v>1</v>
      </c>
      <c r="AC98" s="218"/>
      <c r="AD98" s="218"/>
      <c r="AE98" s="218"/>
      <c r="AF98" s="218">
        <v>1</v>
      </c>
      <c r="AG98" s="218"/>
      <c r="AH98" s="218"/>
      <c r="AI98" s="218"/>
      <c r="AJ98" s="218"/>
      <c r="AK98" s="218">
        <f>G133+AL98-G98</f>
        <v>0</v>
      </c>
      <c r="AL98" s="218"/>
      <c r="AM98" s="353"/>
      <c r="AN98" s="295"/>
      <c r="AO98" s="296"/>
      <c r="AP98" s="353"/>
      <c r="AQ98" s="290"/>
      <c r="AR98" s="290"/>
      <c r="AS98" s="290"/>
    </row>
    <row r="99" spans="1:45" ht="17.25" thickBot="1" x14ac:dyDescent="0.3">
      <c r="A99" s="467"/>
      <c r="B99" s="354"/>
      <c r="C99" s="285">
        <v>1699119</v>
      </c>
      <c r="D99" s="358" t="s">
        <v>412</v>
      </c>
      <c r="E99" s="360"/>
      <c r="F99" s="361">
        <f>G134-AK99+AL99</f>
        <v>3</v>
      </c>
      <c r="G99" s="364">
        <v>3</v>
      </c>
      <c r="H99" s="369">
        <v>1</v>
      </c>
      <c r="I99" s="364">
        <v>3</v>
      </c>
      <c r="J99" s="232">
        <f t="shared" si="2"/>
        <v>0</v>
      </c>
      <c r="K99" s="369">
        <v>2</v>
      </c>
      <c r="L99" s="218"/>
      <c r="M99" s="218"/>
      <c r="N99" s="218"/>
      <c r="O99" s="218"/>
      <c r="P99" s="352"/>
      <c r="Q99" s="352"/>
      <c r="R99" s="352"/>
      <c r="S99" s="352"/>
      <c r="T99" s="352"/>
      <c r="U99" s="352"/>
      <c r="V99" s="218"/>
      <c r="W99" s="218"/>
      <c r="X99" s="218"/>
      <c r="Y99" s="218"/>
      <c r="Z99" s="218"/>
      <c r="AA99" s="218"/>
      <c r="AB99" s="218">
        <v>2</v>
      </c>
      <c r="AC99" s="218"/>
      <c r="AD99" s="218"/>
      <c r="AE99" s="218"/>
      <c r="AF99" s="218">
        <v>1</v>
      </c>
      <c r="AG99" s="218">
        <v>1</v>
      </c>
      <c r="AH99" s="218"/>
      <c r="AI99" s="218"/>
      <c r="AJ99" s="218"/>
      <c r="AK99" s="218">
        <f>G134+AL99-G99</f>
        <v>0</v>
      </c>
      <c r="AL99" s="218"/>
      <c r="AM99" s="353"/>
      <c r="AN99" s="295"/>
      <c r="AO99" s="296"/>
      <c r="AP99" s="353"/>
      <c r="AQ99" s="290"/>
      <c r="AR99" s="290"/>
      <c r="AS99" s="290"/>
    </row>
    <row r="100" spans="1:45" ht="17.25" thickBot="1" x14ac:dyDescent="0.3">
      <c r="A100" s="467"/>
      <c r="B100" s="354"/>
      <c r="C100" s="285">
        <v>1699130</v>
      </c>
      <c r="D100" s="358" t="s">
        <v>413</v>
      </c>
      <c r="E100" s="360"/>
      <c r="F100" s="361">
        <f>G135-AK100+AL100</f>
        <v>3</v>
      </c>
      <c r="G100" s="364">
        <v>3</v>
      </c>
      <c r="H100" s="369">
        <v>4</v>
      </c>
      <c r="I100" s="415"/>
      <c r="J100" s="232">
        <f t="shared" si="2"/>
        <v>-3</v>
      </c>
      <c r="K100" s="369">
        <v>1</v>
      </c>
      <c r="L100" s="218"/>
      <c r="M100" s="218"/>
      <c r="N100" s="218"/>
      <c r="O100" s="218"/>
      <c r="P100" s="352"/>
      <c r="Q100" s="352"/>
      <c r="R100" s="352"/>
      <c r="S100" s="352"/>
      <c r="T100" s="352"/>
      <c r="U100" s="352"/>
      <c r="V100" s="218"/>
      <c r="W100" s="218"/>
      <c r="X100" s="218"/>
      <c r="Y100" s="218"/>
      <c r="Z100" s="218"/>
      <c r="AA100" s="218">
        <v>2</v>
      </c>
      <c r="AB100" s="218"/>
      <c r="AC100" s="218"/>
      <c r="AD100" s="218">
        <v>4</v>
      </c>
      <c r="AE100" s="218"/>
      <c r="AF100" s="218"/>
      <c r="AG100" s="218">
        <v>1</v>
      </c>
      <c r="AH100" s="218"/>
      <c r="AI100" s="218"/>
      <c r="AJ100" s="218"/>
      <c r="AK100" s="218">
        <f>G135+AL100-G100</f>
        <v>0</v>
      </c>
      <c r="AL100" s="218"/>
      <c r="AM100" s="353"/>
      <c r="AN100" s="295"/>
      <c r="AO100" s="296"/>
      <c r="AP100" s="353"/>
      <c r="AQ100" s="290"/>
      <c r="AR100" s="290"/>
      <c r="AS100" s="290"/>
    </row>
    <row r="101" spans="1:45" ht="17.25" thickBot="1" x14ac:dyDescent="0.3">
      <c r="A101" s="467"/>
      <c r="B101" s="354"/>
      <c r="C101" s="285">
        <v>1699131</v>
      </c>
      <c r="D101" s="358" t="s">
        <v>414</v>
      </c>
      <c r="E101" s="360"/>
      <c r="F101" s="361">
        <f>G136-AK101+AL101</f>
        <v>2</v>
      </c>
      <c r="G101" s="364">
        <v>2</v>
      </c>
      <c r="H101" s="397">
        <v>3</v>
      </c>
      <c r="I101" s="364">
        <v>2</v>
      </c>
      <c r="J101" s="232">
        <f t="shared" si="2"/>
        <v>0</v>
      </c>
      <c r="K101" s="364">
        <v>2</v>
      </c>
      <c r="L101" s="218"/>
      <c r="M101" s="218"/>
      <c r="N101" s="218"/>
      <c r="O101" s="218"/>
      <c r="P101" s="352"/>
      <c r="Q101" s="352"/>
      <c r="R101" s="352"/>
      <c r="S101" s="352"/>
      <c r="T101" s="352"/>
      <c r="U101" s="352"/>
      <c r="V101" s="218"/>
      <c r="W101" s="218"/>
      <c r="X101" s="218"/>
      <c r="Y101" s="218"/>
      <c r="Z101" s="218"/>
      <c r="AA101" s="218"/>
      <c r="AB101" s="218">
        <v>1</v>
      </c>
      <c r="AC101" s="218"/>
      <c r="AD101" s="218"/>
      <c r="AE101" s="218"/>
      <c r="AF101" s="218">
        <v>2</v>
      </c>
      <c r="AG101" s="218">
        <v>1</v>
      </c>
      <c r="AH101" s="218"/>
      <c r="AI101" s="218"/>
      <c r="AJ101" s="218"/>
      <c r="AK101" s="218">
        <f>G136+AL101-G101</f>
        <v>0</v>
      </c>
      <c r="AL101" s="218"/>
      <c r="AM101" s="353"/>
      <c r="AN101" s="295"/>
      <c r="AO101" s="296"/>
      <c r="AP101" s="353"/>
      <c r="AQ101" s="290"/>
      <c r="AR101" s="290"/>
      <c r="AS101" s="290"/>
    </row>
    <row r="102" spans="1:45" ht="17.25" thickBot="1" x14ac:dyDescent="0.3">
      <c r="A102" s="468"/>
      <c r="B102" s="354"/>
      <c r="C102" s="285">
        <v>1699132</v>
      </c>
      <c r="D102" s="358" t="s">
        <v>415</v>
      </c>
      <c r="E102" s="285"/>
      <c r="F102" s="362">
        <f>G137-AK102+AL102</f>
        <v>3</v>
      </c>
      <c r="G102" s="364">
        <v>3</v>
      </c>
      <c r="H102" s="397">
        <v>3</v>
      </c>
      <c r="I102" s="415">
        <v>1</v>
      </c>
      <c r="J102" s="232">
        <f t="shared" si="2"/>
        <v>-2</v>
      </c>
      <c r="K102" s="364">
        <v>1</v>
      </c>
      <c r="L102" s="218"/>
      <c r="M102" s="218"/>
      <c r="N102" s="218"/>
      <c r="O102" s="218"/>
      <c r="P102" s="352"/>
      <c r="Q102" s="352"/>
      <c r="R102" s="352"/>
      <c r="S102" s="352"/>
      <c r="T102" s="352"/>
      <c r="U102" s="352"/>
      <c r="V102" s="218"/>
      <c r="W102" s="218"/>
      <c r="X102" s="218"/>
      <c r="Y102" s="218"/>
      <c r="Z102" s="218"/>
      <c r="AA102" s="218"/>
      <c r="AB102" s="218"/>
      <c r="AC102" s="218"/>
      <c r="AD102" s="218"/>
      <c r="AE102" s="218"/>
      <c r="AF102" s="218">
        <v>2</v>
      </c>
      <c r="AG102" s="218"/>
      <c r="AH102" s="218"/>
      <c r="AI102" s="218"/>
      <c r="AJ102" s="218"/>
      <c r="AK102" s="218">
        <f>G137+AL102-G102</f>
        <v>-2</v>
      </c>
      <c r="AL102" s="218"/>
      <c r="AM102" s="353"/>
      <c r="AN102" s="295"/>
      <c r="AO102" s="296"/>
      <c r="AP102" s="353"/>
      <c r="AQ102" s="290"/>
      <c r="AR102" s="290"/>
      <c r="AS102" s="290"/>
    </row>
    <row r="104" spans="1:45" ht="14.25" thickBot="1" x14ac:dyDescent="0.3">
      <c r="B104" s="338" t="s">
        <v>18</v>
      </c>
      <c r="C104" s="339">
        <v>45845</v>
      </c>
      <c r="AA104" s="290">
        <v>0</v>
      </c>
      <c r="AL104" s="290"/>
      <c r="AM104" s="290"/>
    </row>
    <row r="105" spans="1:45" ht="41.25" thickBot="1" x14ac:dyDescent="0.3">
      <c r="B105" s="283" t="s">
        <v>0</v>
      </c>
      <c r="C105" s="284" t="s">
        <v>1</v>
      </c>
      <c r="D105" s="284" t="s">
        <v>2</v>
      </c>
      <c r="E105" s="284" t="s">
        <v>3</v>
      </c>
      <c r="F105" s="4" t="s">
        <v>318</v>
      </c>
      <c r="G105" s="351">
        <v>2</v>
      </c>
      <c r="H105" s="382" t="s">
        <v>460</v>
      </c>
      <c r="I105" s="234" t="s">
        <v>566</v>
      </c>
      <c r="J105" s="234"/>
      <c r="K105" s="258" t="s">
        <v>567</v>
      </c>
      <c r="L105" s="258" t="s">
        <v>328</v>
      </c>
      <c r="M105" s="258" t="s">
        <v>327</v>
      </c>
      <c r="N105" s="234" t="s">
        <v>389</v>
      </c>
      <c r="O105" s="240" t="s">
        <v>130</v>
      </c>
      <c r="P105" s="243" t="s">
        <v>303</v>
      </c>
      <c r="Q105" s="244" t="s">
        <v>304</v>
      </c>
      <c r="R105" s="244" t="s">
        <v>314</v>
      </c>
      <c r="S105" s="245" t="s">
        <v>338</v>
      </c>
      <c r="T105" s="245" t="s">
        <v>345</v>
      </c>
      <c r="U105" s="245" t="s">
        <v>361</v>
      </c>
      <c r="V105" s="245" t="s">
        <v>387</v>
      </c>
      <c r="W105" s="245" t="s">
        <v>421</v>
      </c>
      <c r="X105" s="245" t="s">
        <v>452</v>
      </c>
      <c r="Y105" s="245" t="s">
        <v>463</v>
      </c>
      <c r="Z105" s="245" t="s">
        <v>481</v>
      </c>
      <c r="AA105" s="245" t="s">
        <v>498</v>
      </c>
      <c r="AB105" s="245" t="s">
        <v>303</v>
      </c>
      <c r="AC105" s="245" t="s">
        <v>304</v>
      </c>
      <c r="AD105" s="245" t="s">
        <v>314</v>
      </c>
      <c r="AE105" s="245" t="s">
        <v>338</v>
      </c>
      <c r="AF105" s="245" t="s">
        <v>345</v>
      </c>
      <c r="AG105" s="245" t="s">
        <v>361</v>
      </c>
      <c r="AH105" s="245" t="s">
        <v>387</v>
      </c>
      <c r="AI105" s="245"/>
      <c r="AJ105" s="245" t="s">
        <v>360</v>
      </c>
      <c r="AK105" s="246" t="s">
        <v>268</v>
      </c>
      <c r="AL105" s="247" t="s">
        <v>269</v>
      </c>
      <c r="AM105" s="291" t="s">
        <v>288</v>
      </c>
      <c r="AN105" s="292" t="s">
        <v>289</v>
      </c>
      <c r="AO105" s="292" t="s">
        <v>287</v>
      </c>
      <c r="AP105" s="293" t="s">
        <v>290</v>
      </c>
      <c r="AQ105" s="290" t="s">
        <v>306</v>
      </c>
      <c r="AR105" s="290" t="s">
        <v>310</v>
      </c>
      <c r="AS105" s="290" t="s">
        <v>311</v>
      </c>
    </row>
    <row r="106" spans="1:45" ht="17.25" thickBot="1" x14ac:dyDescent="0.3">
      <c r="A106" s="463" t="s">
        <v>416</v>
      </c>
      <c r="B106" s="285">
        <v>273664</v>
      </c>
      <c r="C106" s="286">
        <v>1135749</v>
      </c>
      <c r="D106" s="286" t="s">
        <v>7</v>
      </c>
      <c r="E106" s="286">
        <v>6060050026</v>
      </c>
      <c r="F106" s="253">
        <f>G141-AK106+AL106</f>
        <v>3</v>
      </c>
      <c r="G106" s="235">
        <v>3</v>
      </c>
      <c r="H106" s="394">
        <v>5</v>
      </c>
      <c r="I106" s="232">
        <f>7+3</f>
        <v>10</v>
      </c>
      <c r="J106" s="232"/>
      <c r="K106" s="232">
        <v>2</v>
      </c>
      <c r="L106" s="232">
        <f>IF(K140=K105,L141+AK106,K106)</f>
        <v>2</v>
      </c>
      <c r="M106" s="232">
        <f>IF(K140=K105,0,L141+AK106-K106)</f>
        <v>8</v>
      </c>
      <c r="N106" s="267">
        <v>5</v>
      </c>
      <c r="O106" s="241">
        <f>N106-G106</f>
        <v>2</v>
      </c>
      <c r="P106" s="277">
        <v>4</v>
      </c>
      <c r="Q106" s="278">
        <v>4</v>
      </c>
      <c r="R106" s="279"/>
      <c r="S106" s="279">
        <v>3</v>
      </c>
      <c r="T106" s="279">
        <v>4</v>
      </c>
      <c r="U106" s="279">
        <v>2</v>
      </c>
      <c r="V106" s="279"/>
      <c r="W106" s="279">
        <f>2+3</f>
        <v>5</v>
      </c>
      <c r="X106" s="241"/>
      <c r="Y106" s="241"/>
      <c r="Z106" s="241"/>
      <c r="AA106" s="241">
        <v>4</v>
      </c>
      <c r="AB106" s="241">
        <v>5</v>
      </c>
      <c r="AC106" s="241"/>
      <c r="AD106" s="241">
        <v>6</v>
      </c>
      <c r="AE106" s="241"/>
      <c r="AF106" s="241">
        <v>2</v>
      </c>
      <c r="AG106" s="241"/>
      <c r="AH106" s="241"/>
      <c r="AI106" s="241"/>
      <c r="AJ106" s="241">
        <f>N106-V106</f>
        <v>5</v>
      </c>
      <c r="AK106" s="235">
        <f>G141+AL106-G106</f>
        <v>7</v>
      </c>
      <c r="AL106" s="350"/>
      <c r="AM106" s="294">
        <v>1.5</v>
      </c>
      <c r="AN106" s="295">
        <v>4</v>
      </c>
      <c r="AO106" s="296">
        <f>G106/(AN106)</f>
        <v>0.75</v>
      </c>
      <c r="AP106" s="297">
        <f>AN106*6</f>
        <v>24</v>
      </c>
      <c r="AQ106" s="290">
        <f>G106+K106</f>
        <v>5</v>
      </c>
      <c r="AR106" s="290">
        <f>IF(G106&lt;G141,(G141-G106+K141-K106),K141-K106)</f>
        <v>8</v>
      </c>
      <c r="AS106" s="290">
        <f>21-8</f>
        <v>13</v>
      </c>
    </row>
    <row r="107" spans="1:45" ht="17.25" thickBot="1" x14ac:dyDescent="0.3">
      <c r="A107" s="464"/>
      <c r="B107" s="285">
        <v>273672</v>
      </c>
      <c r="C107" s="286">
        <v>1135750</v>
      </c>
      <c r="D107" s="286" t="s">
        <v>9</v>
      </c>
      <c r="E107" s="287">
        <v>204000000000</v>
      </c>
      <c r="F107" s="253">
        <f>G142-AK107+AL107</f>
        <v>22</v>
      </c>
      <c r="G107" s="235">
        <v>22</v>
      </c>
      <c r="H107" s="394">
        <v>16</v>
      </c>
      <c r="I107" s="232">
        <f>7+14-1+2</f>
        <v>22</v>
      </c>
      <c r="J107" s="232"/>
      <c r="K107" s="232">
        <v>7</v>
      </c>
      <c r="L107" s="232">
        <f>IF(K140=K105,L142+AK107,K107)</f>
        <v>7</v>
      </c>
      <c r="M107" s="232">
        <f>IF(K140=K105,0,L142+AK107-K107)</f>
        <v>1</v>
      </c>
      <c r="N107" s="267">
        <v>10</v>
      </c>
      <c r="O107" s="241">
        <f>N107-G107</f>
        <v>-12</v>
      </c>
      <c r="P107" s="277">
        <v>13</v>
      </c>
      <c r="Q107" s="278">
        <v>2</v>
      </c>
      <c r="R107" s="279">
        <v>6</v>
      </c>
      <c r="S107" s="279">
        <v>6</v>
      </c>
      <c r="T107" s="279">
        <v>10</v>
      </c>
      <c r="U107" s="279">
        <v>4</v>
      </c>
      <c r="V107" s="279">
        <v>6</v>
      </c>
      <c r="W107" s="279">
        <v>16</v>
      </c>
      <c r="X107" s="241"/>
      <c r="Y107" s="241">
        <v>6</v>
      </c>
      <c r="Z107" s="241">
        <v>4</v>
      </c>
      <c r="AA107" s="241">
        <v>6</v>
      </c>
      <c r="AB107" s="241">
        <v>14</v>
      </c>
      <c r="AC107" s="241"/>
      <c r="AD107" s="241">
        <v>12</v>
      </c>
      <c r="AE107" s="241">
        <v>6</v>
      </c>
      <c r="AF107" s="241">
        <v>14</v>
      </c>
      <c r="AG107" s="241"/>
      <c r="AH107" s="241"/>
      <c r="AI107" s="241"/>
      <c r="AJ107" s="241">
        <f>N107-V107</f>
        <v>4</v>
      </c>
      <c r="AK107" s="235">
        <f>G142+AL107-G107</f>
        <v>0</v>
      </c>
      <c r="AL107" s="236"/>
      <c r="AM107" s="298">
        <v>4.2</v>
      </c>
      <c r="AN107" s="295">
        <v>9</v>
      </c>
      <c r="AO107" s="296">
        <f>G107/(AN107)</f>
        <v>2.4444444444444446</v>
      </c>
      <c r="AP107" s="297">
        <f>AN107*6</f>
        <v>54</v>
      </c>
      <c r="AQ107" s="290">
        <f>G107+K107</f>
        <v>29</v>
      </c>
      <c r="AR107" s="290">
        <f>IF(G107&lt;G142,(G142-G107+K142-K107),K142-K107)</f>
        <v>1</v>
      </c>
      <c r="AS107" s="290">
        <f>21-8</f>
        <v>13</v>
      </c>
    </row>
    <row r="108" spans="1:45" ht="17.25" thickBot="1" x14ac:dyDescent="0.3">
      <c r="A108" s="464"/>
      <c r="B108" s="285">
        <v>273702</v>
      </c>
      <c r="C108" s="286">
        <v>1135753</v>
      </c>
      <c r="D108" s="286" t="s">
        <v>10</v>
      </c>
      <c r="E108" s="287">
        <v>301000000000</v>
      </c>
      <c r="F108" s="253">
        <f>G143-AK108+AL108</f>
        <v>3</v>
      </c>
      <c r="G108" s="235">
        <v>3</v>
      </c>
      <c r="H108" s="394">
        <v>1</v>
      </c>
      <c r="I108" s="232">
        <v>3</v>
      </c>
      <c r="J108" s="232"/>
      <c r="K108" s="232">
        <v>2</v>
      </c>
      <c r="L108" s="232">
        <f>IF(K140=K105,L143+AK108,K108)</f>
        <v>2</v>
      </c>
      <c r="M108" s="232">
        <f>IF(K140=K105,0,L143+AK108-K108)</f>
        <v>-2</v>
      </c>
      <c r="N108" s="232">
        <v>2</v>
      </c>
      <c r="O108" s="241">
        <f>N108-G108</f>
        <v>-1</v>
      </c>
      <c r="P108" s="277"/>
      <c r="Q108" s="278"/>
      <c r="R108" s="279"/>
      <c r="S108" s="279"/>
      <c r="T108" s="279"/>
      <c r="U108" s="279"/>
      <c r="V108" s="279"/>
      <c r="W108" s="279"/>
      <c r="X108" s="241"/>
      <c r="Y108" s="241"/>
      <c r="Z108" s="241"/>
      <c r="AA108" s="241"/>
      <c r="AB108" s="241">
        <v>2</v>
      </c>
      <c r="AC108" s="241"/>
      <c r="AD108" s="241"/>
      <c r="AE108" s="241"/>
      <c r="AF108" s="241"/>
      <c r="AG108" s="241"/>
      <c r="AH108" s="241"/>
      <c r="AI108" s="241"/>
      <c r="AJ108" s="241">
        <f>N108-V108</f>
        <v>2</v>
      </c>
      <c r="AK108" s="417">
        <f>G143+AL108-G108</f>
        <v>0</v>
      </c>
      <c r="AL108" s="236"/>
      <c r="AM108" s="294">
        <f>4/12</f>
        <v>0.33333333333333331</v>
      </c>
      <c r="AN108" s="295">
        <v>2</v>
      </c>
      <c r="AO108" s="296">
        <f>G108/(AN108)</f>
        <v>1.5</v>
      </c>
      <c r="AP108" s="297">
        <f>AN108*6</f>
        <v>12</v>
      </c>
      <c r="AQ108" s="290">
        <f>G108+K108</f>
        <v>5</v>
      </c>
      <c r="AR108" s="290">
        <f>IF(G108&lt;G143,(G143-G108+K143-K108),K143-K108)</f>
        <v>-2</v>
      </c>
      <c r="AS108" s="290">
        <f>21-8</f>
        <v>13</v>
      </c>
    </row>
    <row r="109" spans="1:45" ht="17.25" thickBot="1" x14ac:dyDescent="0.3">
      <c r="A109" s="464"/>
      <c r="B109" s="285">
        <v>273698</v>
      </c>
      <c r="C109" s="286">
        <v>1135752</v>
      </c>
      <c r="D109" s="286" t="s">
        <v>11</v>
      </c>
      <c r="E109" s="287">
        <v>701000000000</v>
      </c>
      <c r="F109" s="253">
        <f>G144-AK109+AL109</f>
        <v>1</v>
      </c>
      <c r="G109" s="235">
        <v>1</v>
      </c>
      <c r="H109" s="394">
        <v>2</v>
      </c>
      <c r="I109" s="232">
        <v>1</v>
      </c>
      <c r="J109" s="232"/>
      <c r="K109" s="232">
        <v>2</v>
      </c>
      <c r="L109" s="232">
        <f>IF(K140=K105,L144+AK109,K109)</f>
        <v>2</v>
      </c>
      <c r="M109" s="232">
        <f>IF(K140=K105,0,L144+AK109-K109)</f>
        <v>0</v>
      </c>
      <c r="N109" s="232">
        <v>3</v>
      </c>
      <c r="O109" s="241">
        <f>N109-G109</f>
        <v>2</v>
      </c>
      <c r="P109" s="277">
        <v>2</v>
      </c>
      <c r="Q109" s="278"/>
      <c r="R109" s="279"/>
      <c r="S109" s="279"/>
      <c r="T109" s="279"/>
      <c r="U109" s="279"/>
      <c r="V109" s="279"/>
      <c r="W109" s="279">
        <v>1</v>
      </c>
      <c r="X109" s="241"/>
      <c r="Y109" s="241"/>
      <c r="Z109" s="241"/>
      <c r="AA109" s="241"/>
      <c r="AB109" s="241">
        <v>2</v>
      </c>
      <c r="AC109" s="241"/>
      <c r="AD109" s="241">
        <v>2</v>
      </c>
      <c r="AE109" s="241"/>
      <c r="AF109" s="241">
        <v>1</v>
      </c>
      <c r="AG109" s="241">
        <v>2</v>
      </c>
      <c r="AH109" s="241"/>
      <c r="AI109" s="241"/>
      <c r="AJ109" s="241">
        <f>N109-V109</f>
        <v>3</v>
      </c>
      <c r="AK109" s="235">
        <f>G144+AL109-G109</f>
        <v>0</v>
      </c>
      <c r="AL109" s="236"/>
      <c r="AM109" s="294">
        <f>4/12</f>
        <v>0.33333333333333331</v>
      </c>
      <c r="AN109" s="295">
        <v>2</v>
      </c>
      <c r="AO109" s="296">
        <f>G109/(AN109)</f>
        <v>0.5</v>
      </c>
      <c r="AP109" s="297">
        <f>AN109*6</f>
        <v>12</v>
      </c>
      <c r="AQ109" s="290">
        <f>G109+K109</f>
        <v>3</v>
      </c>
      <c r="AR109" s="290">
        <f>IF(G109&lt;G144,(G144-G109+K144-K109),K144-K109)</f>
        <v>0</v>
      </c>
      <c r="AS109" s="290">
        <f>21-8</f>
        <v>13</v>
      </c>
    </row>
    <row r="110" spans="1:45" ht="17.25" thickBot="1" x14ac:dyDescent="0.3">
      <c r="A110" s="465"/>
      <c r="B110" s="285">
        <v>273680</v>
      </c>
      <c r="C110" s="286">
        <v>1135751</v>
      </c>
      <c r="D110" s="286" t="s">
        <v>12</v>
      </c>
      <c r="E110" s="286" t="s">
        <v>13</v>
      </c>
      <c r="F110" s="254">
        <f>G145-AK110+AL110</f>
        <v>0</v>
      </c>
      <c r="G110" s="237"/>
      <c r="H110" s="395">
        <v>8</v>
      </c>
      <c r="I110" s="238"/>
      <c r="J110" s="238"/>
      <c r="K110" s="238">
        <v>9</v>
      </c>
      <c r="L110" s="238">
        <f>IF(K140=K105,L145+AK110,K110)</f>
        <v>9</v>
      </c>
      <c r="M110" s="238">
        <f>IF(K140=K105,0,L145+AK110-K110)</f>
        <v>12</v>
      </c>
      <c r="N110" s="238">
        <v>9</v>
      </c>
      <c r="O110" s="242">
        <f>N110-G110</f>
        <v>9</v>
      </c>
      <c r="P110" s="280"/>
      <c r="Q110" s="281"/>
      <c r="R110" s="282"/>
      <c r="S110" s="282"/>
      <c r="T110" s="282">
        <v>11</v>
      </c>
      <c r="U110" s="282"/>
      <c r="V110" s="282"/>
      <c r="W110" s="282">
        <v>9</v>
      </c>
      <c r="X110" s="242"/>
      <c r="Y110" s="242">
        <v>9</v>
      </c>
      <c r="Z110" s="242"/>
      <c r="AA110" s="242"/>
      <c r="AB110" s="242">
        <v>5</v>
      </c>
      <c r="AC110" s="242"/>
      <c r="AD110" s="242">
        <v>5</v>
      </c>
      <c r="AE110" s="242"/>
      <c r="AF110" s="242">
        <v>9</v>
      </c>
      <c r="AG110" s="242"/>
      <c r="AH110" s="242"/>
      <c r="AI110" s="242"/>
      <c r="AJ110" s="242">
        <f>N110-V110</f>
        <v>9</v>
      </c>
      <c r="AK110" s="420">
        <f>G145+AL110-G110</f>
        <v>12</v>
      </c>
      <c r="AL110" s="239"/>
      <c r="AM110" s="299">
        <f>30/12</f>
        <v>2.5</v>
      </c>
      <c r="AN110" s="300">
        <f>AM110*2</f>
        <v>5</v>
      </c>
      <c r="AO110" s="301">
        <f>G110/(AN110)</f>
        <v>0</v>
      </c>
      <c r="AP110" s="302">
        <f>AN110*6</f>
        <v>30</v>
      </c>
      <c r="AQ110" s="290">
        <f>G110+K110</f>
        <v>9</v>
      </c>
      <c r="AR110" s="290">
        <f>IF(G110&lt;G145,(G145-G110+K145-K110),K145-K110)</f>
        <v>12</v>
      </c>
      <c r="AS110" s="290">
        <f>21-8</f>
        <v>13</v>
      </c>
    </row>
    <row r="111" spans="1:45" ht="17.25" thickBot="1" x14ac:dyDescent="0.3">
      <c r="A111" s="466" t="s">
        <v>417</v>
      </c>
      <c r="B111" s="355" t="s">
        <v>129</v>
      </c>
      <c r="C111" s="356"/>
      <c r="D111" s="356"/>
      <c r="E111" s="359"/>
      <c r="F111" s="359"/>
      <c r="G111" s="356"/>
      <c r="H111" s="396"/>
      <c r="I111" s="356"/>
      <c r="J111" s="356"/>
      <c r="K111" s="356"/>
      <c r="L111" s="356"/>
      <c r="M111" s="356"/>
      <c r="N111" s="356"/>
      <c r="O111" s="356"/>
      <c r="P111" s="356"/>
      <c r="Q111" s="356"/>
      <c r="R111" s="356"/>
      <c r="S111" s="356"/>
      <c r="T111" s="356"/>
      <c r="U111" s="356"/>
      <c r="V111" s="356"/>
      <c r="W111" s="356"/>
      <c r="X111" s="356"/>
      <c r="Y111" s="356"/>
      <c r="Z111" s="356"/>
      <c r="AA111" s="356"/>
      <c r="AB111" s="356"/>
      <c r="AC111" s="356"/>
      <c r="AD111" s="356"/>
      <c r="AE111" s="356"/>
      <c r="AF111" s="356"/>
      <c r="AG111" s="356"/>
      <c r="AH111" s="356"/>
      <c r="AI111" s="356"/>
      <c r="AJ111" s="356"/>
      <c r="AK111" s="356"/>
      <c r="AL111" s="367"/>
      <c r="AM111" s="356"/>
      <c r="AN111" s="356"/>
      <c r="AO111" s="356"/>
      <c r="AP111" s="356"/>
      <c r="AQ111" s="356"/>
      <c r="AR111" s="356"/>
      <c r="AS111" s="357"/>
    </row>
    <row r="112" spans="1:45" ht="17.25" thickBot="1" x14ac:dyDescent="0.3">
      <c r="A112" s="467"/>
      <c r="B112" s="354"/>
      <c r="C112" s="354">
        <v>1140327</v>
      </c>
      <c r="D112" s="358" t="s">
        <v>394</v>
      </c>
      <c r="E112" s="360"/>
      <c r="F112" s="361">
        <f>G147-AK112+AL112</f>
        <v>19</v>
      </c>
      <c r="G112" s="218">
        <v>19</v>
      </c>
      <c r="H112" s="397">
        <v>23</v>
      </c>
      <c r="I112" s="218">
        <v>19</v>
      </c>
      <c r="J112" s="218"/>
      <c r="K112" s="218">
        <v>12</v>
      </c>
      <c r="L112" s="218">
        <f>IF(K140=K105,L147+AK112,K112)</f>
        <v>12</v>
      </c>
      <c r="M112" s="218">
        <f>IF(K140=K105,0,L147+AK112-K112)</f>
        <v>0</v>
      </c>
      <c r="N112" s="218"/>
      <c r="O112" s="218"/>
      <c r="P112" s="352"/>
      <c r="Q112" s="352"/>
      <c r="R112" s="352"/>
      <c r="S112" s="352"/>
      <c r="T112" s="352"/>
      <c r="U112" s="352"/>
      <c r="V112" s="218"/>
      <c r="W112" s="218"/>
      <c r="X112" s="218">
        <v>4</v>
      </c>
      <c r="Y112" s="218">
        <v>9</v>
      </c>
      <c r="Z112" s="218">
        <v>14</v>
      </c>
      <c r="AA112" s="218">
        <v>8</v>
      </c>
      <c r="AB112" s="218">
        <f>14+6</f>
        <v>20</v>
      </c>
      <c r="AC112" s="218">
        <v>10</v>
      </c>
      <c r="AD112" s="218">
        <v>12</v>
      </c>
      <c r="AE112" s="218">
        <v>17</v>
      </c>
      <c r="AF112" s="218">
        <v>6</v>
      </c>
      <c r="AG112" s="218">
        <v>6</v>
      </c>
      <c r="AH112" s="218">
        <v>6</v>
      </c>
      <c r="AI112" s="218"/>
      <c r="AJ112" s="242">
        <f>N112-V112</f>
        <v>0</v>
      </c>
      <c r="AK112" s="274">
        <f>G147+AL112-G112</f>
        <v>6</v>
      </c>
      <c r="AL112" s="232"/>
      <c r="AM112" s="353"/>
      <c r="AN112" s="295"/>
      <c r="AO112" s="296"/>
      <c r="AP112" s="353"/>
      <c r="AQ112" s="290"/>
      <c r="AR112" s="290"/>
      <c r="AS112" s="290"/>
    </row>
    <row r="113" spans="1:45" ht="17.25" thickBot="1" x14ac:dyDescent="0.3">
      <c r="A113" s="467"/>
      <c r="B113" s="354"/>
      <c r="C113" s="285">
        <v>1151231</v>
      </c>
      <c r="D113" s="358" t="s">
        <v>395</v>
      </c>
      <c r="E113" s="360"/>
      <c r="F113" s="361">
        <v>12</v>
      </c>
      <c r="G113" s="369">
        <v>12</v>
      </c>
      <c r="H113" s="397">
        <v>13</v>
      </c>
      <c r="I113" s="218">
        <f>6+6</f>
        <v>12</v>
      </c>
      <c r="J113" s="218"/>
      <c r="K113" s="218">
        <v>6</v>
      </c>
      <c r="L113" s="218">
        <f>IF(K140=K105,L148+AK113,K113)</f>
        <v>6</v>
      </c>
      <c r="M113" s="218">
        <f>IF(K140=K105,0,L148+AK113-K113)</f>
        <v>-2</v>
      </c>
      <c r="N113" s="218"/>
      <c r="O113" s="218"/>
      <c r="P113" s="352"/>
      <c r="Q113" s="352"/>
      <c r="R113" s="352"/>
      <c r="S113" s="352"/>
      <c r="T113" s="352"/>
      <c r="U113" s="352"/>
      <c r="V113" s="218"/>
      <c r="W113" s="218"/>
      <c r="X113" s="218">
        <v>3</v>
      </c>
      <c r="Y113" s="218">
        <v>8</v>
      </c>
      <c r="Z113" s="218">
        <v>6</v>
      </c>
      <c r="AA113" s="218"/>
      <c r="AB113" s="218">
        <v>4</v>
      </c>
      <c r="AC113" s="218">
        <v>4</v>
      </c>
      <c r="AD113" s="218">
        <v>4</v>
      </c>
      <c r="AE113" s="218"/>
      <c r="AF113" s="218">
        <v>4</v>
      </c>
      <c r="AG113" s="218">
        <v>3</v>
      </c>
      <c r="AH113" s="218"/>
      <c r="AI113" s="218"/>
      <c r="AJ113" s="242">
        <f>N113-V113</f>
        <v>0</v>
      </c>
      <c r="AK113" s="421">
        <f>G148+AL113-G113</f>
        <v>3</v>
      </c>
      <c r="AL113" s="267"/>
      <c r="AM113" s="353"/>
      <c r="AN113" s="295"/>
      <c r="AO113" s="296"/>
      <c r="AP113" s="353"/>
      <c r="AQ113" s="290"/>
      <c r="AR113" s="290"/>
      <c r="AS113" s="290"/>
    </row>
    <row r="114" spans="1:45" ht="17.25" thickBot="1" x14ac:dyDescent="0.3">
      <c r="A114" s="467"/>
      <c r="B114" s="355" t="s">
        <v>420</v>
      </c>
      <c r="C114" s="356"/>
      <c r="D114" s="356" t="s">
        <v>523</v>
      </c>
      <c r="E114" s="359"/>
      <c r="F114" s="359"/>
      <c r="G114" s="356"/>
      <c r="H114" s="396"/>
      <c r="I114" s="356"/>
      <c r="J114" s="356"/>
      <c r="K114" s="356"/>
      <c r="L114" s="356"/>
      <c r="M114" s="356"/>
      <c r="N114" s="356"/>
      <c r="O114" s="356"/>
      <c r="P114" s="356"/>
      <c r="Q114" s="356"/>
      <c r="R114" s="356"/>
      <c r="S114" s="356"/>
      <c r="T114" s="356"/>
      <c r="U114" s="356"/>
      <c r="V114" s="356"/>
      <c r="W114" s="356"/>
      <c r="X114" s="356"/>
      <c r="Y114" s="356"/>
      <c r="Z114" s="356"/>
      <c r="AA114" s="356"/>
      <c r="AB114" s="356"/>
      <c r="AC114" s="356"/>
      <c r="AD114" s="356"/>
      <c r="AE114" s="356"/>
      <c r="AF114" s="356"/>
      <c r="AG114" s="356"/>
      <c r="AH114" s="356"/>
      <c r="AI114" s="356"/>
      <c r="AJ114" s="356"/>
      <c r="AK114" s="356"/>
      <c r="AL114" s="368"/>
      <c r="AM114" s="356"/>
      <c r="AN114" s="356"/>
      <c r="AO114" s="356"/>
      <c r="AP114" s="356"/>
      <c r="AQ114" s="356"/>
      <c r="AR114" s="356"/>
      <c r="AS114" s="357"/>
    </row>
    <row r="115" spans="1:45" ht="17.25" thickBot="1" x14ac:dyDescent="0.3">
      <c r="A115" s="467"/>
      <c r="B115" s="354"/>
      <c r="C115" s="285">
        <v>1146032</v>
      </c>
      <c r="D115" s="358" t="s">
        <v>396</v>
      </c>
      <c r="E115" s="360"/>
      <c r="F115" s="361">
        <f>G150-AK115+AL115</f>
        <v>0</v>
      </c>
      <c r="G115" s="364"/>
      <c r="H115" s="397">
        <v>1</v>
      </c>
      <c r="I115" s="364"/>
      <c r="J115" s="364"/>
      <c r="K115" s="364">
        <v>5</v>
      </c>
      <c r="L115" s="218"/>
      <c r="M115" s="218"/>
      <c r="N115" s="218"/>
      <c r="O115" s="218"/>
      <c r="P115" s="352"/>
      <c r="Q115" s="352"/>
      <c r="R115" s="352"/>
      <c r="S115" s="352"/>
      <c r="T115" s="352"/>
      <c r="U115" s="352"/>
      <c r="V115" s="218"/>
      <c r="W115" s="218"/>
      <c r="X115" s="218"/>
      <c r="Y115" s="218"/>
      <c r="Z115" s="218"/>
      <c r="AA115" s="218"/>
      <c r="AB115" s="218"/>
      <c r="AC115" s="218"/>
      <c r="AD115" s="218"/>
      <c r="AE115" s="218"/>
      <c r="AF115" s="218">
        <v>1</v>
      </c>
      <c r="AG115" s="218"/>
      <c r="AH115" s="218"/>
      <c r="AI115" s="218"/>
      <c r="AJ115" s="218"/>
      <c r="AK115" s="218">
        <f>G150+AL115-G115</f>
        <v>0</v>
      </c>
      <c r="AL115" s="218"/>
      <c r="AM115" s="353"/>
      <c r="AN115" s="295"/>
      <c r="AO115" s="296"/>
      <c r="AP115" s="353"/>
      <c r="AQ115" s="290"/>
      <c r="AR115" s="290"/>
      <c r="AS115" s="290"/>
    </row>
    <row r="116" spans="1:45" ht="17.25" thickBot="1" x14ac:dyDescent="0.3">
      <c r="A116" s="467"/>
      <c r="B116" s="354"/>
      <c r="C116" s="285">
        <v>1146021</v>
      </c>
      <c r="D116" s="358" t="s">
        <v>397</v>
      </c>
      <c r="E116" s="360"/>
      <c r="F116" s="361">
        <f>G151-AK116+AL116</f>
        <v>1</v>
      </c>
      <c r="G116" s="364">
        <v>1</v>
      </c>
      <c r="H116" s="397">
        <v>2</v>
      </c>
      <c r="I116" s="364">
        <v>1</v>
      </c>
      <c r="J116" s="364"/>
      <c r="K116" s="364">
        <v>1</v>
      </c>
      <c r="L116" s="218"/>
      <c r="M116" s="218"/>
      <c r="N116" s="218"/>
      <c r="O116" s="218"/>
      <c r="P116" s="352"/>
      <c r="Q116" s="352"/>
      <c r="R116" s="352"/>
      <c r="S116" s="352"/>
      <c r="T116" s="352"/>
      <c r="U116" s="352"/>
      <c r="V116" s="218"/>
      <c r="W116" s="218"/>
      <c r="X116" s="218"/>
      <c r="Y116" s="218"/>
      <c r="Z116" s="218"/>
      <c r="AA116" s="218"/>
      <c r="AB116" s="218"/>
      <c r="AC116" s="218"/>
      <c r="AD116" s="218"/>
      <c r="AE116" s="218"/>
      <c r="AF116" s="218"/>
      <c r="AG116" s="218">
        <v>1</v>
      </c>
      <c r="AH116" s="218"/>
      <c r="AI116" s="218"/>
      <c r="AJ116" s="218"/>
      <c r="AK116" s="218">
        <f>G151+AL116-G116</f>
        <v>1</v>
      </c>
      <c r="AL116" s="218"/>
      <c r="AM116" s="353"/>
      <c r="AN116" s="295"/>
      <c r="AO116" s="296"/>
      <c r="AP116" s="353"/>
      <c r="AQ116" s="290"/>
      <c r="AR116" s="290"/>
      <c r="AS116" s="290"/>
    </row>
    <row r="117" spans="1:45" ht="17.25" thickBot="1" x14ac:dyDescent="0.3">
      <c r="A117" s="467"/>
      <c r="B117" s="354"/>
      <c r="C117" s="285">
        <v>1146018</v>
      </c>
      <c r="D117" s="358" t="s">
        <v>398</v>
      </c>
      <c r="E117" s="360"/>
      <c r="F117" s="361">
        <f>G152-AK117+AL117</f>
        <v>2</v>
      </c>
      <c r="G117" s="369">
        <v>2</v>
      </c>
      <c r="H117" s="397">
        <v>1</v>
      </c>
      <c r="I117" s="364"/>
      <c r="J117" s="364"/>
      <c r="K117" s="364">
        <v>2</v>
      </c>
      <c r="L117" s="218"/>
      <c r="M117" s="218"/>
      <c r="N117" s="218"/>
      <c r="O117" s="218"/>
      <c r="P117" s="352"/>
      <c r="Q117" s="352"/>
      <c r="R117" s="352"/>
      <c r="S117" s="352"/>
      <c r="T117" s="352"/>
      <c r="U117" s="352"/>
      <c r="V117" s="218"/>
      <c r="W117" s="218"/>
      <c r="X117" s="218"/>
      <c r="Y117" s="218"/>
      <c r="Z117" s="218"/>
      <c r="AA117" s="218"/>
      <c r="AB117" s="218">
        <v>2</v>
      </c>
      <c r="AC117" s="218"/>
      <c r="AD117" s="218"/>
      <c r="AE117" s="218"/>
      <c r="AF117" s="218">
        <v>2</v>
      </c>
      <c r="AG117" s="218"/>
      <c r="AH117" s="218"/>
      <c r="AI117" s="218"/>
      <c r="AJ117" s="218"/>
      <c r="AK117" s="218">
        <f>G152+AL117-G117</f>
        <v>0</v>
      </c>
      <c r="AL117" s="218"/>
      <c r="AM117" s="353"/>
      <c r="AN117" s="295"/>
      <c r="AO117" s="296"/>
      <c r="AP117" s="353"/>
      <c r="AQ117" s="290"/>
      <c r="AR117" s="290"/>
      <c r="AS117" s="290"/>
    </row>
    <row r="118" spans="1:45" ht="17.25" thickBot="1" x14ac:dyDescent="0.3">
      <c r="A118" s="467"/>
      <c r="B118" s="354"/>
      <c r="C118" s="285">
        <v>1146024</v>
      </c>
      <c r="D118" s="358" t="s">
        <v>399</v>
      </c>
      <c r="E118" s="360"/>
      <c r="F118" s="361">
        <v>1</v>
      </c>
      <c r="G118" s="369">
        <v>6</v>
      </c>
      <c r="H118" s="369">
        <v>2</v>
      </c>
      <c r="I118" s="369">
        <v>6</v>
      </c>
      <c r="J118" s="369"/>
      <c r="K118" s="369"/>
      <c r="L118" s="218"/>
      <c r="M118" s="218"/>
      <c r="N118" s="218"/>
      <c r="O118" s="218"/>
      <c r="P118" s="352"/>
      <c r="Q118" s="352"/>
      <c r="R118" s="352"/>
      <c r="S118" s="352"/>
      <c r="T118" s="352"/>
      <c r="U118" s="352"/>
      <c r="V118" s="218"/>
      <c r="W118" s="218"/>
      <c r="X118" s="218"/>
      <c r="Y118" s="218"/>
      <c r="Z118" s="218"/>
      <c r="AA118" s="218">
        <v>1</v>
      </c>
      <c r="AB118" s="218">
        <v>1</v>
      </c>
      <c r="AC118" s="218"/>
      <c r="AD118" s="218"/>
      <c r="AE118" s="218"/>
      <c r="AF118" s="218">
        <v>2</v>
      </c>
      <c r="AG118" s="218"/>
      <c r="AH118" s="218"/>
      <c r="AI118" s="218"/>
      <c r="AJ118" s="218"/>
      <c r="AK118" s="415">
        <f>G153+AL118-G118</f>
        <v>-1</v>
      </c>
      <c r="AL118" s="218"/>
      <c r="AM118" s="353"/>
      <c r="AN118" s="295"/>
      <c r="AO118" s="296"/>
      <c r="AP118" s="353"/>
      <c r="AQ118" s="290"/>
      <c r="AR118" s="290"/>
      <c r="AS118" s="290"/>
    </row>
    <row r="119" spans="1:45" ht="17.25" thickBot="1" x14ac:dyDescent="0.3">
      <c r="A119" s="467"/>
      <c r="B119" s="354"/>
      <c r="C119" s="285">
        <v>1146028</v>
      </c>
      <c r="D119" s="358" t="s">
        <v>400</v>
      </c>
      <c r="E119" s="360"/>
      <c r="F119" s="361">
        <f>G154-AK119+AL119</f>
        <v>3</v>
      </c>
      <c r="G119" s="364">
        <v>3</v>
      </c>
      <c r="H119" s="397">
        <v>2</v>
      </c>
      <c r="I119" s="364">
        <v>3</v>
      </c>
      <c r="J119" s="364"/>
      <c r="K119" s="364">
        <v>1</v>
      </c>
      <c r="L119" s="218"/>
      <c r="M119" s="218"/>
      <c r="N119" s="218"/>
      <c r="O119" s="218"/>
      <c r="P119" s="352"/>
      <c r="Q119" s="352"/>
      <c r="R119" s="352"/>
      <c r="S119" s="352"/>
      <c r="T119" s="352"/>
      <c r="U119" s="352"/>
      <c r="V119" s="218"/>
      <c r="W119" s="218"/>
      <c r="X119" s="218"/>
      <c r="Y119" s="218"/>
      <c r="Z119" s="218"/>
      <c r="AA119" s="218"/>
      <c r="AB119" s="218"/>
      <c r="AC119" s="218"/>
      <c r="AD119" s="218">
        <v>2</v>
      </c>
      <c r="AE119" s="218"/>
      <c r="AF119" s="218"/>
      <c r="AG119" s="218">
        <v>2</v>
      </c>
      <c r="AH119" s="218"/>
      <c r="AI119" s="218"/>
      <c r="AJ119" s="218"/>
      <c r="AK119" s="218">
        <f>G154+AL119-G119</f>
        <v>0</v>
      </c>
      <c r="AL119" s="218"/>
      <c r="AM119" s="353"/>
      <c r="AN119" s="295"/>
      <c r="AO119" s="296"/>
      <c r="AP119" s="353"/>
      <c r="AQ119" s="290"/>
      <c r="AR119" s="290"/>
      <c r="AS119" s="290"/>
    </row>
    <row r="120" spans="1:45" ht="17.25" thickBot="1" x14ac:dyDescent="0.3">
      <c r="A120" s="467"/>
      <c r="B120" s="355" t="s">
        <v>419</v>
      </c>
      <c r="C120" s="356"/>
      <c r="D120" s="356"/>
      <c r="E120" s="359"/>
      <c r="F120" s="359"/>
      <c r="G120" s="356"/>
      <c r="H120" s="396"/>
      <c r="I120" s="356"/>
      <c r="J120" s="356"/>
      <c r="K120" s="356"/>
      <c r="L120" s="356"/>
      <c r="M120" s="356"/>
      <c r="N120" s="356"/>
      <c r="O120" s="356"/>
      <c r="P120" s="356"/>
      <c r="Q120" s="356"/>
      <c r="R120" s="356"/>
      <c r="S120" s="356"/>
      <c r="T120" s="356"/>
      <c r="U120" s="356"/>
      <c r="V120" s="356"/>
      <c r="W120" s="356"/>
      <c r="X120" s="356"/>
      <c r="Y120" s="356"/>
      <c r="Z120" s="356"/>
      <c r="AA120" s="356"/>
      <c r="AB120" s="356"/>
      <c r="AC120" s="356"/>
      <c r="AD120" s="356"/>
      <c r="AE120" s="356"/>
      <c r="AF120" s="356"/>
      <c r="AG120" s="356"/>
      <c r="AH120" s="356"/>
      <c r="AI120" s="356"/>
      <c r="AJ120" s="356"/>
      <c r="AK120" s="356"/>
      <c r="AL120" s="356"/>
      <c r="AM120" s="356"/>
      <c r="AN120" s="356"/>
      <c r="AO120" s="356"/>
      <c r="AP120" s="356"/>
      <c r="AQ120" s="356"/>
      <c r="AR120" s="356"/>
      <c r="AS120" s="357"/>
    </row>
    <row r="121" spans="1:45" ht="17.25" thickBot="1" x14ac:dyDescent="0.3">
      <c r="A121" s="467"/>
      <c r="B121" s="372"/>
      <c r="C121" s="373">
        <v>1146031</v>
      </c>
      <c r="D121" s="374" t="s">
        <v>401</v>
      </c>
      <c r="E121" s="375"/>
      <c r="F121" s="376">
        <f>G156-AK121+AL121</f>
        <v>1</v>
      </c>
      <c r="G121" s="377">
        <v>1</v>
      </c>
      <c r="H121" s="397">
        <v>1</v>
      </c>
      <c r="I121" s="377">
        <v>1</v>
      </c>
      <c r="J121" s="377"/>
      <c r="K121" s="377"/>
      <c r="L121" s="377"/>
      <c r="M121" s="377"/>
      <c r="N121" s="377"/>
      <c r="O121" s="377"/>
      <c r="P121" s="377"/>
      <c r="Q121" s="377"/>
      <c r="R121" s="377"/>
      <c r="S121" s="377"/>
      <c r="T121" s="377"/>
      <c r="U121" s="377"/>
      <c r="V121" s="377"/>
      <c r="W121" s="377"/>
      <c r="X121" s="377"/>
      <c r="Y121" s="377"/>
      <c r="Z121" s="377"/>
      <c r="AA121" s="377"/>
      <c r="AB121" s="377"/>
      <c r="AC121" s="377"/>
      <c r="AD121" s="377"/>
      <c r="AE121" s="377"/>
      <c r="AF121" s="377"/>
      <c r="AG121" s="377"/>
      <c r="AH121" s="377"/>
      <c r="AI121" s="377"/>
      <c r="AJ121" s="377"/>
      <c r="AK121" s="377">
        <f>G156+AL121-G121</f>
        <v>-1</v>
      </c>
      <c r="AL121" s="377"/>
      <c r="AM121" s="378"/>
      <c r="AN121" s="379"/>
      <c r="AO121" s="380"/>
      <c r="AP121" s="378"/>
      <c r="AQ121" s="381"/>
      <c r="AR121" s="381"/>
      <c r="AS121" s="381"/>
    </row>
    <row r="122" spans="1:45" ht="17.25" thickBot="1" x14ac:dyDescent="0.3">
      <c r="A122" s="467"/>
      <c r="B122" s="372"/>
      <c r="C122" s="373">
        <v>1146020</v>
      </c>
      <c r="D122" s="374" t="s">
        <v>402</v>
      </c>
      <c r="E122" s="375"/>
      <c r="F122" s="376">
        <f>G157-AK122+AL122</f>
        <v>0</v>
      </c>
      <c r="G122" s="377"/>
      <c r="H122" s="397">
        <v>1</v>
      </c>
      <c r="I122" s="377"/>
      <c r="J122" s="377"/>
      <c r="K122" s="377">
        <v>1</v>
      </c>
      <c r="L122" s="377"/>
      <c r="M122" s="377"/>
      <c r="N122" s="377"/>
      <c r="O122" s="377"/>
      <c r="P122" s="377"/>
      <c r="Q122" s="377"/>
      <c r="R122" s="377"/>
      <c r="S122" s="377"/>
      <c r="T122" s="377"/>
      <c r="U122" s="377"/>
      <c r="V122" s="377"/>
      <c r="W122" s="377"/>
      <c r="X122" s="377"/>
      <c r="Y122" s="377"/>
      <c r="Z122" s="377"/>
      <c r="AA122" s="377"/>
      <c r="AB122" s="377"/>
      <c r="AC122" s="377"/>
      <c r="AD122" s="377"/>
      <c r="AE122" s="377"/>
      <c r="AF122" s="377"/>
      <c r="AG122" s="377"/>
      <c r="AH122" s="377"/>
      <c r="AI122" s="377"/>
      <c r="AJ122" s="377"/>
      <c r="AK122" s="377">
        <f>G157+AL122-G122</f>
        <v>0</v>
      </c>
      <c r="AL122" s="377"/>
      <c r="AM122" s="378"/>
      <c r="AN122" s="379"/>
      <c r="AO122" s="380"/>
      <c r="AP122" s="378"/>
      <c r="AQ122" s="381"/>
      <c r="AR122" s="381"/>
      <c r="AS122" s="381"/>
    </row>
    <row r="123" spans="1:45" ht="17.25" thickBot="1" x14ac:dyDescent="0.3">
      <c r="A123" s="467"/>
      <c r="B123" s="372"/>
      <c r="C123" s="373">
        <v>1146016</v>
      </c>
      <c r="D123" s="374" t="s">
        <v>398</v>
      </c>
      <c r="E123" s="375"/>
      <c r="F123" s="376">
        <f>G158-AK123+AL123</f>
        <v>0</v>
      </c>
      <c r="G123" s="377"/>
      <c r="H123" s="397">
        <v>1</v>
      </c>
      <c r="I123" s="377"/>
      <c r="J123" s="377"/>
      <c r="K123" s="377"/>
      <c r="L123" s="377"/>
      <c r="M123" s="377"/>
      <c r="N123" s="377"/>
      <c r="O123" s="377"/>
      <c r="P123" s="377"/>
      <c r="Q123" s="377"/>
      <c r="R123" s="377"/>
      <c r="S123" s="377"/>
      <c r="T123" s="377"/>
      <c r="U123" s="377"/>
      <c r="V123" s="377"/>
      <c r="W123" s="377"/>
      <c r="X123" s="377"/>
      <c r="Y123" s="377"/>
      <c r="Z123" s="377"/>
      <c r="AA123" s="377"/>
      <c r="AB123" s="377"/>
      <c r="AC123" s="377"/>
      <c r="AD123" s="377"/>
      <c r="AE123" s="377"/>
      <c r="AF123" s="377"/>
      <c r="AG123" s="377"/>
      <c r="AH123" s="377"/>
      <c r="AI123" s="377"/>
      <c r="AJ123" s="377"/>
      <c r="AK123" s="377">
        <f>G158+AL123-G123</f>
        <v>0</v>
      </c>
      <c r="AL123" s="377"/>
      <c r="AM123" s="378"/>
      <c r="AN123" s="379"/>
      <c r="AO123" s="380"/>
      <c r="AP123" s="378"/>
      <c r="AQ123" s="381"/>
      <c r="AR123" s="381"/>
      <c r="AS123" s="381"/>
    </row>
    <row r="124" spans="1:45" ht="17.25" thickBot="1" x14ac:dyDescent="0.3">
      <c r="A124" s="467"/>
      <c r="B124" s="372"/>
      <c r="C124" s="373">
        <v>1146022</v>
      </c>
      <c r="D124" s="374" t="s">
        <v>403</v>
      </c>
      <c r="E124" s="375"/>
      <c r="F124" s="376">
        <f>G159-AK124+AL124</f>
        <v>0</v>
      </c>
      <c r="G124" s="377"/>
      <c r="H124" s="397">
        <v>2</v>
      </c>
      <c r="I124" s="377"/>
      <c r="J124" s="377"/>
      <c r="K124" s="377"/>
      <c r="L124" s="377"/>
      <c r="M124" s="377"/>
      <c r="N124" s="377"/>
      <c r="O124" s="377"/>
      <c r="P124" s="377"/>
      <c r="Q124" s="377"/>
      <c r="R124" s="377"/>
      <c r="S124" s="377"/>
      <c r="T124" s="377"/>
      <c r="U124" s="377"/>
      <c r="V124" s="377"/>
      <c r="W124" s="377"/>
      <c r="X124" s="377"/>
      <c r="Y124" s="377"/>
      <c r="Z124" s="377"/>
      <c r="AA124" s="377"/>
      <c r="AB124" s="377"/>
      <c r="AC124" s="377"/>
      <c r="AD124" s="377"/>
      <c r="AE124" s="377"/>
      <c r="AF124" s="377"/>
      <c r="AG124" s="377"/>
      <c r="AH124" s="377"/>
      <c r="AI124" s="377"/>
      <c r="AJ124" s="377"/>
      <c r="AK124" s="377">
        <f>G159+AL124-G124</f>
        <v>0</v>
      </c>
      <c r="AL124" s="377"/>
      <c r="AM124" s="378"/>
      <c r="AN124" s="379"/>
      <c r="AO124" s="380"/>
      <c r="AP124" s="378"/>
      <c r="AQ124" s="381"/>
      <c r="AR124" s="381"/>
      <c r="AS124" s="381"/>
    </row>
    <row r="125" spans="1:45" ht="17.25" thickBot="1" x14ac:dyDescent="0.3">
      <c r="A125" s="467"/>
      <c r="B125" s="372"/>
      <c r="C125" s="373">
        <v>1146027</v>
      </c>
      <c r="D125" s="374" t="s">
        <v>404</v>
      </c>
      <c r="E125" s="375"/>
      <c r="F125" s="376">
        <f>G160-AK125+AL125</f>
        <v>0</v>
      </c>
      <c r="G125" s="377"/>
      <c r="H125" s="397">
        <v>2</v>
      </c>
      <c r="I125" s="377"/>
      <c r="J125" s="377"/>
      <c r="K125" s="377"/>
      <c r="L125" s="377"/>
      <c r="M125" s="377"/>
      <c r="N125" s="377"/>
      <c r="O125" s="377"/>
      <c r="P125" s="377"/>
      <c r="Q125" s="377"/>
      <c r="R125" s="377"/>
      <c r="S125" s="377"/>
      <c r="T125" s="377"/>
      <c r="U125" s="377"/>
      <c r="V125" s="377"/>
      <c r="W125" s="377"/>
      <c r="X125" s="377"/>
      <c r="Y125" s="377"/>
      <c r="Z125" s="377"/>
      <c r="AA125" s="377"/>
      <c r="AB125" s="377"/>
      <c r="AC125" s="377"/>
      <c r="AD125" s="377"/>
      <c r="AE125" s="377"/>
      <c r="AF125" s="377"/>
      <c r="AG125" s="377"/>
      <c r="AH125" s="377"/>
      <c r="AI125" s="377"/>
      <c r="AJ125" s="377"/>
      <c r="AK125" s="377">
        <f>G160+AL125-G125</f>
        <v>0</v>
      </c>
      <c r="AL125" s="377"/>
      <c r="AM125" s="378"/>
      <c r="AN125" s="379"/>
      <c r="AO125" s="380"/>
      <c r="AP125" s="378"/>
      <c r="AQ125" s="381"/>
      <c r="AR125" s="381"/>
      <c r="AS125" s="381"/>
    </row>
    <row r="126" spans="1:45" ht="17.25" thickBot="1" x14ac:dyDescent="0.3">
      <c r="A126" s="467"/>
      <c r="B126" s="355" t="s">
        <v>418</v>
      </c>
      <c r="C126" s="356"/>
      <c r="D126" s="356"/>
      <c r="E126" s="359"/>
      <c r="F126" s="359"/>
      <c r="G126" s="356"/>
      <c r="H126" s="396"/>
      <c r="I126" s="356"/>
      <c r="J126" s="356"/>
      <c r="K126" s="356"/>
      <c r="L126" s="356"/>
      <c r="M126" s="356"/>
      <c r="N126" s="356"/>
      <c r="O126" s="356"/>
      <c r="P126" s="356"/>
      <c r="Q126" s="356"/>
      <c r="R126" s="356"/>
      <c r="S126" s="356"/>
      <c r="T126" s="356"/>
      <c r="U126" s="356"/>
      <c r="V126" s="356"/>
      <c r="W126" s="356"/>
      <c r="X126" s="356"/>
      <c r="Y126" s="356"/>
      <c r="Z126" s="356"/>
      <c r="AA126" s="356"/>
      <c r="AB126" s="356"/>
      <c r="AC126" s="356"/>
      <c r="AD126" s="356"/>
      <c r="AE126" s="356"/>
      <c r="AF126" s="356"/>
      <c r="AG126" s="356"/>
      <c r="AH126" s="356"/>
      <c r="AI126" s="356"/>
      <c r="AJ126" s="356"/>
      <c r="AK126" s="356"/>
      <c r="AL126" s="356"/>
      <c r="AM126" s="356"/>
      <c r="AN126" s="356"/>
      <c r="AO126" s="356"/>
      <c r="AP126" s="356"/>
      <c r="AQ126" s="356"/>
      <c r="AR126" s="356"/>
      <c r="AS126" s="357"/>
    </row>
    <row r="127" spans="1:45" ht="17.25" thickBot="1" x14ac:dyDescent="0.3">
      <c r="A127" s="467"/>
      <c r="B127" s="354"/>
      <c r="C127" s="285">
        <v>1151653</v>
      </c>
      <c r="D127" s="358" t="s">
        <v>405</v>
      </c>
      <c r="E127" s="360"/>
      <c r="F127" s="361">
        <f>G162-AK127+AL127</f>
        <v>3</v>
      </c>
      <c r="G127" s="364">
        <v>3</v>
      </c>
      <c r="H127" s="397">
        <v>1</v>
      </c>
      <c r="I127" s="364">
        <v>3</v>
      </c>
      <c r="J127" s="364"/>
      <c r="K127" s="364"/>
      <c r="L127" s="218"/>
      <c r="M127" s="218"/>
      <c r="N127" s="218"/>
      <c r="O127" s="218"/>
      <c r="P127" s="352"/>
      <c r="Q127" s="352"/>
      <c r="R127" s="352"/>
      <c r="S127" s="352"/>
      <c r="T127" s="352"/>
      <c r="U127" s="352"/>
      <c r="V127" s="218"/>
      <c r="W127" s="218"/>
      <c r="X127" s="218"/>
      <c r="Y127" s="218"/>
      <c r="Z127" s="218"/>
      <c r="AA127" s="218"/>
      <c r="AB127" s="218"/>
      <c r="AC127" s="218"/>
      <c r="AD127" s="218"/>
      <c r="AE127" s="218"/>
      <c r="AF127" s="218"/>
      <c r="AG127" s="218"/>
      <c r="AH127" s="218"/>
      <c r="AI127" s="218"/>
      <c r="AJ127" s="218"/>
      <c r="AK127" s="218">
        <f>G162+AL127-G127</f>
        <v>0</v>
      </c>
      <c r="AL127" s="218"/>
      <c r="AM127" s="353"/>
      <c r="AN127" s="295"/>
      <c r="AO127" s="296"/>
      <c r="AP127" s="353"/>
      <c r="AQ127" s="290"/>
      <c r="AR127" s="290"/>
      <c r="AS127" s="290"/>
    </row>
    <row r="128" spans="1:45" ht="17.25" thickBot="1" x14ac:dyDescent="0.3">
      <c r="A128" s="467"/>
      <c r="B128" s="354"/>
      <c r="C128" s="285">
        <v>1151650</v>
      </c>
      <c r="D128" s="358" t="s">
        <v>406</v>
      </c>
      <c r="E128" s="360"/>
      <c r="F128" s="361">
        <f>G163-AK128+AL128</f>
        <v>2</v>
      </c>
      <c r="G128" s="364">
        <v>2</v>
      </c>
      <c r="H128" s="397">
        <v>2</v>
      </c>
      <c r="I128" s="364">
        <v>2</v>
      </c>
      <c r="J128" s="364"/>
      <c r="K128" s="364">
        <v>4</v>
      </c>
      <c r="L128" s="218"/>
      <c r="M128" s="218"/>
      <c r="N128" s="218"/>
      <c r="O128" s="218"/>
      <c r="P128" s="352"/>
      <c r="Q128" s="352"/>
      <c r="R128" s="352"/>
      <c r="S128" s="352"/>
      <c r="T128" s="352"/>
      <c r="U128" s="352"/>
      <c r="V128" s="218"/>
      <c r="W128" s="218"/>
      <c r="X128" s="218"/>
      <c r="Y128" s="218"/>
      <c r="Z128" s="218"/>
      <c r="AA128" s="218"/>
      <c r="AB128" s="218"/>
      <c r="AC128" s="218"/>
      <c r="AD128" s="218"/>
      <c r="AE128" s="218"/>
      <c r="AF128" s="218"/>
      <c r="AG128" s="218"/>
      <c r="AH128" s="218"/>
      <c r="AI128" s="218"/>
      <c r="AJ128" s="218"/>
      <c r="AK128" s="218">
        <f>G163+AL128-G128</f>
        <v>0</v>
      </c>
      <c r="AL128" s="218"/>
      <c r="AM128" s="353"/>
      <c r="AN128" s="295"/>
      <c r="AO128" s="296"/>
      <c r="AP128" s="353"/>
      <c r="AQ128" s="290"/>
      <c r="AR128" s="290"/>
      <c r="AS128" s="290"/>
    </row>
    <row r="129" spans="1:45" ht="17.25" thickBot="1" x14ac:dyDescent="0.3">
      <c r="A129" s="467"/>
      <c r="B129" s="354"/>
      <c r="C129" s="285">
        <v>1151649</v>
      </c>
      <c r="D129" s="358" t="s">
        <v>407</v>
      </c>
      <c r="E129" s="360"/>
      <c r="F129" s="361">
        <f>G164-AK129+AL129</f>
        <v>3</v>
      </c>
      <c r="G129" s="415">
        <v>3</v>
      </c>
      <c r="H129" s="369">
        <v>4</v>
      </c>
      <c r="I129" s="369"/>
      <c r="J129" s="369"/>
      <c r="K129" s="369">
        <v>2</v>
      </c>
      <c r="L129" s="218"/>
      <c r="M129" s="218"/>
      <c r="N129" s="218"/>
      <c r="O129" s="218"/>
      <c r="P129" s="352"/>
      <c r="Q129" s="352"/>
      <c r="R129" s="352"/>
      <c r="S129" s="352"/>
      <c r="T129" s="352"/>
      <c r="U129" s="352"/>
      <c r="V129" s="218"/>
      <c r="W129" s="218"/>
      <c r="X129" s="218"/>
      <c r="Y129" s="218"/>
      <c r="Z129" s="218"/>
      <c r="AA129" s="218"/>
      <c r="AB129" s="218">
        <v>2</v>
      </c>
      <c r="AC129" s="218"/>
      <c r="AD129" s="218">
        <v>2</v>
      </c>
      <c r="AE129" s="218"/>
      <c r="AF129" s="218"/>
      <c r="AG129" s="218">
        <v>2</v>
      </c>
      <c r="AH129" s="218"/>
      <c r="AI129" s="218"/>
      <c r="AJ129" s="218"/>
      <c r="AK129" s="415">
        <f>G164+AL129-G129</f>
        <v>2</v>
      </c>
      <c r="AL129" s="218"/>
      <c r="AM129" s="353"/>
      <c r="AN129" s="295"/>
      <c r="AO129" s="296"/>
      <c r="AP129" s="353"/>
      <c r="AQ129" s="290"/>
      <c r="AR129" s="290"/>
      <c r="AS129" s="290"/>
    </row>
    <row r="130" spans="1:45" ht="17.25" thickBot="1" x14ac:dyDescent="0.3">
      <c r="A130" s="467"/>
      <c r="B130" s="354"/>
      <c r="C130" s="285">
        <v>1151651</v>
      </c>
      <c r="D130" s="358" t="s">
        <v>408</v>
      </c>
      <c r="E130" s="360"/>
      <c r="F130" s="361">
        <f>G165-AK130+AL130</f>
        <v>7</v>
      </c>
      <c r="G130" s="369">
        <v>7</v>
      </c>
      <c r="H130" s="369">
        <v>1</v>
      </c>
      <c r="I130" s="369">
        <v>7</v>
      </c>
      <c r="J130" s="369"/>
      <c r="K130" s="369">
        <v>1</v>
      </c>
      <c r="L130" s="218"/>
      <c r="M130" s="218"/>
      <c r="N130" s="218"/>
      <c r="O130" s="218"/>
      <c r="P130" s="352"/>
      <c r="Q130" s="352"/>
      <c r="R130" s="352"/>
      <c r="S130" s="352"/>
      <c r="T130" s="352"/>
      <c r="U130" s="352"/>
      <c r="V130" s="218"/>
      <c r="W130" s="218"/>
      <c r="X130" s="218"/>
      <c r="Y130" s="218"/>
      <c r="Z130" s="218">
        <v>2</v>
      </c>
      <c r="AA130" s="218"/>
      <c r="AB130" s="218">
        <v>2</v>
      </c>
      <c r="AC130" s="218"/>
      <c r="AD130" s="218">
        <v>3</v>
      </c>
      <c r="AE130" s="218"/>
      <c r="AF130" s="218"/>
      <c r="AG130" s="218"/>
      <c r="AH130" s="218"/>
      <c r="AI130" s="218"/>
      <c r="AJ130" s="218"/>
      <c r="AK130" s="218">
        <f>G165+AL130-G130</f>
        <v>0</v>
      </c>
      <c r="AL130" s="218"/>
      <c r="AM130" s="353"/>
      <c r="AN130" s="295"/>
      <c r="AO130" s="296"/>
      <c r="AP130" s="353"/>
      <c r="AQ130" s="290"/>
      <c r="AR130" s="290"/>
      <c r="AS130" s="290"/>
    </row>
    <row r="131" spans="1:45" ht="17.25" thickBot="1" x14ac:dyDescent="0.3">
      <c r="A131" s="467"/>
      <c r="B131" s="354"/>
      <c r="C131" s="285">
        <v>1146029</v>
      </c>
      <c r="D131" s="358" t="s">
        <v>409</v>
      </c>
      <c r="E131" s="360"/>
      <c r="F131" s="361">
        <f>G166-AK131+AL131</f>
        <v>2</v>
      </c>
      <c r="G131" s="369">
        <v>2</v>
      </c>
      <c r="H131" s="369">
        <v>2</v>
      </c>
      <c r="I131" s="369">
        <v>2</v>
      </c>
      <c r="J131" s="369"/>
      <c r="K131" s="369">
        <v>3</v>
      </c>
      <c r="L131" s="218"/>
      <c r="M131" s="218"/>
      <c r="N131" s="218"/>
      <c r="O131" s="218"/>
      <c r="P131" s="352"/>
      <c r="Q131" s="352"/>
      <c r="R131" s="352"/>
      <c r="S131" s="352"/>
      <c r="T131" s="352"/>
      <c r="U131" s="352"/>
      <c r="V131" s="218"/>
      <c r="W131" s="218"/>
      <c r="X131" s="218"/>
      <c r="Y131" s="218"/>
      <c r="Z131" s="218"/>
      <c r="AA131" s="218"/>
      <c r="AB131" s="218"/>
      <c r="AC131" s="218">
        <v>2</v>
      </c>
      <c r="AD131" s="218"/>
      <c r="AE131" s="218"/>
      <c r="AF131" s="218"/>
      <c r="AG131" s="218">
        <v>2</v>
      </c>
      <c r="AH131" s="218"/>
      <c r="AI131" s="218"/>
      <c r="AJ131" s="218"/>
      <c r="AK131" s="218">
        <f>G166+AL131-G131</f>
        <v>2</v>
      </c>
      <c r="AL131" s="218"/>
      <c r="AM131" s="353"/>
      <c r="AN131" s="295"/>
      <c r="AO131" s="296"/>
      <c r="AP131" s="353"/>
      <c r="AQ131" s="290"/>
      <c r="AR131" s="290"/>
      <c r="AS131" s="290"/>
    </row>
    <row r="132" spans="1:45" ht="17.25" thickBot="1" x14ac:dyDescent="0.3">
      <c r="A132" s="467"/>
      <c r="B132" s="355" t="s">
        <v>410</v>
      </c>
      <c r="C132" s="356"/>
      <c r="D132" s="356"/>
      <c r="E132" s="359"/>
      <c r="F132" s="359"/>
      <c r="G132" s="356"/>
      <c r="H132" s="396"/>
      <c r="I132" s="356"/>
      <c r="J132" s="356"/>
      <c r="K132" s="356"/>
      <c r="L132" s="356"/>
      <c r="M132" s="356"/>
      <c r="N132" s="356"/>
      <c r="O132" s="356"/>
      <c r="P132" s="356"/>
      <c r="Q132" s="356"/>
      <c r="R132" s="356"/>
      <c r="S132" s="356"/>
      <c r="T132" s="356"/>
      <c r="U132" s="356"/>
      <c r="V132" s="356"/>
      <c r="W132" s="356"/>
      <c r="X132" s="356"/>
      <c r="Y132" s="356"/>
      <c r="Z132" s="356"/>
      <c r="AA132" s="356"/>
      <c r="AB132" s="356"/>
      <c r="AC132" s="356"/>
      <c r="AD132" s="356"/>
      <c r="AE132" s="356"/>
      <c r="AF132" s="356"/>
      <c r="AG132" s="356"/>
      <c r="AH132" s="356"/>
      <c r="AI132" s="356"/>
      <c r="AJ132" s="356"/>
      <c r="AK132" s="356"/>
      <c r="AL132" s="356"/>
      <c r="AM132" s="356"/>
      <c r="AN132" s="356"/>
      <c r="AO132" s="356"/>
      <c r="AP132" s="356"/>
      <c r="AQ132" s="356"/>
      <c r="AR132" s="356"/>
      <c r="AS132" s="357"/>
    </row>
    <row r="133" spans="1:45" ht="17.25" thickBot="1" x14ac:dyDescent="0.3">
      <c r="A133" s="467"/>
      <c r="B133" s="354"/>
      <c r="C133" s="285">
        <v>1699118</v>
      </c>
      <c r="D133" s="358" t="s">
        <v>411</v>
      </c>
      <c r="E133" s="360"/>
      <c r="F133" s="361">
        <f>G168-AK133+AL133</f>
        <v>0</v>
      </c>
      <c r="G133" s="369"/>
      <c r="H133" s="369">
        <v>1</v>
      </c>
      <c r="I133" s="369"/>
      <c r="J133" s="369"/>
      <c r="K133" s="369"/>
      <c r="L133" s="218"/>
      <c r="M133" s="218"/>
      <c r="N133" s="218"/>
      <c r="O133" s="218"/>
      <c r="P133" s="352"/>
      <c r="Q133" s="352"/>
      <c r="R133" s="352"/>
      <c r="S133" s="352"/>
      <c r="T133" s="352"/>
      <c r="U133" s="352"/>
      <c r="V133" s="218"/>
      <c r="W133" s="218"/>
      <c r="X133" s="218"/>
      <c r="Y133" s="218"/>
      <c r="Z133" s="218"/>
      <c r="AA133" s="218"/>
      <c r="AB133" s="218">
        <v>1</v>
      </c>
      <c r="AC133" s="218"/>
      <c r="AD133" s="218"/>
      <c r="AE133" s="218"/>
      <c r="AF133" s="218">
        <v>1</v>
      </c>
      <c r="AG133" s="218"/>
      <c r="AH133" s="218"/>
      <c r="AI133" s="218"/>
      <c r="AJ133" s="218"/>
      <c r="AK133" s="218">
        <f>G168+AL133-G133</f>
        <v>0</v>
      </c>
      <c r="AL133" s="218"/>
      <c r="AM133" s="353"/>
      <c r="AN133" s="295"/>
      <c r="AO133" s="296"/>
      <c r="AP133" s="353"/>
      <c r="AQ133" s="290"/>
      <c r="AR133" s="290"/>
      <c r="AS133" s="290"/>
    </row>
    <row r="134" spans="1:45" ht="17.25" thickBot="1" x14ac:dyDescent="0.3">
      <c r="A134" s="467"/>
      <c r="B134" s="354"/>
      <c r="C134" s="285">
        <v>1699119</v>
      </c>
      <c r="D134" s="358" t="s">
        <v>412</v>
      </c>
      <c r="E134" s="360"/>
      <c r="F134" s="361">
        <f>G169-AK134+AL134</f>
        <v>3</v>
      </c>
      <c r="G134" s="369">
        <v>3</v>
      </c>
      <c r="H134" s="369">
        <v>1</v>
      </c>
      <c r="I134" s="369">
        <v>3</v>
      </c>
      <c r="J134" s="369"/>
      <c r="K134" s="369">
        <v>2</v>
      </c>
      <c r="L134" s="218"/>
      <c r="M134" s="218"/>
      <c r="N134" s="218"/>
      <c r="O134" s="218"/>
      <c r="P134" s="352"/>
      <c r="Q134" s="352"/>
      <c r="R134" s="352"/>
      <c r="S134" s="352"/>
      <c r="T134" s="352"/>
      <c r="U134" s="352"/>
      <c r="V134" s="218"/>
      <c r="W134" s="218"/>
      <c r="X134" s="218"/>
      <c r="Y134" s="218"/>
      <c r="Z134" s="218"/>
      <c r="AA134" s="218"/>
      <c r="AB134" s="218">
        <v>2</v>
      </c>
      <c r="AC134" s="218"/>
      <c r="AD134" s="218"/>
      <c r="AE134" s="218"/>
      <c r="AF134" s="218">
        <v>1</v>
      </c>
      <c r="AG134" s="218">
        <v>1</v>
      </c>
      <c r="AH134" s="218"/>
      <c r="AI134" s="218"/>
      <c r="AJ134" s="218"/>
      <c r="AK134" s="218">
        <f>G169+AL134-G134</f>
        <v>1</v>
      </c>
      <c r="AL134" s="218"/>
      <c r="AM134" s="353"/>
      <c r="AN134" s="295"/>
      <c r="AO134" s="296"/>
      <c r="AP134" s="353"/>
      <c r="AQ134" s="290"/>
      <c r="AR134" s="290"/>
      <c r="AS134" s="290"/>
    </row>
    <row r="135" spans="1:45" ht="17.25" thickBot="1" x14ac:dyDescent="0.3">
      <c r="A135" s="467"/>
      <c r="B135" s="354"/>
      <c r="C135" s="285">
        <v>1699130</v>
      </c>
      <c r="D135" s="358" t="s">
        <v>413</v>
      </c>
      <c r="E135" s="360"/>
      <c r="F135" s="361">
        <f>G170-AK135+AL135</f>
        <v>3</v>
      </c>
      <c r="G135" s="369">
        <v>3</v>
      </c>
      <c r="H135" s="369">
        <v>4</v>
      </c>
      <c r="I135" s="369"/>
      <c r="J135" s="369"/>
      <c r="K135" s="369">
        <v>1</v>
      </c>
      <c r="L135" s="218"/>
      <c r="M135" s="218"/>
      <c r="N135" s="218"/>
      <c r="O135" s="218"/>
      <c r="P135" s="352"/>
      <c r="Q135" s="352"/>
      <c r="R135" s="352"/>
      <c r="S135" s="352"/>
      <c r="T135" s="352"/>
      <c r="U135" s="352"/>
      <c r="V135" s="218"/>
      <c r="W135" s="218"/>
      <c r="X135" s="218"/>
      <c r="Y135" s="218"/>
      <c r="Z135" s="218"/>
      <c r="AA135" s="218">
        <v>2</v>
      </c>
      <c r="AB135" s="218"/>
      <c r="AC135" s="218"/>
      <c r="AD135" s="218">
        <v>4</v>
      </c>
      <c r="AE135" s="218"/>
      <c r="AF135" s="218"/>
      <c r="AG135" s="218">
        <v>1</v>
      </c>
      <c r="AH135" s="218"/>
      <c r="AI135" s="218"/>
      <c r="AJ135" s="218"/>
      <c r="AK135" s="218">
        <f>G170+AL135-G135</f>
        <v>1</v>
      </c>
      <c r="AL135" s="218"/>
      <c r="AM135" s="353"/>
      <c r="AN135" s="295"/>
      <c r="AO135" s="296"/>
      <c r="AP135" s="353"/>
      <c r="AQ135" s="290"/>
      <c r="AR135" s="290"/>
      <c r="AS135" s="290"/>
    </row>
    <row r="136" spans="1:45" ht="17.25" thickBot="1" x14ac:dyDescent="0.3">
      <c r="A136" s="467"/>
      <c r="B136" s="354"/>
      <c r="C136" s="285">
        <v>1699131</v>
      </c>
      <c r="D136" s="358" t="s">
        <v>414</v>
      </c>
      <c r="E136" s="360"/>
      <c r="F136" s="361">
        <f>G171-AK136+AL136</f>
        <v>2</v>
      </c>
      <c r="G136" s="369">
        <v>2</v>
      </c>
      <c r="H136" s="397">
        <v>3</v>
      </c>
      <c r="I136" s="369">
        <v>2</v>
      </c>
      <c r="J136" s="369"/>
      <c r="K136" s="364">
        <v>2</v>
      </c>
      <c r="L136" s="218"/>
      <c r="M136" s="218"/>
      <c r="N136" s="218"/>
      <c r="O136" s="218"/>
      <c r="P136" s="352"/>
      <c r="Q136" s="352"/>
      <c r="R136" s="352"/>
      <c r="S136" s="352"/>
      <c r="T136" s="352"/>
      <c r="U136" s="352"/>
      <c r="V136" s="218"/>
      <c r="W136" s="218"/>
      <c r="X136" s="218"/>
      <c r="Y136" s="218"/>
      <c r="Z136" s="218"/>
      <c r="AA136" s="218"/>
      <c r="AB136" s="218">
        <v>1</v>
      </c>
      <c r="AC136" s="218"/>
      <c r="AD136" s="218"/>
      <c r="AE136" s="218"/>
      <c r="AF136" s="218">
        <v>2</v>
      </c>
      <c r="AG136" s="218">
        <v>1</v>
      </c>
      <c r="AH136" s="218"/>
      <c r="AI136" s="218"/>
      <c r="AJ136" s="218"/>
      <c r="AK136" s="218">
        <f>G171+AL136-G136</f>
        <v>1</v>
      </c>
      <c r="AL136" s="218"/>
      <c r="AM136" s="353"/>
      <c r="AN136" s="295"/>
      <c r="AO136" s="296"/>
      <c r="AP136" s="353"/>
      <c r="AQ136" s="290"/>
      <c r="AR136" s="290"/>
      <c r="AS136" s="290"/>
    </row>
    <row r="137" spans="1:45" ht="17.25" thickBot="1" x14ac:dyDescent="0.3">
      <c r="A137" s="468"/>
      <c r="B137" s="354"/>
      <c r="C137" s="285">
        <v>1699132</v>
      </c>
      <c r="D137" s="358" t="s">
        <v>415</v>
      </c>
      <c r="E137" s="285"/>
      <c r="F137" s="362">
        <f>G172-AK137+AL137</f>
        <v>1</v>
      </c>
      <c r="G137" s="364">
        <v>1</v>
      </c>
      <c r="H137" s="397">
        <v>3</v>
      </c>
      <c r="I137" s="364">
        <v>1</v>
      </c>
      <c r="J137" s="364"/>
      <c r="K137" s="364">
        <v>1</v>
      </c>
      <c r="L137" s="218"/>
      <c r="M137" s="218"/>
      <c r="N137" s="218"/>
      <c r="O137" s="218"/>
      <c r="P137" s="352"/>
      <c r="Q137" s="352"/>
      <c r="R137" s="352"/>
      <c r="S137" s="352"/>
      <c r="T137" s="352"/>
      <c r="U137" s="352"/>
      <c r="V137" s="218"/>
      <c r="W137" s="218"/>
      <c r="X137" s="218"/>
      <c r="Y137" s="218"/>
      <c r="Z137" s="218"/>
      <c r="AA137" s="218"/>
      <c r="AB137" s="218"/>
      <c r="AC137" s="218"/>
      <c r="AD137" s="218"/>
      <c r="AE137" s="218"/>
      <c r="AF137" s="218">
        <v>2</v>
      </c>
      <c r="AG137" s="218"/>
      <c r="AH137" s="218"/>
      <c r="AI137" s="218"/>
      <c r="AJ137" s="218"/>
      <c r="AK137" s="218">
        <f>G172+AL137-G137</f>
        <v>0</v>
      </c>
      <c r="AL137" s="218"/>
      <c r="AM137" s="353"/>
      <c r="AN137" s="295"/>
      <c r="AO137" s="296"/>
      <c r="AP137" s="353"/>
      <c r="AQ137" s="290"/>
      <c r="AR137" s="290"/>
      <c r="AS137" s="290"/>
    </row>
    <row r="139" spans="1:45" ht="14.25" thickBot="1" x14ac:dyDescent="0.3">
      <c r="B139" s="338" t="s">
        <v>18</v>
      </c>
      <c r="C139" s="339">
        <v>45838</v>
      </c>
      <c r="AA139" s="290">
        <v>0</v>
      </c>
      <c r="AL139" s="290"/>
      <c r="AM139" s="290"/>
    </row>
    <row r="140" spans="1:45" ht="41.25" thickBot="1" x14ac:dyDescent="0.3">
      <c r="B140" s="283" t="s">
        <v>0</v>
      </c>
      <c r="C140" s="284" t="s">
        <v>1</v>
      </c>
      <c r="D140" s="284" t="s">
        <v>2</v>
      </c>
      <c r="E140" s="284" t="s">
        <v>3</v>
      </c>
      <c r="F140" s="4" t="s">
        <v>318</v>
      </c>
      <c r="G140" s="351" t="s">
        <v>563</v>
      </c>
      <c r="H140" s="382" t="s">
        <v>460</v>
      </c>
      <c r="I140" s="234" t="s">
        <v>565</v>
      </c>
      <c r="J140" s="234"/>
      <c r="K140" s="258" t="s">
        <v>564</v>
      </c>
      <c r="L140" s="258" t="s">
        <v>328</v>
      </c>
      <c r="M140" s="258" t="s">
        <v>327</v>
      </c>
      <c r="N140" s="234" t="s">
        <v>389</v>
      </c>
      <c r="O140" s="240" t="s">
        <v>130</v>
      </c>
      <c r="P140" s="243" t="s">
        <v>303</v>
      </c>
      <c r="Q140" s="244" t="s">
        <v>304</v>
      </c>
      <c r="R140" s="244" t="s">
        <v>314</v>
      </c>
      <c r="S140" s="245" t="s">
        <v>338</v>
      </c>
      <c r="T140" s="245" t="s">
        <v>345</v>
      </c>
      <c r="U140" s="245" t="s">
        <v>361</v>
      </c>
      <c r="V140" s="245" t="s">
        <v>387</v>
      </c>
      <c r="W140" s="245" t="s">
        <v>421</v>
      </c>
      <c r="X140" s="245" t="s">
        <v>452</v>
      </c>
      <c r="Y140" s="245" t="s">
        <v>463</v>
      </c>
      <c r="Z140" s="245" t="s">
        <v>481</v>
      </c>
      <c r="AA140" s="245" t="s">
        <v>498</v>
      </c>
      <c r="AB140" s="245" t="s">
        <v>303</v>
      </c>
      <c r="AC140" s="245" t="s">
        <v>304</v>
      </c>
      <c r="AD140" s="245" t="s">
        <v>314</v>
      </c>
      <c r="AE140" s="245" t="s">
        <v>338</v>
      </c>
      <c r="AF140" s="245" t="s">
        <v>345</v>
      </c>
      <c r="AG140" s="245" t="s">
        <v>361</v>
      </c>
      <c r="AH140" s="245" t="s">
        <v>387</v>
      </c>
      <c r="AI140" s="245"/>
      <c r="AJ140" s="245" t="s">
        <v>360</v>
      </c>
      <c r="AK140" s="246" t="s">
        <v>268</v>
      </c>
      <c r="AL140" s="247" t="s">
        <v>269</v>
      </c>
      <c r="AM140" s="291" t="s">
        <v>288</v>
      </c>
      <c r="AN140" s="292" t="s">
        <v>289</v>
      </c>
      <c r="AO140" s="292" t="s">
        <v>287</v>
      </c>
      <c r="AP140" s="293" t="s">
        <v>290</v>
      </c>
      <c r="AQ140" s="290" t="s">
        <v>306</v>
      </c>
      <c r="AR140" s="290" t="s">
        <v>310</v>
      </c>
      <c r="AS140" s="290" t="s">
        <v>311</v>
      </c>
    </row>
    <row r="141" spans="1:45" ht="17.25" thickBot="1" x14ac:dyDescent="0.3">
      <c r="A141" s="463" t="s">
        <v>416</v>
      </c>
      <c r="B141" s="285">
        <v>273664</v>
      </c>
      <c r="C141" s="286">
        <v>1135749</v>
      </c>
      <c r="D141" s="286" t="s">
        <v>7</v>
      </c>
      <c r="E141" s="286">
        <v>6060050026</v>
      </c>
      <c r="F141" s="253">
        <f>G176-AK141+AL141</f>
        <v>10</v>
      </c>
      <c r="G141" s="235">
        <v>10</v>
      </c>
      <c r="H141" s="394">
        <v>5</v>
      </c>
      <c r="I141" s="232">
        <v>10</v>
      </c>
      <c r="J141" s="232"/>
      <c r="K141" s="232">
        <v>3</v>
      </c>
      <c r="L141" s="232">
        <f>IF(K175=K140,L176+AK141,K141)</f>
        <v>3</v>
      </c>
      <c r="M141" s="232">
        <f>IF(K175=K140,0,L176+AK141-K141)</f>
        <v>0</v>
      </c>
      <c r="N141" s="267">
        <v>5</v>
      </c>
      <c r="O141" s="241">
        <f>N141-G141</f>
        <v>-5</v>
      </c>
      <c r="P141" s="277">
        <v>4</v>
      </c>
      <c r="Q141" s="278">
        <v>4</v>
      </c>
      <c r="R141" s="279"/>
      <c r="S141" s="279">
        <v>3</v>
      </c>
      <c r="T141" s="279">
        <v>4</v>
      </c>
      <c r="U141" s="279">
        <v>2</v>
      </c>
      <c r="V141" s="279"/>
      <c r="W141" s="279">
        <f>2+3</f>
        <v>5</v>
      </c>
      <c r="X141" s="241"/>
      <c r="Y141" s="241"/>
      <c r="Z141" s="241"/>
      <c r="AA141" s="241">
        <v>4</v>
      </c>
      <c r="AB141" s="241">
        <v>5</v>
      </c>
      <c r="AC141" s="241"/>
      <c r="AD141" s="241">
        <v>6</v>
      </c>
      <c r="AE141" s="241"/>
      <c r="AF141" s="241">
        <v>2</v>
      </c>
      <c r="AG141" s="241"/>
      <c r="AH141" s="241"/>
      <c r="AI141" s="241"/>
      <c r="AJ141" s="241">
        <f>N141-V141</f>
        <v>5</v>
      </c>
      <c r="AK141" s="235">
        <f>G176+AL141-G141</f>
        <v>0</v>
      </c>
      <c r="AL141" s="350"/>
      <c r="AM141" s="294">
        <v>1.5</v>
      </c>
      <c r="AN141" s="295">
        <v>4</v>
      </c>
      <c r="AO141" s="296">
        <f>G141/(AN141)</f>
        <v>2.5</v>
      </c>
      <c r="AP141" s="297">
        <f>AN141*6</f>
        <v>24</v>
      </c>
      <c r="AQ141" s="290">
        <f>G141+K141</f>
        <v>13</v>
      </c>
      <c r="AR141" s="290">
        <f>IF(G141&lt;G176,(G176-G141+K176-K141),K176-K141)</f>
        <v>0</v>
      </c>
      <c r="AS141" s="290">
        <f>21-8</f>
        <v>13</v>
      </c>
    </row>
    <row r="142" spans="1:45" ht="17.25" thickBot="1" x14ac:dyDescent="0.3">
      <c r="A142" s="464"/>
      <c r="B142" s="285">
        <v>273672</v>
      </c>
      <c r="C142" s="286">
        <v>1135750</v>
      </c>
      <c r="D142" s="286" t="s">
        <v>9</v>
      </c>
      <c r="E142" s="287">
        <v>204000000000</v>
      </c>
      <c r="F142" s="253">
        <f>G177-AK142+AL142</f>
        <v>22</v>
      </c>
      <c r="G142" s="235">
        <v>22</v>
      </c>
      <c r="H142" s="394">
        <v>16</v>
      </c>
      <c r="I142" s="232">
        <f>8+14</f>
        <v>22</v>
      </c>
      <c r="J142" s="232"/>
      <c r="K142" s="232">
        <v>8</v>
      </c>
      <c r="L142" s="232">
        <f>IF(K175=K140,L177+AK142,K142)</f>
        <v>8</v>
      </c>
      <c r="M142" s="232">
        <f>IF(K175=K140,0,L177+AK142-K142)</f>
        <v>2</v>
      </c>
      <c r="N142" s="267">
        <v>10</v>
      </c>
      <c r="O142" s="241">
        <f>N142-G142</f>
        <v>-12</v>
      </c>
      <c r="P142" s="277">
        <v>13</v>
      </c>
      <c r="Q142" s="278">
        <v>2</v>
      </c>
      <c r="R142" s="279">
        <v>6</v>
      </c>
      <c r="S142" s="279">
        <v>6</v>
      </c>
      <c r="T142" s="279">
        <v>10</v>
      </c>
      <c r="U142" s="279">
        <v>4</v>
      </c>
      <c r="V142" s="279">
        <v>6</v>
      </c>
      <c r="W142" s="279">
        <v>16</v>
      </c>
      <c r="X142" s="241"/>
      <c r="Y142" s="241">
        <v>6</v>
      </c>
      <c r="Z142" s="241">
        <v>4</v>
      </c>
      <c r="AA142" s="241">
        <v>6</v>
      </c>
      <c r="AB142" s="241">
        <v>14</v>
      </c>
      <c r="AC142" s="241"/>
      <c r="AD142" s="241">
        <v>12</v>
      </c>
      <c r="AE142" s="241">
        <v>6</v>
      </c>
      <c r="AF142" s="241">
        <v>14</v>
      </c>
      <c r="AG142" s="241"/>
      <c r="AH142" s="241"/>
      <c r="AI142" s="241"/>
      <c r="AJ142" s="241">
        <f>N142-V142</f>
        <v>4</v>
      </c>
      <c r="AK142" s="235">
        <f>G177+AL142-G142</f>
        <v>0</v>
      </c>
      <c r="AL142" s="236"/>
      <c r="AM142" s="298">
        <v>4.2</v>
      </c>
      <c r="AN142" s="295">
        <v>9</v>
      </c>
      <c r="AO142" s="296">
        <f>G142/(AN142)</f>
        <v>2.4444444444444446</v>
      </c>
      <c r="AP142" s="297">
        <f>AN142*6</f>
        <v>54</v>
      </c>
      <c r="AQ142" s="290">
        <f>G142+K142</f>
        <v>30</v>
      </c>
      <c r="AR142" s="290">
        <f>IF(G142&lt;G177,(G177-G142+K177-K142),K177-K142)</f>
        <v>2</v>
      </c>
      <c r="AS142" s="290">
        <f>21-8</f>
        <v>13</v>
      </c>
    </row>
    <row r="143" spans="1:45" ht="17.25" thickBot="1" x14ac:dyDescent="0.3">
      <c r="A143" s="464"/>
      <c r="B143" s="285">
        <v>273702</v>
      </c>
      <c r="C143" s="286">
        <v>1135753</v>
      </c>
      <c r="D143" s="286" t="s">
        <v>10</v>
      </c>
      <c r="E143" s="287">
        <v>301000000000</v>
      </c>
      <c r="F143" s="253">
        <f>G178-AK143+AL143</f>
        <v>3</v>
      </c>
      <c r="G143" s="235">
        <v>3</v>
      </c>
      <c r="H143" s="394">
        <v>1</v>
      </c>
      <c r="I143" s="232">
        <v>4</v>
      </c>
      <c r="J143" s="232"/>
      <c r="K143" s="232"/>
      <c r="L143" s="232">
        <f>IF(K175=K140,L178+AK143,K143)</f>
        <v>0</v>
      </c>
      <c r="M143" s="232">
        <f>IF(K175=K140,0,L178+AK143-K143)</f>
        <v>2</v>
      </c>
      <c r="N143" s="232">
        <v>2</v>
      </c>
      <c r="O143" s="241">
        <f>N143-G143</f>
        <v>-1</v>
      </c>
      <c r="P143" s="277"/>
      <c r="Q143" s="278"/>
      <c r="R143" s="279"/>
      <c r="S143" s="279"/>
      <c r="T143" s="279"/>
      <c r="U143" s="279"/>
      <c r="V143" s="279"/>
      <c r="W143" s="279"/>
      <c r="X143" s="241"/>
      <c r="Y143" s="241"/>
      <c r="Z143" s="241"/>
      <c r="AA143" s="241"/>
      <c r="AB143" s="241">
        <v>2</v>
      </c>
      <c r="AC143" s="241"/>
      <c r="AD143" s="241"/>
      <c r="AE143" s="241"/>
      <c r="AF143" s="241"/>
      <c r="AG143" s="241"/>
      <c r="AH143" s="241"/>
      <c r="AI143" s="241"/>
      <c r="AJ143" s="241">
        <f>N143-V143</f>
        <v>2</v>
      </c>
      <c r="AK143" s="417">
        <f>G178+AL143-G143</f>
        <v>0</v>
      </c>
      <c r="AL143" s="236"/>
      <c r="AM143" s="294">
        <f>4/12</f>
        <v>0.33333333333333331</v>
      </c>
      <c r="AN143" s="295">
        <v>2</v>
      </c>
      <c r="AO143" s="296">
        <f>G143/(AN143)</f>
        <v>1.5</v>
      </c>
      <c r="AP143" s="297">
        <f>AN143*6</f>
        <v>12</v>
      </c>
      <c r="AQ143" s="290">
        <f>G143+K143</f>
        <v>3</v>
      </c>
      <c r="AR143" s="290">
        <f>IF(G143&lt;G178,(G178-G143+K178-K143),K178-K143)</f>
        <v>2</v>
      </c>
      <c r="AS143" s="290">
        <f>21-8</f>
        <v>13</v>
      </c>
    </row>
    <row r="144" spans="1:45" ht="17.25" thickBot="1" x14ac:dyDescent="0.3">
      <c r="A144" s="464"/>
      <c r="B144" s="285">
        <v>273698</v>
      </c>
      <c r="C144" s="286">
        <v>1135752</v>
      </c>
      <c r="D144" s="286" t="s">
        <v>11</v>
      </c>
      <c r="E144" s="287">
        <v>701000000000</v>
      </c>
      <c r="F144" s="253">
        <f>G179-AK144+AL144</f>
        <v>1</v>
      </c>
      <c r="G144" s="235">
        <v>1</v>
      </c>
      <c r="H144" s="394">
        <v>2</v>
      </c>
      <c r="I144" s="232">
        <v>1</v>
      </c>
      <c r="J144" s="232"/>
      <c r="K144" s="232">
        <v>2</v>
      </c>
      <c r="L144" s="232">
        <f>IF(K175=K140,L179+AK144,K144)</f>
        <v>2</v>
      </c>
      <c r="M144" s="232">
        <f>IF(K175=K140,0,L179+AK144-K144)</f>
        <v>0</v>
      </c>
      <c r="N144" s="232">
        <v>3</v>
      </c>
      <c r="O144" s="241">
        <f>N144-G144</f>
        <v>2</v>
      </c>
      <c r="P144" s="277">
        <v>2</v>
      </c>
      <c r="Q144" s="278"/>
      <c r="R144" s="279"/>
      <c r="S144" s="279"/>
      <c r="T144" s="279"/>
      <c r="U144" s="279"/>
      <c r="V144" s="279"/>
      <c r="W144" s="279">
        <v>1</v>
      </c>
      <c r="X144" s="241"/>
      <c r="Y144" s="241"/>
      <c r="Z144" s="241"/>
      <c r="AA144" s="241"/>
      <c r="AB144" s="241">
        <v>2</v>
      </c>
      <c r="AC144" s="241"/>
      <c r="AD144" s="241">
        <v>2</v>
      </c>
      <c r="AE144" s="241"/>
      <c r="AF144" s="241">
        <v>1</v>
      </c>
      <c r="AG144" s="241">
        <v>2</v>
      </c>
      <c r="AH144" s="241"/>
      <c r="AI144" s="241"/>
      <c r="AJ144" s="241">
        <f>N144-V144</f>
        <v>3</v>
      </c>
      <c r="AK144" s="235">
        <f>G179+AL144-G144</f>
        <v>0</v>
      </c>
      <c r="AL144" s="236"/>
      <c r="AM144" s="294">
        <f>4/12</f>
        <v>0.33333333333333331</v>
      </c>
      <c r="AN144" s="295">
        <v>2</v>
      </c>
      <c r="AO144" s="296">
        <f>G144/(AN144)</f>
        <v>0.5</v>
      </c>
      <c r="AP144" s="297">
        <f>AN144*6</f>
        <v>12</v>
      </c>
      <c r="AQ144" s="290">
        <f>G144+K144</f>
        <v>3</v>
      </c>
      <c r="AR144" s="290">
        <f>IF(G144&lt;G179,(G179-G144+K179-K144),K179-K144)</f>
        <v>0</v>
      </c>
      <c r="AS144" s="290">
        <f>21-8</f>
        <v>13</v>
      </c>
    </row>
    <row r="145" spans="1:45" ht="17.25" thickBot="1" x14ac:dyDescent="0.3">
      <c r="A145" s="465"/>
      <c r="B145" s="285">
        <v>273680</v>
      </c>
      <c r="C145" s="286">
        <v>1135751</v>
      </c>
      <c r="D145" s="286" t="s">
        <v>12</v>
      </c>
      <c r="E145" s="286" t="s">
        <v>13</v>
      </c>
      <c r="F145" s="254">
        <f>G180-AK145+AL145</f>
        <v>12</v>
      </c>
      <c r="G145" s="237">
        <v>12</v>
      </c>
      <c r="H145" s="395">
        <v>8</v>
      </c>
      <c r="I145" s="238"/>
      <c r="J145" s="238"/>
      <c r="K145" s="238">
        <v>9</v>
      </c>
      <c r="L145" s="238">
        <f>IF(K175=K140,L180+AK145,K145)</f>
        <v>9</v>
      </c>
      <c r="M145" s="238">
        <f>IF(K175=K140,0,L180+AK145-K145)</f>
        <v>0</v>
      </c>
      <c r="N145" s="238">
        <v>9</v>
      </c>
      <c r="O145" s="242">
        <f>N145-G145</f>
        <v>-3</v>
      </c>
      <c r="P145" s="280"/>
      <c r="Q145" s="281"/>
      <c r="R145" s="282"/>
      <c r="S145" s="282"/>
      <c r="T145" s="282">
        <v>11</v>
      </c>
      <c r="U145" s="282"/>
      <c r="V145" s="282"/>
      <c r="W145" s="282">
        <v>9</v>
      </c>
      <c r="X145" s="242"/>
      <c r="Y145" s="242">
        <v>9</v>
      </c>
      <c r="Z145" s="242"/>
      <c r="AA145" s="242"/>
      <c r="AB145" s="242">
        <v>5</v>
      </c>
      <c r="AC145" s="242"/>
      <c r="AD145" s="242">
        <v>5</v>
      </c>
      <c r="AE145" s="242"/>
      <c r="AF145" s="242">
        <v>9</v>
      </c>
      <c r="AG145" s="242"/>
      <c r="AH145" s="242"/>
      <c r="AI145" s="242"/>
      <c r="AJ145" s="242">
        <f>N145-V145</f>
        <v>9</v>
      </c>
      <c r="AK145" s="235">
        <f>G180+AL145-G145</f>
        <v>0</v>
      </c>
      <c r="AL145" s="239"/>
      <c r="AM145" s="299">
        <f>30/12</f>
        <v>2.5</v>
      </c>
      <c r="AN145" s="300">
        <f>AM145*2</f>
        <v>5</v>
      </c>
      <c r="AO145" s="301">
        <f>G145/(AN145)</f>
        <v>2.4</v>
      </c>
      <c r="AP145" s="302">
        <f>AN145*6</f>
        <v>30</v>
      </c>
      <c r="AQ145" s="290">
        <f>G145+K145</f>
        <v>21</v>
      </c>
      <c r="AR145" s="290">
        <f>IF(G145&lt;G180,(G180-G145+K180-K145),K180-K145)</f>
        <v>0</v>
      </c>
      <c r="AS145" s="290">
        <f>21-8</f>
        <v>13</v>
      </c>
    </row>
    <row r="146" spans="1:45" ht="17.25" thickBot="1" x14ac:dyDescent="0.3">
      <c r="A146" s="466" t="s">
        <v>417</v>
      </c>
      <c r="B146" s="355" t="s">
        <v>129</v>
      </c>
      <c r="C146" s="356"/>
      <c r="D146" s="356"/>
      <c r="E146" s="359"/>
      <c r="F146" s="359"/>
      <c r="G146" s="356"/>
      <c r="H146" s="396"/>
      <c r="I146" s="356"/>
      <c r="J146" s="356"/>
      <c r="K146" s="356"/>
      <c r="L146" s="356"/>
      <c r="M146" s="356"/>
      <c r="N146" s="356"/>
      <c r="O146" s="356"/>
      <c r="P146" s="356"/>
      <c r="Q146" s="356"/>
      <c r="R146" s="356"/>
      <c r="S146" s="356"/>
      <c r="T146" s="356"/>
      <c r="U146" s="356"/>
      <c r="V146" s="356"/>
      <c r="W146" s="356"/>
      <c r="X146" s="356"/>
      <c r="Y146" s="356"/>
      <c r="Z146" s="356"/>
      <c r="AA146" s="356"/>
      <c r="AB146" s="356"/>
      <c r="AC146" s="356"/>
      <c r="AD146" s="356"/>
      <c r="AE146" s="356"/>
      <c r="AF146" s="356"/>
      <c r="AG146" s="356"/>
      <c r="AH146" s="356"/>
      <c r="AI146" s="356"/>
      <c r="AJ146" s="356"/>
      <c r="AK146" s="356"/>
      <c r="AL146" s="367"/>
      <c r="AM146" s="356"/>
      <c r="AN146" s="356"/>
      <c r="AO146" s="356"/>
      <c r="AP146" s="356"/>
      <c r="AQ146" s="356"/>
      <c r="AR146" s="356"/>
      <c r="AS146" s="357"/>
    </row>
    <row r="147" spans="1:45" ht="17.25" thickBot="1" x14ac:dyDescent="0.3">
      <c r="A147" s="467"/>
      <c r="B147" s="354"/>
      <c r="C147" s="354">
        <v>1140327</v>
      </c>
      <c r="D147" s="358" t="s">
        <v>394</v>
      </c>
      <c r="E147" s="360"/>
      <c r="F147" s="361">
        <f>G182-AK147+AL147</f>
        <v>25</v>
      </c>
      <c r="G147" s="218">
        <v>25</v>
      </c>
      <c r="H147" s="397">
        <v>23</v>
      </c>
      <c r="I147" s="218">
        <f>6+13</f>
        <v>19</v>
      </c>
      <c r="J147" s="218"/>
      <c r="K147" s="218">
        <v>6</v>
      </c>
      <c r="L147" s="218">
        <f>IF(K175=K140,L182+AK147,K147)</f>
        <v>6</v>
      </c>
      <c r="M147" s="218">
        <f>IF(K175=K140,0,L182+AK147-K147)</f>
        <v>3</v>
      </c>
      <c r="N147" s="218"/>
      <c r="O147" s="218"/>
      <c r="P147" s="352"/>
      <c r="Q147" s="352"/>
      <c r="R147" s="352"/>
      <c r="S147" s="352"/>
      <c r="T147" s="352"/>
      <c r="U147" s="352"/>
      <c r="V147" s="218"/>
      <c r="W147" s="218"/>
      <c r="X147" s="218">
        <v>4</v>
      </c>
      <c r="Y147" s="218">
        <v>9</v>
      </c>
      <c r="Z147" s="218">
        <v>14</v>
      </c>
      <c r="AA147" s="218">
        <v>8</v>
      </c>
      <c r="AB147" s="218">
        <f>14+6</f>
        <v>20</v>
      </c>
      <c r="AC147" s="218">
        <v>10</v>
      </c>
      <c r="AD147" s="218">
        <v>12</v>
      </c>
      <c r="AE147" s="218">
        <v>17</v>
      </c>
      <c r="AF147" s="218">
        <v>6</v>
      </c>
      <c r="AG147" s="218">
        <v>6</v>
      </c>
      <c r="AH147" s="218">
        <v>6</v>
      </c>
      <c r="AI147" s="218"/>
      <c r="AJ147" s="242">
        <f>N147-V147</f>
        <v>0</v>
      </c>
      <c r="AK147" s="274">
        <f>G182+AL147-G147</f>
        <v>0</v>
      </c>
      <c r="AL147" s="232"/>
      <c r="AM147" s="353"/>
      <c r="AN147" s="295"/>
      <c r="AO147" s="296"/>
      <c r="AP147" s="353"/>
      <c r="AQ147" s="290"/>
      <c r="AR147" s="290"/>
      <c r="AS147" s="290"/>
    </row>
    <row r="148" spans="1:45" ht="17.25" thickBot="1" x14ac:dyDescent="0.3">
      <c r="A148" s="467"/>
      <c r="B148" s="354"/>
      <c r="C148" s="285">
        <v>1151231</v>
      </c>
      <c r="D148" s="358" t="s">
        <v>395</v>
      </c>
      <c r="E148" s="360"/>
      <c r="F148" s="361">
        <f>G183-AK148+AL148</f>
        <v>15</v>
      </c>
      <c r="G148" s="369">
        <v>15</v>
      </c>
      <c r="H148" s="397">
        <v>13</v>
      </c>
      <c r="I148" s="218">
        <f>1+7+5</f>
        <v>13</v>
      </c>
      <c r="J148" s="218"/>
      <c r="K148" s="218">
        <v>1</v>
      </c>
      <c r="L148" s="218">
        <f>IF(K175=K140,L183+AK148,K148)</f>
        <v>1</v>
      </c>
      <c r="M148" s="218">
        <f>IF(K175=K140,0,L183+AK148-K148)</f>
        <v>1</v>
      </c>
      <c r="N148" s="218"/>
      <c r="O148" s="218"/>
      <c r="P148" s="352"/>
      <c r="Q148" s="352"/>
      <c r="R148" s="352"/>
      <c r="S148" s="352"/>
      <c r="T148" s="352"/>
      <c r="U148" s="352"/>
      <c r="V148" s="218"/>
      <c r="W148" s="218"/>
      <c r="X148" s="218">
        <v>3</v>
      </c>
      <c r="Y148" s="218">
        <v>8</v>
      </c>
      <c r="Z148" s="218">
        <v>6</v>
      </c>
      <c r="AA148" s="218"/>
      <c r="AB148" s="218">
        <v>4</v>
      </c>
      <c r="AC148" s="218">
        <v>4</v>
      </c>
      <c r="AD148" s="218">
        <v>4</v>
      </c>
      <c r="AE148" s="218"/>
      <c r="AF148" s="218">
        <v>4</v>
      </c>
      <c r="AG148" s="218">
        <v>3</v>
      </c>
      <c r="AH148" s="218"/>
      <c r="AI148" s="218"/>
      <c r="AJ148" s="242">
        <f>N148-V148</f>
        <v>0</v>
      </c>
      <c r="AK148" s="416">
        <f>G183+AL148-G148</f>
        <v>0</v>
      </c>
      <c r="AL148" s="267"/>
      <c r="AM148" s="353"/>
      <c r="AN148" s="295"/>
      <c r="AO148" s="296"/>
      <c r="AP148" s="353"/>
      <c r="AQ148" s="290"/>
      <c r="AR148" s="290"/>
      <c r="AS148" s="290"/>
    </row>
    <row r="149" spans="1:45" ht="17.25" thickBot="1" x14ac:dyDescent="0.3">
      <c r="A149" s="467"/>
      <c r="B149" s="355" t="s">
        <v>420</v>
      </c>
      <c r="C149" s="356"/>
      <c r="D149" s="356" t="s">
        <v>523</v>
      </c>
      <c r="E149" s="359"/>
      <c r="F149" s="359"/>
      <c r="G149" s="356"/>
      <c r="H149" s="396"/>
      <c r="I149" s="356"/>
      <c r="J149" s="356"/>
      <c r="K149" s="356"/>
      <c r="L149" s="356"/>
      <c r="M149" s="356"/>
      <c r="N149" s="356"/>
      <c r="O149" s="356"/>
      <c r="P149" s="356"/>
      <c r="Q149" s="356"/>
      <c r="R149" s="356"/>
      <c r="S149" s="356"/>
      <c r="T149" s="356"/>
      <c r="U149" s="356"/>
      <c r="V149" s="356"/>
      <c r="W149" s="356"/>
      <c r="X149" s="356"/>
      <c r="Y149" s="356"/>
      <c r="Z149" s="356"/>
      <c r="AA149" s="356"/>
      <c r="AB149" s="356"/>
      <c r="AC149" s="356"/>
      <c r="AD149" s="356"/>
      <c r="AE149" s="356"/>
      <c r="AF149" s="356"/>
      <c r="AG149" s="356"/>
      <c r="AH149" s="356"/>
      <c r="AI149" s="356"/>
      <c r="AJ149" s="356"/>
      <c r="AK149" s="356"/>
      <c r="AL149" s="368"/>
      <c r="AM149" s="356"/>
      <c r="AN149" s="356"/>
      <c r="AO149" s="356"/>
      <c r="AP149" s="356"/>
      <c r="AQ149" s="356"/>
      <c r="AR149" s="356"/>
      <c r="AS149" s="357"/>
    </row>
    <row r="150" spans="1:45" ht="17.25" thickBot="1" x14ac:dyDescent="0.3">
      <c r="A150" s="467"/>
      <c r="B150" s="354"/>
      <c r="C150" s="285">
        <v>1146032</v>
      </c>
      <c r="D150" s="358" t="s">
        <v>396</v>
      </c>
      <c r="E150" s="360"/>
      <c r="F150" s="361">
        <f>G185-AK150+AL150</f>
        <v>0</v>
      </c>
      <c r="G150" s="364">
        <v>0</v>
      </c>
      <c r="H150" s="397">
        <v>1</v>
      </c>
      <c r="I150" s="364"/>
      <c r="J150" s="364"/>
      <c r="K150" s="364">
        <v>3</v>
      </c>
      <c r="L150" s="218"/>
      <c r="M150" s="218"/>
      <c r="N150" s="218"/>
      <c r="O150" s="218"/>
      <c r="P150" s="352"/>
      <c r="Q150" s="352"/>
      <c r="R150" s="352"/>
      <c r="S150" s="352"/>
      <c r="T150" s="352"/>
      <c r="U150" s="352"/>
      <c r="V150" s="218"/>
      <c r="W150" s="218"/>
      <c r="X150" s="218"/>
      <c r="Y150" s="218"/>
      <c r="Z150" s="218"/>
      <c r="AA150" s="218"/>
      <c r="AB150" s="218"/>
      <c r="AC150" s="218"/>
      <c r="AD150" s="218"/>
      <c r="AE150" s="218"/>
      <c r="AF150" s="218">
        <v>1</v>
      </c>
      <c r="AG150" s="218"/>
      <c r="AH150" s="218"/>
      <c r="AI150" s="218"/>
      <c r="AJ150" s="218"/>
      <c r="AK150" s="218">
        <f>G185+AL150-G150</f>
        <v>0</v>
      </c>
      <c r="AL150" s="218"/>
      <c r="AM150" s="353"/>
      <c r="AN150" s="295"/>
      <c r="AO150" s="296"/>
      <c r="AP150" s="353"/>
      <c r="AQ150" s="290"/>
      <c r="AR150" s="290"/>
      <c r="AS150" s="290"/>
    </row>
    <row r="151" spans="1:45" ht="17.25" thickBot="1" x14ac:dyDescent="0.3">
      <c r="A151" s="467"/>
      <c r="B151" s="354"/>
      <c r="C151" s="285">
        <v>1146021</v>
      </c>
      <c r="D151" s="358" t="s">
        <v>397</v>
      </c>
      <c r="E151" s="360"/>
      <c r="F151" s="361">
        <f>G186-AK151+AL151</f>
        <v>2</v>
      </c>
      <c r="G151" s="364">
        <v>2</v>
      </c>
      <c r="H151" s="397">
        <v>2</v>
      </c>
      <c r="I151" s="364">
        <v>1</v>
      </c>
      <c r="J151" s="364"/>
      <c r="K151" s="364">
        <v>1</v>
      </c>
      <c r="L151" s="218"/>
      <c r="M151" s="218"/>
      <c r="N151" s="218"/>
      <c r="O151" s="218"/>
      <c r="P151" s="352"/>
      <c r="Q151" s="352"/>
      <c r="R151" s="352"/>
      <c r="S151" s="352"/>
      <c r="T151" s="352"/>
      <c r="U151" s="352"/>
      <c r="V151" s="218"/>
      <c r="W151" s="218"/>
      <c r="X151" s="218"/>
      <c r="Y151" s="218"/>
      <c r="Z151" s="218"/>
      <c r="AA151" s="218"/>
      <c r="AB151" s="218"/>
      <c r="AC151" s="218"/>
      <c r="AD151" s="218"/>
      <c r="AE151" s="218"/>
      <c r="AF151" s="218"/>
      <c r="AG151" s="218"/>
      <c r="AH151" s="218"/>
      <c r="AI151" s="218"/>
      <c r="AJ151" s="218"/>
      <c r="AK151" s="218">
        <f>G186+AL151-G151</f>
        <v>0</v>
      </c>
      <c r="AL151" s="218"/>
      <c r="AM151" s="353"/>
      <c r="AN151" s="295"/>
      <c r="AO151" s="296"/>
      <c r="AP151" s="353"/>
      <c r="AQ151" s="290"/>
      <c r="AR151" s="290"/>
      <c r="AS151" s="290"/>
    </row>
    <row r="152" spans="1:45" ht="17.25" thickBot="1" x14ac:dyDescent="0.3">
      <c r="A152" s="467"/>
      <c r="B152" s="354"/>
      <c r="C152" s="285">
        <v>1146018</v>
      </c>
      <c r="D152" s="358" t="s">
        <v>398</v>
      </c>
      <c r="E152" s="360"/>
      <c r="F152" s="361">
        <f>G187-AK152+AL152</f>
        <v>2</v>
      </c>
      <c r="G152" s="369">
        <v>2</v>
      </c>
      <c r="H152" s="397">
        <v>1</v>
      </c>
      <c r="I152" s="364">
        <v>2</v>
      </c>
      <c r="J152" s="364"/>
      <c r="K152" s="364">
        <v>3</v>
      </c>
      <c r="L152" s="218"/>
      <c r="M152" s="218"/>
      <c r="N152" s="218"/>
      <c r="O152" s="218"/>
      <c r="P152" s="352"/>
      <c r="Q152" s="352"/>
      <c r="R152" s="352"/>
      <c r="S152" s="352"/>
      <c r="T152" s="352"/>
      <c r="U152" s="352"/>
      <c r="V152" s="218"/>
      <c r="W152" s="218"/>
      <c r="X152" s="218"/>
      <c r="Y152" s="218"/>
      <c r="Z152" s="218"/>
      <c r="AA152" s="218"/>
      <c r="AB152" s="218">
        <v>2</v>
      </c>
      <c r="AC152" s="218"/>
      <c r="AD152" s="218"/>
      <c r="AE152" s="218"/>
      <c r="AF152" s="218">
        <v>2</v>
      </c>
      <c r="AG152" s="218"/>
      <c r="AH152" s="218"/>
      <c r="AI152" s="218"/>
      <c r="AJ152" s="218"/>
      <c r="AK152" s="218">
        <f>G187+AL152-G152</f>
        <v>0</v>
      </c>
      <c r="AL152" s="218"/>
      <c r="AM152" s="353"/>
      <c r="AN152" s="295"/>
      <c r="AO152" s="296"/>
      <c r="AP152" s="353"/>
      <c r="AQ152" s="290"/>
      <c r="AR152" s="290"/>
      <c r="AS152" s="290"/>
    </row>
    <row r="153" spans="1:45" ht="17.25" thickBot="1" x14ac:dyDescent="0.3">
      <c r="A153" s="467"/>
      <c r="B153" s="354"/>
      <c r="C153" s="285">
        <v>1146024</v>
      </c>
      <c r="D153" s="358" t="s">
        <v>399</v>
      </c>
      <c r="E153" s="360"/>
      <c r="F153" s="361">
        <v>1</v>
      </c>
      <c r="G153" s="369">
        <v>5</v>
      </c>
      <c r="H153" s="369">
        <v>2</v>
      </c>
      <c r="I153" s="369">
        <v>5</v>
      </c>
      <c r="J153" s="369"/>
      <c r="K153" s="369"/>
      <c r="L153" s="218"/>
      <c r="M153" s="218"/>
      <c r="N153" s="218"/>
      <c r="O153" s="218"/>
      <c r="P153" s="352"/>
      <c r="Q153" s="352"/>
      <c r="R153" s="352"/>
      <c r="S153" s="352"/>
      <c r="T153" s="352"/>
      <c r="U153" s="352"/>
      <c r="V153" s="218"/>
      <c r="W153" s="218"/>
      <c r="X153" s="218"/>
      <c r="Y153" s="218"/>
      <c r="Z153" s="218"/>
      <c r="AA153" s="218">
        <v>1</v>
      </c>
      <c r="AB153" s="218">
        <v>1</v>
      </c>
      <c r="AC153" s="218"/>
      <c r="AD153" s="218"/>
      <c r="AE153" s="218"/>
      <c r="AF153" s="218">
        <v>2</v>
      </c>
      <c r="AG153" s="218"/>
      <c r="AH153" s="218"/>
      <c r="AI153" s="218"/>
      <c r="AJ153" s="218"/>
      <c r="AK153" s="218">
        <f>G188+AL153-G153</f>
        <v>0</v>
      </c>
      <c r="AL153" s="218"/>
      <c r="AM153" s="353"/>
      <c r="AN153" s="295"/>
      <c r="AO153" s="296"/>
      <c r="AP153" s="353"/>
      <c r="AQ153" s="290"/>
      <c r="AR153" s="290"/>
      <c r="AS153" s="290"/>
    </row>
    <row r="154" spans="1:45" ht="17.25" thickBot="1" x14ac:dyDescent="0.3">
      <c r="A154" s="467"/>
      <c r="B154" s="354"/>
      <c r="C154" s="285">
        <v>1146028</v>
      </c>
      <c r="D154" s="358" t="s">
        <v>400</v>
      </c>
      <c r="E154" s="360"/>
      <c r="F154" s="361">
        <f>G189-AK154+AL154</f>
        <v>3</v>
      </c>
      <c r="G154" s="364">
        <v>3</v>
      </c>
      <c r="H154" s="397">
        <v>2</v>
      </c>
      <c r="I154" s="364">
        <v>3</v>
      </c>
      <c r="J154" s="364"/>
      <c r="K154" s="364">
        <v>2</v>
      </c>
      <c r="L154" s="218"/>
      <c r="M154" s="218"/>
      <c r="N154" s="218"/>
      <c r="O154" s="218"/>
      <c r="P154" s="352"/>
      <c r="Q154" s="352"/>
      <c r="R154" s="352"/>
      <c r="S154" s="352"/>
      <c r="T154" s="352"/>
      <c r="U154" s="352"/>
      <c r="V154" s="218"/>
      <c r="W154" s="218"/>
      <c r="X154" s="218"/>
      <c r="Y154" s="218"/>
      <c r="Z154" s="218"/>
      <c r="AA154" s="218"/>
      <c r="AB154" s="218"/>
      <c r="AC154" s="218"/>
      <c r="AD154" s="218">
        <v>2</v>
      </c>
      <c r="AE154" s="218"/>
      <c r="AF154" s="218"/>
      <c r="AG154" s="218">
        <v>2</v>
      </c>
      <c r="AH154" s="218"/>
      <c r="AI154" s="218"/>
      <c r="AJ154" s="218"/>
      <c r="AK154" s="218">
        <f>G189+AL154-G154</f>
        <v>0</v>
      </c>
      <c r="AL154" s="218"/>
      <c r="AM154" s="353"/>
      <c r="AN154" s="295"/>
      <c r="AO154" s="296"/>
      <c r="AP154" s="353"/>
      <c r="AQ154" s="290"/>
      <c r="AR154" s="290"/>
      <c r="AS154" s="290"/>
    </row>
    <row r="155" spans="1:45" ht="17.25" thickBot="1" x14ac:dyDescent="0.3">
      <c r="A155" s="467"/>
      <c r="B155" s="355" t="s">
        <v>419</v>
      </c>
      <c r="C155" s="356"/>
      <c r="D155" s="356"/>
      <c r="E155" s="359"/>
      <c r="F155" s="359"/>
      <c r="G155" s="356"/>
      <c r="H155" s="396"/>
      <c r="I155" s="356"/>
      <c r="J155" s="356"/>
      <c r="K155" s="356"/>
      <c r="L155" s="356"/>
      <c r="M155" s="356"/>
      <c r="N155" s="356"/>
      <c r="O155" s="356"/>
      <c r="P155" s="356"/>
      <c r="Q155" s="356"/>
      <c r="R155" s="356"/>
      <c r="S155" s="356"/>
      <c r="T155" s="356"/>
      <c r="U155" s="356"/>
      <c r="V155" s="356"/>
      <c r="W155" s="356"/>
      <c r="X155" s="356"/>
      <c r="Y155" s="356"/>
      <c r="Z155" s="356"/>
      <c r="AA155" s="356"/>
      <c r="AB155" s="356"/>
      <c r="AC155" s="356"/>
      <c r="AD155" s="356"/>
      <c r="AE155" s="356"/>
      <c r="AF155" s="356"/>
      <c r="AG155" s="356"/>
      <c r="AH155" s="356"/>
      <c r="AI155" s="356"/>
      <c r="AJ155" s="356"/>
      <c r="AK155" s="356"/>
      <c r="AL155" s="356"/>
      <c r="AM155" s="356"/>
      <c r="AN155" s="356"/>
      <c r="AO155" s="356"/>
      <c r="AP155" s="356"/>
      <c r="AQ155" s="356"/>
      <c r="AR155" s="356"/>
      <c r="AS155" s="357"/>
    </row>
    <row r="156" spans="1:45" ht="17.25" thickBot="1" x14ac:dyDescent="0.3">
      <c r="A156" s="467"/>
      <c r="B156" s="372"/>
      <c r="C156" s="373">
        <v>1146031</v>
      </c>
      <c r="D156" s="374" t="s">
        <v>401</v>
      </c>
      <c r="E156" s="375"/>
      <c r="F156" s="376">
        <f>G191-AK156+AL156</f>
        <v>0</v>
      </c>
      <c r="G156" s="377"/>
      <c r="H156" s="397">
        <v>1</v>
      </c>
      <c r="I156" s="377">
        <v>1</v>
      </c>
      <c r="J156" s="377"/>
      <c r="K156" s="377">
        <v>2</v>
      </c>
      <c r="L156" s="377"/>
      <c r="M156" s="377"/>
      <c r="N156" s="377"/>
      <c r="O156" s="377"/>
      <c r="P156" s="377"/>
      <c r="Q156" s="377"/>
      <c r="R156" s="377"/>
      <c r="S156" s="377"/>
      <c r="T156" s="377"/>
      <c r="U156" s="377"/>
      <c r="V156" s="377"/>
      <c r="W156" s="377"/>
      <c r="X156" s="377"/>
      <c r="Y156" s="377"/>
      <c r="Z156" s="377"/>
      <c r="AA156" s="377"/>
      <c r="AB156" s="377"/>
      <c r="AC156" s="377"/>
      <c r="AD156" s="377"/>
      <c r="AE156" s="377"/>
      <c r="AF156" s="377"/>
      <c r="AG156" s="377"/>
      <c r="AH156" s="377"/>
      <c r="AI156" s="377"/>
      <c r="AJ156" s="377"/>
      <c r="AK156" s="377">
        <f>G191+AL156-G156</f>
        <v>0</v>
      </c>
      <c r="AL156" s="377"/>
      <c r="AM156" s="378"/>
      <c r="AN156" s="379"/>
      <c r="AO156" s="380"/>
      <c r="AP156" s="378"/>
      <c r="AQ156" s="381"/>
      <c r="AR156" s="381"/>
      <c r="AS156" s="381"/>
    </row>
    <row r="157" spans="1:45" ht="17.25" thickBot="1" x14ac:dyDescent="0.3">
      <c r="A157" s="467"/>
      <c r="B157" s="372"/>
      <c r="C157" s="373">
        <v>1146020</v>
      </c>
      <c r="D157" s="374" t="s">
        <v>402</v>
      </c>
      <c r="E157" s="375"/>
      <c r="F157" s="376">
        <f>G192-AK157+AL157</f>
        <v>0</v>
      </c>
      <c r="G157" s="377"/>
      <c r="H157" s="397">
        <v>1</v>
      </c>
      <c r="I157" s="377"/>
      <c r="J157" s="377"/>
      <c r="K157" s="377"/>
      <c r="L157" s="377"/>
      <c r="M157" s="377"/>
      <c r="N157" s="377"/>
      <c r="O157" s="377"/>
      <c r="P157" s="377"/>
      <c r="Q157" s="377"/>
      <c r="R157" s="377"/>
      <c r="S157" s="377"/>
      <c r="T157" s="377"/>
      <c r="U157" s="377"/>
      <c r="V157" s="377"/>
      <c r="W157" s="377"/>
      <c r="X157" s="377"/>
      <c r="Y157" s="377"/>
      <c r="Z157" s="377"/>
      <c r="AA157" s="377"/>
      <c r="AB157" s="377"/>
      <c r="AC157" s="377"/>
      <c r="AD157" s="377"/>
      <c r="AE157" s="377"/>
      <c r="AF157" s="377"/>
      <c r="AG157" s="377"/>
      <c r="AH157" s="377"/>
      <c r="AI157" s="377"/>
      <c r="AJ157" s="377"/>
      <c r="AK157" s="377">
        <f>G192+AL157-G157</f>
        <v>0</v>
      </c>
      <c r="AL157" s="377"/>
      <c r="AM157" s="378"/>
      <c r="AN157" s="379"/>
      <c r="AO157" s="380"/>
      <c r="AP157" s="378"/>
      <c r="AQ157" s="381"/>
      <c r="AR157" s="381"/>
      <c r="AS157" s="381"/>
    </row>
    <row r="158" spans="1:45" ht="17.25" thickBot="1" x14ac:dyDescent="0.3">
      <c r="A158" s="467"/>
      <c r="B158" s="372"/>
      <c r="C158" s="373">
        <v>1146016</v>
      </c>
      <c r="D158" s="374" t="s">
        <v>398</v>
      </c>
      <c r="E158" s="375"/>
      <c r="F158" s="376">
        <f>G193-AK158+AL158</f>
        <v>0</v>
      </c>
      <c r="G158" s="377"/>
      <c r="H158" s="397">
        <v>1</v>
      </c>
      <c r="I158" s="377"/>
      <c r="J158" s="377"/>
      <c r="K158" s="377"/>
      <c r="L158" s="377"/>
      <c r="M158" s="377"/>
      <c r="N158" s="377"/>
      <c r="O158" s="377"/>
      <c r="P158" s="377"/>
      <c r="Q158" s="377"/>
      <c r="R158" s="377"/>
      <c r="S158" s="377"/>
      <c r="T158" s="377"/>
      <c r="U158" s="377"/>
      <c r="V158" s="377"/>
      <c r="W158" s="377"/>
      <c r="X158" s="377"/>
      <c r="Y158" s="377"/>
      <c r="Z158" s="377"/>
      <c r="AA158" s="377"/>
      <c r="AB158" s="377"/>
      <c r="AC158" s="377"/>
      <c r="AD158" s="377"/>
      <c r="AE158" s="377"/>
      <c r="AF158" s="377"/>
      <c r="AG158" s="377"/>
      <c r="AH158" s="377"/>
      <c r="AI158" s="377"/>
      <c r="AJ158" s="377"/>
      <c r="AK158" s="377">
        <f>G193+AL158-G158</f>
        <v>0</v>
      </c>
      <c r="AL158" s="377"/>
      <c r="AM158" s="378"/>
      <c r="AN158" s="379"/>
      <c r="AO158" s="380"/>
      <c r="AP158" s="378"/>
      <c r="AQ158" s="381"/>
      <c r="AR158" s="381"/>
      <c r="AS158" s="381"/>
    </row>
    <row r="159" spans="1:45" ht="17.25" thickBot="1" x14ac:dyDescent="0.3">
      <c r="A159" s="467"/>
      <c r="B159" s="372"/>
      <c r="C159" s="373">
        <v>1146022</v>
      </c>
      <c r="D159" s="374" t="s">
        <v>403</v>
      </c>
      <c r="E159" s="375"/>
      <c r="F159" s="376">
        <f>G194-AK159+AL159</f>
        <v>0</v>
      </c>
      <c r="G159" s="377"/>
      <c r="H159" s="397">
        <v>2</v>
      </c>
      <c r="I159" s="377"/>
      <c r="J159" s="377"/>
      <c r="K159" s="377"/>
      <c r="L159" s="377"/>
      <c r="M159" s="377"/>
      <c r="N159" s="377"/>
      <c r="O159" s="377"/>
      <c r="P159" s="377"/>
      <c r="Q159" s="377"/>
      <c r="R159" s="377"/>
      <c r="S159" s="377"/>
      <c r="T159" s="377"/>
      <c r="U159" s="377"/>
      <c r="V159" s="377"/>
      <c r="W159" s="377"/>
      <c r="X159" s="377"/>
      <c r="Y159" s="377"/>
      <c r="Z159" s="377"/>
      <c r="AA159" s="377"/>
      <c r="AB159" s="377"/>
      <c r="AC159" s="377"/>
      <c r="AD159" s="377"/>
      <c r="AE159" s="377"/>
      <c r="AF159" s="377"/>
      <c r="AG159" s="377"/>
      <c r="AH159" s="377"/>
      <c r="AI159" s="377"/>
      <c r="AJ159" s="377"/>
      <c r="AK159" s="377">
        <f>G194+AL159-G159</f>
        <v>0</v>
      </c>
      <c r="AL159" s="377"/>
      <c r="AM159" s="378"/>
      <c r="AN159" s="379"/>
      <c r="AO159" s="380"/>
      <c r="AP159" s="378"/>
      <c r="AQ159" s="381"/>
      <c r="AR159" s="381"/>
      <c r="AS159" s="381"/>
    </row>
    <row r="160" spans="1:45" ht="17.25" thickBot="1" x14ac:dyDescent="0.3">
      <c r="A160" s="467"/>
      <c r="B160" s="372"/>
      <c r="C160" s="373">
        <v>1146027</v>
      </c>
      <c r="D160" s="374" t="s">
        <v>404</v>
      </c>
      <c r="E160" s="375"/>
      <c r="F160" s="376">
        <f>G195-AK160+AL160</f>
        <v>0</v>
      </c>
      <c r="G160" s="377"/>
      <c r="H160" s="397">
        <v>2</v>
      </c>
      <c r="I160" s="377">
        <v>1</v>
      </c>
      <c r="J160" s="377"/>
      <c r="K160" s="377"/>
      <c r="L160" s="377"/>
      <c r="M160" s="377"/>
      <c r="N160" s="377"/>
      <c r="O160" s="377"/>
      <c r="P160" s="377"/>
      <c r="Q160" s="377"/>
      <c r="R160" s="377"/>
      <c r="S160" s="377"/>
      <c r="T160" s="377"/>
      <c r="U160" s="377"/>
      <c r="V160" s="377"/>
      <c r="W160" s="377"/>
      <c r="X160" s="377"/>
      <c r="Y160" s="377"/>
      <c r="Z160" s="377"/>
      <c r="AA160" s="377"/>
      <c r="AB160" s="377"/>
      <c r="AC160" s="377"/>
      <c r="AD160" s="377"/>
      <c r="AE160" s="377"/>
      <c r="AF160" s="377"/>
      <c r="AG160" s="377"/>
      <c r="AH160" s="377"/>
      <c r="AI160" s="377"/>
      <c r="AJ160" s="377"/>
      <c r="AK160" s="377">
        <f>G195+AL160-G160</f>
        <v>0</v>
      </c>
      <c r="AL160" s="377"/>
      <c r="AM160" s="378"/>
      <c r="AN160" s="379"/>
      <c r="AO160" s="380"/>
      <c r="AP160" s="378"/>
      <c r="AQ160" s="381"/>
      <c r="AR160" s="381"/>
      <c r="AS160" s="381"/>
    </row>
    <row r="161" spans="1:45" ht="17.25" thickBot="1" x14ac:dyDescent="0.3">
      <c r="A161" s="467"/>
      <c r="B161" s="355" t="s">
        <v>418</v>
      </c>
      <c r="C161" s="356"/>
      <c r="D161" s="356"/>
      <c r="E161" s="359"/>
      <c r="F161" s="359"/>
      <c r="G161" s="356"/>
      <c r="H161" s="396"/>
      <c r="I161" s="356"/>
      <c r="J161" s="356"/>
      <c r="K161" s="356"/>
      <c r="L161" s="356"/>
      <c r="M161" s="356"/>
      <c r="N161" s="356"/>
      <c r="O161" s="356"/>
      <c r="P161" s="356"/>
      <c r="Q161" s="356"/>
      <c r="R161" s="356"/>
      <c r="S161" s="356"/>
      <c r="T161" s="356"/>
      <c r="U161" s="356"/>
      <c r="V161" s="356"/>
      <c r="W161" s="356"/>
      <c r="X161" s="356"/>
      <c r="Y161" s="356"/>
      <c r="Z161" s="356"/>
      <c r="AA161" s="356"/>
      <c r="AB161" s="356"/>
      <c r="AC161" s="356"/>
      <c r="AD161" s="356"/>
      <c r="AE161" s="356"/>
      <c r="AF161" s="356"/>
      <c r="AG161" s="356"/>
      <c r="AH161" s="356"/>
      <c r="AI161" s="356"/>
      <c r="AJ161" s="356"/>
      <c r="AK161" s="356"/>
      <c r="AL161" s="356"/>
      <c r="AM161" s="356"/>
      <c r="AN161" s="356"/>
      <c r="AO161" s="356"/>
      <c r="AP161" s="356"/>
      <c r="AQ161" s="356"/>
      <c r="AR161" s="356"/>
      <c r="AS161" s="357"/>
    </row>
    <row r="162" spans="1:45" ht="17.25" thickBot="1" x14ac:dyDescent="0.3">
      <c r="A162" s="467"/>
      <c r="B162" s="354"/>
      <c r="C162" s="285">
        <v>1151653</v>
      </c>
      <c r="D162" s="358" t="s">
        <v>405</v>
      </c>
      <c r="E162" s="360"/>
      <c r="F162" s="361">
        <f>G197-AK162+AL162</f>
        <v>3</v>
      </c>
      <c r="G162" s="364">
        <v>3</v>
      </c>
      <c r="H162" s="397">
        <v>1</v>
      </c>
      <c r="I162" s="364">
        <v>2</v>
      </c>
      <c r="J162" s="364"/>
      <c r="K162" s="364"/>
      <c r="L162" s="218"/>
      <c r="M162" s="218"/>
      <c r="N162" s="218"/>
      <c r="O162" s="218"/>
      <c r="P162" s="352"/>
      <c r="Q162" s="352"/>
      <c r="R162" s="352"/>
      <c r="S162" s="352"/>
      <c r="T162" s="352"/>
      <c r="U162" s="352"/>
      <c r="V162" s="218"/>
      <c r="W162" s="218"/>
      <c r="X162" s="218"/>
      <c r="Y162" s="218"/>
      <c r="Z162" s="218"/>
      <c r="AA162" s="218"/>
      <c r="AB162" s="218"/>
      <c r="AC162" s="218"/>
      <c r="AD162" s="218"/>
      <c r="AE162" s="218"/>
      <c r="AF162" s="218"/>
      <c r="AG162" s="218"/>
      <c r="AH162" s="218"/>
      <c r="AI162" s="218"/>
      <c r="AJ162" s="218"/>
      <c r="AK162" s="218">
        <f>G197+AL162-G162</f>
        <v>0</v>
      </c>
      <c r="AL162" s="218"/>
      <c r="AM162" s="353"/>
      <c r="AN162" s="295"/>
      <c r="AO162" s="296"/>
      <c r="AP162" s="353"/>
      <c r="AQ162" s="290"/>
      <c r="AR162" s="290"/>
      <c r="AS162" s="290"/>
    </row>
    <row r="163" spans="1:45" ht="17.25" thickBot="1" x14ac:dyDescent="0.3">
      <c r="A163" s="467"/>
      <c r="B163" s="354"/>
      <c r="C163" s="285">
        <v>1151650</v>
      </c>
      <c r="D163" s="358" t="s">
        <v>406</v>
      </c>
      <c r="E163" s="360"/>
      <c r="F163" s="361">
        <f>G198-AK163+AL163</f>
        <v>2</v>
      </c>
      <c r="G163" s="364">
        <v>2</v>
      </c>
      <c r="H163" s="397">
        <v>2</v>
      </c>
      <c r="I163" s="364">
        <v>2</v>
      </c>
      <c r="J163" s="364"/>
      <c r="K163" s="364">
        <v>2</v>
      </c>
      <c r="L163" s="218"/>
      <c r="M163" s="218"/>
      <c r="N163" s="218"/>
      <c r="O163" s="218"/>
      <c r="P163" s="352"/>
      <c r="Q163" s="352"/>
      <c r="R163" s="352"/>
      <c r="S163" s="352"/>
      <c r="T163" s="352"/>
      <c r="U163" s="352"/>
      <c r="V163" s="218"/>
      <c r="W163" s="218"/>
      <c r="X163" s="218"/>
      <c r="Y163" s="218"/>
      <c r="Z163" s="218"/>
      <c r="AA163" s="218"/>
      <c r="AB163" s="218"/>
      <c r="AC163" s="218"/>
      <c r="AD163" s="218"/>
      <c r="AE163" s="218"/>
      <c r="AF163" s="218"/>
      <c r="AG163" s="218"/>
      <c r="AH163" s="218"/>
      <c r="AI163" s="218"/>
      <c r="AJ163" s="218"/>
      <c r="AK163" s="218">
        <f>G198+AL163-G163</f>
        <v>0</v>
      </c>
      <c r="AL163" s="218"/>
      <c r="AM163" s="353"/>
      <c r="AN163" s="295"/>
      <c r="AO163" s="296"/>
      <c r="AP163" s="353"/>
      <c r="AQ163" s="290"/>
      <c r="AR163" s="290"/>
      <c r="AS163" s="290"/>
    </row>
    <row r="164" spans="1:45" ht="17.25" thickBot="1" x14ac:dyDescent="0.3">
      <c r="A164" s="467"/>
      <c r="B164" s="354"/>
      <c r="C164" s="285">
        <v>1151649</v>
      </c>
      <c r="D164" s="358" t="s">
        <v>407</v>
      </c>
      <c r="E164" s="360"/>
      <c r="F164" s="361">
        <f>G199-AK164+AL164</f>
        <v>5</v>
      </c>
      <c r="G164" s="369">
        <v>5</v>
      </c>
      <c r="H164" s="369">
        <v>4</v>
      </c>
      <c r="I164" s="369"/>
      <c r="J164" s="369"/>
      <c r="K164" s="369">
        <v>2</v>
      </c>
      <c r="L164" s="218"/>
      <c r="M164" s="218"/>
      <c r="N164" s="218"/>
      <c r="O164" s="218"/>
      <c r="P164" s="352"/>
      <c r="Q164" s="352"/>
      <c r="R164" s="352"/>
      <c r="S164" s="352"/>
      <c r="T164" s="352"/>
      <c r="U164" s="352"/>
      <c r="V164" s="218"/>
      <c r="W164" s="218"/>
      <c r="X164" s="218"/>
      <c r="Y164" s="218"/>
      <c r="Z164" s="218"/>
      <c r="AA164" s="218"/>
      <c r="AB164" s="218">
        <v>2</v>
      </c>
      <c r="AC164" s="218"/>
      <c r="AD164" s="218">
        <v>2</v>
      </c>
      <c r="AE164" s="218"/>
      <c r="AF164" s="218"/>
      <c r="AG164" s="218"/>
      <c r="AH164" s="218"/>
      <c r="AI164" s="218"/>
      <c r="AJ164" s="218"/>
      <c r="AK164" s="218">
        <f>G199+AL164-G164</f>
        <v>0</v>
      </c>
      <c r="AL164" s="218"/>
      <c r="AM164" s="353"/>
      <c r="AN164" s="295"/>
      <c r="AO164" s="296"/>
      <c r="AP164" s="353"/>
      <c r="AQ164" s="290"/>
      <c r="AR164" s="290"/>
      <c r="AS164" s="290"/>
    </row>
    <row r="165" spans="1:45" ht="17.25" thickBot="1" x14ac:dyDescent="0.3">
      <c r="A165" s="467"/>
      <c r="B165" s="354"/>
      <c r="C165" s="285">
        <v>1151651</v>
      </c>
      <c r="D165" s="358" t="s">
        <v>408</v>
      </c>
      <c r="E165" s="360"/>
      <c r="F165" s="361">
        <f>G200-AK165+AL165</f>
        <v>7</v>
      </c>
      <c r="G165" s="369">
        <v>7</v>
      </c>
      <c r="H165" s="369">
        <v>1</v>
      </c>
      <c r="I165" s="369">
        <v>7</v>
      </c>
      <c r="J165" s="369"/>
      <c r="K165" s="369">
        <v>1</v>
      </c>
      <c r="L165" s="218"/>
      <c r="M165" s="218"/>
      <c r="N165" s="218"/>
      <c r="O165" s="218"/>
      <c r="P165" s="352"/>
      <c r="Q165" s="352"/>
      <c r="R165" s="352"/>
      <c r="S165" s="352"/>
      <c r="T165" s="352"/>
      <c r="U165" s="352"/>
      <c r="V165" s="218"/>
      <c r="W165" s="218"/>
      <c r="X165" s="218"/>
      <c r="Y165" s="218"/>
      <c r="Z165" s="218">
        <v>2</v>
      </c>
      <c r="AA165" s="218"/>
      <c r="AB165" s="218">
        <v>2</v>
      </c>
      <c r="AC165" s="218"/>
      <c r="AD165" s="218">
        <v>3</v>
      </c>
      <c r="AE165" s="218"/>
      <c r="AF165" s="218"/>
      <c r="AG165" s="218"/>
      <c r="AH165" s="218"/>
      <c r="AI165" s="218"/>
      <c r="AJ165" s="218"/>
      <c r="AK165" s="218">
        <f>G200+AL165-G165</f>
        <v>0</v>
      </c>
      <c r="AL165" s="218"/>
      <c r="AM165" s="353"/>
      <c r="AN165" s="295"/>
      <c r="AO165" s="296"/>
      <c r="AP165" s="353"/>
      <c r="AQ165" s="290"/>
      <c r="AR165" s="290"/>
      <c r="AS165" s="290"/>
    </row>
    <row r="166" spans="1:45" ht="17.25" thickBot="1" x14ac:dyDescent="0.3">
      <c r="A166" s="467"/>
      <c r="B166" s="354"/>
      <c r="C166" s="285">
        <v>1146029</v>
      </c>
      <c r="D166" s="358" t="s">
        <v>409</v>
      </c>
      <c r="E166" s="360"/>
      <c r="F166" s="361">
        <f>G201-AK166+AL166</f>
        <v>4</v>
      </c>
      <c r="G166" s="369">
        <v>4</v>
      </c>
      <c r="H166" s="369">
        <v>2</v>
      </c>
      <c r="I166" s="369">
        <v>2</v>
      </c>
      <c r="J166" s="369"/>
      <c r="K166" s="369">
        <v>3</v>
      </c>
      <c r="L166" s="218"/>
      <c r="M166" s="218"/>
      <c r="N166" s="218"/>
      <c r="O166" s="218"/>
      <c r="P166" s="352"/>
      <c r="Q166" s="352"/>
      <c r="R166" s="352"/>
      <c r="S166" s="352"/>
      <c r="T166" s="352"/>
      <c r="U166" s="352"/>
      <c r="V166" s="218"/>
      <c r="W166" s="218"/>
      <c r="X166" s="218"/>
      <c r="Y166" s="218"/>
      <c r="Z166" s="218"/>
      <c r="AA166" s="218"/>
      <c r="AB166" s="218"/>
      <c r="AC166" s="218">
        <v>2</v>
      </c>
      <c r="AD166" s="218"/>
      <c r="AE166" s="218"/>
      <c r="AF166" s="218"/>
      <c r="AG166" s="218"/>
      <c r="AH166" s="218"/>
      <c r="AI166" s="218"/>
      <c r="AJ166" s="218"/>
      <c r="AK166" s="218">
        <f>G201+AL166-G166</f>
        <v>0</v>
      </c>
      <c r="AL166" s="218"/>
      <c r="AM166" s="353"/>
      <c r="AN166" s="295"/>
      <c r="AO166" s="296"/>
      <c r="AP166" s="353"/>
      <c r="AQ166" s="290"/>
      <c r="AR166" s="290"/>
      <c r="AS166" s="290"/>
    </row>
    <row r="167" spans="1:45" ht="17.25" thickBot="1" x14ac:dyDescent="0.3">
      <c r="A167" s="467"/>
      <c r="B167" s="355" t="s">
        <v>410</v>
      </c>
      <c r="C167" s="356"/>
      <c r="D167" s="356"/>
      <c r="E167" s="359"/>
      <c r="F167" s="359"/>
      <c r="G167" s="356"/>
      <c r="H167" s="396"/>
      <c r="I167" s="356"/>
      <c r="J167" s="356"/>
      <c r="K167" s="356"/>
      <c r="L167" s="356"/>
      <c r="M167" s="356"/>
      <c r="N167" s="356"/>
      <c r="O167" s="356"/>
      <c r="P167" s="356"/>
      <c r="Q167" s="356"/>
      <c r="R167" s="356"/>
      <c r="S167" s="356"/>
      <c r="T167" s="356"/>
      <c r="U167" s="356"/>
      <c r="V167" s="356"/>
      <c r="W167" s="356"/>
      <c r="X167" s="356"/>
      <c r="Y167" s="356"/>
      <c r="Z167" s="356"/>
      <c r="AA167" s="356"/>
      <c r="AB167" s="356"/>
      <c r="AC167" s="356"/>
      <c r="AD167" s="356"/>
      <c r="AE167" s="356"/>
      <c r="AF167" s="356"/>
      <c r="AG167" s="356"/>
      <c r="AH167" s="356"/>
      <c r="AI167" s="356"/>
      <c r="AJ167" s="356"/>
      <c r="AK167" s="356"/>
      <c r="AL167" s="356"/>
      <c r="AM167" s="356"/>
      <c r="AN167" s="356"/>
      <c r="AO167" s="356"/>
      <c r="AP167" s="356"/>
      <c r="AQ167" s="356"/>
      <c r="AR167" s="356"/>
      <c r="AS167" s="357"/>
    </row>
    <row r="168" spans="1:45" ht="17.25" thickBot="1" x14ac:dyDescent="0.3">
      <c r="A168" s="467"/>
      <c r="B168" s="354"/>
      <c r="C168" s="285">
        <v>1699118</v>
      </c>
      <c r="D168" s="358" t="s">
        <v>411</v>
      </c>
      <c r="E168" s="360"/>
      <c r="F168" s="361">
        <f>G203-AK168+AL168</f>
        <v>0</v>
      </c>
      <c r="G168" s="369">
        <v>0</v>
      </c>
      <c r="H168" s="369">
        <v>1</v>
      </c>
      <c r="I168" s="369"/>
      <c r="J168" s="369"/>
      <c r="K168" s="369"/>
      <c r="L168" s="218"/>
      <c r="M168" s="218"/>
      <c r="N168" s="218"/>
      <c r="O168" s="218"/>
      <c r="P168" s="352"/>
      <c r="Q168" s="352"/>
      <c r="R168" s="352"/>
      <c r="S168" s="352"/>
      <c r="T168" s="352"/>
      <c r="U168" s="352"/>
      <c r="V168" s="218"/>
      <c r="W168" s="218"/>
      <c r="X168" s="218"/>
      <c r="Y168" s="218"/>
      <c r="Z168" s="218"/>
      <c r="AA168" s="218"/>
      <c r="AB168" s="218">
        <v>1</v>
      </c>
      <c r="AC168" s="218"/>
      <c r="AD168" s="218"/>
      <c r="AE168" s="218"/>
      <c r="AF168" s="218">
        <v>1</v>
      </c>
      <c r="AG168" s="218"/>
      <c r="AH168" s="218"/>
      <c r="AI168" s="218"/>
      <c r="AJ168" s="218"/>
      <c r="AK168" s="218">
        <f>G203+AL168-G168</f>
        <v>0</v>
      </c>
      <c r="AL168" s="218"/>
      <c r="AM168" s="353"/>
      <c r="AN168" s="295"/>
      <c r="AO168" s="296"/>
      <c r="AP168" s="353"/>
      <c r="AQ168" s="290"/>
      <c r="AR168" s="290"/>
      <c r="AS168" s="290"/>
    </row>
    <row r="169" spans="1:45" ht="17.25" thickBot="1" x14ac:dyDescent="0.3">
      <c r="A169" s="467"/>
      <c r="B169" s="354"/>
      <c r="C169" s="285">
        <v>1699119</v>
      </c>
      <c r="D169" s="358" t="s">
        <v>412</v>
      </c>
      <c r="E169" s="360"/>
      <c r="F169" s="361">
        <f>G204-AK169+AL169</f>
        <v>4</v>
      </c>
      <c r="G169" s="369">
        <v>4</v>
      </c>
      <c r="H169" s="369">
        <v>1</v>
      </c>
      <c r="I169" s="369">
        <v>3</v>
      </c>
      <c r="J169" s="369"/>
      <c r="K169" s="369">
        <v>2</v>
      </c>
      <c r="L169" s="218"/>
      <c r="M169" s="218"/>
      <c r="N169" s="218"/>
      <c r="O169" s="218"/>
      <c r="P169" s="352"/>
      <c r="Q169" s="352"/>
      <c r="R169" s="352"/>
      <c r="S169" s="352"/>
      <c r="T169" s="352"/>
      <c r="U169" s="352"/>
      <c r="V169" s="218"/>
      <c r="W169" s="218"/>
      <c r="X169" s="218"/>
      <c r="Y169" s="218"/>
      <c r="Z169" s="218"/>
      <c r="AA169" s="218"/>
      <c r="AB169" s="218">
        <v>2</v>
      </c>
      <c r="AC169" s="218"/>
      <c r="AD169" s="218"/>
      <c r="AE169" s="218"/>
      <c r="AF169" s="218">
        <v>1</v>
      </c>
      <c r="AG169" s="218"/>
      <c r="AH169" s="218"/>
      <c r="AI169" s="218"/>
      <c r="AJ169" s="218"/>
      <c r="AK169" s="218">
        <f>G204+AL169-G169</f>
        <v>0</v>
      </c>
      <c r="AL169" s="218"/>
      <c r="AM169" s="353"/>
      <c r="AN169" s="295"/>
      <c r="AO169" s="296"/>
      <c r="AP169" s="353"/>
      <c r="AQ169" s="290"/>
      <c r="AR169" s="290"/>
      <c r="AS169" s="290"/>
    </row>
    <row r="170" spans="1:45" ht="17.25" thickBot="1" x14ac:dyDescent="0.3">
      <c r="A170" s="467"/>
      <c r="B170" s="354"/>
      <c r="C170" s="285">
        <v>1699130</v>
      </c>
      <c r="D170" s="358" t="s">
        <v>413</v>
      </c>
      <c r="E170" s="360"/>
      <c r="F170" s="361">
        <f>G205-AK170+AL170</f>
        <v>4</v>
      </c>
      <c r="G170" s="369">
        <v>4</v>
      </c>
      <c r="H170" s="369">
        <v>4</v>
      </c>
      <c r="I170" s="369">
        <v>3</v>
      </c>
      <c r="J170" s="369"/>
      <c r="K170" s="369"/>
      <c r="L170" s="218"/>
      <c r="M170" s="218"/>
      <c r="N170" s="218"/>
      <c r="O170" s="218"/>
      <c r="P170" s="352"/>
      <c r="Q170" s="352"/>
      <c r="R170" s="352"/>
      <c r="S170" s="352"/>
      <c r="T170" s="352"/>
      <c r="U170" s="352"/>
      <c r="V170" s="218"/>
      <c r="W170" s="218"/>
      <c r="X170" s="218"/>
      <c r="Y170" s="218"/>
      <c r="Z170" s="218"/>
      <c r="AA170" s="218">
        <v>2</v>
      </c>
      <c r="AB170" s="218"/>
      <c r="AC170" s="218"/>
      <c r="AD170" s="218">
        <v>4</v>
      </c>
      <c r="AE170" s="218"/>
      <c r="AF170" s="218"/>
      <c r="AG170" s="218"/>
      <c r="AH170" s="218"/>
      <c r="AI170" s="218"/>
      <c r="AJ170" s="218"/>
      <c r="AK170" s="218">
        <f>G205+AL170-G170</f>
        <v>0</v>
      </c>
      <c r="AL170" s="218"/>
      <c r="AM170" s="353"/>
      <c r="AN170" s="295"/>
      <c r="AO170" s="296"/>
      <c r="AP170" s="353"/>
      <c r="AQ170" s="290"/>
      <c r="AR170" s="290"/>
      <c r="AS170" s="290"/>
    </row>
    <row r="171" spans="1:45" ht="17.25" thickBot="1" x14ac:dyDescent="0.3">
      <c r="A171" s="467"/>
      <c r="B171" s="354"/>
      <c r="C171" s="285">
        <v>1699131</v>
      </c>
      <c r="D171" s="358" t="s">
        <v>414</v>
      </c>
      <c r="E171" s="360"/>
      <c r="F171" s="361">
        <f>G206-AK171+AL171</f>
        <v>3</v>
      </c>
      <c r="G171" s="369">
        <v>3</v>
      </c>
      <c r="H171" s="397">
        <v>3</v>
      </c>
      <c r="I171" s="369">
        <v>2</v>
      </c>
      <c r="J171" s="369"/>
      <c r="K171" s="364">
        <v>2</v>
      </c>
      <c r="L171" s="218"/>
      <c r="M171" s="218"/>
      <c r="N171" s="218"/>
      <c r="O171" s="218"/>
      <c r="P171" s="352"/>
      <c r="Q171" s="352"/>
      <c r="R171" s="352"/>
      <c r="S171" s="352"/>
      <c r="T171" s="352"/>
      <c r="U171" s="352"/>
      <c r="V171" s="218"/>
      <c r="W171" s="218"/>
      <c r="X171" s="218"/>
      <c r="Y171" s="218"/>
      <c r="Z171" s="218"/>
      <c r="AA171" s="218"/>
      <c r="AB171" s="218">
        <v>1</v>
      </c>
      <c r="AC171" s="218"/>
      <c r="AD171" s="218"/>
      <c r="AE171" s="218"/>
      <c r="AF171" s="218">
        <v>2</v>
      </c>
      <c r="AG171" s="218"/>
      <c r="AH171" s="218"/>
      <c r="AI171" s="218"/>
      <c r="AJ171" s="218"/>
      <c r="AK171" s="218">
        <f>G206+AL171-G171</f>
        <v>0</v>
      </c>
      <c r="AL171" s="218"/>
      <c r="AM171" s="353"/>
      <c r="AN171" s="295"/>
      <c r="AO171" s="296"/>
      <c r="AP171" s="353"/>
      <c r="AQ171" s="290"/>
      <c r="AR171" s="290"/>
      <c r="AS171" s="290"/>
    </row>
    <row r="172" spans="1:45" ht="17.25" thickBot="1" x14ac:dyDescent="0.3">
      <c r="A172" s="468"/>
      <c r="B172" s="354"/>
      <c r="C172" s="285">
        <v>1699132</v>
      </c>
      <c r="D172" s="358" t="s">
        <v>415</v>
      </c>
      <c r="E172" s="285"/>
      <c r="F172" s="362">
        <f>G207-AK172+AL172</f>
        <v>1</v>
      </c>
      <c r="G172" s="364">
        <v>1</v>
      </c>
      <c r="H172" s="397">
        <v>3</v>
      </c>
      <c r="I172" s="364">
        <v>1</v>
      </c>
      <c r="J172" s="364"/>
      <c r="K172" s="364">
        <v>1</v>
      </c>
      <c r="L172" s="218"/>
      <c r="M172" s="218"/>
      <c r="N172" s="218"/>
      <c r="O172" s="218"/>
      <c r="P172" s="352"/>
      <c r="Q172" s="352"/>
      <c r="R172" s="352"/>
      <c r="S172" s="352"/>
      <c r="T172" s="352"/>
      <c r="U172" s="352"/>
      <c r="V172" s="218"/>
      <c r="W172" s="218"/>
      <c r="X172" s="218"/>
      <c r="Y172" s="218"/>
      <c r="Z172" s="218"/>
      <c r="AA172" s="218"/>
      <c r="AB172" s="218"/>
      <c r="AC172" s="218"/>
      <c r="AD172" s="218"/>
      <c r="AE172" s="218"/>
      <c r="AF172" s="218">
        <v>2</v>
      </c>
      <c r="AG172" s="218"/>
      <c r="AH172" s="218"/>
      <c r="AI172" s="218"/>
      <c r="AJ172" s="218"/>
      <c r="AK172" s="218">
        <f>G207+AL172-G172</f>
        <v>0</v>
      </c>
      <c r="AL172" s="218"/>
      <c r="AM172" s="353"/>
      <c r="AN172" s="295"/>
      <c r="AO172" s="296"/>
      <c r="AP172" s="353"/>
      <c r="AQ172" s="290"/>
      <c r="AR172" s="290"/>
      <c r="AS172" s="290"/>
    </row>
    <row r="173" spans="1:45" x14ac:dyDescent="0.25">
      <c r="AL173" s="290"/>
    </row>
    <row r="174" spans="1:45" ht="14.25" thickBot="1" x14ac:dyDescent="0.3">
      <c r="B174" s="338" t="s">
        <v>18</v>
      </c>
      <c r="C174" s="339">
        <v>45831</v>
      </c>
      <c r="AA174" s="290">
        <v>0</v>
      </c>
      <c r="AL174" s="290"/>
      <c r="AM174" s="290"/>
      <c r="AN174" s="290"/>
    </row>
    <row r="175" spans="1:45" ht="41.25" thickBot="1" x14ac:dyDescent="0.3">
      <c r="B175" s="283" t="s">
        <v>0</v>
      </c>
      <c r="C175" s="284" t="s">
        <v>1</v>
      </c>
      <c r="D175" s="284" t="s">
        <v>2</v>
      </c>
      <c r="E175" s="284" t="s">
        <v>3</v>
      </c>
      <c r="F175" s="4" t="s">
        <v>318</v>
      </c>
      <c r="G175" s="351" t="s">
        <v>563</v>
      </c>
      <c r="H175" s="382" t="s">
        <v>460</v>
      </c>
      <c r="I175" s="234" t="s">
        <v>553</v>
      </c>
      <c r="J175" s="234"/>
      <c r="K175" s="258" t="s">
        <v>562</v>
      </c>
      <c r="L175" s="258" t="s">
        <v>328</v>
      </c>
      <c r="M175" s="258" t="s">
        <v>327</v>
      </c>
      <c r="N175" s="234" t="s">
        <v>389</v>
      </c>
      <c r="O175" s="240" t="s">
        <v>130</v>
      </c>
      <c r="P175" s="243" t="s">
        <v>303</v>
      </c>
      <c r="Q175" s="244" t="s">
        <v>304</v>
      </c>
      <c r="R175" s="244" t="s">
        <v>314</v>
      </c>
      <c r="S175" s="245" t="s">
        <v>338</v>
      </c>
      <c r="T175" s="245" t="s">
        <v>345</v>
      </c>
      <c r="U175" s="245" t="s">
        <v>361</v>
      </c>
      <c r="V175" s="245" t="s">
        <v>387</v>
      </c>
      <c r="W175" s="245" t="s">
        <v>421</v>
      </c>
      <c r="X175" s="245" t="s">
        <v>452</v>
      </c>
      <c r="Y175" s="245" t="s">
        <v>463</v>
      </c>
      <c r="Z175" s="245" t="s">
        <v>481</v>
      </c>
      <c r="AA175" s="245" t="s">
        <v>498</v>
      </c>
      <c r="AB175" s="245" t="s">
        <v>303</v>
      </c>
      <c r="AC175" s="245" t="s">
        <v>304</v>
      </c>
      <c r="AD175" s="245" t="s">
        <v>314</v>
      </c>
      <c r="AE175" s="245" t="s">
        <v>338</v>
      </c>
      <c r="AF175" s="245" t="s">
        <v>345</v>
      </c>
      <c r="AG175" s="245" t="s">
        <v>361</v>
      </c>
      <c r="AH175" s="245"/>
      <c r="AI175" s="245"/>
      <c r="AJ175" s="245" t="s">
        <v>360</v>
      </c>
      <c r="AK175" s="246" t="s">
        <v>268</v>
      </c>
      <c r="AL175" s="247" t="s">
        <v>269</v>
      </c>
      <c r="AM175" s="291" t="s">
        <v>288</v>
      </c>
      <c r="AN175" s="292" t="s">
        <v>289</v>
      </c>
      <c r="AO175" s="292" t="s">
        <v>287</v>
      </c>
      <c r="AP175" s="293" t="s">
        <v>290</v>
      </c>
      <c r="AQ175" s="290" t="s">
        <v>306</v>
      </c>
      <c r="AR175" s="290" t="s">
        <v>310</v>
      </c>
      <c r="AS175" s="290" t="s">
        <v>311</v>
      </c>
    </row>
    <row r="176" spans="1:45" ht="17.25" thickBot="1" x14ac:dyDescent="0.3">
      <c r="A176" s="463" t="s">
        <v>416</v>
      </c>
      <c r="B176" s="285">
        <v>273664</v>
      </c>
      <c r="C176" s="286">
        <v>1135749</v>
      </c>
      <c r="D176" s="286" t="s">
        <v>7</v>
      </c>
      <c r="E176" s="286">
        <v>6060050026</v>
      </c>
      <c r="F176" s="253">
        <f>G211-AK176+AL176</f>
        <v>10</v>
      </c>
      <c r="G176" s="235">
        <v>10</v>
      </c>
      <c r="H176" s="394">
        <v>5</v>
      </c>
      <c r="I176" s="232">
        <v>10</v>
      </c>
      <c r="J176" s="232"/>
      <c r="K176" s="232">
        <v>3</v>
      </c>
      <c r="L176" s="232">
        <f>IF(K210=K175,L211+AK176,K176)</f>
        <v>3</v>
      </c>
      <c r="M176" s="232">
        <f>IF(K210=K175,0,L211+AK176-K176)</f>
        <v>0</v>
      </c>
      <c r="N176" s="267">
        <v>5</v>
      </c>
      <c r="O176" s="241">
        <f>N176-G176</f>
        <v>-5</v>
      </c>
      <c r="P176" s="277">
        <v>4</v>
      </c>
      <c r="Q176" s="278">
        <v>4</v>
      </c>
      <c r="R176" s="279"/>
      <c r="S176" s="279">
        <v>3</v>
      </c>
      <c r="T176" s="279">
        <v>4</v>
      </c>
      <c r="U176" s="279">
        <v>2</v>
      </c>
      <c r="V176" s="279"/>
      <c r="W176" s="279">
        <f>2+3</f>
        <v>5</v>
      </c>
      <c r="X176" s="241"/>
      <c r="Y176" s="241"/>
      <c r="Z176" s="241"/>
      <c r="AA176" s="241">
        <v>4</v>
      </c>
      <c r="AB176" s="241">
        <v>5</v>
      </c>
      <c r="AC176" s="241"/>
      <c r="AD176" s="241">
        <v>6</v>
      </c>
      <c r="AE176" s="241"/>
      <c r="AF176" s="241">
        <v>2</v>
      </c>
      <c r="AG176" s="241"/>
      <c r="AH176" s="241"/>
      <c r="AI176" s="241"/>
      <c r="AJ176" s="241">
        <f>N176-V176</f>
        <v>5</v>
      </c>
      <c r="AK176" s="235">
        <f>G211+AL176-G176</f>
        <v>0</v>
      </c>
      <c r="AL176" s="350"/>
      <c r="AM176" s="294">
        <v>1.5</v>
      </c>
      <c r="AN176" s="295">
        <v>4</v>
      </c>
      <c r="AO176" s="296">
        <f>G176/(AN176)</f>
        <v>2.5</v>
      </c>
      <c r="AP176" s="297">
        <f>AN176*6</f>
        <v>24</v>
      </c>
      <c r="AQ176" s="290">
        <f>G176+K176</f>
        <v>13</v>
      </c>
      <c r="AR176" s="290">
        <f>IF(G176&lt;G211,(G211-G176+K211-K176),K211-K176)</f>
        <v>0</v>
      </c>
      <c r="AS176" s="290">
        <f>21-8</f>
        <v>13</v>
      </c>
    </row>
    <row r="177" spans="1:45" ht="17.25" thickBot="1" x14ac:dyDescent="0.3">
      <c r="A177" s="464"/>
      <c r="B177" s="285">
        <v>273672</v>
      </c>
      <c r="C177" s="286">
        <v>1135750</v>
      </c>
      <c r="D177" s="286" t="s">
        <v>9</v>
      </c>
      <c r="E177" s="287">
        <v>204000000000</v>
      </c>
      <c r="F177" s="253">
        <f>G212-AK177+AL177</f>
        <v>22</v>
      </c>
      <c r="G177" s="235">
        <v>22</v>
      </c>
      <c r="H177" s="394">
        <v>16</v>
      </c>
      <c r="I177" s="232">
        <v>8</v>
      </c>
      <c r="J177" s="232"/>
      <c r="K177" s="232">
        <v>10</v>
      </c>
      <c r="L177" s="232">
        <f>IF(K210=K175,L212+AK177,K177)</f>
        <v>10</v>
      </c>
      <c r="M177" s="232">
        <f>IF(K210=K175,0,L212+AK177-K177)</f>
        <v>0</v>
      </c>
      <c r="N177" s="267">
        <v>10</v>
      </c>
      <c r="O177" s="241">
        <f>N177-G177</f>
        <v>-12</v>
      </c>
      <c r="P177" s="277">
        <v>13</v>
      </c>
      <c r="Q177" s="278">
        <v>2</v>
      </c>
      <c r="R177" s="279">
        <v>6</v>
      </c>
      <c r="S177" s="279">
        <v>6</v>
      </c>
      <c r="T177" s="279">
        <v>10</v>
      </c>
      <c r="U177" s="279">
        <v>4</v>
      </c>
      <c r="V177" s="279">
        <v>6</v>
      </c>
      <c r="W177" s="279">
        <v>16</v>
      </c>
      <c r="X177" s="241"/>
      <c r="Y177" s="241">
        <v>6</v>
      </c>
      <c r="Z177" s="241">
        <v>4</v>
      </c>
      <c r="AA177" s="241">
        <v>6</v>
      </c>
      <c r="AB177" s="241">
        <v>14</v>
      </c>
      <c r="AC177" s="241"/>
      <c r="AD177" s="241">
        <v>12</v>
      </c>
      <c r="AE177" s="241">
        <v>6</v>
      </c>
      <c r="AF177" s="241">
        <v>14</v>
      </c>
      <c r="AG177" s="241"/>
      <c r="AH177" s="241"/>
      <c r="AI177" s="241"/>
      <c r="AJ177" s="241">
        <f>N177-V177</f>
        <v>4</v>
      </c>
      <c r="AK177" s="235">
        <f>G212+AL177-G177</f>
        <v>0</v>
      </c>
      <c r="AL177" s="236"/>
      <c r="AM177" s="298">
        <v>4.2</v>
      </c>
      <c r="AN177" s="295">
        <v>9</v>
      </c>
      <c r="AO177" s="296">
        <f>G177/(AN177)</f>
        <v>2.4444444444444446</v>
      </c>
      <c r="AP177" s="297">
        <f>AN177*6</f>
        <v>54</v>
      </c>
      <c r="AQ177" s="290">
        <f>G177+K177</f>
        <v>32</v>
      </c>
      <c r="AR177" s="290">
        <f>IF(G177&lt;G212,(G212-G177+K212-K177),K212-K177)</f>
        <v>0</v>
      </c>
      <c r="AS177" s="290">
        <f>21-8</f>
        <v>13</v>
      </c>
    </row>
    <row r="178" spans="1:45" ht="17.25" thickBot="1" x14ac:dyDescent="0.3">
      <c r="A178" s="464"/>
      <c r="B178" s="285">
        <v>273702</v>
      </c>
      <c r="C178" s="286">
        <v>1135753</v>
      </c>
      <c r="D178" s="286" t="s">
        <v>10</v>
      </c>
      <c r="E178" s="287">
        <v>301000000000</v>
      </c>
      <c r="F178" s="253">
        <f>G213-AK178+AL178</f>
        <v>3</v>
      </c>
      <c r="G178" s="235">
        <v>3</v>
      </c>
      <c r="H178" s="394">
        <v>1</v>
      </c>
      <c r="I178" s="232">
        <v>3</v>
      </c>
      <c r="J178" s="232"/>
      <c r="K178" s="232">
        <v>2</v>
      </c>
      <c r="L178" s="232">
        <f>IF(K210=K175,L213+AK178,K178)</f>
        <v>2</v>
      </c>
      <c r="M178" s="232">
        <f>IF(K210=K175,0,L213+AK178-K178)</f>
        <v>0</v>
      </c>
      <c r="N178" s="232">
        <v>2</v>
      </c>
      <c r="O178" s="241">
        <f>N178-G178</f>
        <v>-1</v>
      </c>
      <c r="P178" s="277"/>
      <c r="Q178" s="278"/>
      <c r="R178" s="279"/>
      <c r="S178" s="279"/>
      <c r="T178" s="279"/>
      <c r="U178" s="279"/>
      <c r="V178" s="279"/>
      <c r="W178" s="279"/>
      <c r="X178" s="241"/>
      <c r="Y178" s="241"/>
      <c r="Z178" s="241"/>
      <c r="AA178" s="241"/>
      <c r="AB178" s="241">
        <v>2</v>
      </c>
      <c r="AC178" s="241"/>
      <c r="AD178" s="241"/>
      <c r="AE178" s="241"/>
      <c r="AF178" s="241"/>
      <c r="AG178" s="241"/>
      <c r="AH178" s="241"/>
      <c r="AI178" s="241"/>
      <c r="AJ178" s="241">
        <f>N178-V178</f>
        <v>2</v>
      </c>
      <c r="AK178" s="235">
        <f>G213+AL178-G178</f>
        <v>0</v>
      </c>
      <c r="AL178" s="236"/>
      <c r="AM178" s="294">
        <f>4/12</f>
        <v>0.33333333333333331</v>
      </c>
      <c r="AN178" s="295">
        <v>2</v>
      </c>
      <c r="AO178" s="296">
        <f>G178/(AN178)</f>
        <v>1.5</v>
      </c>
      <c r="AP178" s="297">
        <f>AN178*6</f>
        <v>12</v>
      </c>
      <c r="AQ178" s="290">
        <f>G178+K178</f>
        <v>5</v>
      </c>
      <c r="AR178" s="290">
        <f>IF(G178&lt;G213,(G213-G178+K213-K178),K213-K178)</f>
        <v>0</v>
      </c>
      <c r="AS178" s="290">
        <f>21-8</f>
        <v>13</v>
      </c>
    </row>
    <row r="179" spans="1:45" ht="17.25" thickBot="1" x14ac:dyDescent="0.3">
      <c r="A179" s="464"/>
      <c r="B179" s="285">
        <v>273698</v>
      </c>
      <c r="C179" s="286">
        <v>1135752</v>
      </c>
      <c r="D179" s="286" t="s">
        <v>11</v>
      </c>
      <c r="E179" s="287">
        <v>701000000000</v>
      </c>
      <c r="F179" s="253">
        <f>G214-AK179+AL179</f>
        <v>1</v>
      </c>
      <c r="G179" s="235">
        <v>1</v>
      </c>
      <c r="H179" s="394">
        <v>2</v>
      </c>
      <c r="I179" s="232">
        <v>2</v>
      </c>
      <c r="J179" s="232"/>
      <c r="K179" s="232">
        <v>2</v>
      </c>
      <c r="L179" s="232">
        <f>IF(K210=K175,L214+AK179,K179)</f>
        <v>2</v>
      </c>
      <c r="M179" s="232">
        <f>IF(K210=K175,0,L214+AK179-K179)</f>
        <v>0</v>
      </c>
      <c r="N179" s="232">
        <v>3</v>
      </c>
      <c r="O179" s="241">
        <f>N179-G179</f>
        <v>2</v>
      </c>
      <c r="P179" s="277">
        <v>2</v>
      </c>
      <c r="Q179" s="278"/>
      <c r="R179" s="279"/>
      <c r="S179" s="279"/>
      <c r="T179" s="279"/>
      <c r="U179" s="279"/>
      <c r="V179" s="279"/>
      <c r="W179" s="279">
        <v>1</v>
      </c>
      <c r="X179" s="241"/>
      <c r="Y179" s="241"/>
      <c r="Z179" s="241"/>
      <c r="AA179" s="241"/>
      <c r="AB179" s="241">
        <v>2</v>
      </c>
      <c r="AC179" s="241"/>
      <c r="AD179" s="241">
        <v>2</v>
      </c>
      <c r="AE179" s="241"/>
      <c r="AF179" s="241">
        <v>1</v>
      </c>
      <c r="AG179" s="241">
        <v>2</v>
      </c>
      <c r="AH179" s="241"/>
      <c r="AI179" s="241"/>
      <c r="AJ179" s="241">
        <f>N179-V179</f>
        <v>3</v>
      </c>
      <c r="AK179" s="235">
        <f>G214+AL179-G179</f>
        <v>0</v>
      </c>
      <c r="AL179" s="236"/>
      <c r="AM179" s="294">
        <f>4/12</f>
        <v>0.33333333333333331</v>
      </c>
      <c r="AN179" s="295">
        <v>2</v>
      </c>
      <c r="AO179" s="296">
        <f>G179/(AN179)</f>
        <v>0.5</v>
      </c>
      <c r="AP179" s="297">
        <f>AN179*6</f>
        <v>12</v>
      </c>
      <c r="AQ179" s="290">
        <f>G179+K179</f>
        <v>3</v>
      </c>
      <c r="AR179" s="290">
        <f>IF(G179&lt;G214,(G214-G179+K214-K179),K214-K179)</f>
        <v>0</v>
      </c>
      <c r="AS179" s="290">
        <f>21-8</f>
        <v>13</v>
      </c>
    </row>
    <row r="180" spans="1:45" ht="17.25" thickBot="1" x14ac:dyDescent="0.3">
      <c r="A180" s="465"/>
      <c r="B180" s="285">
        <v>273680</v>
      </c>
      <c r="C180" s="286">
        <v>1135751</v>
      </c>
      <c r="D180" s="286" t="s">
        <v>12</v>
      </c>
      <c r="E180" s="286" t="s">
        <v>13</v>
      </c>
      <c r="F180" s="254">
        <f>G215-AK180+AL180</f>
        <v>12</v>
      </c>
      <c r="G180" s="237">
        <v>12</v>
      </c>
      <c r="H180" s="395">
        <v>8</v>
      </c>
      <c r="I180" s="238">
        <v>6</v>
      </c>
      <c r="J180" s="238"/>
      <c r="K180" s="238">
        <v>9</v>
      </c>
      <c r="L180" s="238">
        <f>IF(K210=K175,L215+AK180,K180)</f>
        <v>9</v>
      </c>
      <c r="M180" s="238">
        <f>IF(K210=K175,0,L215+AK180-K180)</f>
        <v>0</v>
      </c>
      <c r="N180" s="238">
        <v>9</v>
      </c>
      <c r="O180" s="242">
        <f>N180-G180</f>
        <v>-3</v>
      </c>
      <c r="P180" s="280"/>
      <c r="Q180" s="281"/>
      <c r="R180" s="282"/>
      <c r="S180" s="282"/>
      <c r="T180" s="282">
        <v>11</v>
      </c>
      <c r="U180" s="282"/>
      <c r="V180" s="282"/>
      <c r="W180" s="282">
        <v>9</v>
      </c>
      <c r="X180" s="242"/>
      <c r="Y180" s="242">
        <v>9</v>
      </c>
      <c r="Z180" s="242"/>
      <c r="AA180" s="242"/>
      <c r="AB180" s="242">
        <v>5</v>
      </c>
      <c r="AC180" s="242"/>
      <c r="AD180" s="242">
        <v>5</v>
      </c>
      <c r="AE180" s="242"/>
      <c r="AF180" s="242">
        <v>9</v>
      </c>
      <c r="AG180" s="242"/>
      <c r="AH180" s="242"/>
      <c r="AI180" s="242"/>
      <c r="AJ180" s="242">
        <f>N180-V180</f>
        <v>9</v>
      </c>
      <c r="AK180" s="235">
        <f>G215+AL180-G180</f>
        <v>0</v>
      </c>
      <c r="AL180" s="239"/>
      <c r="AM180" s="299">
        <f>30/12</f>
        <v>2.5</v>
      </c>
      <c r="AN180" s="300">
        <f>AM180*2</f>
        <v>5</v>
      </c>
      <c r="AO180" s="301">
        <f>G180/(AN180)</f>
        <v>2.4</v>
      </c>
      <c r="AP180" s="302">
        <f>AN180*6</f>
        <v>30</v>
      </c>
      <c r="AQ180" s="290">
        <f>G180+K180</f>
        <v>21</v>
      </c>
      <c r="AR180" s="290">
        <f>IF(G180&lt;G215,(G215-G180+K215-K180),K215-K180)</f>
        <v>0</v>
      </c>
      <c r="AS180" s="290">
        <f>21-8</f>
        <v>13</v>
      </c>
    </row>
    <row r="181" spans="1:45" ht="17.25" thickBot="1" x14ac:dyDescent="0.3">
      <c r="A181" s="466" t="s">
        <v>417</v>
      </c>
      <c r="B181" s="355" t="s">
        <v>129</v>
      </c>
      <c r="C181" s="356"/>
      <c r="D181" s="356"/>
      <c r="E181" s="359"/>
      <c r="F181" s="359"/>
      <c r="G181" s="356"/>
      <c r="H181" s="396"/>
      <c r="I181" s="356"/>
      <c r="J181" s="356"/>
      <c r="K181" s="356"/>
      <c r="L181" s="356"/>
      <c r="M181" s="356"/>
      <c r="N181" s="356"/>
      <c r="O181" s="356"/>
      <c r="P181" s="356"/>
      <c r="Q181" s="356"/>
      <c r="R181" s="356"/>
      <c r="S181" s="356"/>
      <c r="T181" s="356"/>
      <c r="U181" s="356"/>
      <c r="V181" s="356"/>
      <c r="W181" s="356"/>
      <c r="X181" s="356"/>
      <c r="Y181" s="356"/>
      <c r="Z181" s="356"/>
      <c r="AA181" s="356"/>
      <c r="AB181" s="356"/>
      <c r="AC181" s="356"/>
      <c r="AD181" s="356"/>
      <c r="AE181" s="356"/>
      <c r="AF181" s="356"/>
      <c r="AG181" s="356"/>
      <c r="AH181" s="356"/>
      <c r="AI181" s="356"/>
      <c r="AJ181" s="356"/>
      <c r="AK181" s="356"/>
      <c r="AL181" s="367"/>
      <c r="AM181" s="356"/>
      <c r="AN181" s="356"/>
      <c r="AO181" s="356"/>
      <c r="AP181" s="356"/>
      <c r="AQ181" s="356"/>
      <c r="AR181" s="356"/>
      <c r="AS181" s="357"/>
    </row>
    <row r="182" spans="1:45" ht="17.25" thickBot="1" x14ac:dyDescent="0.3">
      <c r="A182" s="467"/>
      <c r="B182" s="354"/>
      <c r="C182" s="354">
        <v>1140327</v>
      </c>
      <c r="D182" s="358" t="s">
        <v>394</v>
      </c>
      <c r="E182" s="360"/>
      <c r="F182" s="361">
        <f>G217-AK182+AL182</f>
        <v>25</v>
      </c>
      <c r="G182" s="218">
        <v>25</v>
      </c>
      <c r="H182" s="397">
        <v>23</v>
      </c>
      <c r="I182" s="218">
        <v>16</v>
      </c>
      <c r="J182" s="218"/>
      <c r="K182" s="218">
        <v>9</v>
      </c>
      <c r="L182" s="218">
        <f>IF(K210=K175,L217+AK182,K182)</f>
        <v>9</v>
      </c>
      <c r="M182" s="218">
        <f>IF(K210=K175,0,L217+AK182-K182)</f>
        <v>0</v>
      </c>
      <c r="N182" s="218"/>
      <c r="O182" s="218"/>
      <c r="P182" s="352"/>
      <c r="Q182" s="352"/>
      <c r="R182" s="352"/>
      <c r="S182" s="352"/>
      <c r="T182" s="352"/>
      <c r="U182" s="352"/>
      <c r="V182" s="218"/>
      <c r="W182" s="218"/>
      <c r="X182" s="218">
        <v>4</v>
      </c>
      <c r="Y182" s="218">
        <v>9</v>
      </c>
      <c r="Z182" s="218">
        <v>14</v>
      </c>
      <c r="AA182" s="218">
        <v>8</v>
      </c>
      <c r="AB182" s="218">
        <f>14+6</f>
        <v>20</v>
      </c>
      <c r="AC182" s="218">
        <v>10</v>
      </c>
      <c r="AD182" s="218">
        <v>12</v>
      </c>
      <c r="AE182" s="218">
        <v>17</v>
      </c>
      <c r="AF182" s="218">
        <v>6</v>
      </c>
      <c r="AG182" s="218">
        <v>6</v>
      </c>
      <c r="AH182" s="218"/>
      <c r="AI182" s="218"/>
      <c r="AJ182" s="242">
        <f>N182-V182</f>
        <v>0</v>
      </c>
      <c r="AK182" s="274">
        <f>G217+AL182-G182</f>
        <v>0</v>
      </c>
      <c r="AL182" s="232"/>
      <c r="AM182" s="353"/>
      <c r="AN182" s="295"/>
      <c r="AO182" s="296"/>
      <c r="AP182" s="353"/>
      <c r="AQ182" s="290"/>
      <c r="AR182" s="290"/>
      <c r="AS182" s="290"/>
    </row>
    <row r="183" spans="1:45" ht="17.25" thickBot="1" x14ac:dyDescent="0.3">
      <c r="A183" s="467"/>
      <c r="B183" s="354"/>
      <c r="C183" s="285">
        <v>1151231</v>
      </c>
      <c r="D183" s="358" t="s">
        <v>395</v>
      </c>
      <c r="E183" s="360"/>
      <c r="F183" s="361">
        <f>G218-AK183+AL183</f>
        <v>15</v>
      </c>
      <c r="G183" s="369">
        <v>15</v>
      </c>
      <c r="H183" s="397">
        <v>13</v>
      </c>
      <c r="I183" s="218">
        <v>11</v>
      </c>
      <c r="J183" s="218"/>
      <c r="K183" s="218">
        <v>2</v>
      </c>
      <c r="L183" s="218">
        <f>IF(K210=K175,L218+AK183,K183)</f>
        <v>2</v>
      </c>
      <c r="M183" s="218">
        <f>IF(K210=K175,0,L218+AK183-K183)</f>
        <v>1</v>
      </c>
      <c r="N183" s="218"/>
      <c r="O183" s="218"/>
      <c r="P183" s="352"/>
      <c r="Q183" s="352"/>
      <c r="R183" s="352"/>
      <c r="S183" s="352"/>
      <c r="T183" s="352"/>
      <c r="U183" s="352"/>
      <c r="V183" s="218"/>
      <c r="W183" s="218"/>
      <c r="X183" s="218">
        <v>3</v>
      </c>
      <c r="Y183" s="218">
        <v>8</v>
      </c>
      <c r="Z183" s="218">
        <v>6</v>
      </c>
      <c r="AA183" s="218"/>
      <c r="AB183" s="218">
        <v>4</v>
      </c>
      <c r="AC183" s="218">
        <v>4</v>
      </c>
      <c r="AD183" s="218">
        <v>4</v>
      </c>
      <c r="AE183" s="218"/>
      <c r="AF183" s="218">
        <v>4</v>
      </c>
      <c r="AG183" s="218">
        <v>3</v>
      </c>
      <c r="AH183" s="218"/>
      <c r="AI183" s="218"/>
      <c r="AJ183" s="242">
        <f>N183-V183</f>
        <v>0</v>
      </c>
      <c r="AK183" s="416">
        <f>G218+AL183-G183</f>
        <v>0</v>
      </c>
      <c r="AL183" s="267"/>
      <c r="AM183" s="353"/>
      <c r="AN183" s="295"/>
      <c r="AO183" s="296"/>
      <c r="AP183" s="353"/>
      <c r="AQ183" s="290"/>
      <c r="AR183" s="290"/>
      <c r="AS183" s="290"/>
    </row>
    <row r="184" spans="1:45" ht="17.25" thickBot="1" x14ac:dyDescent="0.3">
      <c r="A184" s="467"/>
      <c r="B184" s="355" t="s">
        <v>420</v>
      </c>
      <c r="C184" s="356"/>
      <c r="D184" s="356" t="s">
        <v>523</v>
      </c>
      <c r="E184" s="359"/>
      <c r="F184" s="359"/>
      <c r="G184" s="356"/>
      <c r="H184" s="396"/>
      <c r="I184" s="356"/>
      <c r="J184" s="356"/>
      <c r="K184" s="356"/>
      <c r="L184" s="356"/>
      <c r="M184" s="356"/>
      <c r="N184" s="356"/>
      <c r="O184" s="356"/>
      <c r="P184" s="356"/>
      <c r="Q184" s="356"/>
      <c r="R184" s="356"/>
      <c r="S184" s="356"/>
      <c r="T184" s="356"/>
      <c r="U184" s="356"/>
      <c r="V184" s="356"/>
      <c r="W184" s="356"/>
      <c r="X184" s="356"/>
      <c r="Y184" s="356"/>
      <c r="Z184" s="356"/>
      <c r="AA184" s="356"/>
      <c r="AB184" s="356"/>
      <c r="AC184" s="356"/>
      <c r="AD184" s="356"/>
      <c r="AE184" s="356"/>
      <c r="AF184" s="356"/>
      <c r="AG184" s="356"/>
      <c r="AH184" s="356"/>
      <c r="AI184" s="356"/>
      <c r="AJ184" s="356"/>
      <c r="AK184" s="356"/>
      <c r="AL184" s="368"/>
      <c r="AM184" s="356"/>
      <c r="AN184" s="356"/>
      <c r="AO184" s="356"/>
      <c r="AP184" s="356"/>
      <c r="AQ184" s="356"/>
      <c r="AR184" s="356"/>
      <c r="AS184" s="357"/>
    </row>
    <row r="185" spans="1:45" ht="17.25" thickBot="1" x14ac:dyDescent="0.3">
      <c r="A185" s="467"/>
      <c r="B185" s="354"/>
      <c r="C185" s="285">
        <v>1146032</v>
      </c>
      <c r="D185" s="358" t="s">
        <v>396</v>
      </c>
      <c r="E185" s="360"/>
      <c r="F185" s="361">
        <f>G220-AK185+AL185</f>
        <v>0</v>
      </c>
      <c r="G185" s="364">
        <v>0</v>
      </c>
      <c r="H185" s="397">
        <v>1</v>
      </c>
      <c r="I185" s="364">
        <v>0</v>
      </c>
      <c r="J185" s="364"/>
      <c r="K185" s="364">
        <v>3</v>
      </c>
      <c r="L185" s="218"/>
      <c r="M185" s="218"/>
      <c r="N185" s="218"/>
      <c r="O185" s="218"/>
      <c r="P185" s="352"/>
      <c r="Q185" s="352"/>
      <c r="R185" s="352"/>
      <c r="S185" s="352"/>
      <c r="T185" s="352"/>
      <c r="U185" s="352"/>
      <c r="V185" s="218"/>
      <c r="W185" s="218"/>
      <c r="X185" s="218"/>
      <c r="Y185" s="218"/>
      <c r="Z185" s="218"/>
      <c r="AA185" s="218"/>
      <c r="AB185" s="218"/>
      <c r="AC185" s="218"/>
      <c r="AD185" s="218"/>
      <c r="AE185" s="218"/>
      <c r="AF185" s="218">
        <v>1</v>
      </c>
      <c r="AG185" s="218"/>
      <c r="AH185" s="218"/>
      <c r="AI185" s="218"/>
      <c r="AJ185" s="218"/>
      <c r="AK185" s="218">
        <f>G220+AL185-G185</f>
        <v>0</v>
      </c>
      <c r="AL185" s="218"/>
      <c r="AM185" s="353"/>
      <c r="AN185" s="295"/>
      <c r="AO185" s="296"/>
      <c r="AP185" s="353"/>
      <c r="AQ185" s="290"/>
      <c r="AR185" s="290"/>
      <c r="AS185" s="290"/>
    </row>
    <row r="186" spans="1:45" ht="17.25" thickBot="1" x14ac:dyDescent="0.3">
      <c r="A186" s="467"/>
      <c r="B186" s="354"/>
      <c r="C186" s="285">
        <v>1146021</v>
      </c>
      <c r="D186" s="358" t="s">
        <v>397</v>
      </c>
      <c r="E186" s="360"/>
      <c r="F186" s="361">
        <f>G221-AK186+AL186</f>
        <v>2</v>
      </c>
      <c r="G186" s="364">
        <v>2</v>
      </c>
      <c r="H186" s="397">
        <v>2</v>
      </c>
      <c r="I186" s="364">
        <v>2</v>
      </c>
      <c r="J186" s="364"/>
      <c r="K186" s="364">
        <v>1</v>
      </c>
      <c r="L186" s="218"/>
      <c r="M186" s="218"/>
      <c r="N186" s="218"/>
      <c r="O186" s="218"/>
      <c r="P186" s="352"/>
      <c r="Q186" s="352"/>
      <c r="R186" s="352"/>
      <c r="S186" s="352"/>
      <c r="T186" s="352"/>
      <c r="U186" s="352"/>
      <c r="V186" s="218"/>
      <c r="W186" s="218"/>
      <c r="X186" s="218"/>
      <c r="Y186" s="218"/>
      <c r="Z186" s="218"/>
      <c r="AA186" s="218"/>
      <c r="AB186" s="218"/>
      <c r="AC186" s="218"/>
      <c r="AD186" s="218"/>
      <c r="AE186" s="218"/>
      <c r="AF186" s="218"/>
      <c r="AG186" s="218"/>
      <c r="AH186" s="218"/>
      <c r="AI186" s="218"/>
      <c r="AJ186" s="218"/>
      <c r="AK186" s="218">
        <f>G221+AL186-G186</f>
        <v>0</v>
      </c>
      <c r="AL186" s="218"/>
      <c r="AM186" s="353"/>
      <c r="AN186" s="295"/>
      <c r="AO186" s="296"/>
      <c r="AP186" s="353"/>
      <c r="AQ186" s="290"/>
      <c r="AR186" s="290"/>
      <c r="AS186" s="290"/>
    </row>
    <row r="187" spans="1:45" ht="17.25" thickBot="1" x14ac:dyDescent="0.3">
      <c r="A187" s="467"/>
      <c r="B187" s="354"/>
      <c r="C187" s="285">
        <v>1146018</v>
      </c>
      <c r="D187" s="358" t="s">
        <v>398</v>
      </c>
      <c r="E187" s="360"/>
      <c r="F187" s="361">
        <f>G222-AK187+AL187</f>
        <v>2</v>
      </c>
      <c r="G187" s="369">
        <v>2</v>
      </c>
      <c r="H187" s="397">
        <v>1</v>
      </c>
      <c r="I187" s="364">
        <v>2</v>
      </c>
      <c r="J187" s="364"/>
      <c r="K187" s="364">
        <v>3</v>
      </c>
      <c r="L187" s="218"/>
      <c r="M187" s="218"/>
      <c r="N187" s="218"/>
      <c r="O187" s="218"/>
      <c r="P187" s="352"/>
      <c r="Q187" s="352"/>
      <c r="R187" s="352"/>
      <c r="S187" s="352"/>
      <c r="T187" s="352"/>
      <c r="U187" s="352"/>
      <c r="V187" s="218"/>
      <c r="W187" s="218"/>
      <c r="X187" s="218"/>
      <c r="Y187" s="218"/>
      <c r="Z187" s="218"/>
      <c r="AA187" s="218"/>
      <c r="AB187" s="218">
        <v>2</v>
      </c>
      <c r="AC187" s="218"/>
      <c r="AD187" s="218"/>
      <c r="AE187" s="218"/>
      <c r="AF187" s="218">
        <v>2</v>
      </c>
      <c r="AG187" s="218"/>
      <c r="AH187" s="218"/>
      <c r="AI187" s="218"/>
      <c r="AJ187" s="218"/>
      <c r="AK187" s="218">
        <f>G222+AL187-G187</f>
        <v>0</v>
      </c>
      <c r="AL187" s="218"/>
      <c r="AM187" s="353"/>
      <c r="AN187" s="295"/>
      <c r="AO187" s="296"/>
      <c r="AP187" s="353"/>
      <c r="AQ187" s="290"/>
      <c r="AR187" s="290"/>
      <c r="AS187" s="290"/>
    </row>
    <row r="188" spans="1:45" ht="17.25" thickBot="1" x14ac:dyDescent="0.3">
      <c r="A188" s="467"/>
      <c r="B188" s="354"/>
      <c r="C188" s="285">
        <v>1146024</v>
      </c>
      <c r="D188" s="358" t="s">
        <v>399</v>
      </c>
      <c r="E188" s="360"/>
      <c r="F188" s="361">
        <v>1</v>
      </c>
      <c r="G188" s="369">
        <v>5</v>
      </c>
      <c r="H188" s="369">
        <v>2</v>
      </c>
      <c r="I188" s="369">
        <v>2</v>
      </c>
      <c r="J188" s="369"/>
      <c r="K188" s="369">
        <v>2</v>
      </c>
      <c r="L188" s="218"/>
      <c r="M188" s="218"/>
      <c r="N188" s="218"/>
      <c r="O188" s="218"/>
      <c r="P188" s="352"/>
      <c r="Q188" s="352"/>
      <c r="R188" s="352"/>
      <c r="S188" s="352"/>
      <c r="T188" s="352"/>
      <c r="U188" s="352"/>
      <c r="V188" s="218"/>
      <c r="W188" s="218"/>
      <c r="X188" s="218"/>
      <c r="Y188" s="218"/>
      <c r="Z188" s="218"/>
      <c r="AA188" s="218">
        <v>1</v>
      </c>
      <c r="AB188" s="218">
        <v>1</v>
      </c>
      <c r="AC188" s="218"/>
      <c r="AD188" s="218"/>
      <c r="AE188" s="218"/>
      <c r="AF188" s="218">
        <v>2</v>
      </c>
      <c r="AG188" s="218"/>
      <c r="AH188" s="218"/>
      <c r="AI188" s="218"/>
      <c r="AJ188" s="218"/>
      <c r="AK188" s="218">
        <f>G223+AL188-G188</f>
        <v>0</v>
      </c>
      <c r="AL188" s="218"/>
      <c r="AM188" s="353"/>
      <c r="AN188" s="295"/>
      <c r="AO188" s="296"/>
      <c r="AP188" s="353"/>
      <c r="AQ188" s="290"/>
      <c r="AR188" s="290"/>
      <c r="AS188" s="290"/>
    </row>
    <row r="189" spans="1:45" ht="17.25" thickBot="1" x14ac:dyDescent="0.3">
      <c r="A189" s="467"/>
      <c r="B189" s="354"/>
      <c r="C189" s="285">
        <v>1146028</v>
      </c>
      <c r="D189" s="358" t="s">
        <v>400</v>
      </c>
      <c r="E189" s="360"/>
      <c r="F189" s="361">
        <f>G224-AK189+AL189</f>
        <v>3</v>
      </c>
      <c r="G189" s="364">
        <v>3</v>
      </c>
      <c r="H189" s="397">
        <v>2</v>
      </c>
      <c r="I189" s="364">
        <v>5</v>
      </c>
      <c r="J189" s="364"/>
      <c r="K189" s="364">
        <v>2</v>
      </c>
      <c r="L189" s="218"/>
      <c r="M189" s="218"/>
      <c r="N189" s="218"/>
      <c r="O189" s="218"/>
      <c r="P189" s="352"/>
      <c r="Q189" s="352"/>
      <c r="R189" s="352"/>
      <c r="S189" s="352"/>
      <c r="T189" s="352"/>
      <c r="U189" s="352"/>
      <c r="V189" s="218"/>
      <c r="W189" s="218"/>
      <c r="X189" s="218"/>
      <c r="Y189" s="218"/>
      <c r="Z189" s="218"/>
      <c r="AA189" s="218"/>
      <c r="AB189" s="218"/>
      <c r="AC189" s="218"/>
      <c r="AD189" s="218">
        <v>2</v>
      </c>
      <c r="AE189" s="218"/>
      <c r="AF189" s="218"/>
      <c r="AG189" s="218">
        <v>2</v>
      </c>
      <c r="AH189" s="218"/>
      <c r="AI189" s="218"/>
      <c r="AJ189" s="218"/>
      <c r="AK189" s="218">
        <f>G224+AL189-G189</f>
        <v>0</v>
      </c>
      <c r="AL189" s="218"/>
      <c r="AM189" s="353"/>
      <c r="AN189" s="295"/>
      <c r="AO189" s="296"/>
      <c r="AP189" s="353"/>
      <c r="AQ189" s="290"/>
      <c r="AR189" s="290"/>
      <c r="AS189" s="290"/>
    </row>
    <row r="190" spans="1:45" ht="17.25" thickBot="1" x14ac:dyDescent="0.3">
      <c r="A190" s="467"/>
      <c r="B190" s="355" t="s">
        <v>419</v>
      </c>
      <c r="C190" s="356"/>
      <c r="D190" s="356"/>
      <c r="E190" s="359"/>
      <c r="F190" s="359"/>
      <c r="G190" s="356"/>
      <c r="H190" s="396"/>
      <c r="I190" s="356"/>
      <c r="J190" s="356"/>
      <c r="K190" s="356"/>
      <c r="L190" s="356"/>
      <c r="M190" s="356"/>
      <c r="N190" s="356"/>
      <c r="O190" s="356"/>
      <c r="P190" s="356"/>
      <c r="Q190" s="356"/>
      <c r="R190" s="356"/>
      <c r="S190" s="356"/>
      <c r="T190" s="356"/>
      <c r="U190" s="356"/>
      <c r="V190" s="356"/>
      <c r="W190" s="356"/>
      <c r="X190" s="356"/>
      <c r="Y190" s="356"/>
      <c r="Z190" s="356"/>
      <c r="AA190" s="356"/>
      <c r="AB190" s="356"/>
      <c r="AC190" s="356"/>
      <c r="AD190" s="356"/>
      <c r="AE190" s="356"/>
      <c r="AF190" s="356"/>
      <c r="AG190" s="356"/>
      <c r="AH190" s="356"/>
      <c r="AI190" s="356"/>
      <c r="AJ190" s="356"/>
      <c r="AK190" s="356"/>
      <c r="AL190" s="356"/>
      <c r="AM190" s="356"/>
      <c r="AN190" s="356"/>
      <c r="AO190" s="356"/>
      <c r="AP190" s="356"/>
      <c r="AQ190" s="356"/>
      <c r="AR190" s="356"/>
      <c r="AS190" s="357"/>
    </row>
    <row r="191" spans="1:45" ht="17.25" thickBot="1" x14ac:dyDescent="0.3">
      <c r="A191" s="467"/>
      <c r="B191" s="372"/>
      <c r="C191" s="373">
        <v>1146031</v>
      </c>
      <c r="D191" s="374" t="s">
        <v>401</v>
      </c>
      <c r="E191" s="375"/>
      <c r="F191" s="376">
        <f>G226-AK191+AL191</f>
        <v>0</v>
      </c>
      <c r="G191" s="377"/>
      <c r="H191" s="397">
        <v>1</v>
      </c>
      <c r="I191" s="377">
        <v>1</v>
      </c>
      <c r="J191" s="377"/>
      <c r="K191" s="377">
        <v>2</v>
      </c>
      <c r="L191" s="377"/>
      <c r="M191" s="377"/>
      <c r="N191" s="377"/>
      <c r="O191" s="377"/>
      <c r="P191" s="377"/>
      <c r="Q191" s="377"/>
      <c r="R191" s="377"/>
      <c r="S191" s="377"/>
      <c r="T191" s="377"/>
      <c r="U191" s="377"/>
      <c r="V191" s="377"/>
      <c r="W191" s="377"/>
      <c r="X191" s="377"/>
      <c r="Y191" s="377"/>
      <c r="Z191" s="377"/>
      <c r="AA191" s="377"/>
      <c r="AB191" s="377"/>
      <c r="AC191" s="377"/>
      <c r="AD191" s="377"/>
      <c r="AE191" s="377"/>
      <c r="AF191" s="377"/>
      <c r="AG191" s="377"/>
      <c r="AH191" s="377"/>
      <c r="AI191" s="377"/>
      <c r="AJ191" s="377"/>
      <c r="AK191" s="377">
        <f>G226+AL191-G191</f>
        <v>0</v>
      </c>
      <c r="AL191" s="377"/>
      <c r="AM191" s="378"/>
      <c r="AN191" s="379"/>
      <c r="AO191" s="380"/>
      <c r="AP191" s="378"/>
      <c r="AQ191" s="381"/>
      <c r="AR191" s="381"/>
      <c r="AS191" s="381"/>
    </row>
    <row r="192" spans="1:45" ht="17.25" thickBot="1" x14ac:dyDescent="0.3">
      <c r="A192" s="467"/>
      <c r="B192" s="372"/>
      <c r="C192" s="373">
        <v>1146020</v>
      </c>
      <c r="D192" s="374" t="s">
        <v>402</v>
      </c>
      <c r="E192" s="375"/>
      <c r="F192" s="376">
        <f>G227-AK192+AL192</f>
        <v>0</v>
      </c>
      <c r="G192" s="377"/>
      <c r="H192" s="397">
        <v>1</v>
      </c>
      <c r="I192" s="377">
        <v>0</v>
      </c>
      <c r="J192" s="377"/>
      <c r="K192" s="377">
        <v>1</v>
      </c>
      <c r="L192" s="377"/>
      <c r="M192" s="377"/>
      <c r="N192" s="377"/>
      <c r="O192" s="377"/>
      <c r="P192" s="377"/>
      <c r="Q192" s="377"/>
      <c r="R192" s="377"/>
      <c r="S192" s="377"/>
      <c r="T192" s="377"/>
      <c r="U192" s="377"/>
      <c r="V192" s="377"/>
      <c r="W192" s="377"/>
      <c r="X192" s="377"/>
      <c r="Y192" s="377"/>
      <c r="Z192" s="377"/>
      <c r="AA192" s="377"/>
      <c r="AB192" s="377"/>
      <c r="AC192" s="377"/>
      <c r="AD192" s="377"/>
      <c r="AE192" s="377"/>
      <c r="AF192" s="377"/>
      <c r="AG192" s="377"/>
      <c r="AH192" s="377"/>
      <c r="AI192" s="377"/>
      <c r="AJ192" s="377"/>
      <c r="AK192" s="377">
        <f>G227+AL192-G192</f>
        <v>0</v>
      </c>
      <c r="AL192" s="377"/>
      <c r="AM192" s="378"/>
      <c r="AN192" s="379"/>
      <c r="AO192" s="380"/>
      <c r="AP192" s="378"/>
      <c r="AQ192" s="381"/>
      <c r="AR192" s="381"/>
      <c r="AS192" s="381"/>
    </row>
    <row r="193" spans="1:45" ht="17.25" thickBot="1" x14ac:dyDescent="0.3">
      <c r="A193" s="467"/>
      <c r="B193" s="372"/>
      <c r="C193" s="373">
        <v>1146016</v>
      </c>
      <c r="D193" s="374" t="s">
        <v>398</v>
      </c>
      <c r="E193" s="375"/>
      <c r="F193" s="376">
        <f>G228-AK193+AL193</f>
        <v>0</v>
      </c>
      <c r="G193" s="377"/>
      <c r="H193" s="397">
        <v>1</v>
      </c>
      <c r="I193" s="377">
        <v>0</v>
      </c>
      <c r="J193" s="377"/>
      <c r="K193" s="377">
        <v>1</v>
      </c>
      <c r="L193" s="377"/>
      <c r="M193" s="377"/>
      <c r="N193" s="377"/>
      <c r="O193" s="377"/>
      <c r="P193" s="377"/>
      <c r="Q193" s="377"/>
      <c r="R193" s="377"/>
      <c r="S193" s="377"/>
      <c r="T193" s="377"/>
      <c r="U193" s="377"/>
      <c r="V193" s="377"/>
      <c r="W193" s="377"/>
      <c r="X193" s="377"/>
      <c r="Y193" s="377"/>
      <c r="Z193" s="377"/>
      <c r="AA193" s="377"/>
      <c r="AB193" s="377"/>
      <c r="AC193" s="377"/>
      <c r="AD193" s="377"/>
      <c r="AE193" s="377"/>
      <c r="AF193" s="377"/>
      <c r="AG193" s="377"/>
      <c r="AH193" s="377"/>
      <c r="AI193" s="377"/>
      <c r="AJ193" s="377"/>
      <c r="AK193" s="377">
        <f>G228+AL193-G193</f>
        <v>0</v>
      </c>
      <c r="AL193" s="377"/>
      <c r="AM193" s="378"/>
      <c r="AN193" s="379"/>
      <c r="AO193" s="380"/>
      <c r="AP193" s="378"/>
      <c r="AQ193" s="381"/>
      <c r="AR193" s="381"/>
      <c r="AS193" s="381"/>
    </row>
    <row r="194" spans="1:45" ht="17.25" thickBot="1" x14ac:dyDescent="0.3">
      <c r="A194" s="467"/>
      <c r="B194" s="372"/>
      <c r="C194" s="373">
        <v>1146022</v>
      </c>
      <c r="D194" s="374" t="s">
        <v>403</v>
      </c>
      <c r="E194" s="375"/>
      <c r="F194" s="376">
        <f>G229-AK194+AL194</f>
        <v>0</v>
      </c>
      <c r="G194" s="377"/>
      <c r="H194" s="397">
        <v>2</v>
      </c>
      <c r="I194" s="377">
        <v>0</v>
      </c>
      <c r="J194" s="377"/>
      <c r="K194" s="377"/>
      <c r="L194" s="377"/>
      <c r="M194" s="377"/>
      <c r="N194" s="377"/>
      <c r="O194" s="377"/>
      <c r="P194" s="377"/>
      <c r="Q194" s="377"/>
      <c r="R194" s="377"/>
      <c r="S194" s="377"/>
      <c r="T194" s="377"/>
      <c r="U194" s="377"/>
      <c r="V194" s="377"/>
      <c r="W194" s="377"/>
      <c r="X194" s="377"/>
      <c r="Y194" s="377"/>
      <c r="Z194" s="377"/>
      <c r="AA194" s="377"/>
      <c r="AB194" s="377"/>
      <c r="AC194" s="377"/>
      <c r="AD194" s="377"/>
      <c r="AE194" s="377"/>
      <c r="AF194" s="377"/>
      <c r="AG194" s="377"/>
      <c r="AH194" s="377"/>
      <c r="AI194" s="377"/>
      <c r="AJ194" s="377"/>
      <c r="AK194" s="377">
        <f>G229+AL194-G194</f>
        <v>0</v>
      </c>
      <c r="AL194" s="377"/>
      <c r="AM194" s="378"/>
      <c r="AN194" s="379"/>
      <c r="AO194" s="380"/>
      <c r="AP194" s="378"/>
      <c r="AQ194" s="381"/>
      <c r="AR194" s="381"/>
      <c r="AS194" s="381"/>
    </row>
    <row r="195" spans="1:45" ht="17.25" thickBot="1" x14ac:dyDescent="0.3">
      <c r="A195" s="467"/>
      <c r="B195" s="372"/>
      <c r="C195" s="373">
        <v>1146027</v>
      </c>
      <c r="D195" s="374" t="s">
        <v>404</v>
      </c>
      <c r="E195" s="375"/>
      <c r="F195" s="376">
        <f>G230-AK195+AL195</f>
        <v>0</v>
      </c>
      <c r="G195" s="377"/>
      <c r="H195" s="397">
        <v>2</v>
      </c>
      <c r="I195" s="377">
        <v>1</v>
      </c>
      <c r="J195" s="377"/>
      <c r="K195" s="377"/>
      <c r="L195" s="377"/>
      <c r="M195" s="377"/>
      <c r="N195" s="377"/>
      <c r="O195" s="377"/>
      <c r="P195" s="377"/>
      <c r="Q195" s="377"/>
      <c r="R195" s="377"/>
      <c r="S195" s="377"/>
      <c r="T195" s="377"/>
      <c r="U195" s="377"/>
      <c r="V195" s="377"/>
      <c r="W195" s="377"/>
      <c r="X195" s="377"/>
      <c r="Y195" s="377"/>
      <c r="Z195" s="377"/>
      <c r="AA195" s="377"/>
      <c r="AB195" s="377"/>
      <c r="AC195" s="377"/>
      <c r="AD195" s="377"/>
      <c r="AE195" s="377"/>
      <c r="AF195" s="377"/>
      <c r="AG195" s="377"/>
      <c r="AH195" s="377"/>
      <c r="AI195" s="377"/>
      <c r="AJ195" s="377"/>
      <c r="AK195" s="377">
        <f>G230+AL195-G195</f>
        <v>0</v>
      </c>
      <c r="AL195" s="377"/>
      <c r="AM195" s="378"/>
      <c r="AN195" s="379"/>
      <c r="AO195" s="380"/>
      <c r="AP195" s="378"/>
      <c r="AQ195" s="381"/>
      <c r="AR195" s="381"/>
      <c r="AS195" s="381"/>
    </row>
    <row r="196" spans="1:45" ht="17.25" thickBot="1" x14ac:dyDescent="0.3">
      <c r="A196" s="467"/>
      <c r="B196" s="355" t="s">
        <v>418</v>
      </c>
      <c r="C196" s="356"/>
      <c r="D196" s="356"/>
      <c r="E196" s="359"/>
      <c r="F196" s="359"/>
      <c r="G196" s="356"/>
      <c r="H196" s="396"/>
      <c r="I196" s="356"/>
      <c r="J196" s="356"/>
      <c r="K196" s="356"/>
      <c r="L196" s="356"/>
      <c r="M196" s="356"/>
      <c r="N196" s="356"/>
      <c r="O196" s="356"/>
      <c r="P196" s="356"/>
      <c r="Q196" s="356"/>
      <c r="R196" s="356"/>
      <c r="S196" s="356"/>
      <c r="T196" s="356"/>
      <c r="U196" s="356"/>
      <c r="V196" s="356"/>
      <c r="W196" s="356"/>
      <c r="X196" s="356"/>
      <c r="Y196" s="356"/>
      <c r="Z196" s="356"/>
      <c r="AA196" s="356"/>
      <c r="AB196" s="356"/>
      <c r="AC196" s="356"/>
      <c r="AD196" s="356"/>
      <c r="AE196" s="356"/>
      <c r="AF196" s="356"/>
      <c r="AG196" s="356"/>
      <c r="AH196" s="356"/>
      <c r="AI196" s="356"/>
      <c r="AJ196" s="356"/>
      <c r="AK196" s="356"/>
      <c r="AL196" s="356"/>
      <c r="AM196" s="356"/>
      <c r="AN196" s="356"/>
      <c r="AO196" s="356"/>
      <c r="AP196" s="356"/>
      <c r="AQ196" s="356"/>
      <c r="AR196" s="356"/>
      <c r="AS196" s="357"/>
    </row>
    <row r="197" spans="1:45" ht="17.25" thickBot="1" x14ac:dyDescent="0.3">
      <c r="A197" s="467"/>
      <c r="B197" s="354"/>
      <c r="C197" s="285">
        <v>1151653</v>
      </c>
      <c r="D197" s="358" t="s">
        <v>405</v>
      </c>
      <c r="E197" s="360"/>
      <c r="F197" s="361">
        <f>G232-AK197+AL197</f>
        <v>3</v>
      </c>
      <c r="G197" s="364">
        <v>3</v>
      </c>
      <c r="H197" s="397">
        <v>1</v>
      </c>
      <c r="I197" s="364">
        <v>3</v>
      </c>
      <c r="J197" s="364"/>
      <c r="K197" s="364"/>
      <c r="L197" s="218"/>
      <c r="M197" s="218"/>
      <c r="N197" s="218"/>
      <c r="O197" s="218"/>
      <c r="P197" s="352"/>
      <c r="Q197" s="352"/>
      <c r="R197" s="352"/>
      <c r="S197" s="352"/>
      <c r="T197" s="352"/>
      <c r="U197" s="352"/>
      <c r="V197" s="218"/>
      <c r="W197" s="218"/>
      <c r="X197" s="218"/>
      <c r="Y197" s="218"/>
      <c r="Z197" s="218"/>
      <c r="AA197" s="218"/>
      <c r="AB197" s="218"/>
      <c r="AC197" s="218"/>
      <c r="AD197" s="218"/>
      <c r="AE197" s="218"/>
      <c r="AF197" s="218"/>
      <c r="AG197" s="218"/>
      <c r="AH197" s="218"/>
      <c r="AI197" s="218"/>
      <c r="AJ197" s="218"/>
      <c r="AK197" s="218">
        <f>G232+AL197-G197</f>
        <v>0</v>
      </c>
      <c r="AL197" s="218"/>
      <c r="AM197" s="353"/>
      <c r="AN197" s="295"/>
      <c r="AO197" s="296"/>
      <c r="AP197" s="353"/>
      <c r="AQ197" s="290"/>
      <c r="AR197" s="290"/>
      <c r="AS197" s="290"/>
    </row>
    <row r="198" spans="1:45" ht="17.25" thickBot="1" x14ac:dyDescent="0.3">
      <c r="A198" s="467"/>
      <c r="B198" s="354"/>
      <c r="C198" s="285">
        <v>1151650</v>
      </c>
      <c r="D198" s="358" t="s">
        <v>406</v>
      </c>
      <c r="E198" s="360"/>
      <c r="F198" s="361">
        <f>G233-AK198+AL198</f>
        <v>2</v>
      </c>
      <c r="G198" s="364">
        <v>2</v>
      </c>
      <c r="H198" s="397">
        <v>2</v>
      </c>
      <c r="I198" s="364">
        <v>2</v>
      </c>
      <c r="J198" s="364"/>
      <c r="K198" s="364">
        <v>4</v>
      </c>
      <c r="L198" s="218"/>
      <c r="M198" s="218"/>
      <c r="N198" s="218"/>
      <c r="O198" s="218"/>
      <c r="P198" s="352"/>
      <c r="Q198" s="352"/>
      <c r="R198" s="352"/>
      <c r="S198" s="352"/>
      <c r="T198" s="352"/>
      <c r="U198" s="352"/>
      <c r="V198" s="218"/>
      <c r="W198" s="218"/>
      <c r="X198" s="218"/>
      <c r="Y198" s="218"/>
      <c r="Z198" s="218"/>
      <c r="AA198" s="218"/>
      <c r="AB198" s="218"/>
      <c r="AC198" s="218"/>
      <c r="AD198" s="218"/>
      <c r="AE198" s="218"/>
      <c r="AF198" s="218"/>
      <c r="AG198" s="218"/>
      <c r="AH198" s="218"/>
      <c r="AI198" s="218"/>
      <c r="AJ198" s="218"/>
      <c r="AK198" s="218">
        <f>G233+AL198-G198</f>
        <v>0</v>
      </c>
      <c r="AL198" s="218"/>
      <c r="AM198" s="353"/>
      <c r="AN198" s="295"/>
      <c r="AO198" s="296"/>
      <c r="AP198" s="353"/>
      <c r="AQ198" s="290"/>
      <c r="AR198" s="290"/>
      <c r="AS198" s="290"/>
    </row>
    <row r="199" spans="1:45" ht="17.25" thickBot="1" x14ac:dyDescent="0.3">
      <c r="A199" s="467"/>
      <c r="B199" s="354"/>
      <c r="C199" s="285">
        <v>1151649</v>
      </c>
      <c r="D199" s="358" t="s">
        <v>407</v>
      </c>
      <c r="E199" s="360"/>
      <c r="F199" s="361">
        <f>G234-AK199+AL199</f>
        <v>5</v>
      </c>
      <c r="G199" s="369">
        <v>5</v>
      </c>
      <c r="H199" s="369">
        <v>4</v>
      </c>
      <c r="I199" s="369">
        <v>0</v>
      </c>
      <c r="J199" s="369"/>
      <c r="K199" s="369">
        <v>2</v>
      </c>
      <c r="L199" s="218"/>
      <c r="M199" s="218"/>
      <c r="N199" s="218"/>
      <c r="O199" s="218"/>
      <c r="P199" s="352"/>
      <c r="Q199" s="352"/>
      <c r="R199" s="352"/>
      <c r="S199" s="352"/>
      <c r="T199" s="352"/>
      <c r="U199" s="352"/>
      <c r="V199" s="218"/>
      <c r="W199" s="218"/>
      <c r="X199" s="218"/>
      <c r="Y199" s="218"/>
      <c r="Z199" s="218"/>
      <c r="AA199" s="218"/>
      <c r="AB199" s="218">
        <v>2</v>
      </c>
      <c r="AC199" s="218"/>
      <c r="AD199" s="218">
        <v>2</v>
      </c>
      <c r="AE199" s="218"/>
      <c r="AF199" s="218"/>
      <c r="AG199" s="218"/>
      <c r="AH199" s="218"/>
      <c r="AI199" s="218"/>
      <c r="AJ199" s="218"/>
      <c r="AK199" s="218">
        <f>G234+AL199-G199</f>
        <v>0</v>
      </c>
      <c r="AL199" s="218"/>
      <c r="AM199" s="353"/>
      <c r="AN199" s="295"/>
      <c r="AO199" s="296"/>
      <c r="AP199" s="353"/>
      <c r="AQ199" s="290"/>
      <c r="AR199" s="290"/>
      <c r="AS199" s="290"/>
    </row>
    <row r="200" spans="1:45" ht="17.25" thickBot="1" x14ac:dyDescent="0.3">
      <c r="A200" s="467"/>
      <c r="B200" s="354"/>
      <c r="C200" s="285">
        <v>1151651</v>
      </c>
      <c r="D200" s="358" t="s">
        <v>408</v>
      </c>
      <c r="E200" s="360"/>
      <c r="F200" s="361">
        <f>G235-AK200+AL200</f>
        <v>7</v>
      </c>
      <c r="G200" s="369">
        <v>7</v>
      </c>
      <c r="H200" s="369">
        <v>1</v>
      </c>
      <c r="I200" s="369">
        <v>2</v>
      </c>
      <c r="J200" s="369"/>
      <c r="K200" s="369">
        <v>2</v>
      </c>
      <c r="L200" s="218"/>
      <c r="M200" s="218"/>
      <c r="N200" s="218"/>
      <c r="O200" s="218"/>
      <c r="P200" s="352"/>
      <c r="Q200" s="352"/>
      <c r="R200" s="352"/>
      <c r="S200" s="352"/>
      <c r="T200" s="352"/>
      <c r="U200" s="352"/>
      <c r="V200" s="218"/>
      <c r="W200" s="218"/>
      <c r="X200" s="218"/>
      <c r="Y200" s="218"/>
      <c r="Z200" s="218">
        <v>2</v>
      </c>
      <c r="AA200" s="218"/>
      <c r="AB200" s="218">
        <v>2</v>
      </c>
      <c r="AC200" s="218"/>
      <c r="AD200" s="218">
        <v>3</v>
      </c>
      <c r="AE200" s="218"/>
      <c r="AF200" s="218"/>
      <c r="AG200" s="218"/>
      <c r="AH200" s="218"/>
      <c r="AI200" s="218"/>
      <c r="AJ200" s="218"/>
      <c r="AK200" s="218">
        <f>G235+AL200-G200</f>
        <v>0</v>
      </c>
      <c r="AL200" s="218"/>
      <c r="AM200" s="353"/>
      <c r="AN200" s="295"/>
      <c r="AO200" s="296"/>
      <c r="AP200" s="353"/>
      <c r="AQ200" s="290"/>
      <c r="AR200" s="290"/>
      <c r="AS200" s="290"/>
    </row>
    <row r="201" spans="1:45" ht="17.25" thickBot="1" x14ac:dyDescent="0.3">
      <c r="A201" s="467"/>
      <c r="B201" s="354"/>
      <c r="C201" s="285">
        <v>1146029</v>
      </c>
      <c r="D201" s="358" t="s">
        <v>409</v>
      </c>
      <c r="E201" s="360"/>
      <c r="F201" s="361">
        <f>G236-AK201+AL201</f>
        <v>4</v>
      </c>
      <c r="G201" s="369">
        <v>4</v>
      </c>
      <c r="H201" s="369">
        <v>2</v>
      </c>
      <c r="I201" s="369">
        <v>4</v>
      </c>
      <c r="J201" s="369"/>
      <c r="K201" s="369">
        <v>2</v>
      </c>
      <c r="L201" s="218"/>
      <c r="M201" s="218"/>
      <c r="N201" s="218"/>
      <c r="O201" s="218"/>
      <c r="P201" s="352"/>
      <c r="Q201" s="352"/>
      <c r="R201" s="352"/>
      <c r="S201" s="352"/>
      <c r="T201" s="352"/>
      <c r="U201" s="352"/>
      <c r="V201" s="218"/>
      <c r="W201" s="218"/>
      <c r="X201" s="218"/>
      <c r="Y201" s="218"/>
      <c r="Z201" s="218"/>
      <c r="AA201" s="218"/>
      <c r="AB201" s="218"/>
      <c r="AC201" s="218">
        <v>2</v>
      </c>
      <c r="AD201" s="218"/>
      <c r="AE201" s="218"/>
      <c r="AF201" s="218"/>
      <c r="AG201" s="218"/>
      <c r="AH201" s="218"/>
      <c r="AI201" s="218"/>
      <c r="AJ201" s="218"/>
      <c r="AK201" s="218">
        <f>G236+AL201-G201</f>
        <v>0</v>
      </c>
      <c r="AL201" s="218"/>
      <c r="AM201" s="353"/>
      <c r="AN201" s="295"/>
      <c r="AO201" s="296"/>
      <c r="AP201" s="353"/>
      <c r="AQ201" s="290"/>
      <c r="AR201" s="290"/>
      <c r="AS201" s="290"/>
    </row>
    <row r="202" spans="1:45" ht="17.25" thickBot="1" x14ac:dyDescent="0.3">
      <c r="A202" s="467"/>
      <c r="B202" s="355" t="s">
        <v>410</v>
      </c>
      <c r="C202" s="356"/>
      <c r="D202" s="356"/>
      <c r="E202" s="359"/>
      <c r="F202" s="359"/>
      <c r="G202" s="356"/>
      <c r="H202" s="396"/>
      <c r="I202" s="356"/>
      <c r="J202" s="356"/>
      <c r="K202" s="356"/>
      <c r="L202" s="356"/>
      <c r="M202" s="356"/>
      <c r="N202" s="356"/>
      <c r="O202" s="356"/>
      <c r="P202" s="356"/>
      <c r="Q202" s="356"/>
      <c r="R202" s="356"/>
      <c r="S202" s="356"/>
      <c r="T202" s="356"/>
      <c r="U202" s="356"/>
      <c r="V202" s="356"/>
      <c r="W202" s="356"/>
      <c r="X202" s="356"/>
      <c r="Y202" s="356"/>
      <c r="Z202" s="356"/>
      <c r="AA202" s="356"/>
      <c r="AB202" s="356"/>
      <c r="AC202" s="356"/>
      <c r="AD202" s="356"/>
      <c r="AE202" s="356"/>
      <c r="AF202" s="356"/>
      <c r="AG202" s="356"/>
      <c r="AH202" s="356"/>
      <c r="AI202" s="356"/>
      <c r="AJ202" s="356"/>
      <c r="AK202" s="356"/>
      <c r="AL202" s="356"/>
      <c r="AM202" s="356"/>
      <c r="AN202" s="356"/>
      <c r="AO202" s="356"/>
      <c r="AP202" s="356"/>
      <c r="AQ202" s="356"/>
      <c r="AR202" s="356"/>
      <c r="AS202" s="357"/>
    </row>
    <row r="203" spans="1:45" ht="17.25" thickBot="1" x14ac:dyDescent="0.3">
      <c r="A203" s="467"/>
      <c r="B203" s="354"/>
      <c r="C203" s="285">
        <v>1699118</v>
      </c>
      <c r="D203" s="358" t="s">
        <v>411</v>
      </c>
      <c r="E203" s="360"/>
      <c r="F203" s="361">
        <f>G238-AK203+AL203</f>
        <v>0</v>
      </c>
      <c r="G203" s="369">
        <v>0</v>
      </c>
      <c r="H203" s="369">
        <v>1</v>
      </c>
      <c r="I203" s="369">
        <v>0</v>
      </c>
      <c r="J203" s="369"/>
      <c r="K203" s="369"/>
      <c r="L203" s="218"/>
      <c r="M203" s="218"/>
      <c r="N203" s="218"/>
      <c r="O203" s="218"/>
      <c r="P203" s="352"/>
      <c r="Q203" s="352"/>
      <c r="R203" s="352"/>
      <c r="S203" s="352"/>
      <c r="T203" s="352"/>
      <c r="U203" s="352"/>
      <c r="V203" s="218"/>
      <c r="W203" s="218"/>
      <c r="X203" s="218"/>
      <c r="Y203" s="218"/>
      <c r="Z203" s="218"/>
      <c r="AA203" s="218"/>
      <c r="AB203" s="218">
        <v>1</v>
      </c>
      <c r="AC203" s="218"/>
      <c r="AD203" s="218"/>
      <c r="AE203" s="218"/>
      <c r="AF203" s="218">
        <v>1</v>
      </c>
      <c r="AG203" s="218"/>
      <c r="AH203" s="218"/>
      <c r="AI203" s="218"/>
      <c r="AJ203" s="218"/>
      <c r="AK203" s="218">
        <f>G238+AL203-G203</f>
        <v>0</v>
      </c>
      <c r="AL203" s="218"/>
      <c r="AM203" s="353"/>
      <c r="AN203" s="295"/>
      <c r="AO203" s="296"/>
      <c r="AP203" s="353"/>
      <c r="AQ203" s="290"/>
      <c r="AR203" s="290"/>
      <c r="AS203" s="290"/>
    </row>
    <row r="204" spans="1:45" ht="17.25" thickBot="1" x14ac:dyDescent="0.3">
      <c r="A204" s="467"/>
      <c r="B204" s="354"/>
      <c r="C204" s="285">
        <v>1699119</v>
      </c>
      <c r="D204" s="358" t="s">
        <v>412</v>
      </c>
      <c r="E204" s="360"/>
      <c r="F204" s="361">
        <f>G239-AK204+AL204</f>
        <v>4</v>
      </c>
      <c r="G204" s="369">
        <v>4</v>
      </c>
      <c r="H204" s="369">
        <v>1</v>
      </c>
      <c r="I204" s="369">
        <v>4</v>
      </c>
      <c r="J204" s="369"/>
      <c r="K204" s="369">
        <v>2</v>
      </c>
      <c r="L204" s="218"/>
      <c r="M204" s="218"/>
      <c r="N204" s="218"/>
      <c r="O204" s="218"/>
      <c r="P204" s="352"/>
      <c r="Q204" s="352"/>
      <c r="R204" s="352"/>
      <c r="S204" s="352"/>
      <c r="T204" s="352"/>
      <c r="U204" s="352"/>
      <c r="V204" s="218"/>
      <c r="W204" s="218"/>
      <c r="X204" s="218"/>
      <c r="Y204" s="218"/>
      <c r="Z204" s="218"/>
      <c r="AA204" s="218"/>
      <c r="AB204" s="218">
        <v>2</v>
      </c>
      <c r="AC204" s="218"/>
      <c r="AD204" s="218"/>
      <c r="AE204" s="218"/>
      <c r="AF204" s="218">
        <v>1</v>
      </c>
      <c r="AG204" s="218"/>
      <c r="AH204" s="218"/>
      <c r="AI204" s="218"/>
      <c r="AJ204" s="218"/>
      <c r="AK204" s="218">
        <f>G239+AL204-G204</f>
        <v>0</v>
      </c>
      <c r="AL204" s="218"/>
      <c r="AM204" s="353"/>
      <c r="AN204" s="295"/>
      <c r="AO204" s="296"/>
      <c r="AP204" s="353"/>
      <c r="AQ204" s="290"/>
      <c r="AR204" s="290"/>
      <c r="AS204" s="290"/>
    </row>
    <row r="205" spans="1:45" ht="17.25" thickBot="1" x14ac:dyDescent="0.3">
      <c r="A205" s="467"/>
      <c r="B205" s="354"/>
      <c r="C205" s="285">
        <v>1699130</v>
      </c>
      <c r="D205" s="358" t="s">
        <v>413</v>
      </c>
      <c r="E205" s="360"/>
      <c r="F205" s="361">
        <f>G240-AK205+AL205</f>
        <v>4</v>
      </c>
      <c r="G205" s="369">
        <v>4</v>
      </c>
      <c r="H205" s="369">
        <v>4</v>
      </c>
      <c r="I205" s="369">
        <v>4</v>
      </c>
      <c r="J205" s="369"/>
      <c r="K205" s="369"/>
      <c r="L205" s="218"/>
      <c r="M205" s="218"/>
      <c r="N205" s="218"/>
      <c r="O205" s="218"/>
      <c r="P205" s="352"/>
      <c r="Q205" s="352"/>
      <c r="R205" s="352"/>
      <c r="S205" s="352"/>
      <c r="T205" s="352"/>
      <c r="U205" s="352"/>
      <c r="V205" s="218"/>
      <c r="W205" s="218"/>
      <c r="X205" s="218"/>
      <c r="Y205" s="218"/>
      <c r="Z205" s="218"/>
      <c r="AA205" s="218">
        <v>2</v>
      </c>
      <c r="AB205" s="218"/>
      <c r="AC205" s="218"/>
      <c r="AD205" s="218">
        <v>4</v>
      </c>
      <c r="AE205" s="218"/>
      <c r="AF205" s="218"/>
      <c r="AG205" s="218"/>
      <c r="AH205" s="218"/>
      <c r="AI205" s="218"/>
      <c r="AJ205" s="218"/>
      <c r="AK205" s="218">
        <f>G240+AL205-G205</f>
        <v>0</v>
      </c>
      <c r="AL205" s="218"/>
      <c r="AM205" s="353"/>
      <c r="AN205" s="295"/>
      <c r="AO205" s="296"/>
      <c r="AP205" s="353"/>
      <c r="AQ205" s="290"/>
      <c r="AR205" s="290"/>
      <c r="AS205" s="290"/>
    </row>
    <row r="206" spans="1:45" ht="17.25" thickBot="1" x14ac:dyDescent="0.3">
      <c r="A206" s="467"/>
      <c r="B206" s="354"/>
      <c r="C206" s="285">
        <v>1699131</v>
      </c>
      <c r="D206" s="358" t="s">
        <v>414</v>
      </c>
      <c r="E206" s="360"/>
      <c r="F206" s="361">
        <f>G241-AK206+AL206</f>
        <v>3</v>
      </c>
      <c r="G206" s="369">
        <v>3</v>
      </c>
      <c r="H206" s="397">
        <v>3</v>
      </c>
      <c r="I206" s="369">
        <v>3</v>
      </c>
      <c r="J206" s="369"/>
      <c r="K206" s="364">
        <v>3</v>
      </c>
      <c r="L206" s="218"/>
      <c r="M206" s="218"/>
      <c r="N206" s="218"/>
      <c r="O206" s="218"/>
      <c r="P206" s="352"/>
      <c r="Q206" s="352"/>
      <c r="R206" s="352"/>
      <c r="S206" s="352"/>
      <c r="T206" s="352"/>
      <c r="U206" s="352"/>
      <c r="V206" s="218"/>
      <c r="W206" s="218"/>
      <c r="X206" s="218"/>
      <c r="Y206" s="218"/>
      <c r="Z206" s="218"/>
      <c r="AA206" s="218"/>
      <c r="AB206" s="218">
        <v>1</v>
      </c>
      <c r="AC206" s="218"/>
      <c r="AD206" s="218"/>
      <c r="AE206" s="218"/>
      <c r="AF206" s="218">
        <v>2</v>
      </c>
      <c r="AG206" s="218"/>
      <c r="AH206" s="218"/>
      <c r="AI206" s="218"/>
      <c r="AJ206" s="218"/>
      <c r="AK206" s="218">
        <f>G241+AL206-G206</f>
        <v>0</v>
      </c>
      <c r="AL206" s="218"/>
      <c r="AM206" s="353"/>
      <c r="AN206" s="295"/>
      <c r="AO206" s="296"/>
      <c r="AP206" s="353"/>
      <c r="AQ206" s="290"/>
      <c r="AR206" s="290"/>
      <c r="AS206" s="290"/>
    </row>
    <row r="207" spans="1:45" ht="17.25" thickBot="1" x14ac:dyDescent="0.3">
      <c r="A207" s="468"/>
      <c r="B207" s="354"/>
      <c r="C207" s="285">
        <v>1699132</v>
      </c>
      <c r="D207" s="358" t="s">
        <v>415</v>
      </c>
      <c r="E207" s="285"/>
      <c r="F207" s="362">
        <f>G242-AK207+AL207</f>
        <v>1</v>
      </c>
      <c r="G207" s="364">
        <v>1</v>
      </c>
      <c r="H207" s="397">
        <v>3</v>
      </c>
      <c r="I207" s="364">
        <v>1</v>
      </c>
      <c r="J207" s="364"/>
      <c r="K207" s="364">
        <v>2</v>
      </c>
      <c r="L207" s="218"/>
      <c r="M207" s="218"/>
      <c r="N207" s="218"/>
      <c r="O207" s="218"/>
      <c r="P207" s="352"/>
      <c r="Q207" s="352"/>
      <c r="R207" s="352"/>
      <c r="S207" s="352"/>
      <c r="T207" s="352"/>
      <c r="U207" s="352"/>
      <c r="V207" s="218"/>
      <c r="W207" s="218"/>
      <c r="X207" s="218"/>
      <c r="Y207" s="218"/>
      <c r="Z207" s="218"/>
      <c r="AA207" s="218"/>
      <c r="AB207" s="218"/>
      <c r="AC207" s="218"/>
      <c r="AD207" s="218"/>
      <c r="AE207" s="218"/>
      <c r="AF207" s="218">
        <v>2</v>
      </c>
      <c r="AG207" s="218"/>
      <c r="AH207" s="218"/>
      <c r="AI207" s="218"/>
      <c r="AJ207" s="218"/>
      <c r="AK207" s="218">
        <f>G242+AL207-G207</f>
        <v>0</v>
      </c>
      <c r="AL207" s="218"/>
      <c r="AM207" s="353"/>
      <c r="AN207" s="295"/>
      <c r="AO207" s="296"/>
      <c r="AP207" s="353"/>
      <c r="AQ207" s="290"/>
      <c r="AR207" s="290"/>
      <c r="AS207" s="290"/>
    </row>
    <row r="208" spans="1:45" x14ac:dyDescent="0.25">
      <c r="AL208" s="290"/>
    </row>
    <row r="209" spans="1:45" ht="14.25" thickBot="1" x14ac:dyDescent="0.3">
      <c r="B209" s="338" t="s">
        <v>18</v>
      </c>
      <c r="C209" s="339">
        <v>45824</v>
      </c>
      <c r="AA209" s="290">
        <v>0</v>
      </c>
      <c r="AL209" s="290"/>
      <c r="AM209" s="290"/>
      <c r="AN209" s="290"/>
    </row>
    <row r="210" spans="1:45" ht="41.25" thickBot="1" x14ac:dyDescent="0.3">
      <c r="B210" s="283" t="s">
        <v>0</v>
      </c>
      <c r="C210" s="284" t="s">
        <v>1</v>
      </c>
      <c r="D210" s="284" t="s">
        <v>2</v>
      </c>
      <c r="E210" s="284" t="s">
        <v>3</v>
      </c>
      <c r="F210" s="4" t="s">
        <v>318</v>
      </c>
      <c r="G210" s="351" t="s">
        <v>560</v>
      </c>
      <c r="H210" s="382" t="s">
        <v>460</v>
      </c>
      <c r="I210" s="234" t="s">
        <v>553</v>
      </c>
      <c r="J210" s="234"/>
      <c r="K210" s="258" t="s">
        <v>561</v>
      </c>
      <c r="L210" s="258" t="s">
        <v>328</v>
      </c>
      <c r="M210" s="258" t="s">
        <v>327</v>
      </c>
      <c r="N210" s="234" t="s">
        <v>389</v>
      </c>
      <c r="O210" s="240" t="s">
        <v>130</v>
      </c>
      <c r="P210" s="243" t="s">
        <v>303</v>
      </c>
      <c r="Q210" s="244" t="s">
        <v>304</v>
      </c>
      <c r="R210" s="244" t="s">
        <v>314</v>
      </c>
      <c r="S210" s="245" t="s">
        <v>338</v>
      </c>
      <c r="T210" s="245" t="s">
        <v>345</v>
      </c>
      <c r="U210" s="245" t="s">
        <v>361</v>
      </c>
      <c r="V210" s="245" t="s">
        <v>387</v>
      </c>
      <c r="W210" s="245" t="s">
        <v>421</v>
      </c>
      <c r="X210" s="245" t="s">
        <v>452</v>
      </c>
      <c r="Y210" s="245" t="s">
        <v>463</v>
      </c>
      <c r="Z210" s="245" t="s">
        <v>481</v>
      </c>
      <c r="AA210" s="245" t="s">
        <v>498</v>
      </c>
      <c r="AB210" s="245" t="s">
        <v>303</v>
      </c>
      <c r="AC210" s="245" t="s">
        <v>304</v>
      </c>
      <c r="AD210" s="245" t="s">
        <v>314</v>
      </c>
      <c r="AE210" s="245" t="s">
        <v>338</v>
      </c>
      <c r="AF210" s="245" t="s">
        <v>345</v>
      </c>
      <c r="AG210" s="245" t="s">
        <v>361</v>
      </c>
      <c r="AH210" s="245"/>
      <c r="AI210" s="245"/>
      <c r="AJ210" s="245" t="s">
        <v>360</v>
      </c>
      <c r="AK210" s="246" t="s">
        <v>268</v>
      </c>
      <c r="AL210" s="247" t="s">
        <v>269</v>
      </c>
      <c r="AM210" s="291" t="s">
        <v>288</v>
      </c>
      <c r="AN210" s="292" t="s">
        <v>289</v>
      </c>
      <c r="AO210" s="292" t="s">
        <v>287</v>
      </c>
      <c r="AP210" s="293" t="s">
        <v>290</v>
      </c>
      <c r="AQ210" s="290" t="s">
        <v>306</v>
      </c>
      <c r="AR210" s="290" t="s">
        <v>310</v>
      </c>
      <c r="AS210" s="290" t="s">
        <v>311</v>
      </c>
    </row>
    <row r="211" spans="1:45" ht="17.25" thickBot="1" x14ac:dyDescent="0.3">
      <c r="A211" s="463" t="s">
        <v>416</v>
      </c>
      <c r="B211" s="285">
        <v>273664</v>
      </c>
      <c r="C211" s="286">
        <v>1135749</v>
      </c>
      <c r="D211" s="286" t="s">
        <v>7</v>
      </c>
      <c r="E211" s="286">
        <v>6060050026</v>
      </c>
      <c r="F211" s="253">
        <f>G246-AK211+AL211</f>
        <v>10</v>
      </c>
      <c r="G211" s="235">
        <v>10</v>
      </c>
      <c r="H211" s="394">
        <v>5</v>
      </c>
      <c r="I211" s="232">
        <v>10</v>
      </c>
      <c r="J211" s="232"/>
      <c r="K211" s="232">
        <v>3</v>
      </c>
      <c r="L211" s="232">
        <f>IF(K245=K210,L246+AK211,K211)</f>
        <v>3</v>
      </c>
      <c r="M211" s="232">
        <f>IF(K245=K210,0,L246+AK211-K211)</f>
        <v>0</v>
      </c>
      <c r="N211" s="267">
        <v>5</v>
      </c>
      <c r="O211" s="241">
        <f>N211-G211</f>
        <v>-5</v>
      </c>
      <c r="P211" s="277">
        <v>4</v>
      </c>
      <c r="Q211" s="278">
        <v>4</v>
      </c>
      <c r="R211" s="279"/>
      <c r="S211" s="279">
        <v>3</v>
      </c>
      <c r="T211" s="279">
        <v>4</v>
      </c>
      <c r="U211" s="279">
        <v>2</v>
      </c>
      <c r="V211" s="279"/>
      <c r="W211" s="279">
        <f>2+3</f>
        <v>5</v>
      </c>
      <c r="X211" s="241"/>
      <c r="Y211" s="241"/>
      <c r="Z211" s="241"/>
      <c r="AA211" s="241">
        <v>4</v>
      </c>
      <c r="AB211" s="241">
        <v>5</v>
      </c>
      <c r="AC211" s="241"/>
      <c r="AD211" s="241">
        <v>6</v>
      </c>
      <c r="AE211" s="241"/>
      <c r="AF211" s="241">
        <v>2</v>
      </c>
      <c r="AG211" s="241"/>
      <c r="AH211" s="241"/>
      <c r="AI211" s="241"/>
      <c r="AJ211" s="241">
        <f>N211-V211</f>
        <v>5</v>
      </c>
      <c r="AK211" s="235">
        <f>G246+AL211-G211</f>
        <v>0</v>
      </c>
      <c r="AL211" s="350"/>
      <c r="AM211" s="294">
        <v>1.5</v>
      </c>
      <c r="AN211" s="295">
        <v>4</v>
      </c>
      <c r="AO211" s="296">
        <f>G211/(AN211)</f>
        <v>2.5</v>
      </c>
      <c r="AP211" s="297">
        <f>AN211*6</f>
        <v>24</v>
      </c>
      <c r="AQ211" s="290">
        <f>G211+K211</f>
        <v>13</v>
      </c>
      <c r="AR211" s="290">
        <f>IF(G211&lt;G246,(G246-G211+K246-K211),K246-K211)</f>
        <v>0</v>
      </c>
      <c r="AS211" s="290">
        <f>21-8</f>
        <v>13</v>
      </c>
    </row>
    <row r="212" spans="1:45" ht="17.25" thickBot="1" x14ac:dyDescent="0.3">
      <c r="A212" s="464"/>
      <c r="B212" s="285">
        <v>273672</v>
      </c>
      <c r="C212" s="286">
        <v>1135750</v>
      </c>
      <c r="D212" s="286" t="s">
        <v>9</v>
      </c>
      <c r="E212" s="287">
        <v>204000000000</v>
      </c>
      <c r="F212" s="253">
        <f>G247-AK212+AL212</f>
        <v>22</v>
      </c>
      <c r="G212" s="235">
        <v>22</v>
      </c>
      <c r="H212" s="394">
        <v>16</v>
      </c>
      <c r="I212" s="232">
        <v>8</v>
      </c>
      <c r="J212" s="232"/>
      <c r="K212" s="232">
        <v>10</v>
      </c>
      <c r="L212" s="232">
        <f>IF(K245=K210,L247+AK212,K212)</f>
        <v>10</v>
      </c>
      <c r="M212" s="232">
        <f>IF(K245=K210,0,L247+AK212-K212)</f>
        <v>1</v>
      </c>
      <c r="N212" s="267">
        <v>10</v>
      </c>
      <c r="O212" s="241">
        <f>N212-G212</f>
        <v>-12</v>
      </c>
      <c r="P212" s="277">
        <v>13</v>
      </c>
      <c r="Q212" s="278">
        <v>2</v>
      </c>
      <c r="R212" s="279">
        <v>6</v>
      </c>
      <c r="S212" s="279">
        <v>6</v>
      </c>
      <c r="T212" s="279">
        <v>10</v>
      </c>
      <c r="U212" s="279">
        <v>4</v>
      </c>
      <c r="V212" s="279">
        <v>6</v>
      </c>
      <c r="W212" s="279">
        <v>16</v>
      </c>
      <c r="X212" s="241"/>
      <c r="Y212" s="241">
        <v>6</v>
      </c>
      <c r="Z212" s="241">
        <v>4</v>
      </c>
      <c r="AA212" s="241">
        <v>6</v>
      </c>
      <c r="AB212" s="241">
        <v>14</v>
      </c>
      <c r="AC212" s="241"/>
      <c r="AD212" s="241">
        <v>12</v>
      </c>
      <c r="AE212" s="241">
        <v>6</v>
      </c>
      <c r="AF212" s="241">
        <v>14</v>
      </c>
      <c r="AG212" s="241"/>
      <c r="AH212" s="241"/>
      <c r="AI212" s="241"/>
      <c r="AJ212" s="241">
        <f>N212-V212</f>
        <v>4</v>
      </c>
      <c r="AK212" s="235">
        <f>G247+AL212-G212</f>
        <v>0</v>
      </c>
      <c r="AL212" s="236"/>
      <c r="AM212" s="298">
        <v>4.2</v>
      </c>
      <c r="AN212" s="295">
        <v>9</v>
      </c>
      <c r="AO212" s="296">
        <f>G212/(AN212)</f>
        <v>2.4444444444444446</v>
      </c>
      <c r="AP212" s="297">
        <f>AN212*6</f>
        <v>54</v>
      </c>
      <c r="AQ212" s="290">
        <f>G212+K212</f>
        <v>32</v>
      </c>
      <c r="AR212" s="290">
        <f>IF(G212&lt;G247,(G247-G212+K247-K212),K247-K212)</f>
        <v>1</v>
      </c>
      <c r="AS212" s="290">
        <f>21-8</f>
        <v>13</v>
      </c>
    </row>
    <row r="213" spans="1:45" ht="17.25" thickBot="1" x14ac:dyDescent="0.3">
      <c r="A213" s="464"/>
      <c r="B213" s="285">
        <v>273702</v>
      </c>
      <c r="C213" s="286">
        <v>1135753</v>
      </c>
      <c r="D213" s="286" t="s">
        <v>10</v>
      </c>
      <c r="E213" s="287">
        <v>301000000000</v>
      </c>
      <c r="F213" s="253">
        <f>G248-AK213+AL213</f>
        <v>3</v>
      </c>
      <c r="G213" s="235">
        <v>3</v>
      </c>
      <c r="H213" s="394">
        <v>1</v>
      </c>
      <c r="I213" s="232">
        <v>3</v>
      </c>
      <c r="J213" s="232"/>
      <c r="K213" s="232">
        <v>2</v>
      </c>
      <c r="L213" s="232">
        <f>IF(K245=K210,L248+AK213,K213)</f>
        <v>2</v>
      </c>
      <c r="M213" s="232">
        <f>IF(K245=K210,0,L248+AK213-K213)</f>
        <v>0</v>
      </c>
      <c r="N213" s="232">
        <v>2</v>
      </c>
      <c r="O213" s="241">
        <f>N213-G213</f>
        <v>-1</v>
      </c>
      <c r="P213" s="277"/>
      <c r="Q213" s="278"/>
      <c r="R213" s="279"/>
      <c r="S213" s="279"/>
      <c r="T213" s="279"/>
      <c r="U213" s="279"/>
      <c r="V213" s="279"/>
      <c r="W213" s="279"/>
      <c r="X213" s="241"/>
      <c r="Y213" s="241"/>
      <c r="Z213" s="241"/>
      <c r="AA213" s="241"/>
      <c r="AB213" s="241">
        <v>2</v>
      </c>
      <c r="AC213" s="241"/>
      <c r="AD213" s="241"/>
      <c r="AE213" s="241"/>
      <c r="AF213" s="241"/>
      <c r="AG213" s="241"/>
      <c r="AH213" s="241"/>
      <c r="AI213" s="241"/>
      <c r="AJ213" s="241">
        <f>N213-V213</f>
        <v>2</v>
      </c>
      <c r="AK213" s="235">
        <f>G248+AL213-G213</f>
        <v>0</v>
      </c>
      <c r="AL213" s="236"/>
      <c r="AM213" s="294">
        <f>4/12</f>
        <v>0.33333333333333331</v>
      </c>
      <c r="AN213" s="295">
        <v>2</v>
      </c>
      <c r="AO213" s="296">
        <f>G213/(AN213)</f>
        <v>1.5</v>
      </c>
      <c r="AP213" s="297">
        <f>AN213*6</f>
        <v>12</v>
      </c>
      <c r="AQ213" s="290">
        <f>G213+K213</f>
        <v>5</v>
      </c>
      <c r="AR213" s="290">
        <f>IF(G213&lt;G248,(G248-G213+K248-K213),K248-K213)</f>
        <v>0</v>
      </c>
      <c r="AS213" s="290">
        <f>21-8</f>
        <v>13</v>
      </c>
    </row>
    <row r="214" spans="1:45" ht="17.25" thickBot="1" x14ac:dyDescent="0.3">
      <c r="A214" s="464"/>
      <c r="B214" s="285">
        <v>273698</v>
      </c>
      <c r="C214" s="286">
        <v>1135752</v>
      </c>
      <c r="D214" s="286" t="s">
        <v>11</v>
      </c>
      <c r="E214" s="287">
        <v>701000000000</v>
      </c>
      <c r="F214" s="253">
        <f>G249-AK214+AL214</f>
        <v>1</v>
      </c>
      <c r="G214" s="235">
        <v>1</v>
      </c>
      <c r="H214" s="394">
        <v>2</v>
      </c>
      <c r="I214" s="232">
        <v>2</v>
      </c>
      <c r="J214" s="232"/>
      <c r="K214" s="232">
        <v>2</v>
      </c>
      <c r="L214" s="232">
        <f>IF(K245=K210,L249+AK214,K214)</f>
        <v>2</v>
      </c>
      <c r="M214" s="232">
        <f>IF(K245=K210,0,L249+AK214-K214)</f>
        <v>0</v>
      </c>
      <c r="N214" s="232">
        <v>3</v>
      </c>
      <c r="O214" s="241">
        <f>N214-G214</f>
        <v>2</v>
      </c>
      <c r="P214" s="277">
        <v>2</v>
      </c>
      <c r="Q214" s="278"/>
      <c r="R214" s="279"/>
      <c r="S214" s="279"/>
      <c r="T214" s="279"/>
      <c r="U214" s="279"/>
      <c r="V214" s="279"/>
      <c r="W214" s="279">
        <v>1</v>
      </c>
      <c r="X214" s="241"/>
      <c r="Y214" s="241"/>
      <c r="Z214" s="241"/>
      <c r="AA214" s="241"/>
      <c r="AB214" s="241">
        <v>2</v>
      </c>
      <c r="AC214" s="241"/>
      <c r="AD214" s="241">
        <v>2</v>
      </c>
      <c r="AE214" s="241"/>
      <c r="AF214" s="241">
        <v>1</v>
      </c>
      <c r="AG214" s="241">
        <v>2</v>
      </c>
      <c r="AH214" s="241"/>
      <c r="AI214" s="241"/>
      <c r="AJ214" s="241">
        <f>N214-V214</f>
        <v>3</v>
      </c>
      <c r="AK214" s="235">
        <f>G249+AL214-G214</f>
        <v>0</v>
      </c>
      <c r="AL214" s="236"/>
      <c r="AM214" s="294">
        <f>4/12</f>
        <v>0.33333333333333331</v>
      </c>
      <c r="AN214" s="295">
        <v>2</v>
      </c>
      <c r="AO214" s="296">
        <f>G214/(AN214)</f>
        <v>0.5</v>
      </c>
      <c r="AP214" s="297">
        <f>AN214*6</f>
        <v>12</v>
      </c>
      <c r="AQ214" s="290">
        <f>G214+K214</f>
        <v>3</v>
      </c>
      <c r="AR214" s="290">
        <f>IF(G214&lt;G249,(G249-G214+K249-K214),K249-K214)</f>
        <v>0</v>
      </c>
      <c r="AS214" s="290">
        <f>21-8</f>
        <v>13</v>
      </c>
    </row>
    <row r="215" spans="1:45" ht="17.25" thickBot="1" x14ac:dyDescent="0.3">
      <c r="A215" s="465"/>
      <c r="B215" s="285">
        <v>273680</v>
      </c>
      <c r="C215" s="286">
        <v>1135751</v>
      </c>
      <c r="D215" s="286" t="s">
        <v>12</v>
      </c>
      <c r="E215" s="286" t="s">
        <v>13</v>
      </c>
      <c r="F215" s="254">
        <f>G250-AK215+AL215</f>
        <v>12</v>
      </c>
      <c r="G215" s="237">
        <v>12</v>
      </c>
      <c r="H215" s="395">
        <v>8</v>
      </c>
      <c r="I215" s="238">
        <v>6</v>
      </c>
      <c r="J215" s="238"/>
      <c r="K215" s="238">
        <v>9</v>
      </c>
      <c r="L215" s="238">
        <f>IF(K245=K210,L250+AK215,K215)</f>
        <v>9</v>
      </c>
      <c r="M215" s="238">
        <f>IF(K245=K210,0,L250+AK215-K215)</f>
        <v>0</v>
      </c>
      <c r="N215" s="238">
        <v>9</v>
      </c>
      <c r="O215" s="242">
        <f>N215-G215</f>
        <v>-3</v>
      </c>
      <c r="P215" s="280"/>
      <c r="Q215" s="281"/>
      <c r="R215" s="282"/>
      <c r="S215" s="282"/>
      <c r="T215" s="282">
        <v>11</v>
      </c>
      <c r="U215" s="282"/>
      <c r="V215" s="282"/>
      <c r="W215" s="282">
        <v>9</v>
      </c>
      <c r="X215" s="242"/>
      <c r="Y215" s="242">
        <v>9</v>
      </c>
      <c r="Z215" s="242"/>
      <c r="AA215" s="242"/>
      <c r="AB215" s="242">
        <v>5</v>
      </c>
      <c r="AC215" s="242"/>
      <c r="AD215" s="242">
        <v>5</v>
      </c>
      <c r="AE215" s="242"/>
      <c r="AF215" s="242">
        <v>9</v>
      </c>
      <c r="AG215" s="242"/>
      <c r="AH215" s="242"/>
      <c r="AI215" s="242"/>
      <c r="AJ215" s="242">
        <f>N215-V215</f>
        <v>9</v>
      </c>
      <c r="AK215" s="235">
        <f>G250+AL215-G215</f>
        <v>0</v>
      </c>
      <c r="AL215" s="239"/>
      <c r="AM215" s="299">
        <f>30/12</f>
        <v>2.5</v>
      </c>
      <c r="AN215" s="300">
        <f>AM215*2</f>
        <v>5</v>
      </c>
      <c r="AO215" s="301">
        <f>G215/(AN215)</f>
        <v>2.4</v>
      </c>
      <c r="AP215" s="302">
        <f>AN215*6</f>
        <v>30</v>
      </c>
      <c r="AQ215" s="290">
        <f>G215+K215</f>
        <v>21</v>
      </c>
      <c r="AR215" s="290">
        <f>IF(G215&lt;G250,(G250-G215+K250-K215),K250-K215)</f>
        <v>0</v>
      </c>
      <c r="AS215" s="290">
        <f>21-8</f>
        <v>13</v>
      </c>
    </row>
    <row r="216" spans="1:45" ht="17.25" thickBot="1" x14ac:dyDescent="0.3">
      <c r="A216" s="466" t="s">
        <v>417</v>
      </c>
      <c r="B216" s="355" t="s">
        <v>129</v>
      </c>
      <c r="C216" s="356"/>
      <c r="D216" s="356"/>
      <c r="E216" s="359"/>
      <c r="F216" s="359"/>
      <c r="G216" s="356"/>
      <c r="H216" s="396"/>
      <c r="I216" s="356"/>
      <c r="J216" s="356"/>
      <c r="K216" s="356"/>
      <c r="L216" s="356"/>
      <c r="M216" s="356"/>
      <c r="N216" s="356"/>
      <c r="O216" s="356"/>
      <c r="P216" s="356"/>
      <c r="Q216" s="356"/>
      <c r="R216" s="356"/>
      <c r="S216" s="356"/>
      <c r="T216" s="356"/>
      <c r="U216" s="356"/>
      <c r="V216" s="356"/>
      <c r="W216" s="356"/>
      <c r="X216" s="356"/>
      <c r="Y216" s="356"/>
      <c r="Z216" s="356"/>
      <c r="AA216" s="356"/>
      <c r="AB216" s="356"/>
      <c r="AC216" s="356"/>
      <c r="AD216" s="356"/>
      <c r="AE216" s="356"/>
      <c r="AF216" s="356"/>
      <c r="AG216" s="356"/>
      <c r="AH216" s="356"/>
      <c r="AI216" s="356"/>
      <c r="AJ216" s="356"/>
      <c r="AK216" s="356"/>
      <c r="AL216" s="367"/>
      <c r="AM216" s="356"/>
      <c r="AN216" s="356"/>
      <c r="AO216" s="356"/>
      <c r="AP216" s="356"/>
      <c r="AQ216" s="356"/>
      <c r="AR216" s="356"/>
      <c r="AS216" s="357"/>
    </row>
    <row r="217" spans="1:45" ht="17.25" thickBot="1" x14ac:dyDescent="0.3">
      <c r="A217" s="467"/>
      <c r="B217" s="354"/>
      <c r="C217" s="354">
        <v>1140327</v>
      </c>
      <c r="D217" s="358" t="s">
        <v>394</v>
      </c>
      <c r="E217" s="360"/>
      <c r="F217" s="361">
        <f>G252-AK217+AL217</f>
        <v>25</v>
      </c>
      <c r="G217" s="218">
        <v>25</v>
      </c>
      <c r="H217" s="397">
        <v>23</v>
      </c>
      <c r="I217" s="218">
        <v>16</v>
      </c>
      <c r="J217" s="218"/>
      <c r="K217" s="218">
        <v>9</v>
      </c>
      <c r="L217" s="218">
        <f>IF(K245=K210,L252+AK217,K217)</f>
        <v>9</v>
      </c>
      <c r="M217" s="218">
        <f>IF(K245=K210,0,L252+AK217-K217)</f>
        <v>4</v>
      </c>
      <c r="N217" s="218"/>
      <c r="O217" s="218"/>
      <c r="P217" s="352"/>
      <c r="Q217" s="352"/>
      <c r="R217" s="352"/>
      <c r="S217" s="352"/>
      <c r="T217" s="352"/>
      <c r="U217" s="352"/>
      <c r="V217" s="218"/>
      <c r="W217" s="218"/>
      <c r="X217" s="218">
        <v>4</v>
      </c>
      <c r="Y217" s="218">
        <v>9</v>
      </c>
      <c r="Z217" s="218">
        <v>14</v>
      </c>
      <c r="AA217" s="218">
        <v>8</v>
      </c>
      <c r="AB217" s="218">
        <f>14+6</f>
        <v>20</v>
      </c>
      <c r="AC217" s="218">
        <v>10</v>
      </c>
      <c r="AD217" s="218">
        <v>12</v>
      </c>
      <c r="AE217" s="218">
        <v>17</v>
      </c>
      <c r="AF217" s="218">
        <v>6</v>
      </c>
      <c r="AG217" s="218">
        <v>6</v>
      </c>
      <c r="AH217" s="218"/>
      <c r="AI217" s="218"/>
      <c r="AJ217" s="242">
        <f>N217-V217</f>
        <v>0</v>
      </c>
      <c r="AK217" s="274">
        <f>G252+AL217-G217</f>
        <v>6</v>
      </c>
      <c r="AL217" s="232"/>
      <c r="AM217" s="353"/>
      <c r="AN217" s="295"/>
      <c r="AO217" s="296"/>
      <c r="AP217" s="353"/>
      <c r="AQ217" s="290"/>
      <c r="AR217" s="290"/>
      <c r="AS217" s="290"/>
    </row>
    <row r="218" spans="1:45" ht="17.25" thickBot="1" x14ac:dyDescent="0.3">
      <c r="A218" s="467"/>
      <c r="B218" s="354"/>
      <c r="C218" s="285">
        <v>1151231</v>
      </c>
      <c r="D218" s="358" t="s">
        <v>395</v>
      </c>
      <c r="E218" s="360"/>
      <c r="F218" s="361">
        <f>G253-AK218+AL218</f>
        <v>15</v>
      </c>
      <c r="G218" s="369">
        <v>15</v>
      </c>
      <c r="H218" s="397">
        <v>13</v>
      </c>
      <c r="I218" s="218">
        <v>11</v>
      </c>
      <c r="J218" s="218"/>
      <c r="K218" s="218">
        <v>3</v>
      </c>
      <c r="L218" s="218">
        <f>IF(K245=K210,L253+AK218,K218)</f>
        <v>3</v>
      </c>
      <c r="M218" s="218">
        <f>IF(K245=K210,0,L253+AK218-K218)</f>
        <v>0</v>
      </c>
      <c r="N218" s="218"/>
      <c r="O218" s="218"/>
      <c r="P218" s="352"/>
      <c r="Q218" s="352"/>
      <c r="R218" s="352"/>
      <c r="S218" s="352"/>
      <c r="T218" s="352"/>
      <c r="U218" s="352"/>
      <c r="V218" s="218"/>
      <c r="W218" s="218"/>
      <c r="X218" s="218">
        <v>3</v>
      </c>
      <c r="Y218" s="218">
        <v>8</v>
      </c>
      <c r="Z218" s="218">
        <v>6</v>
      </c>
      <c r="AA218" s="218"/>
      <c r="AB218" s="218">
        <v>4</v>
      </c>
      <c r="AC218" s="218">
        <v>4</v>
      </c>
      <c r="AD218" s="218">
        <v>4</v>
      </c>
      <c r="AE218" s="218"/>
      <c r="AF218" s="218">
        <v>4</v>
      </c>
      <c r="AG218" s="218">
        <v>3</v>
      </c>
      <c r="AH218" s="218"/>
      <c r="AI218" s="218"/>
      <c r="AJ218" s="242">
        <f>N218-V218</f>
        <v>0</v>
      </c>
      <c r="AK218" s="416">
        <f>G253+AL218-G218</f>
        <v>0</v>
      </c>
      <c r="AL218" s="267"/>
      <c r="AM218" s="353"/>
      <c r="AN218" s="295"/>
      <c r="AO218" s="296"/>
      <c r="AP218" s="353"/>
      <c r="AQ218" s="290"/>
      <c r="AR218" s="290"/>
      <c r="AS218" s="290"/>
    </row>
    <row r="219" spans="1:45" ht="17.25" thickBot="1" x14ac:dyDescent="0.3">
      <c r="A219" s="467"/>
      <c r="B219" s="355" t="s">
        <v>420</v>
      </c>
      <c r="C219" s="356"/>
      <c r="D219" s="356" t="s">
        <v>523</v>
      </c>
      <c r="E219" s="359"/>
      <c r="F219" s="359"/>
      <c r="G219" s="356"/>
      <c r="H219" s="396"/>
      <c r="I219" s="356"/>
      <c r="J219" s="356"/>
      <c r="K219" s="356"/>
      <c r="L219" s="356"/>
      <c r="M219" s="356"/>
      <c r="N219" s="356"/>
      <c r="O219" s="356"/>
      <c r="P219" s="356"/>
      <c r="Q219" s="356"/>
      <c r="R219" s="356"/>
      <c r="S219" s="356"/>
      <c r="T219" s="356"/>
      <c r="U219" s="356"/>
      <c r="V219" s="356"/>
      <c r="W219" s="356"/>
      <c r="X219" s="356"/>
      <c r="Y219" s="356"/>
      <c r="Z219" s="356"/>
      <c r="AA219" s="356"/>
      <c r="AB219" s="356"/>
      <c r="AC219" s="356"/>
      <c r="AD219" s="356"/>
      <c r="AE219" s="356"/>
      <c r="AF219" s="356"/>
      <c r="AG219" s="356"/>
      <c r="AH219" s="356"/>
      <c r="AI219" s="356"/>
      <c r="AJ219" s="356"/>
      <c r="AK219" s="356"/>
      <c r="AL219" s="368"/>
      <c r="AM219" s="356"/>
      <c r="AN219" s="356"/>
      <c r="AO219" s="356"/>
      <c r="AP219" s="356"/>
      <c r="AQ219" s="356"/>
      <c r="AR219" s="356"/>
      <c r="AS219" s="357"/>
    </row>
    <row r="220" spans="1:45" ht="17.25" thickBot="1" x14ac:dyDescent="0.3">
      <c r="A220" s="467"/>
      <c r="B220" s="354"/>
      <c r="C220" s="285">
        <v>1146032</v>
      </c>
      <c r="D220" s="358" t="s">
        <v>396</v>
      </c>
      <c r="E220" s="360"/>
      <c r="F220" s="361">
        <f>G255-AK220+AL220</f>
        <v>0</v>
      </c>
      <c r="G220" s="364">
        <v>0</v>
      </c>
      <c r="H220" s="397">
        <v>1</v>
      </c>
      <c r="I220" s="364">
        <v>0</v>
      </c>
      <c r="J220" s="364"/>
      <c r="K220" s="364">
        <v>3</v>
      </c>
      <c r="L220" s="218"/>
      <c r="M220" s="218"/>
      <c r="N220" s="218"/>
      <c r="O220" s="218"/>
      <c r="P220" s="352"/>
      <c r="Q220" s="352"/>
      <c r="R220" s="352"/>
      <c r="S220" s="352"/>
      <c r="T220" s="352"/>
      <c r="U220" s="352"/>
      <c r="V220" s="218"/>
      <c r="W220" s="218"/>
      <c r="X220" s="218"/>
      <c r="Y220" s="218"/>
      <c r="Z220" s="218"/>
      <c r="AA220" s="218"/>
      <c r="AB220" s="218"/>
      <c r="AC220" s="218"/>
      <c r="AD220" s="218"/>
      <c r="AE220" s="218"/>
      <c r="AF220" s="218">
        <v>1</v>
      </c>
      <c r="AG220" s="218"/>
      <c r="AH220" s="218"/>
      <c r="AI220" s="218"/>
      <c r="AJ220" s="218"/>
      <c r="AK220" s="218">
        <f>G255+AL220-G220</f>
        <v>0</v>
      </c>
      <c r="AL220" s="218"/>
      <c r="AM220" s="353"/>
      <c r="AN220" s="295"/>
      <c r="AO220" s="296"/>
      <c r="AP220" s="353"/>
      <c r="AQ220" s="290"/>
      <c r="AR220" s="290"/>
      <c r="AS220" s="290"/>
    </row>
    <row r="221" spans="1:45" ht="17.25" thickBot="1" x14ac:dyDescent="0.3">
      <c r="A221" s="467"/>
      <c r="B221" s="354"/>
      <c r="C221" s="285">
        <v>1146021</v>
      </c>
      <c r="D221" s="358" t="s">
        <v>397</v>
      </c>
      <c r="E221" s="360"/>
      <c r="F221" s="361">
        <f>G256-AK221+AL221</f>
        <v>2</v>
      </c>
      <c r="G221" s="364">
        <v>2</v>
      </c>
      <c r="H221" s="397">
        <v>2</v>
      </c>
      <c r="I221" s="364">
        <v>2</v>
      </c>
      <c r="J221" s="364"/>
      <c r="K221" s="364">
        <v>2</v>
      </c>
      <c r="L221" s="218"/>
      <c r="M221" s="218"/>
      <c r="N221" s="218"/>
      <c r="O221" s="218"/>
      <c r="P221" s="352"/>
      <c r="Q221" s="352"/>
      <c r="R221" s="352"/>
      <c r="S221" s="352"/>
      <c r="T221" s="352"/>
      <c r="U221" s="352"/>
      <c r="V221" s="218"/>
      <c r="W221" s="218"/>
      <c r="X221" s="218"/>
      <c r="Y221" s="218"/>
      <c r="Z221" s="218"/>
      <c r="AA221" s="218"/>
      <c r="AB221" s="218"/>
      <c r="AC221" s="218"/>
      <c r="AD221" s="218"/>
      <c r="AE221" s="218"/>
      <c r="AF221" s="218"/>
      <c r="AG221" s="218"/>
      <c r="AH221" s="218"/>
      <c r="AI221" s="218"/>
      <c r="AJ221" s="218"/>
      <c r="AK221" s="218">
        <f>G256+AL221-G221</f>
        <v>0</v>
      </c>
      <c r="AL221" s="218"/>
      <c r="AM221" s="353"/>
      <c r="AN221" s="295"/>
      <c r="AO221" s="296"/>
      <c r="AP221" s="353"/>
      <c r="AQ221" s="290"/>
      <c r="AR221" s="290"/>
      <c r="AS221" s="290"/>
    </row>
    <row r="222" spans="1:45" ht="17.25" thickBot="1" x14ac:dyDescent="0.3">
      <c r="A222" s="467"/>
      <c r="B222" s="354"/>
      <c r="C222" s="285">
        <v>1146018</v>
      </c>
      <c r="D222" s="358" t="s">
        <v>398</v>
      </c>
      <c r="E222" s="360"/>
      <c r="F222" s="361">
        <f>G257-AK222+AL222</f>
        <v>2</v>
      </c>
      <c r="G222" s="369">
        <v>2</v>
      </c>
      <c r="H222" s="397">
        <v>1</v>
      </c>
      <c r="I222" s="364">
        <v>2</v>
      </c>
      <c r="J222" s="364"/>
      <c r="K222" s="364">
        <v>3</v>
      </c>
      <c r="L222" s="218"/>
      <c r="M222" s="218"/>
      <c r="N222" s="218"/>
      <c r="O222" s="218"/>
      <c r="P222" s="352"/>
      <c r="Q222" s="352"/>
      <c r="R222" s="352"/>
      <c r="S222" s="352"/>
      <c r="T222" s="352"/>
      <c r="U222" s="352"/>
      <c r="V222" s="218"/>
      <c r="W222" s="218"/>
      <c r="X222" s="218"/>
      <c r="Y222" s="218"/>
      <c r="Z222" s="218"/>
      <c r="AA222" s="218"/>
      <c r="AB222" s="218">
        <v>2</v>
      </c>
      <c r="AC222" s="218"/>
      <c r="AD222" s="218"/>
      <c r="AE222" s="218"/>
      <c r="AF222" s="218">
        <v>2</v>
      </c>
      <c r="AG222" s="218"/>
      <c r="AH222" s="218"/>
      <c r="AI222" s="218"/>
      <c r="AJ222" s="218"/>
      <c r="AK222" s="218">
        <f>G257+AL222-G222</f>
        <v>0</v>
      </c>
      <c r="AL222" s="218"/>
      <c r="AM222" s="353"/>
      <c r="AN222" s="295"/>
      <c r="AO222" s="296"/>
      <c r="AP222" s="353"/>
      <c r="AQ222" s="290"/>
      <c r="AR222" s="290"/>
      <c r="AS222" s="290"/>
    </row>
    <row r="223" spans="1:45" ht="17.25" thickBot="1" x14ac:dyDescent="0.3">
      <c r="A223" s="467"/>
      <c r="B223" s="354"/>
      <c r="C223" s="285">
        <v>1146024</v>
      </c>
      <c r="D223" s="358" t="s">
        <v>399</v>
      </c>
      <c r="E223" s="360"/>
      <c r="F223" s="361">
        <v>1</v>
      </c>
      <c r="G223" s="369">
        <v>5</v>
      </c>
      <c r="H223" s="369">
        <v>2</v>
      </c>
      <c r="I223" s="369">
        <v>2</v>
      </c>
      <c r="J223" s="369"/>
      <c r="K223" s="369">
        <v>2</v>
      </c>
      <c r="L223" s="218"/>
      <c r="M223" s="218"/>
      <c r="N223" s="218"/>
      <c r="O223" s="218"/>
      <c r="P223" s="352"/>
      <c r="Q223" s="352"/>
      <c r="R223" s="352"/>
      <c r="S223" s="352"/>
      <c r="T223" s="352"/>
      <c r="U223" s="352"/>
      <c r="V223" s="218"/>
      <c r="W223" s="218"/>
      <c r="X223" s="218"/>
      <c r="Y223" s="218"/>
      <c r="Z223" s="218"/>
      <c r="AA223" s="218">
        <v>1</v>
      </c>
      <c r="AB223" s="218">
        <v>1</v>
      </c>
      <c r="AC223" s="218"/>
      <c r="AD223" s="218"/>
      <c r="AE223" s="218"/>
      <c r="AF223" s="218">
        <v>2</v>
      </c>
      <c r="AG223" s="218"/>
      <c r="AH223" s="218"/>
      <c r="AI223" s="218"/>
      <c r="AJ223" s="218"/>
      <c r="AK223" s="218">
        <f>G258+AL223-G223</f>
        <v>0</v>
      </c>
      <c r="AL223" s="218">
        <v>3</v>
      </c>
      <c r="AM223" s="353"/>
      <c r="AN223" s="295"/>
      <c r="AO223" s="296"/>
      <c r="AP223" s="353"/>
      <c r="AQ223" s="290"/>
      <c r="AR223" s="290"/>
      <c r="AS223" s="290"/>
    </row>
    <row r="224" spans="1:45" ht="17.25" thickBot="1" x14ac:dyDescent="0.3">
      <c r="A224" s="467"/>
      <c r="B224" s="354"/>
      <c r="C224" s="285">
        <v>1146028</v>
      </c>
      <c r="D224" s="358" t="s">
        <v>400</v>
      </c>
      <c r="E224" s="360"/>
      <c r="F224" s="361">
        <f>G259-AK224+AL224</f>
        <v>3</v>
      </c>
      <c r="G224" s="364">
        <v>3</v>
      </c>
      <c r="H224" s="397">
        <v>2</v>
      </c>
      <c r="I224" s="364">
        <v>5</v>
      </c>
      <c r="J224" s="364"/>
      <c r="K224" s="364">
        <v>2</v>
      </c>
      <c r="L224" s="218"/>
      <c r="M224" s="218"/>
      <c r="N224" s="218"/>
      <c r="O224" s="218"/>
      <c r="P224" s="352"/>
      <c r="Q224" s="352"/>
      <c r="R224" s="352"/>
      <c r="S224" s="352"/>
      <c r="T224" s="352"/>
      <c r="U224" s="352"/>
      <c r="V224" s="218"/>
      <c r="W224" s="218"/>
      <c r="X224" s="218"/>
      <c r="Y224" s="218"/>
      <c r="Z224" s="218"/>
      <c r="AA224" s="218"/>
      <c r="AB224" s="218"/>
      <c r="AC224" s="218"/>
      <c r="AD224" s="218">
        <v>2</v>
      </c>
      <c r="AE224" s="218"/>
      <c r="AF224" s="218"/>
      <c r="AG224" s="218">
        <v>2</v>
      </c>
      <c r="AH224" s="218"/>
      <c r="AI224" s="218"/>
      <c r="AJ224" s="218"/>
      <c r="AK224" s="218">
        <f>G259+AL224-G224</f>
        <v>0</v>
      </c>
      <c r="AL224" s="218"/>
      <c r="AM224" s="353"/>
      <c r="AN224" s="295"/>
      <c r="AO224" s="296"/>
      <c r="AP224" s="353"/>
      <c r="AQ224" s="290"/>
      <c r="AR224" s="290"/>
      <c r="AS224" s="290"/>
    </row>
    <row r="225" spans="1:45" ht="17.25" thickBot="1" x14ac:dyDescent="0.3">
      <c r="A225" s="467"/>
      <c r="B225" s="355" t="s">
        <v>419</v>
      </c>
      <c r="C225" s="356"/>
      <c r="D225" s="356"/>
      <c r="E225" s="359"/>
      <c r="F225" s="359"/>
      <c r="G225" s="356"/>
      <c r="H225" s="396"/>
      <c r="I225" s="356"/>
      <c r="J225" s="356"/>
      <c r="K225" s="356"/>
      <c r="L225" s="356"/>
      <c r="M225" s="356"/>
      <c r="N225" s="356"/>
      <c r="O225" s="356"/>
      <c r="P225" s="356"/>
      <c r="Q225" s="356"/>
      <c r="R225" s="356"/>
      <c r="S225" s="356"/>
      <c r="T225" s="356"/>
      <c r="U225" s="356"/>
      <c r="V225" s="356"/>
      <c r="W225" s="356"/>
      <c r="X225" s="356"/>
      <c r="Y225" s="356"/>
      <c r="Z225" s="356"/>
      <c r="AA225" s="356"/>
      <c r="AB225" s="356"/>
      <c r="AC225" s="356"/>
      <c r="AD225" s="356"/>
      <c r="AE225" s="356"/>
      <c r="AF225" s="356"/>
      <c r="AG225" s="356"/>
      <c r="AH225" s="356"/>
      <c r="AI225" s="356"/>
      <c r="AJ225" s="356"/>
      <c r="AK225" s="356"/>
      <c r="AL225" s="356"/>
      <c r="AM225" s="356"/>
      <c r="AN225" s="356"/>
      <c r="AO225" s="356"/>
      <c r="AP225" s="356"/>
      <c r="AQ225" s="356"/>
      <c r="AR225" s="356"/>
      <c r="AS225" s="357"/>
    </row>
    <row r="226" spans="1:45" ht="17.25" thickBot="1" x14ac:dyDescent="0.3">
      <c r="A226" s="467"/>
      <c r="B226" s="372"/>
      <c r="C226" s="373">
        <v>1146031</v>
      </c>
      <c r="D226" s="374" t="s">
        <v>401</v>
      </c>
      <c r="E226" s="375"/>
      <c r="F226" s="376">
        <f>G261-AK226+AL226</f>
        <v>0</v>
      </c>
      <c r="G226" s="377"/>
      <c r="H226" s="397">
        <v>1</v>
      </c>
      <c r="I226" s="377">
        <v>1</v>
      </c>
      <c r="J226" s="377"/>
      <c r="K226" s="377">
        <v>2</v>
      </c>
      <c r="L226" s="377"/>
      <c r="M226" s="377"/>
      <c r="N226" s="377"/>
      <c r="O226" s="377"/>
      <c r="P226" s="377"/>
      <c r="Q226" s="377"/>
      <c r="R226" s="377"/>
      <c r="S226" s="377"/>
      <c r="T226" s="377"/>
      <c r="U226" s="377"/>
      <c r="V226" s="377"/>
      <c r="W226" s="377"/>
      <c r="X226" s="377"/>
      <c r="Y226" s="377"/>
      <c r="Z226" s="377"/>
      <c r="AA226" s="377"/>
      <c r="AB226" s="377"/>
      <c r="AC226" s="377"/>
      <c r="AD226" s="377"/>
      <c r="AE226" s="377"/>
      <c r="AF226" s="377"/>
      <c r="AG226" s="377"/>
      <c r="AH226" s="377"/>
      <c r="AI226" s="377"/>
      <c r="AJ226" s="377"/>
      <c r="AK226" s="377">
        <f>G261+AL226-G226</f>
        <v>0</v>
      </c>
      <c r="AL226" s="377"/>
      <c r="AM226" s="378"/>
      <c r="AN226" s="379"/>
      <c r="AO226" s="380"/>
      <c r="AP226" s="378"/>
      <c r="AQ226" s="381"/>
      <c r="AR226" s="381"/>
      <c r="AS226" s="381"/>
    </row>
    <row r="227" spans="1:45" ht="17.25" thickBot="1" x14ac:dyDescent="0.3">
      <c r="A227" s="467"/>
      <c r="B227" s="372"/>
      <c r="C227" s="373">
        <v>1146020</v>
      </c>
      <c r="D227" s="374" t="s">
        <v>402</v>
      </c>
      <c r="E227" s="375"/>
      <c r="F227" s="376">
        <f>G262-AK227+AL227</f>
        <v>0</v>
      </c>
      <c r="G227" s="377"/>
      <c r="H227" s="397">
        <v>1</v>
      </c>
      <c r="I227" s="377">
        <v>0</v>
      </c>
      <c r="J227" s="377"/>
      <c r="K227" s="377">
        <v>1</v>
      </c>
      <c r="L227" s="377"/>
      <c r="M227" s="377"/>
      <c r="N227" s="377"/>
      <c r="O227" s="377"/>
      <c r="P227" s="377"/>
      <c r="Q227" s="377"/>
      <c r="R227" s="377"/>
      <c r="S227" s="377"/>
      <c r="T227" s="377"/>
      <c r="U227" s="377"/>
      <c r="V227" s="377"/>
      <c r="W227" s="377"/>
      <c r="X227" s="377"/>
      <c r="Y227" s="377"/>
      <c r="Z227" s="377"/>
      <c r="AA227" s="377"/>
      <c r="AB227" s="377"/>
      <c r="AC227" s="377"/>
      <c r="AD227" s="377"/>
      <c r="AE227" s="377"/>
      <c r="AF227" s="377"/>
      <c r="AG227" s="377"/>
      <c r="AH227" s="377"/>
      <c r="AI227" s="377"/>
      <c r="AJ227" s="377"/>
      <c r="AK227" s="377">
        <f>G262+AL227-G227</f>
        <v>0</v>
      </c>
      <c r="AL227" s="377"/>
      <c r="AM227" s="378"/>
      <c r="AN227" s="379"/>
      <c r="AO227" s="380"/>
      <c r="AP227" s="378"/>
      <c r="AQ227" s="381"/>
      <c r="AR227" s="381"/>
      <c r="AS227" s="381"/>
    </row>
    <row r="228" spans="1:45" ht="17.25" thickBot="1" x14ac:dyDescent="0.3">
      <c r="A228" s="467"/>
      <c r="B228" s="372"/>
      <c r="C228" s="373">
        <v>1146016</v>
      </c>
      <c r="D228" s="374" t="s">
        <v>398</v>
      </c>
      <c r="E228" s="375"/>
      <c r="F228" s="376">
        <f>G263-AK228+AL228</f>
        <v>0</v>
      </c>
      <c r="G228" s="377"/>
      <c r="H228" s="397">
        <v>1</v>
      </c>
      <c r="I228" s="377">
        <v>0</v>
      </c>
      <c r="J228" s="377"/>
      <c r="K228" s="377">
        <v>1</v>
      </c>
      <c r="L228" s="377"/>
      <c r="M228" s="377"/>
      <c r="N228" s="377"/>
      <c r="O228" s="377"/>
      <c r="P228" s="377"/>
      <c r="Q228" s="377"/>
      <c r="R228" s="377"/>
      <c r="S228" s="377"/>
      <c r="T228" s="377"/>
      <c r="U228" s="377"/>
      <c r="V228" s="377"/>
      <c r="W228" s="377"/>
      <c r="X228" s="377"/>
      <c r="Y228" s="377"/>
      <c r="Z228" s="377"/>
      <c r="AA228" s="377"/>
      <c r="AB228" s="377"/>
      <c r="AC228" s="377"/>
      <c r="AD228" s="377"/>
      <c r="AE228" s="377"/>
      <c r="AF228" s="377"/>
      <c r="AG228" s="377"/>
      <c r="AH228" s="377"/>
      <c r="AI228" s="377"/>
      <c r="AJ228" s="377"/>
      <c r="AK228" s="377">
        <f>G263+AL228-G228</f>
        <v>0</v>
      </c>
      <c r="AL228" s="377"/>
      <c r="AM228" s="378"/>
      <c r="AN228" s="379"/>
      <c r="AO228" s="380"/>
      <c r="AP228" s="378"/>
      <c r="AQ228" s="381"/>
      <c r="AR228" s="381"/>
      <c r="AS228" s="381"/>
    </row>
    <row r="229" spans="1:45" ht="17.25" thickBot="1" x14ac:dyDescent="0.3">
      <c r="A229" s="467"/>
      <c r="B229" s="372"/>
      <c r="C229" s="373">
        <v>1146022</v>
      </c>
      <c r="D229" s="374" t="s">
        <v>403</v>
      </c>
      <c r="E229" s="375"/>
      <c r="F229" s="376">
        <f>G264-AK229+AL229</f>
        <v>0</v>
      </c>
      <c r="G229" s="377"/>
      <c r="H229" s="397">
        <v>2</v>
      </c>
      <c r="I229" s="377">
        <v>0</v>
      </c>
      <c r="J229" s="377"/>
      <c r="K229" s="377"/>
      <c r="L229" s="377"/>
      <c r="M229" s="377"/>
      <c r="N229" s="377"/>
      <c r="O229" s="377"/>
      <c r="P229" s="377"/>
      <c r="Q229" s="377"/>
      <c r="R229" s="377"/>
      <c r="S229" s="377"/>
      <c r="T229" s="377"/>
      <c r="U229" s="377"/>
      <c r="V229" s="377"/>
      <c r="W229" s="377"/>
      <c r="X229" s="377"/>
      <c r="Y229" s="377"/>
      <c r="Z229" s="377"/>
      <c r="AA229" s="377"/>
      <c r="AB229" s="377"/>
      <c r="AC229" s="377"/>
      <c r="AD229" s="377"/>
      <c r="AE229" s="377"/>
      <c r="AF229" s="377"/>
      <c r="AG229" s="377"/>
      <c r="AH229" s="377"/>
      <c r="AI229" s="377"/>
      <c r="AJ229" s="377"/>
      <c r="AK229" s="377">
        <f>G264+AL229-G229</f>
        <v>0</v>
      </c>
      <c r="AL229" s="377"/>
      <c r="AM229" s="378"/>
      <c r="AN229" s="379"/>
      <c r="AO229" s="380"/>
      <c r="AP229" s="378"/>
      <c r="AQ229" s="381"/>
      <c r="AR229" s="381"/>
      <c r="AS229" s="381"/>
    </row>
    <row r="230" spans="1:45" ht="17.25" thickBot="1" x14ac:dyDescent="0.3">
      <c r="A230" s="467"/>
      <c r="B230" s="372"/>
      <c r="C230" s="373">
        <v>1146027</v>
      </c>
      <c r="D230" s="374" t="s">
        <v>404</v>
      </c>
      <c r="E230" s="375"/>
      <c r="F230" s="376">
        <f>G265-AK230+AL230</f>
        <v>0</v>
      </c>
      <c r="G230" s="377"/>
      <c r="H230" s="397">
        <v>2</v>
      </c>
      <c r="I230" s="377">
        <v>1</v>
      </c>
      <c r="J230" s="377"/>
      <c r="K230" s="377"/>
      <c r="L230" s="377"/>
      <c r="M230" s="377"/>
      <c r="N230" s="377"/>
      <c r="O230" s="377"/>
      <c r="P230" s="377"/>
      <c r="Q230" s="377"/>
      <c r="R230" s="377"/>
      <c r="S230" s="377"/>
      <c r="T230" s="377"/>
      <c r="U230" s="377"/>
      <c r="V230" s="377"/>
      <c r="W230" s="377"/>
      <c r="X230" s="377"/>
      <c r="Y230" s="377"/>
      <c r="Z230" s="377"/>
      <c r="AA230" s="377"/>
      <c r="AB230" s="377"/>
      <c r="AC230" s="377"/>
      <c r="AD230" s="377"/>
      <c r="AE230" s="377"/>
      <c r="AF230" s="377"/>
      <c r="AG230" s="377"/>
      <c r="AH230" s="377"/>
      <c r="AI230" s="377"/>
      <c r="AJ230" s="377"/>
      <c r="AK230" s="377">
        <f>G265+AL230-G230</f>
        <v>0</v>
      </c>
      <c r="AL230" s="377"/>
      <c r="AM230" s="378"/>
      <c r="AN230" s="379"/>
      <c r="AO230" s="380"/>
      <c r="AP230" s="378"/>
      <c r="AQ230" s="381"/>
      <c r="AR230" s="381"/>
      <c r="AS230" s="381"/>
    </row>
    <row r="231" spans="1:45" ht="17.25" thickBot="1" x14ac:dyDescent="0.3">
      <c r="A231" s="467"/>
      <c r="B231" s="355" t="s">
        <v>418</v>
      </c>
      <c r="C231" s="356"/>
      <c r="D231" s="356"/>
      <c r="E231" s="359"/>
      <c r="F231" s="359"/>
      <c r="G231" s="356"/>
      <c r="H231" s="396"/>
      <c r="I231" s="356"/>
      <c r="J231" s="356"/>
      <c r="K231" s="356"/>
      <c r="L231" s="356"/>
      <c r="M231" s="356"/>
      <c r="N231" s="356"/>
      <c r="O231" s="356"/>
      <c r="P231" s="356"/>
      <c r="Q231" s="356"/>
      <c r="R231" s="356"/>
      <c r="S231" s="356"/>
      <c r="T231" s="356"/>
      <c r="U231" s="356"/>
      <c r="V231" s="356"/>
      <c r="W231" s="356"/>
      <c r="X231" s="356"/>
      <c r="Y231" s="356"/>
      <c r="Z231" s="356"/>
      <c r="AA231" s="356"/>
      <c r="AB231" s="356"/>
      <c r="AC231" s="356"/>
      <c r="AD231" s="356"/>
      <c r="AE231" s="356"/>
      <c r="AF231" s="356"/>
      <c r="AG231" s="356"/>
      <c r="AH231" s="356"/>
      <c r="AI231" s="356"/>
      <c r="AJ231" s="356"/>
      <c r="AK231" s="356"/>
      <c r="AL231" s="356"/>
      <c r="AM231" s="356"/>
      <c r="AN231" s="356"/>
      <c r="AO231" s="356"/>
      <c r="AP231" s="356"/>
      <c r="AQ231" s="356"/>
      <c r="AR231" s="356"/>
      <c r="AS231" s="357"/>
    </row>
    <row r="232" spans="1:45" ht="17.25" thickBot="1" x14ac:dyDescent="0.3">
      <c r="A232" s="467"/>
      <c r="B232" s="354"/>
      <c r="C232" s="285">
        <v>1151653</v>
      </c>
      <c r="D232" s="358" t="s">
        <v>405</v>
      </c>
      <c r="E232" s="360"/>
      <c r="F232" s="361">
        <f>G267-AK232+AL232</f>
        <v>3</v>
      </c>
      <c r="G232" s="364">
        <v>3</v>
      </c>
      <c r="H232" s="397">
        <v>1</v>
      </c>
      <c r="I232" s="364">
        <v>3</v>
      </c>
      <c r="J232" s="364"/>
      <c r="K232" s="364"/>
      <c r="L232" s="218"/>
      <c r="M232" s="218"/>
      <c r="N232" s="218"/>
      <c r="O232" s="218"/>
      <c r="P232" s="352"/>
      <c r="Q232" s="352"/>
      <c r="R232" s="352"/>
      <c r="S232" s="352"/>
      <c r="T232" s="352"/>
      <c r="U232" s="352"/>
      <c r="V232" s="218"/>
      <c r="W232" s="218"/>
      <c r="X232" s="218"/>
      <c r="Y232" s="218"/>
      <c r="Z232" s="218"/>
      <c r="AA232" s="218"/>
      <c r="AB232" s="218"/>
      <c r="AC232" s="218"/>
      <c r="AD232" s="218"/>
      <c r="AE232" s="218"/>
      <c r="AF232" s="218"/>
      <c r="AG232" s="218"/>
      <c r="AH232" s="218"/>
      <c r="AI232" s="218"/>
      <c r="AJ232" s="218"/>
      <c r="AK232" s="218">
        <f>G267+AL232-G232</f>
        <v>0</v>
      </c>
      <c r="AL232" s="218"/>
      <c r="AM232" s="353"/>
      <c r="AN232" s="295"/>
      <c r="AO232" s="296"/>
      <c r="AP232" s="353"/>
      <c r="AQ232" s="290"/>
      <c r="AR232" s="290"/>
      <c r="AS232" s="290"/>
    </row>
    <row r="233" spans="1:45" ht="17.25" thickBot="1" x14ac:dyDescent="0.3">
      <c r="A233" s="467"/>
      <c r="B233" s="354"/>
      <c r="C233" s="285">
        <v>1151650</v>
      </c>
      <c r="D233" s="358" t="s">
        <v>406</v>
      </c>
      <c r="E233" s="360"/>
      <c r="F233" s="361">
        <f>G268-AK233+AL233</f>
        <v>2</v>
      </c>
      <c r="G233" s="364">
        <v>2</v>
      </c>
      <c r="H233" s="397">
        <v>2</v>
      </c>
      <c r="I233" s="364">
        <v>2</v>
      </c>
      <c r="J233" s="364"/>
      <c r="K233" s="364">
        <v>4</v>
      </c>
      <c r="L233" s="218"/>
      <c r="M233" s="218"/>
      <c r="N233" s="218"/>
      <c r="O233" s="218"/>
      <c r="P233" s="352"/>
      <c r="Q233" s="352"/>
      <c r="R233" s="352"/>
      <c r="S233" s="352"/>
      <c r="T233" s="352"/>
      <c r="U233" s="352"/>
      <c r="V233" s="218"/>
      <c r="W233" s="218"/>
      <c r="X233" s="218"/>
      <c r="Y233" s="218"/>
      <c r="Z233" s="218"/>
      <c r="AA233" s="218"/>
      <c r="AB233" s="218"/>
      <c r="AC233" s="218"/>
      <c r="AD233" s="218"/>
      <c r="AE233" s="218"/>
      <c r="AF233" s="218"/>
      <c r="AG233" s="218"/>
      <c r="AH233" s="218"/>
      <c r="AI233" s="218"/>
      <c r="AJ233" s="218"/>
      <c r="AK233" s="218">
        <f>G268+AL233-G233</f>
        <v>0</v>
      </c>
      <c r="AL233" s="218"/>
      <c r="AM233" s="353"/>
      <c r="AN233" s="295"/>
      <c r="AO233" s="296"/>
      <c r="AP233" s="353"/>
      <c r="AQ233" s="290"/>
      <c r="AR233" s="290"/>
      <c r="AS233" s="290"/>
    </row>
    <row r="234" spans="1:45" ht="17.25" thickBot="1" x14ac:dyDescent="0.3">
      <c r="A234" s="467"/>
      <c r="B234" s="354"/>
      <c r="C234" s="285">
        <v>1151649</v>
      </c>
      <c r="D234" s="358" t="s">
        <v>407</v>
      </c>
      <c r="E234" s="360"/>
      <c r="F234" s="361">
        <f>G269-AK234+AL234</f>
        <v>5</v>
      </c>
      <c r="G234" s="369">
        <v>5</v>
      </c>
      <c r="H234" s="369">
        <v>4</v>
      </c>
      <c r="I234" s="369">
        <v>0</v>
      </c>
      <c r="J234" s="369"/>
      <c r="K234" s="369">
        <v>4</v>
      </c>
      <c r="L234" s="218"/>
      <c r="M234" s="218"/>
      <c r="N234" s="218"/>
      <c r="O234" s="218"/>
      <c r="P234" s="352"/>
      <c r="Q234" s="352"/>
      <c r="R234" s="352"/>
      <c r="S234" s="352"/>
      <c r="T234" s="352"/>
      <c r="U234" s="352"/>
      <c r="V234" s="218"/>
      <c r="W234" s="218"/>
      <c r="X234" s="218"/>
      <c r="Y234" s="218"/>
      <c r="Z234" s="218"/>
      <c r="AA234" s="218"/>
      <c r="AB234" s="218">
        <v>2</v>
      </c>
      <c r="AC234" s="218"/>
      <c r="AD234" s="218">
        <v>2</v>
      </c>
      <c r="AE234" s="218"/>
      <c r="AF234" s="218"/>
      <c r="AG234" s="218"/>
      <c r="AH234" s="218"/>
      <c r="AI234" s="218"/>
      <c r="AJ234" s="218"/>
      <c r="AK234" s="218">
        <f>G269+AL234-G234</f>
        <v>0</v>
      </c>
      <c r="AL234" s="218"/>
      <c r="AM234" s="353"/>
      <c r="AN234" s="295"/>
      <c r="AO234" s="296"/>
      <c r="AP234" s="353"/>
      <c r="AQ234" s="290"/>
      <c r="AR234" s="290"/>
      <c r="AS234" s="290"/>
    </row>
    <row r="235" spans="1:45" ht="17.25" thickBot="1" x14ac:dyDescent="0.3">
      <c r="A235" s="467"/>
      <c r="B235" s="354"/>
      <c r="C235" s="285">
        <v>1151651</v>
      </c>
      <c r="D235" s="358" t="s">
        <v>408</v>
      </c>
      <c r="E235" s="360"/>
      <c r="F235" s="361">
        <f>G270-AK235+AL235</f>
        <v>7</v>
      </c>
      <c r="G235" s="369">
        <v>7</v>
      </c>
      <c r="H235" s="369">
        <v>1</v>
      </c>
      <c r="I235" s="369">
        <v>2</v>
      </c>
      <c r="J235" s="369"/>
      <c r="K235" s="369">
        <v>3</v>
      </c>
      <c r="L235" s="218"/>
      <c r="M235" s="218"/>
      <c r="N235" s="218"/>
      <c r="O235" s="218"/>
      <c r="P235" s="352"/>
      <c r="Q235" s="352"/>
      <c r="R235" s="352"/>
      <c r="S235" s="352"/>
      <c r="T235" s="352"/>
      <c r="U235" s="352"/>
      <c r="V235" s="218"/>
      <c r="W235" s="218"/>
      <c r="X235" s="218"/>
      <c r="Y235" s="218"/>
      <c r="Z235" s="218">
        <v>2</v>
      </c>
      <c r="AA235" s="218"/>
      <c r="AB235" s="218">
        <v>2</v>
      </c>
      <c r="AC235" s="218"/>
      <c r="AD235" s="218">
        <v>3</v>
      </c>
      <c r="AE235" s="218"/>
      <c r="AF235" s="218"/>
      <c r="AG235" s="218"/>
      <c r="AH235" s="218"/>
      <c r="AI235" s="218"/>
      <c r="AJ235" s="218"/>
      <c r="AK235" s="218">
        <f>G270+AL235-G235</f>
        <v>0</v>
      </c>
      <c r="AL235" s="218"/>
      <c r="AM235" s="353"/>
      <c r="AN235" s="295"/>
      <c r="AO235" s="296"/>
      <c r="AP235" s="353"/>
      <c r="AQ235" s="290"/>
      <c r="AR235" s="290"/>
      <c r="AS235" s="290"/>
    </row>
    <row r="236" spans="1:45" ht="17.25" thickBot="1" x14ac:dyDescent="0.3">
      <c r="A236" s="467"/>
      <c r="B236" s="354"/>
      <c r="C236" s="285">
        <v>1146029</v>
      </c>
      <c r="D236" s="358" t="s">
        <v>409</v>
      </c>
      <c r="E236" s="360"/>
      <c r="F236" s="361">
        <f>G271-AK236+AL236</f>
        <v>4</v>
      </c>
      <c r="G236" s="369">
        <v>4</v>
      </c>
      <c r="H236" s="369">
        <v>2</v>
      </c>
      <c r="I236" s="369">
        <v>4</v>
      </c>
      <c r="J236" s="369"/>
      <c r="K236" s="369">
        <v>2</v>
      </c>
      <c r="L236" s="218"/>
      <c r="M236" s="218"/>
      <c r="N236" s="218"/>
      <c r="O236" s="218"/>
      <c r="P236" s="352"/>
      <c r="Q236" s="352"/>
      <c r="R236" s="352"/>
      <c r="S236" s="352"/>
      <c r="T236" s="352"/>
      <c r="U236" s="352"/>
      <c r="V236" s="218"/>
      <c r="W236" s="218"/>
      <c r="X236" s="218"/>
      <c r="Y236" s="218"/>
      <c r="Z236" s="218"/>
      <c r="AA236" s="218"/>
      <c r="AB236" s="218"/>
      <c r="AC236" s="218">
        <v>2</v>
      </c>
      <c r="AD236" s="218"/>
      <c r="AE236" s="218"/>
      <c r="AF236" s="218"/>
      <c r="AG236" s="218"/>
      <c r="AH236" s="218"/>
      <c r="AI236" s="218"/>
      <c r="AJ236" s="218"/>
      <c r="AK236" s="218">
        <f>G271+AL236-G236</f>
        <v>0</v>
      </c>
      <c r="AL236" s="218"/>
      <c r="AM236" s="353"/>
      <c r="AN236" s="295"/>
      <c r="AO236" s="296"/>
      <c r="AP236" s="353"/>
      <c r="AQ236" s="290"/>
      <c r="AR236" s="290"/>
      <c r="AS236" s="290"/>
    </row>
    <row r="237" spans="1:45" ht="17.25" thickBot="1" x14ac:dyDescent="0.3">
      <c r="A237" s="467"/>
      <c r="B237" s="355" t="s">
        <v>410</v>
      </c>
      <c r="C237" s="356"/>
      <c r="D237" s="356"/>
      <c r="E237" s="359"/>
      <c r="F237" s="359"/>
      <c r="G237" s="356"/>
      <c r="H237" s="396"/>
      <c r="I237" s="356"/>
      <c r="J237" s="356"/>
      <c r="K237" s="356"/>
      <c r="L237" s="356"/>
      <c r="M237" s="356"/>
      <c r="N237" s="356"/>
      <c r="O237" s="356"/>
      <c r="P237" s="356"/>
      <c r="Q237" s="356"/>
      <c r="R237" s="356"/>
      <c r="S237" s="356"/>
      <c r="T237" s="356"/>
      <c r="U237" s="356"/>
      <c r="V237" s="356"/>
      <c r="W237" s="356"/>
      <c r="X237" s="356"/>
      <c r="Y237" s="356"/>
      <c r="Z237" s="356"/>
      <c r="AA237" s="356"/>
      <c r="AB237" s="356"/>
      <c r="AC237" s="356"/>
      <c r="AD237" s="356"/>
      <c r="AE237" s="356"/>
      <c r="AF237" s="356"/>
      <c r="AG237" s="356"/>
      <c r="AH237" s="356"/>
      <c r="AI237" s="356"/>
      <c r="AJ237" s="356"/>
      <c r="AK237" s="356"/>
      <c r="AL237" s="356"/>
      <c r="AM237" s="356"/>
      <c r="AN237" s="356"/>
      <c r="AO237" s="356"/>
      <c r="AP237" s="356"/>
      <c r="AQ237" s="356"/>
      <c r="AR237" s="356"/>
      <c r="AS237" s="357"/>
    </row>
    <row r="238" spans="1:45" ht="17.25" thickBot="1" x14ac:dyDescent="0.3">
      <c r="A238" s="467"/>
      <c r="B238" s="354"/>
      <c r="C238" s="285">
        <v>1699118</v>
      </c>
      <c r="D238" s="358" t="s">
        <v>411</v>
      </c>
      <c r="E238" s="360"/>
      <c r="F238" s="361">
        <f>G273-AK238+AL238</f>
        <v>0</v>
      </c>
      <c r="G238" s="369">
        <v>0</v>
      </c>
      <c r="H238" s="369">
        <v>1</v>
      </c>
      <c r="I238" s="369">
        <v>0</v>
      </c>
      <c r="J238" s="369"/>
      <c r="K238" s="369"/>
      <c r="L238" s="218"/>
      <c r="M238" s="218"/>
      <c r="N238" s="218"/>
      <c r="O238" s="218"/>
      <c r="P238" s="352"/>
      <c r="Q238" s="352"/>
      <c r="R238" s="352"/>
      <c r="S238" s="352"/>
      <c r="T238" s="352"/>
      <c r="U238" s="352"/>
      <c r="V238" s="218"/>
      <c r="W238" s="218"/>
      <c r="X238" s="218"/>
      <c r="Y238" s="218"/>
      <c r="Z238" s="218"/>
      <c r="AA238" s="218"/>
      <c r="AB238" s="218">
        <v>1</v>
      </c>
      <c r="AC238" s="218"/>
      <c r="AD238" s="218"/>
      <c r="AE238" s="218"/>
      <c r="AF238" s="218">
        <v>1</v>
      </c>
      <c r="AG238" s="218"/>
      <c r="AH238" s="218"/>
      <c r="AI238" s="218"/>
      <c r="AJ238" s="218"/>
      <c r="AK238" s="218">
        <f>G273+AL238-G238</f>
        <v>0</v>
      </c>
      <c r="AL238" s="218"/>
      <c r="AM238" s="353"/>
      <c r="AN238" s="295"/>
      <c r="AO238" s="296"/>
      <c r="AP238" s="353"/>
      <c r="AQ238" s="290"/>
      <c r="AR238" s="290"/>
      <c r="AS238" s="290"/>
    </row>
    <row r="239" spans="1:45" ht="17.25" thickBot="1" x14ac:dyDescent="0.3">
      <c r="A239" s="467"/>
      <c r="B239" s="354"/>
      <c r="C239" s="285">
        <v>1699119</v>
      </c>
      <c r="D239" s="358" t="s">
        <v>412</v>
      </c>
      <c r="E239" s="360"/>
      <c r="F239" s="361">
        <f>G274-AK239+AL239</f>
        <v>4</v>
      </c>
      <c r="G239" s="369">
        <v>4</v>
      </c>
      <c r="H239" s="369">
        <v>1</v>
      </c>
      <c r="I239" s="369">
        <v>4</v>
      </c>
      <c r="J239" s="369"/>
      <c r="K239" s="369">
        <v>2</v>
      </c>
      <c r="L239" s="218"/>
      <c r="M239" s="218"/>
      <c r="N239" s="218"/>
      <c r="O239" s="218"/>
      <c r="P239" s="352"/>
      <c r="Q239" s="352"/>
      <c r="R239" s="352"/>
      <c r="S239" s="352"/>
      <c r="T239" s="352"/>
      <c r="U239" s="352"/>
      <c r="V239" s="218"/>
      <c r="W239" s="218"/>
      <c r="X239" s="218"/>
      <c r="Y239" s="218"/>
      <c r="Z239" s="218"/>
      <c r="AA239" s="218"/>
      <c r="AB239" s="218">
        <v>2</v>
      </c>
      <c r="AC239" s="218"/>
      <c r="AD239" s="218"/>
      <c r="AE239" s="218"/>
      <c r="AF239" s="218">
        <v>1</v>
      </c>
      <c r="AG239" s="218"/>
      <c r="AH239" s="218"/>
      <c r="AI239" s="218"/>
      <c r="AJ239" s="218"/>
      <c r="AK239" s="218">
        <f>G274+AL239-G239</f>
        <v>0</v>
      </c>
      <c r="AL239" s="218"/>
      <c r="AM239" s="353"/>
      <c r="AN239" s="295"/>
      <c r="AO239" s="296"/>
      <c r="AP239" s="353"/>
      <c r="AQ239" s="290"/>
      <c r="AR239" s="290"/>
      <c r="AS239" s="290"/>
    </row>
    <row r="240" spans="1:45" ht="17.25" thickBot="1" x14ac:dyDescent="0.3">
      <c r="A240" s="467"/>
      <c r="B240" s="354"/>
      <c r="C240" s="285">
        <v>1699130</v>
      </c>
      <c r="D240" s="358" t="s">
        <v>413</v>
      </c>
      <c r="E240" s="360"/>
      <c r="F240" s="361">
        <f>G275-AK240+AL240</f>
        <v>4</v>
      </c>
      <c r="G240" s="369">
        <v>4</v>
      </c>
      <c r="H240" s="369">
        <v>4</v>
      </c>
      <c r="I240" s="369">
        <v>4</v>
      </c>
      <c r="J240" s="369"/>
      <c r="K240" s="369"/>
      <c r="L240" s="218"/>
      <c r="M240" s="218"/>
      <c r="N240" s="218"/>
      <c r="O240" s="218"/>
      <c r="P240" s="352"/>
      <c r="Q240" s="352"/>
      <c r="R240" s="352"/>
      <c r="S240" s="352"/>
      <c r="T240" s="352"/>
      <c r="U240" s="352"/>
      <c r="V240" s="218"/>
      <c r="W240" s="218"/>
      <c r="X240" s="218"/>
      <c r="Y240" s="218"/>
      <c r="Z240" s="218"/>
      <c r="AA240" s="218">
        <v>2</v>
      </c>
      <c r="AB240" s="218"/>
      <c r="AC240" s="218"/>
      <c r="AD240" s="218">
        <v>4</v>
      </c>
      <c r="AE240" s="218"/>
      <c r="AF240" s="218"/>
      <c r="AG240" s="218"/>
      <c r="AH240" s="218"/>
      <c r="AI240" s="218"/>
      <c r="AJ240" s="218"/>
      <c r="AK240" s="218">
        <f>G275+AL240-G240</f>
        <v>0</v>
      </c>
      <c r="AL240" s="218"/>
      <c r="AM240" s="353"/>
      <c r="AN240" s="295"/>
      <c r="AO240" s="296"/>
      <c r="AP240" s="353"/>
      <c r="AQ240" s="290"/>
      <c r="AR240" s="290"/>
      <c r="AS240" s="290"/>
    </row>
    <row r="241" spans="1:45" ht="17.25" thickBot="1" x14ac:dyDescent="0.3">
      <c r="A241" s="467"/>
      <c r="B241" s="354"/>
      <c r="C241" s="285">
        <v>1699131</v>
      </c>
      <c r="D241" s="358" t="s">
        <v>414</v>
      </c>
      <c r="E241" s="360"/>
      <c r="F241" s="361">
        <f>G276-AK241+AL241</f>
        <v>3</v>
      </c>
      <c r="G241" s="369">
        <v>3</v>
      </c>
      <c r="H241" s="397">
        <v>3</v>
      </c>
      <c r="I241" s="369">
        <v>3</v>
      </c>
      <c r="J241" s="369"/>
      <c r="K241" s="364">
        <v>4</v>
      </c>
      <c r="L241" s="218"/>
      <c r="M241" s="218"/>
      <c r="N241" s="218"/>
      <c r="O241" s="218"/>
      <c r="P241" s="352"/>
      <c r="Q241" s="352"/>
      <c r="R241" s="352"/>
      <c r="S241" s="352"/>
      <c r="T241" s="352"/>
      <c r="U241" s="352"/>
      <c r="V241" s="218"/>
      <c r="W241" s="218"/>
      <c r="X241" s="218"/>
      <c r="Y241" s="218"/>
      <c r="Z241" s="218"/>
      <c r="AA241" s="218"/>
      <c r="AB241" s="218">
        <v>1</v>
      </c>
      <c r="AC241" s="218"/>
      <c r="AD241" s="218"/>
      <c r="AE241" s="218"/>
      <c r="AF241" s="218">
        <v>2</v>
      </c>
      <c r="AG241" s="218"/>
      <c r="AH241" s="218"/>
      <c r="AI241" s="218"/>
      <c r="AJ241" s="218"/>
      <c r="AK241" s="218">
        <f>G276+AL241-G241</f>
        <v>0</v>
      </c>
      <c r="AL241" s="218"/>
      <c r="AM241" s="353"/>
      <c r="AN241" s="295"/>
      <c r="AO241" s="296"/>
      <c r="AP241" s="353"/>
      <c r="AQ241" s="290"/>
      <c r="AR241" s="290"/>
      <c r="AS241" s="290"/>
    </row>
    <row r="242" spans="1:45" ht="17.25" thickBot="1" x14ac:dyDescent="0.3">
      <c r="A242" s="468"/>
      <c r="B242" s="354"/>
      <c r="C242" s="285">
        <v>1699132</v>
      </c>
      <c r="D242" s="358" t="s">
        <v>415</v>
      </c>
      <c r="E242" s="285"/>
      <c r="F242" s="362">
        <f>G277-AK242+AL242</f>
        <v>1</v>
      </c>
      <c r="G242" s="364">
        <v>1</v>
      </c>
      <c r="H242" s="397">
        <v>3</v>
      </c>
      <c r="I242" s="364">
        <v>1</v>
      </c>
      <c r="J242" s="364"/>
      <c r="K242" s="364">
        <v>2</v>
      </c>
      <c r="L242" s="218"/>
      <c r="M242" s="218"/>
      <c r="N242" s="218"/>
      <c r="O242" s="218"/>
      <c r="P242" s="352"/>
      <c r="Q242" s="352"/>
      <c r="R242" s="352"/>
      <c r="S242" s="352"/>
      <c r="T242" s="352"/>
      <c r="U242" s="352"/>
      <c r="V242" s="218"/>
      <c r="W242" s="218"/>
      <c r="X242" s="218"/>
      <c r="Y242" s="218"/>
      <c r="Z242" s="218"/>
      <c r="AA242" s="218"/>
      <c r="AB242" s="218"/>
      <c r="AC242" s="218"/>
      <c r="AD242" s="218"/>
      <c r="AE242" s="218"/>
      <c r="AF242" s="218">
        <v>2</v>
      </c>
      <c r="AG242" s="218"/>
      <c r="AH242" s="218"/>
      <c r="AI242" s="218"/>
      <c r="AJ242" s="218"/>
      <c r="AK242" s="218">
        <f>G277+AL242-G242</f>
        <v>0</v>
      </c>
      <c r="AL242" s="218"/>
      <c r="AM242" s="353"/>
      <c r="AN242" s="295"/>
      <c r="AO242" s="296"/>
      <c r="AP242" s="353"/>
      <c r="AQ242" s="290"/>
      <c r="AR242" s="290"/>
      <c r="AS242" s="290"/>
    </row>
    <row r="243" spans="1:45" x14ac:dyDescent="0.25">
      <c r="AL243" s="290"/>
    </row>
    <row r="244" spans="1:45" ht="14.25" thickBot="1" x14ac:dyDescent="0.3">
      <c r="B244" s="338" t="s">
        <v>18</v>
      </c>
      <c r="C244" s="339">
        <v>45817</v>
      </c>
      <c r="AA244" s="290">
        <v>0</v>
      </c>
      <c r="AL244" s="290"/>
      <c r="AM244" s="290"/>
      <c r="AN244" s="290"/>
    </row>
    <row r="245" spans="1:45" ht="41.25" thickBot="1" x14ac:dyDescent="0.3">
      <c r="B245" s="283" t="s">
        <v>0</v>
      </c>
      <c r="C245" s="284" t="s">
        <v>1</v>
      </c>
      <c r="D245" s="284" t="s">
        <v>2</v>
      </c>
      <c r="E245" s="284" t="s">
        <v>3</v>
      </c>
      <c r="F245" s="4" t="s">
        <v>318</v>
      </c>
      <c r="G245" s="351" t="s">
        <v>559</v>
      </c>
      <c r="H245" s="382" t="s">
        <v>460</v>
      </c>
      <c r="I245" s="234" t="s">
        <v>553</v>
      </c>
      <c r="J245" s="234"/>
      <c r="K245" s="258" t="s">
        <v>558</v>
      </c>
      <c r="L245" s="258" t="s">
        <v>328</v>
      </c>
      <c r="M245" s="258" t="s">
        <v>327</v>
      </c>
      <c r="N245" s="234" t="s">
        <v>389</v>
      </c>
      <c r="O245" s="240" t="s">
        <v>130</v>
      </c>
      <c r="P245" s="243" t="s">
        <v>303</v>
      </c>
      <c r="Q245" s="244" t="s">
        <v>304</v>
      </c>
      <c r="R245" s="244" t="s">
        <v>314</v>
      </c>
      <c r="S245" s="245" t="s">
        <v>338</v>
      </c>
      <c r="T245" s="245" t="s">
        <v>345</v>
      </c>
      <c r="U245" s="245" t="s">
        <v>361</v>
      </c>
      <c r="V245" s="245" t="s">
        <v>387</v>
      </c>
      <c r="W245" s="245" t="s">
        <v>421</v>
      </c>
      <c r="X245" s="245" t="s">
        <v>452</v>
      </c>
      <c r="Y245" s="245" t="s">
        <v>463</v>
      </c>
      <c r="Z245" s="245" t="s">
        <v>481</v>
      </c>
      <c r="AA245" s="245" t="s">
        <v>498</v>
      </c>
      <c r="AB245" s="245" t="s">
        <v>303</v>
      </c>
      <c r="AC245" s="245" t="s">
        <v>304</v>
      </c>
      <c r="AD245" s="245" t="s">
        <v>314</v>
      </c>
      <c r="AE245" s="245" t="s">
        <v>338</v>
      </c>
      <c r="AF245" s="245" t="s">
        <v>345</v>
      </c>
      <c r="AG245" s="245" t="s">
        <v>361</v>
      </c>
      <c r="AH245" s="245"/>
      <c r="AI245" s="245"/>
      <c r="AJ245" s="245" t="s">
        <v>360</v>
      </c>
      <c r="AK245" s="246" t="s">
        <v>268</v>
      </c>
      <c r="AL245" s="247" t="s">
        <v>269</v>
      </c>
      <c r="AM245" s="291" t="s">
        <v>288</v>
      </c>
      <c r="AN245" s="292" t="s">
        <v>289</v>
      </c>
      <c r="AO245" s="292" t="s">
        <v>287</v>
      </c>
      <c r="AP245" s="293" t="s">
        <v>290</v>
      </c>
      <c r="AQ245" s="290" t="s">
        <v>306</v>
      </c>
      <c r="AR245" s="290" t="s">
        <v>310</v>
      </c>
      <c r="AS245" s="290" t="s">
        <v>311</v>
      </c>
    </row>
    <row r="246" spans="1:45" ht="17.25" thickBot="1" x14ac:dyDescent="0.3">
      <c r="A246" s="463" t="s">
        <v>416</v>
      </c>
      <c r="B246" s="285">
        <v>273664</v>
      </c>
      <c r="C246" s="286">
        <v>1135749</v>
      </c>
      <c r="D246" s="286" t="s">
        <v>7</v>
      </c>
      <c r="E246" s="286">
        <v>6060050026</v>
      </c>
      <c r="F246" s="253">
        <f>G281-AK246+AL246</f>
        <v>10</v>
      </c>
      <c r="G246" s="235">
        <v>10</v>
      </c>
      <c r="H246" s="394">
        <v>5</v>
      </c>
      <c r="I246" s="232">
        <v>10</v>
      </c>
      <c r="J246" s="232"/>
      <c r="K246" s="232">
        <v>3</v>
      </c>
      <c r="L246" s="232">
        <f>IF(K280=K245,L281+AK246,K246)</f>
        <v>3</v>
      </c>
      <c r="M246" s="232">
        <f>IF(K280=K245,0,L281+AK246-K246)</f>
        <v>0</v>
      </c>
      <c r="N246" s="267">
        <v>5</v>
      </c>
      <c r="O246" s="241">
        <f>N246-G246</f>
        <v>-5</v>
      </c>
      <c r="P246" s="277">
        <v>4</v>
      </c>
      <c r="Q246" s="278">
        <v>4</v>
      </c>
      <c r="R246" s="279"/>
      <c r="S246" s="279">
        <v>3</v>
      </c>
      <c r="T246" s="279">
        <v>4</v>
      </c>
      <c r="U246" s="279">
        <v>2</v>
      </c>
      <c r="V246" s="279"/>
      <c r="W246" s="279">
        <f>2+3</f>
        <v>5</v>
      </c>
      <c r="X246" s="241"/>
      <c r="Y246" s="241"/>
      <c r="Z246" s="241"/>
      <c r="AA246" s="241">
        <v>4</v>
      </c>
      <c r="AB246" s="241">
        <v>5</v>
      </c>
      <c r="AC246" s="241"/>
      <c r="AD246" s="241">
        <v>6</v>
      </c>
      <c r="AE246" s="241"/>
      <c r="AF246" s="241">
        <v>2</v>
      </c>
      <c r="AG246" s="241"/>
      <c r="AH246" s="241"/>
      <c r="AI246" s="241"/>
      <c r="AJ246" s="241">
        <f>N246-V246</f>
        <v>5</v>
      </c>
      <c r="AK246" s="235">
        <f>G281+AL246-G246</f>
        <v>0</v>
      </c>
      <c r="AL246" s="350"/>
      <c r="AM246" s="294">
        <v>1.5</v>
      </c>
      <c r="AN246" s="295">
        <v>4</v>
      </c>
      <c r="AO246" s="296">
        <f>G246/(AN246)</f>
        <v>2.5</v>
      </c>
      <c r="AP246" s="297">
        <f>AN246*6</f>
        <v>24</v>
      </c>
      <c r="AQ246" s="290">
        <f>G246+K246</f>
        <v>13</v>
      </c>
      <c r="AR246" s="290">
        <f>IF(G246&lt;G281,(G281-G246+K281-K246),K281-K246)</f>
        <v>0</v>
      </c>
      <c r="AS246" s="290">
        <f>21-8</f>
        <v>13</v>
      </c>
    </row>
    <row r="247" spans="1:45" ht="17.25" thickBot="1" x14ac:dyDescent="0.3">
      <c r="A247" s="464"/>
      <c r="B247" s="285">
        <v>273672</v>
      </c>
      <c r="C247" s="286">
        <v>1135750</v>
      </c>
      <c r="D247" s="286" t="s">
        <v>9</v>
      </c>
      <c r="E247" s="287">
        <v>204000000000</v>
      </c>
      <c r="F247" s="253">
        <f>G282-AK247+AL247</f>
        <v>22</v>
      </c>
      <c r="G247" s="235">
        <v>22</v>
      </c>
      <c r="H247" s="394">
        <v>16</v>
      </c>
      <c r="I247" s="232">
        <v>8</v>
      </c>
      <c r="J247" s="232"/>
      <c r="K247" s="232">
        <v>11</v>
      </c>
      <c r="L247" s="232">
        <f>IF(K280=K245,L282+AK247,K247)</f>
        <v>11</v>
      </c>
      <c r="M247" s="232">
        <f>IF(K280=K245,0,L282+AK247-K247)</f>
        <v>0</v>
      </c>
      <c r="N247" s="267">
        <v>10</v>
      </c>
      <c r="O247" s="241">
        <f>N247-G247</f>
        <v>-12</v>
      </c>
      <c r="P247" s="277">
        <v>13</v>
      </c>
      <c r="Q247" s="278">
        <v>2</v>
      </c>
      <c r="R247" s="279">
        <v>6</v>
      </c>
      <c r="S247" s="279">
        <v>6</v>
      </c>
      <c r="T247" s="279">
        <v>10</v>
      </c>
      <c r="U247" s="279">
        <v>4</v>
      </c>
      <c r="V247" s="279">
        <v>6</v>
      </c>
      <c r="W247" s="279">
        <v>16</v>
      </c>
      <c r="X247" s="241"/>
      <c r="Y247" s="241">
        <v>6</v>
      </c>
      <c r="Z247" s="241">
        <v>4</v>
      </c>
      <c r="AA247" s="241">
        <v>6</v>
      </c>
      <c r="AB247" s="241">
        <v>14</v>
      </c>
      <c r="AC247" s="241"/>
      <c r="AD247" s="241">
        <v>12</v>
      </c>
      <c r="AE247" s="241">
        <v>6</v>
      </c>
      <c r="AF247" s="241">
        <v>14</v>
      </c>
      <c r="AG247" s="241"/>
      <c r="AH247" s="241"/>
      <c r="AI247" s="241"/>
      <c r="AJ247" s="241">
        <f>N247-V247</f>
        <v>4</v>
      </c>
      <c r="AK247" s="235">
        <f>G282+AL247-G247</f>
        <v>0</v>
      </c>
      <c r="AL247" s="236">
        <v>14</v>
      </c>
      <c r="AM247" s="298">
        <v>4.2</v>
      </c>
      <c r="AN247" s="295">
        <v>9</v>
      </c>
      <c r="AO247" s="296">
        <f>G247/(AN247)</f>
        <v>2.4444444444444446</v>
      </c>
      <c r="AP247" s="297">
        <f>AN247*6</f>
        <v>54</v>
      </c>
      <c r="AQ247" s="290">
        <f>G247+K247</f>
        <v>33</v>
      </c>
      <c r="AR247" s="290">
        <f>IF(G247&lt;G282,(G282-G247+K282-K247),K282-K247)</f>
        <v>0</v>
      </c>
      <c r="AS247" s="290">
        <f>21-8</f>
        <v>13</v>
      </c>
    </row>
    <row r="248" spans="1:45" ht="17.25" thickBot="1" x14ac:dyDescent="0.3">
      <c r="A248" s="464"/>
      <c r="B248" s="285">
        <v>273702</v>
      </c>
      <c r="C248" s="286">
        <v>1135753</v>
      </c>
      <c r="D248" s="286" t="s">
        <v>10</v>
      </c>
      <c r="E248" s="287">
        <v>301000000000</v>
      </c>
      <c r="F248" s="253">
        <f>G283-AK248+AL248</f>
        <v>3</v>
      </c>
      <c r="G248" s="235">
        <v>3</v>
      </c>
      <c r="H248" s="394">
        <v>1</v>
      </c>
      <c r="I248" s="232">
        <v>3</v>
      </c>
      <c r="J248" s="232"/>
      <c r="K248" s="232">
        <v>2</v>
      </c>
      <c r="L248" s="232">
        <f>IF(K280=K245,L283+AK248,K248)</f>
        <v>2</v>
      </c>
      <c r="M248" s="232">
        <f>IF(K280=K245,0,L283+AK248-K248)</f>
        <v>0</v>
      </c>
      <c r="N248" s="232">
        <v>2</v>
      </c>
      <c r="O248" s="241">
        <f>N248-G248</f>
        <v>-1</v>
      </c>
      <c r="P248" s="277"/>
      <c r="Q248" s="278"/>
      <c r="R248" s="279"/>
      <c r="S248" s="279"/>
      <c r="T248" s="279"/>
      <c r="U248" s="279"/>
      <c r="V248" s="279"/>
      <c r="W248" s="279"/>
      <c r="X248" s="241"/>
      <c r="Y248" s="241"/>
      <c r="Z248" s="241"/>
      <c r="AA248" s="241"/>
      <c r="AB248" s="241">
        <v>2</v>
      </c>
      <c r="AC248" s="241"/>
      <c r="AD248" s="241"/>
      <c r="AE248" s="241"/>
      <c r="AF248" s="241"/>
      <c r="AG248" s="241"/>
      <c r="AH248" s="241"/>
      <c r="AI248" s="241"/>
      <c r="AJ248" s="241">
        <f>N248-V248</f>
        <v>2</v>
      </c>
      <c r="AK248" s="235">
        <f>G283+AL248-G248</f>
        <v>0</v>
      </c>
      <c r="AL248" s="236"/>
      <c r="AM248" s="294">
        <f>4/12</f>
        <v>0.33333333333333331</v>
      </c>
      <c r="AN248" s="295">
        <v>2</v>
      </c>
      <c r="AO248" s="296">
        <f>G248/(AN248)</f>
        <v>1.5</v>
      </c>
      <c r="AP248" s="297">
        <f>AN248*6</f>
        <v>12</v>
      </c>
      <c r="AQ248" s="290">
        <f>G248+K248</f>
        <v>5</v>
      </c>
      <c r="AR248" s="290">
        <f>IF(G248&lt;G283,(G283-G248+K283-K248),K283-K248)</f>
        <v>0</v>
      </c>
      <c r="AS248" s="290">
        <f>21-8</f>
        <v>13</v>
      </c>
    </row>
    <row r="249" spans="1:45" ht="17.25" thickBot="1" x14ac:dyDescent="0.3">
      <c r="A249" s="464"/>
      <c r="B249" s="285">
        <v>273698</v>
      </c>
      <c r="C249" s="286">
        <v>1135752</v>
      </c>
      <c r="D249" s="286" t="s">
        <v>11</v>
      </c>
      <c r="E249" s="287">
        <v>701000000000</v>
      </c>
      <c r="F249" s="253">
        <f>G284-AK249+AL249</f>
        <v>1</v>
      </c>
      <c r="G249" s="235">
        <v>1</v>
      </c>
      <c r="H249" s="394">
        <v>2</v>
      </c>
      <c r="I249" s="232">
        <v>2</v>
      </c>
      <c r="J249" s="232"/>
      <c r="K249" s="232">
        <v>2</v>
      </c>
      <c r="L249" s="232">
        <f>IF(K280=K245,L284+AK249,K249)</f>
        <v>2</v>
      </c>
      <c r="M249" s="232">
        <f>IF(K280=K245,0,L284+AK249-K249)</f>
        <v>0</v>
      </c>
      <c r="N249" s="232">
        <v>3</v>
      </c>
      <c r="O249" s="241">
        <f>N249-G249</f>
        <v>2</v>
      </c>
      <c r="P249" s="277">
        <v>2</v>
      </c>
      <c r="Q249" s="278"/>
      <c r="R249" s="279"/>
      <c r="S249" s="279"/>
      <c r="T249" s="279"/>
      <c r="U249" s="279"/>
      <c r="V249" s="279"/>
      <c r="W249" s="279">
        <v>1</v>
      </c>
      <c r="X249" s="241"/>
      <c r="Y249" s="241"/>
      <c r="Z249" s="241"/>
      <c r="AA249" s="241"/>
      <c r="AB249" s="241">
        <v>2</v>
      </c>
      <c r="AC249" s="241"/>
      <c r="AD249" s="241">
        <v>2</v>
      </c>
      <c r="AE249" s="241"/>
      <c r="AF249" s="241">
        <v>1</v>
      </c>
      <c r="AG249" s="241">
        <v>2</v>
      </c>
      <c r="AH249" s="241"/>
      <c r="AI249" s="241"/>
      <c r="AJ249" s="241">
        <f>N249-V249</f>
        <v>3</v>
      </c>
      <c r="AK249" s="235">
        <f>G284+AL249-G249</f>
        <v>0</v>
      </c>
      <c r="AL249" s="236"/>
      <c r="AM249" s="294">
        <f>4/12</f>
        <v>0.33333333333333331</v>
      </c>
      <c r="AN249" s="295">
        <v>2</v>
      </c>
      <c r="AO249" s="296">
        <f>G249/(AN249)</f>
        <v>0.5</v>
      </c>
      <c r="AP249" s="297">
        <f>AN249*6</f>
        <v>12</v>
      </c>
      <c r="AQ249" s="290">
        <f>G249+K249</f>
        <v>3</v>
      </c>
      <c r="AR249" s="290">
        <f>IF(G249&lt;G284,(G284-G249+K284-K249),K284-K249)</f>
        <v>0</v>
      </c>
      <c r="AS249" s="290">
        <f>21-8</f>
        <v>13</v>
      </c>
    </row>
    <row r="250" spans="1:45" ht="17.25" thickBot="1" x14ac:dyDescent="0.3">
      <c r="A250" s="465"/>
      <c r="B250" s="285">
        <v>273680</v>
      </c>
      <c r="C250" s="286">
        <v>1135751</v>
      </c>
      <c r="D250" s="286" t="s">
        <v>12</v>
      </c>
      <c r="E250" s="286" t="s">
        <v>13</v>
      </c>
      <c r="F250" s="254">
        <f>G285-AK250+AL250</f>
        <v>12</v>
      </c>
      <c r="G250" s="237">
        <v>12</v>
      </c>
      <c r="H250" s="395">
        <v>8</v>
      </c>
      <c r="I250" s="238">
        <v>6</v>
      </c>
      <c r="J250" s="238"/>
      <c r="K250" s="238">
        <v>9</v>
      </c>
      <c r="L250" s="238">
        <f>IF(K280=K245,L285+AK250,K250)</f>
        <v>9</v>
      </c>
      <c r="M250" s="238">
        <f>IF(K280=K245,0,L285+AK250-K250)</f>
        <v>0</v>
      </c>
      <c r="N250" s="238">
        <v>9</v>
      </c>
      <c r="O250" s="242">
        <f>N250-G250</f>
        <v>-3</v>
      </c>
      <c r="P250" s="280"/>
      <c r="Q250" s="281"/>
      <c r="R250" s="282"/>
      <c r="S250" s="282"/>
      <c r="T250" s="282">
        <v>11</v>
      </c>
      <c r="U250" s="282"/>
      <c r="V250" s="282"/>
      <c r="W250" s="282">
        <v>9</v>
      </c>
      <c r="X250" s="242"/>
      <c r="Y250" s="242">
        <v>9</v>
      </c>
      <c r="Z250" s="242"/>
      <c r="AA250" s="242"/>
      <c r="AB250" s="242">
        <v>5</v>
      </c>
      <c r="AC250" s="242"/>
      <c r="AD250" s="242">
        <v>5</v>
      </c>
      <c r="AE250" s="242"/>
      <c r="AF250" s="242">
        <v>9</v>
      </c>
      <c r="AG250" s="242"/>
      <c r="AH250" s="242"/>
      <c r="AI250" s="242"/>
      <c r="AJ250" s="242">
        <f>N250-V250</f>
        <v>9</v>
      </c>
      <c r="AK250" s="235">
        <f>G285+AL250-G250</f>
        <v>0</v>
      </c>
      <c r="AL250" s="239"/>
      <c r="AM250" s="299">
        <f>30/12</f>
        <v>2.5</v>
      </c>
      <c r="AN250" s="300">
        <f>AM250*2</f>
        <v>5</v>
      </c>
      <c r="AO250" s="301">
        <f>G250/(AN250)</f>
        <v>2.4</v>
      </c>
      <c r="AP250" s="302">
        <f>AN250*6</f>
        <v>30</v>
      </c>
      <c r="AQ250" s="290">
        <f>G250+K250</f>
        <v>21</v>
      </c>
      <c r="AR250" s="290">
        <f>IF(G250&lt;G285,(G285-G250+K285-K250),K285-K250)</f>
        <v>0</v>
      </c>
      <c r="AS250" s="290">
        <f>21-8</f>
        <v>13</v>
      </c>
    </row>
    <row r="251" spans="1:45" ht="17.25" thickBot="1" x14ac:dyDescent="0.3">
      <c r="A251" s="466" t="s">
        <v>417</v>
      </c>
      <c r="B251" s="355" t="s">
        <v>129</v>
      </c>
      <c r="C251" s="356"/>
      <c r="D251" s="356"/>
      <c r="E251" s="359"/>
      <c r="F251" s="359"/>
      <c r="G251" s="356"/>
      <c r="H251" s="396"/>
      <c r="I251" s="356"/>
      <c r="J251" s="356"/>
      <c r="K251" s="356"/>
      <c r="L251" s="356"/>
      <c r="M251" s="356"/>
      <c r="N251" s="356"/>
      <c r="O251" s="356"/>
      <c r="P251" s="356"/>
      <c r="Q251" s="356"/>
      <c r="R251" s="356"/>
      <c r="S251" s="356"/>
      <c r="T251" s="356"/>
      <c r="U251" s="356"/>
      <c r="V251" s="356"/>
      <c r="W251" s="356"/>
      <c r="X251" s="356"/>
      <c r="Y251" s="356"/>
      <c r="Z251" s="356"/>
      <c r="AA251" s="356"/>
      <c r="AB251" s="356"/>
      <c r="AC251" s="356"/>
      <c r="AD251" s="356"/>
      <c r="AE251" s="356"/>
      <c r="AF251" s="356"/>
      <c r="AG251" s="356"/>
      <c r="AH251" s="356"/>
      <c r="AI251" s="356"/>
      <c r="AJ251" s="356"/>
      <c r="AK251" s="356"/>
      <c r="AL251" s="367"/>
      <c r="AM251" s="356"/>
      <c r="AN251" s="356"/>
      <c r="AO251" s="356"/>
      <c r="AP251" s="356"/>
      <c r="AQ251" s="356"/>
      <c r="AR251" s="356"/>
      <c r="AS251" s="357"/>
    </row>
    <row r="252" spans="1:45" ht="17.25" thickBot="1" x14ac:dyDescent="0.3">
      <c r="A252" s="467"/>
      <c r="B252" s="354"/>
      <c r="C252" s="354">
        <v>1140327</v>
      </c>
      <c r="D252" s="358" t="s">
        <v>394</v>
      </c>
      <c r="E252" s="360"/>
      <c r="F252" s="361">
        <f>G287-AK252+AL252</f>
        <v>31</v>
      </c>
      <c r="G252" s="218">
        <v>31</v>
      </c>
      <c r="H252" s="397">
        <v>23</v>
      </c>
      <c r="I252" s="218">
        <v>16</v>
      </c>
      <c r="J252" s="218"/>
      <c r="K252" s="218">
        <v>7</v>
      </c>
      <c r="L252" s="218">
        <f>IF(K280=K245,L287+AK252,K252)</f>
        <v>7</v>
      </c>
      <c r="M252" s="218">
        <f>IF(K280=K245,0,L287+AK252-K252)</f>
        <v>0</v>
      </c>
      <c r="N252" s="218"/>
      <c r="O252" s="218"/>
      <c r="P252" s="352"/>
      <c r="Q252" s="352"/>
      <c r="R252" s="352"/>
      <c r="S252" s="352"/>
      <c r="T252" s="352"/>
      <c r="U252" s="352"/>
      <c r="V252" s="218"/>
      <c r="W252" s="218"/>
      <c r="X252" s="218">
        <v>4</v>
      </c>
      <c r="Y252" s="218">
        <v>9</v>
      </c>
      <c r="Z252" s="218">
        <v>14</v>
      </c>
      <c r="AA252" s="218">
        <v>8</v>
      </c>
      <c r="AB252" s="218">
        <f>14+6</f>
        <v>20</v>
      </c>
      <c r="AC252" s="218">
        <v>10</v>
      </c>
      <c r="AD252" s="218">
        <v>12</v>
      </c>
      <c r="AE252" s="218">
        <v>17</v>
      </c>
      <c r="AF252" s="218">
        <v>6</v>
      </c>
      <c r="AG252" s="218"/>
      <c r="AH252" s="218"/>
      <c r="AI252" s="218"/>
      <c r="AJ252" s="242">
        <f>N252-V252</f>
        <v>0</v>
      </c>
      <c r="AK252" s="274">
        <f>G287+AL252-G252</f>
        <v>0</v>
      </c>
      <c r="AL252" s="232">
        <v>8</v>
      </c>
      <c r="AM252" s="353"/>
      <c r="AN252" s="295"/>
      <c r="AO252" s="296"/>
      <c r="AP252" s="353"/>
      <c r="AQ252" s="290"/>
      <c r="AR252" s="290"/>
      <c r="AS252" s="290"/>
    </row>
    <row r="253" spans="1:45" ht="17.25" thickBot="1" x14ac:dyDescent="0.3">
      <c r="A253" s="467"/>
      <c r="B253" s="354"/>
      <c r="C253" s="285">
        <v>1151231</v>
      </c>
      <c r="D253" s="358" t="s">
        <v>395</v>
      </c>
      <c r="E253" s="360"/>
      <c r="F253" s="361">
        <f>G288-AK253+AL253</f>
        <v>15</v>
      </c>
      <c r="G253" s="369">
        <v>15</v>
      </c>
      <c r="H253" s="397">
        <v>13</v>
      </c>
      <c r="I253" s="218">
        <v>11</v>
      </c>
      <c r="J253" s="218"/>
      <c r="K253" s="218">
        <v>6</v>
      </c>
      <c r="L253" s="218">
        <f>IF(K280=K245,L288+AK253,K253)</f>
        <v>3</v>
      </c>
      <c r="M253" s="218">
        <f>IF(K280=K245,0,L288+AK253-K253)</f>
        <v>0</v>
      </c>
      <c r="N253" s="218"/>
      <c r="O253" s="218"/>
      <c r="P253" s="352"/>
      <c r="Q253" s="352"/>
      <c r="R253" s="352"/>
      <c r="S253" s="352"/>
      <c r="T253" s="352"/>
      <c r="U253" s="352"/>
      <c r="V253" s="218"/>
      <c r="W253" s="218"/>
      <c r="X253" s="218">
        <v>3</v>
      </c>
      <c r="Y253" s="218">
        <v>8</v>
      </c>
      <c r="Z253" s="218">
        <v>6</v>
      </c>
      <c r="AA253" s="218"/>
      <c r="AB253" s="218">
        <v>4</v>
      </c>
      <c r="AC253" s="218">
        <v>4</v>
      </c>
      <c r="AD253" s="218">
        <v>4</v>
      </c>
      <c r="AE253" s="218"/>
      <c r="AF253" s="218">
        <v>4</v>
      </c>
      <c r="AG253" s="218">
        <v>3</v>
      </c>
      <c r="AH253" s="218"/>
      <c r="AI253" s="218"/>
      <c r="AJ253" s="242">
        <f>N253-V253</f>
        <v>0</v>
      </c>
      <c r="AK253" s="416">
        <f>G288+AL253-G253</f>
        <v>-3</v>
      </c>
      <c r="AL253" s="267">
        <v>4</v>
      </c>
      <c r="AM253" s="353"/>
      <c r="AN253" s="295"/>
      <c r="AO253" s="296"/>
      <c r="AP253" s="353"/>
      <c r="AQ253" s="290"/>
      <c r="AR253" s="290"/>
      <c r="AS253" s="290"/>
    </row>
    <row r="254" spans="1:45" ht="17.25" thickBot="1" x14ac:dyDescent="0.3">
      <c r="A254" s="467"/>
      <c r="B254" s="355" t="s">
        <v>420</v>
      </c>
      <c r="C254" s="356"/>
      <c r="D254" s="356" t="s">
        <v>523</v>
      </c>
      <c r="E254" s="359"/>
      <c r="F254" s="359"/>
      <c r="G254" s="356"/>
      <c r="H254" s="396"/>
      <c r="I254" s="356"/>
      <c r="J254" s="356"/>
      <c r="K254" s="356"/>
      <c r="L254" s="356"/>
      <c r="M254" s="356"/>
      <c r="N254" s="356"/>
      <c r="O254" s="356"/>
      <c r="P254" s="356"/>
      <c r="Q254" s="356"/>
      <c r="R254" s="356"/>
      <c r="S254" s="356"/>
      <c r="T254" s="356"/>
      <c r="U254" s="356"/>
      <c r="V254" s="356"/>
      <c r="W254" s="356"/>
      <c r="X254" s="356"/>
      <c r="Y254" s="356"/>
      <c r="Z254" s="356"/>
      <c r="AA254" s="356"/>
      <c r="AB254" s="356"/>
      <c r="AC254" s="356"/>
      <c r="AD254" s="356"/>
      <c r="AE254" s="356"/>
      <c r="AF254" s="356"/>
      <c r="AG254" s="356"/>
      <c r="AH254" s="356"/>
      <c r="AI254" s="356"/>
      <c r="AJ254" s="356"/>
      <c r="AK254" s="356"/>
      <c r="AL254" s="368"/>
      <c r="AM254" s="356"/>
      <c r="AN254" s="356"/>
      <c r="AO254" s="356"/>
      <c r="AP254" s="356"/>
      <c r="AQ254" s="356"/>
      <c r="AR254" s="356"/>
      <c r="AS254" s="357"/>
    </row>
    <row r="255" spans="1:45" ht="17.25" thickBot="1" x14ac:dyDescent="0.3">
      <c r="A255" s="467"/>
      <c r="B255" s="354"/>
      <c r="C255" s="285">
        <v>1146032</v>
      </c>
      <c r="D255" s="358" t="s">
        <v>396</v>
      </c>
      <c r="E255" s="360"/>
      <c r="F255" s="361">
        <f>G290-AK255+AL255</f>
        <v>0</v>
      </c>
      <c r="G255" s="364">
        <v>0</v>
      </c>
      <c r="H255" s="397">
        <v>1</v>
      </c>
      <c r="I255" s="364">
        <v>0</v>
      </c>
      <c r="J255" s="364"/>
      <c r="K255" s="364">
        <v>3</v>
      </c>
      <c r="L255" s="218"/>
      <c r="M255" s="218"/>
      <c r="N255" s="218"/>
      <c r="O255" s="218"/>
      <c r="P255" s="352"/>
      <c r="Q255" s="352"/>
      <c r="R255" s="352"/>
      <c r="S255" s="352"/>
      <c r="T255" s="352"/>
      <c r="U255" s="352"/>
      <c r="V255" s="218"/>
      <c r="W255" s="218"/>
      <c r="X255" s="218"/>
      <c r="Y255" s="218"/>
      <c r="Z255" s="218"/>
      <c r="AA255" s="218"/>
      <c r="AB255" s="218"/>
      <c r="AC255" s="218"/>
      <c r="AD255" s="218"/>
      <c r="AE255" s="218"/>
      <c r="AF255" s="218">
        <v>1</v>
      </c>
      <c r="AG255" s="218"/>
      <c r="AH255" s="218"/>
      <c r="AI255" s="218"/>
      <c r="AJ255" s="218"/>
      <c r="AK255" s="218">
        <f>G290+AL255-G255</f>
        <v>0</v>
      </c>
      <c r="AL255" s="218"/>
      <c r="AM255" s="353"/>
      <c r="AN255" s="295"/>
      <c r="AO255" s="296"/>
      <c r="AP255" s="353"/>
      <c r="AQ255" s="290"/>
      <c r="AR255" s="290"/>
      <c r="AS255" s="290"/>
    </row>
    <row r="256" spans="1:45" ht="17.25" thickBot="1" x14ac:dyDescent="0.3">
      <c r="A256" s="467"/>
      <c r="B256" s="354"/>
      <c r="C256" s="285">
        <v>1146021</v>
      </c>
      <c r="D256" s="358" t="s">
        <v>397</v>
      </c>
      <c r="E256" s="360"/>
      <c r="F256" s="361">
        <f>G291-AK256+AL256</f>
        <v>2</v>
      </c>
      <c r="G256" s="364">
        <v>2</v>
      </c>
      <c r="H256" s="397">
        <v>2</v>
      </c>
      <c r="I256" s="364">
        <v>2</v>
      </c>
      <c r="J256" s="364"/>
      <c r="K256" s="364">
        <v>1</v>
      </c>
      <c r="L256" s="218"/>
      <c r="M256" s="218"/>
      <c r="N256" s="218"/>
      <c r="O256" s="218"/>
      <c r="P256" s="352"/>
      <c r="Q256" s="352"/>
      <c r="R256" s="352"/>
      <c r="S256" s="352"/>
      <c r="T256" s="352"/>
      <c r="U256" s="352"/>
      <c r="V256" s="218"/>
      <c r="W256" s="218"/>
      <c r="X256" s="218"/>
      <c r="Y256" s="218"/>
      <c r="Z256" s="218"/>
      <c r="AA256" s="218"/>
      <c r="AB256" s="218"/>
      <c r="AC256" s="218"/>
      <c r="AD256" s="218"/>
      <c r="AE256" s="218"/>
      <c r="AF256" s="218"/>
      <c r="AG256" s="218"/>
      <c r="AH256" s="218"/>
      <c r="AI256" s="218"/>
      <c r="AJ256" s="218"/>
      <c r="AK256" s="218">
        <f>G291+AL256-G256</f>
        <v>0</v>
      </c>
      <c r="AL256" s="218"/>
      <c r="AM256" s="353"/>
      <c r="AN256" s="295"/>
      <c r="AO256" s="296"/>
      <c r="AP256" s="353"/>
      <c r="AQ256" s="290"/>
      <c r="AR256" s="290"/>
      <c r="AS256" s="290"/>
    </row>
    <row r="257" spans="1:45" ht="17.25" thickBot="1" x14ac:dyDescent="0.3">
      <c r="A257" s="467"/>
      <c r="B257" s="354"/>
      <c r="C257" s="285">
        <v>1146018</v>
      </c>
      <c r="D257" s="358" t="s">
        <v>398</v>
      </c>
      <c r="E257" s="360"/>
      <c r="F257" s="361">
        <f>G292-AK257+AL257</f>
        <v>2</v>
      </c>
      <c r="G257" s="369">
        <v>2</v>
      </c>
      <c r="H257" s="397">
        <v>1</v>
      </c>
      <c r="I257" s="364">
        <v>2</v>
      </c>
      <c r="J257" s="364"/>
      <c r="K257" s="364">
        <v>3</v>
      </c>
      <c r="L257" s="218"/>
      <c r="M257" s="218"/>
      <c r="N257" s="218"/>
      <c r="O257" s="218"/>
      <c r="P257" s="352"/>
      <c r="Q257" s="352"/>
      <c r="R257" s="352"/>
      <c r="S257" s="352"/>
      <c r="T257" s="352"/>
      <c r="U257" s="352"/>
      <c r="V257" s="218"/>
      <c r="W257" s="218"/>
      <c r="X257" s="218"/>
      <c r="Y257" s="218"/>
      <c r="Z257" s="218"/>
      <c r="AA257" s="218"/>
      <c r="AB257" s="218">
        <v>2</v>
      </c>
      <c r="AC257" s="218"/>
      <c r="AD257" s="218"/>
      <c r="AE257" s="218"/>
      <c r="AF257" s="218">
        <v>2</v>
      </c>
      <c r="AG257" s="218"/>
      <c r="AH257" s="218"/>
      <c r="AI257" s="218"/>
      <c r="AJ257" s="218"/>
      <c r="AK257" s="218">
        <f>G292+AL257-G257</f>
        <v>0</v>
      </c>
      <c r="AL257" s="218"/>
      <c r="AM257" s="353"/>
      <c r="AN257" s="295"/>
      <c r="AO257" s="296"/>
      <c r="AP257" s="353"/>
      <c r="AQ257" s="290"/>
      <c r="AR257" s="290"/>
      <c r="AS257" s="290"/>
    </row>
    <row r="258" spans="1:45" ht="17.25" thickBot="1" x14ac:dyDescent="0.3">
      <c r="A258" s="467"/>
      <c r="B258" s="354"/>
      <c r="C258" s="285">
        <v>1146024</v>
      </c>
      <c r="D258" s="358" t="s">
        <v>399</v>
      </c>
      <c r="E258" s="360"/>
      <c r="F258" s="361">
        <v>1</v>
      </c>
      <c r="G258" s="369">
        <v>2</v>
      </c>
      <c r="H258" s="369">
        <v>2</v>
      </c>
      <c r="I258" s="369">
        <v>2</v>
      </c>
      <c r="J258" s="369"/>
      <c r="K258" s="369">
        <v>2</v>
      </c>
      <c r="L258" s="218"/>
      <c r="M258" s="218"/>
      <c r="N258" s="218"/>
      <c r="O258" s="218"/>
      <c r="P258" s="352"/>
      <c r="Q258" s="352"/>
      <c r="R258" s="352"/>
      <c r="S258" s="352"/>
      <c r="T258" s="352"/>
      <c r="U258" s="352"/>
      <c r="V258" s="218"/>
      <c r="W258" s="218"/>
      <c r="X258" s="218"/>
      <c r="Y258" s="218"/>
      <c r="Z258" s="218"/>
      <c r="AA258" s="218">
        <v>1</v>
      </c>
      <c r="AB258" s="218">
        <v>1</v>
      </c>
      <c r="AC258" s="218"/>
      <c r="AD258" s="218"/>
      <c r="AE258" s="218"/>
      <c r="AF258" s="218">
        <v>2</v>
      </c>
      <c r="AG258" s="218"/>
      <c r="AH258" s="218"/>
      <c r="AI258" s="218"/>
      <c r="AJ258" s="218"/>
      <c r="AK258" s="218">
        <f>G293+AL258-G258</f>
        <v>0</v>
      </c>
      <c r="AL258" s="218"/>
      <c r="AM258" s="353"/>
      <c r="AN258" s="295"/>
      <c r="AO258" s="296"/>
      <c r="AP258" s="353"/>
      <c r="AQ258" s="290"/>
      <c r="AR258" s="290"/>
      <c r="AS258" s="290"/>
    </row>
    <row r="259" spans="1:45" ht="17.25" thickBot="1" x14ac:dyDescent="0.3">
      <c r="A259" s="467"/>
      <c r="B259" s="354"/>
      <c r="C259" s="285">
        <v>1146028</v>
      </c>
      <c r="D259" s="358" t="s">
        <v>400</v>
      </c>
      <c r="E259" s="360"/>
      <c r="F259" s="361">
        <f>G294-AK259+AL259</f>
        <v>3</v>
      </c>
      <c r="G259" s="364">
        <v>3</v>
      </c>
      <c r="H259" s="397">
        <v>2</v>
      </c>
      <c r="I259" s="364">
        <v>5</v>
      </c>
      <c r="J259" s="364"/>
      <c r="K259" s="364">
        <v>2</v>
      </c>
      <c r="L259" s="218"/>
      <c r="M259" s="218"/>
      <c r="N259" s="218"/>
      <c r="O259" s="218"/>
      <c r="P259" s="352"/>
      <c r="Q259" s="352"/>
      <c r="R259" s="352"/>
      <c r="S259" s="352"/>
      <c r="T259" s="352"/>
      <c r="U259" s="352"/>
      <c r="V259" s="218"/>
      <c r="W259" s="218"/>
      <c r="X259" s="218"/>
      <c r="Y259" s="218"/>
      <c r="Z259" s="218"/>
      <c r="AA259" s="218"/>
      <c r="AB259" s="218"/>
      <c r="AC259" s="218"/>
      <c r="AD259" s="218">
        <v>2</v>
      </c>
      <c r="AE259" s="218"/>
      <c r="AF259" s="218"/>
      <c r="AG259" s="218">
        <v>2</v>
      </c>
      <c r="AH259" s="218"/>
      <c r="AI259" s="218"/>
      <c r="AJ259" s="218"/>
      <c r="AK259" s="218">
        <f>G294+AL259-G259</f>
        <v>0</v>
      </c>
      <c r="AL259" s="218"/>
      <c r="AM259" s="353"/>
      <c r="AN259" s="295"/>
      <c r="AO259" s="296"/>
      <c r="AP259" s="353"/>
      <c r="AQ259" s="290"/>
      <c r="AR259" s="290"/>
      <c r="AS259" s="290"/>
    </row>
    <row r="260" spans="1:45" ht="17.25" thickBot="1" x14ac:dyDescent="0.3">
      <c r="A260" s="467"/>
      <c r="B260" s="355" t="s">
        <v>419</v>
      </c>
      <c r="C260" s="356"/>
      <c r="D260" s="356"/>
      <c r="E260" s="359"/>
      <c r="F260" s="359"/>
      <c r="G260" s="356"/>
      <c r="H260" s="396"/>
      <c r="I260" s="356"/>
      <c r="J260" s="356"/>
      <c r="K260" s="356"/>
      <c r="L260" s="356"/>
      <c r="M260" s="356"/>
      <c r="N260" s="356"/>
      <c r="O260" s="356"/>
      <c r="P260" s="356"/>
      <c r="Q260" s="356"/>
      <c r="R260" s="356"/>
      <c r="S260" s="356"/>
      <c r="T260" s="356"/>
      <c r="U260" s="356"/>
      <c r="V260" s="356"/>
      <c r="W260" s="356"/>
      <c r="X260" s="356"/>
      <c r="Y260" s="356"/>
      <c r="Z260" s="356"/>
      <c r="AA260" s="356"/>
      <c r="AB260" s="356"/>
      <c r="AC260" s="356"/>
      <c r="AD260" s="356"/>
      <c r="AE260" s="356"/>
      <c r="AF260" s="356"/>
      <c r="AG260" s="356"/>
      <c r="AH260" s="356"/>
      <c r="AI260" s="356"/>
      <c r="AJ260" s="356"/>
      <c r="AK260" s="356"/>
      <c r="AL260" s="356"/>
      <c r="AM260" s="356"/>
      <c r="AN260" s="356"/>
      <c r="AO260" s="356"/>
      <c r="AP260" s="356"/>
      <c r="AQ260" s="356"/>
      <c r="AR260" s="356"/>
      <c r="AS260" s="357"/>
    </row>
    <row r="261" spans="1:45" ht="17.25" thickBot="1" x14ac:dyDescent="0.3">
      <c r="A261" s="467"/>
      <c r="B261" s="372"/>
      <c r="C261" s="373">
        <v>1146031</v>
      </c>
      <c r="D261" s="374" t="s">
        <v>401</v>
      </c>
      <c r="E261" s="375"/>
      <c r="F261" s="376">
        <f>G296-AK261+AL261</f>
        <v>0</v>
      </c>
      <c r="G261" s="377"/>
      <c r="H261" s="397">
        <v>1</v>
      </c>
      <c r="I261" s="377">
        <v>1</v>
      </c>
      <c r="J261" s="377"/>
      <c r="K261" s="377">
        <v>2</v>
      </c>
      <c r="L261" s="377"/>
      <c r="M261" s="377"/>
      <c r="N261" s="377"/>
      <c r="O261" s="377"/>
      <c r="P261" s="377"/>
      <c r="Q261" s="377"/>
      <c r="R261" s="377"/>
      <c r="S261" s="377"/>
      <c r="T261" s="377"/>
      <c r="U261" s="377"/>
      <c r="V261" s="377"/>
      <c r="W261" s="377"/>
      <c r="X261" s="377"/>
      <c r="Y261" s="377"/>
      <c r="Z261" s="377"/>
      <c r="AA261" s="377"/>
      <c r="AB261" s="377"/>
      <c r="AC261" s="377"/>
      <c r="AD261" s="377"/>
      <c r="AE261" s="377"/>
      <c r="AF261" s="377"/>
      <c r="AG261" s="377"/>
      <c r="AH261" s="377"/>
      <c r="AI261" s="377"/>
      <c r="AJ261" s="377"/>
      <c r="AK261" s="377">
        <f>G296+AL261-G261</f>
        <v>0</v>
      </c>
      <c r="AL261" s="377"/>
      <c r="AM261" s="378"/>
      <c r="AN261" s="379"/>
      <c r="AO261" s="380"/>
      <c r="AP261" s="378"/>
      <c r="AQ261" s="381"/>
      <c r="AR261" s="381"/>
      <c r="AS261" s="381"/>
    </row>
    <row r="262" spans="1:45" ht="17.25" thickBot="1" x14ac:dyDescent="0.3">
      <c r="A262" s="467"/>
      <c r="B262" s="372"/>
      <c r="C262" s="373">
        <v>1146020</v>
      </c>
      <c r="D262" s="374" t="s">
        <v>402</v>
      </c>
      <c r="E262" s="375"/>
      <c r="F262" s="376">
        <f>G297-AK262+AL262</f>
        <v>0</v>
      </c>
      <c r="G262" s="377"/>
      <c r="H262" s="397">
        <v>1</v>
      </c>
      <c r="I262" s="377">
        <v>0</v>
      </c>
      <c r="J262" s="377"/>
      <c r="K262" s="377">
        <v>1</v>
      </c>
      <c r="L262" s="377"/>
      <c r="M262" s="377"/>
      <c r="N262" s="377"/>
      <c r="O262" s="377"/>
      <c r="P262" s="377"/>
      <c r="Q262" s="377"/>
      <c r="R262" s="377"/>
      <c r="S262" s="377"/>
      <c r="T262" s="377"/>
      <c r="U262" s="377"/>
      <c r="V262" s="377"/>
      <c r="W262" s="377"/>
      <c r="X262" s="377"/>
      <c r="Y262" s="377"/>
      <c r="Z262" s="377"/>
      <c r="AA262" s="377"/>
      <c r="AB262" s="377"/>
      <c r="AC262" s="377"/>
      <c r="AD262" s="377"/>
      <c r="AE262" s="377"/>
      <c r="AF262" s="377"/>
      <c r="AG262" s="377"/>
      <c r="AH262" s="377"/>
      <c r="AI262" s="377"/>
      <c r="AJ262" s="377"/>
      <c r="AK262" s="377">
        <f>G297+AL262-G262</f>
        <v>0</v>
      </c>
      <c r="AL262" s="377"/>
      <c r="AM262" s="378"/>
      <c r="AN262" s="379"/>
      <c r="AO262" s="380"/>
      <c r="AP262" s="378"/>
      <c r="AQ262" s="381"/>
      <c r="AR262" s="381"/>
      <c r="AS262" s="381"/>
    </row>
    <row r="263" spans="1:45" ht="17.25" thickBot="1" x14ac:dyDescent="0.3">
      <c r="A263" s="467"/>
      <c r="B263" s="372"/>
      <c r="C263" s="373">
        <v>1146016</v>
      </c>
      <c r="D263" s="374" t="s">
        <v>398</v>
      </c>
      <c r="E263" s="375"/>
      <c r="F263" s="376">
        <f>G298-AK263+AL263</f>
        <v>0</v>
      </c>
      <c r="G263" s="377"/>
      <c r="H263" s="397">
        <v>1</v>
      </c>
      <c r="I263" s="377">
        <v>0</v>
      </c>
      <c r="J263" s="377"/>
      <c r="K263" s="377">
        <v>0</v>
      </c>
      <c r="L263" s="377"/>
      <c r="M263" s="377"/>
      <c r="N263" s="377"/>
      <c r="O263" s="377"/>
      <c r="P263" s="377"/>
      <c r="Q263" s="377"/>
      <c r="R263" s="377"/>
      <c r="S263" s="377"/>
      <c r="T263" s="377"/>
      <c r="U263" s="377"/>
      <c r="V263" s="377"/>
      <c r="W263" s="377"/>
      <c r="X263" s="377"/>
      <c r="Y263" s="377"/>
      <c r="Z263" s="377"/>
      <c r="AA263" s="377"/>
      <c r="AB263" s="377"/>
      <c r="AC263" s="377"/>
      <c r="AD263" s="377"/>
      <c r="AE263" s="377"/>
      <c r="AF263" s="377"/>
      <c r="AG263" s="377"/>
      <c r="AH263" s="377"/>
      <c r="AI263" s="377"/>
      <c r="AJ263" s="377"/>
      <c r="AK263" s="377">
        <f>G298+AL263-G263</f>
        <v>0</v>
      </c>
      <c r="AL263" s="377"/>
      <c r="AM263" s="378"/>
      <c r="AN263" s="379"/>
      <c r="AO263" s="380"/>
      <c r="AP263" s="378"/>
      <c r="AQ263" s="381"/>
      <c r="AR263" s="381"/>
      <c r="AS263" s="381"/>
    </row>
    <row r="264" spans="1:45" ht="17.25" thickBot="1" x14ac:dyDescent="0.3">
      <c r="A264" s="467"/>
      <c r="B264" s="372"/>
      <c r="C264" s="373">
        <v>1146022</v>
      </c>
      <c r="D264" s="374" t="s">
        <v>403</v>
      </c>
      <c r="E264" s="375"/>
      <c r="F264" s="376">
        <f>G299-AK264+AL264</f>
        <v>0</v>
      </c>
      <c r="G264" s="377"/>
      <c r="H264" s="397">
        <v>2</v>
      </c>
      <c r="I264" s="377">
        <v>0</v>
      </c>
      <c r="J264" s="377"/>
      <c r="K264" s="377">
        <v>0</v>
      </c>
      <c r="L264" s="377"/>
      <c r="M264" s="377"/>
      <c r="N264" s="377"/>
      <c r="O264" s="377"/>
      <c r="P264" s="377"/>
      <c r="Q264" s="377"/>
      <c r="R264" s="377"/>
      <c r="S264" s="377"/>
      <c r="T264" s="377"/>
      <c r="U264" s="377"/>
      <c r="V264" s="377"/>
      <c r="W264" s="377"/>
      <c r="X264" s="377"/>
      <c r="Y264" s="377"/>
      <c r="Z264" s="377"/>
      <c r="AA264" s="377"/>
      <c r="AB264" s="377"/>
      <c r="AC264" s="377"/>
      <c r="AD264" s="377"/>
      <c r="AE264" s="377"/>
      <c r="AF264" s="377"/>
      <c r="AG264" s="377"/>
      <c r="AH264" s="377"/>
      <c r="AI264" s="377"/>
      <c r="AJ264" s="377"/>
      <c r="AK264" s="377">
        <f>G299+AL264-G264</f>
        <v>0</v>
      </c>
      <c r="AL264" s="377"/>
      <c r="AM264" s="378"/>
      <c r="AN264" s="379"/>
      <c r="AO264" s="380"/>
      <c r="AP264" s="378"/>
      <c r="AQ264" s="381"/>
      <c r="AR264" s="381"/>
      <c r="AS264" s="381"/>
    </row>
    <row r="265" spans="1:45" ht="17.25" thickBot="1" x14ac:dyDescent="0.3">
      <c r="A265" s="467"/>
      <c r="B265" s="372"/>
      <c r="C265" s="373">
        <v>1146027</v>
      </c>
      <c r="D265" s="374" t="s">
        <v>404</v>
      </c>
      <c r="E265" s="375"/>
      <c r="F265" s="376">
        <f>G300-AK265+AL265</f>
        <v>0</v>
      </c>
      <c r="G265" s="377"/>
      <c r="H265" s="397">
        <v>2</v>
      </c>
      <c r="I265" s="377">
        <v>1</v>
      </c>
      <c r="J265" s="377"/>
      <c r="K265" s="377">
        <v>0</v>
      </c>
      <c r="L265" s="377"/>
      <c r="M265" s="377"/>
      <c r="N265" s="377"/>
      <c r="O265" s="377"/>
      <c r="P265" s="377"/>
      <c r="Q265" s="377"/>
      <c r="R265" s="377"/>
      <c r="S265" s="377"/>
      <c r="T265" s="377"/>
      <c r="U265" s="377"/>
      <c r="V265" s="377"/>
      <c r="W265" s="377"/>
      <c r="X265" s="377"/>
      <c r="Y265" s="377"/>
      <c r="Z265" s="377"/>
      <c r="AA265" s="377"/>
      <c r="AB265" s="377"/>
      <c r="AC265" s="377"/>
      <c r="AD265" s="377"/>
      <c r="AE265" s="377"/>
      <c r="AF265" s="377"/>
      <c r="AG265" s="377"/>
      <c r="AH265" s="377"/>
      <c r="AI265" s="377"/>
      <c r="AJ265" s="377"/>
      <c r="AK265" s="377">
        <f>G300+AL265-G265</f>
        <v>0</v>
      </c>
      <c r="AL265" s="377"/>
      <c r="AM265" s="378"/>
      <c r="AN265" s="379"/>
      <c r="AO265" s="380"/>
      <c r="AP265" s="378"/>
      <c r="AQ265" s="381"/>
      <c r="AR265" s="381"/>
      <c r="AS265" s="381"/>
    </row>
    <row r="266" spans="1:45" ht="17.25" thickBot="1" x14ac:dyDescent="0.3">
      <c r="A266" s="467"/>
      <c r="B266" s="355" t="s">
        <v>418</v>
      </c>
      <c r="C266" s="356"/>
      <c r="D266" s="356"/>
      <c r="E266" s="359"/>
      <c r="F266" s="359"/>
      <c r="G266" s="356"/>
      <c r="H266" s="396"/>
      <c r="I266" s="356"/>
      <c r="J266" s="356"/>
      <c r="K266" s="356"/>
      <c r="L266" s="356"/>
      <c r="M266" s="356"/>
      <c r="N266" s="356"/>
      <c r="O266" s="356"/>
      <c r="P266" s="356"/>
      <c r="Q266" s="356"/>
      <c r="R266" s="356"/>
      <c r="S266" s="356"/>
      <c r="T266" s="356"/>
      <c r="U266" s="356"/>
      <c r="V266" s="356"/>
      <c r="W266" s="356"/>
      <c r="X266" s="356"/>
      <c r="Y266" s="356"/>
      <c r="Z266" s="356"/>
      <c r="AA266" s="356"/>
      <c r="AB266" s="356"/>
      <c r="AC266" s="356"/>
      <c r="AD266" s="356"/>
      <c r="AE266" s="356"/>
      <c r="AF266" s="356"/>
      <c r="AG266" s="356"/>
      <c r="AH266" s="356"/>
      <c r="AI266" s="356"/>
      <c r="AJ266" s="356"/>
      <c r="AK266" s="356"/>
      <c r="AL266" s="356"/>
      <c r="AM266" s="356"/>
      <c r="AN266" s="356"/>
      <c r="AO266" s="356"/>
      <c r="AP266" s="356"/>
      <c r="AQ266" s="356"/>
      <c r="AR266" s="356"/>
      <c r="AS266" s="357"/>
    </row>
    <row r="267" spans="1:45" ht="17.25" thickBot="1" x14ac:dyDescent="0.3">
      <c r="A267" s="467"/>
      <c r="B267" s="354"/>
      <c r="C267" s="285">
        <v>1151653</v>
      </c>
      <c r="D267" s="358" t="s">
        <v>405</v>
      </c>
      <c r="E267" s="360"/>
      <c r="F267" s="361">
        <f>G302-AK267+AL267</f>
        <v>3</v>
      </c>
      <c r="G267" s="364">
        <v>3</v>
      </c>
      <c r="H267" s="397">
        <v>1</v>
      </c>
      <c r="I267" s="364">
        <v>3</v>
      </c>
      <c r="J267" s="364"/>
      <c r="K267" s="364">
        <v>1</v>
      </c>
      <c r="L267" s="218"/>
      <c r="M267" s="218"/>
      <c r="N267" s="218"/>
      <c r="O267" s="218"/>
      <c r="P267" s="352"/>
      <c r="Q267" s="352"/>
      <c r="R267" s="352"/>
      <c r="S267" s="352"/>
      <c r="T267" s="352"/>
      <c r="U267" s="352"/>
      <c r="V267" s="218"/>
      <c r="W267" s="218"/>
      <c r="X267" s="218"/>
      <c r="Y267" s="218"/>
      <c r="Z267" s="218"/>
      <c r="AA267" s="218"/>
      <c r="AB267" s="218"/>
      <c r="AC267" s="218"/>
      <c r="AD267" s="218"/>
      <c r="AE267" s="218"/>
      <c r="AF267" s="218"/>
      <c r="AG267" s="218"/>
      <c r="AH267" s="218"/>
      <c r="AI267" s="218"/>
      <c r="AJ267" s="218"/>
      <c r="AK267" s="218">
        <f>G302+AL267-G267</f>
        <v>0</v>
      </c>
      <c r="AL267" s="218"/>
      <c r="AM267" s="353"/>
      <c r="AN267" s="295"/>
      <c r="AO267" s="296"/>
      <c r="AP267" s="353"/>
      <c r="AQ267" s="290"/>
      <c r="AR267" s="290"/>
      <c r="AS267" s="290"/>
    </row>
    <row r="268" spans="1:45" ht="17.25" thickBot="1" x14ac:dyDescent="0.3">
      <c r="A268" s="467"/>
      <c r="B268" s="354"/>
      <c r="C268" s="285">
        <v>1151650</v>
      </c>
      <c r="D268" s="358" t="s">
        <v>406</v>
      </c>
      <c r="E268" s="360"/>
      <c r="F268" s="361">
        <f>G303-AK268+AL268</f>
        <v>2</v>
      </c>
      <c r="G268" s="364">
        <v>2</v>
      </c>
      <c r="H268" s="397">
        <v>2</v>
      </c>
      <c r="I268" s="364">
        <v>2</v>
      </c>
      <c r="J268" s="364"/>
      <c r="K268" s="364">
        <v>5</v>
      </c>
      <c r="L268" s="218"/>
      <c r="M268" s="218"/>
      <c r="N268" s="218"/>
      <c r="O268" s="218"/>
      <c r="P268" s="352"/>
      <c r="Q268" s="352"/>
      <c r="R268" s="352"/>
      <c r="S268" s="352"/>
      <c r="T268" s="352"/>
      <c r="U268" s="352"/>
      <c r="V268" s="218"/>
      <c r="W268" s="218"/>
      <c r="X268" s="218"/>
      <c r="Y268" s="218"/>
      <c r="Z268" s="218"/>
      <c r="AA268" s="218"/>
      <c r="AB268" s="218"/>
      <c r="AC268" s="218"/>
      <c r="AD268" s="218"/>
      <c r="AE268" s="218"/>
      <c r="AF268" s="218"/>
      <c r="AG268" s="218"/>
      <c r="AH268" s="218"/>
      <c r="AI268" s="218"/>
      <c r="AJ268" s="218"/>
      <c r="AK268" s="218">
        <f>G303+AL268-G268</f>
        <v>0</v>
      </c>
      <c r="AL268" s="218"/>
      <c r="AM268" s="353"/>
      <c r="AN268" s="295"/>
      <c r="AO268" s="296"/>
      <c r="AP268" s="353"/>
      <c r="AQ268" s="290"/>
      <c r="AR268" s="290"/>
      <c r="AS268" s="290"/>
    </row>
    <row r="269" spans="1:45" ht="17.25" thickBot="1" x14ac:dyDescent="0.3">
      <c r="A269" s="467"/>
      <c r="B269" s="354"/>
      <c r="C269" s="285">
        <v>1151649</v>
      </c>
      <c r="D269" s="358" t="s">
        <v>407</v>
      </c>
      <c r="E269" s="360"/>
      <c r="F269" s="361">
        <f>G304-AK269+AL269</f>
        <v>5</v>
      </c>
      <c r="G269" s="369">
        <v>5</v>
      </c>
      <c r="H269" s="369">
        <v>4</v>
      </c>
      <c r="I269" s="369">
        <v>0</v>
      </c>
      <c r="J269" s="369"/>
      <c r="K269" s="369">
        <v>2</v>
      </c>
      <c r="L269" s="218"/>
      <c r="M269" s="218"/>
      <c r="N269" s="218"/>
      <c r="O269" s="218"/>
      <c r="P269" s="352"/>
      <c r="Q269" s="352"/>
      <c r="R269" s="352"/>
      <c r="S269" s="352"/>
      <c r="T269" s="352"/>
      <c r="U269" s="352"/>
      <c r="V269" s="218"/>
      <c r="W269" s="218"/>
      <c r="X269" s="218"/>
      <c r="Y269" s="218"/>
      <c r="Z269" s="218"/>
      <c r="AA269" s="218"/>
      <c r="AB269" s="218">
        <v>2</v>
      </c>
      <c r="AC269" s="218"/>
      <c r="AD269" s="218">
        <v>2</v>
      </c>
      <c r="AE269" s="218"/>
      <c r="AF269" s="218"/>
      <c r="AG269" s="218"/>
      <c r="AH269" s="218"/>
      <c r="AI269" s="218"/>
      <c r="AJ269" s="218"/>
      <c r="AK269" s="218">
        <f>G304+AL269-G269</f>
        <v>0</v>
      </c>
      <c r="AL269" s="218">
        <v>5</v>
      </c>
      <c r="AM269" s="353"/>
      <c r="AN269" s="295"/>
      <c r="AO269" s="296"/>
      <c r="AP269" s="353"/>
      <c r="AQ269" s="290"/>
      <c r="AR269" s="290"/>
      <c r="AS269" s="290"/>
    </row>
    <row r="270" spans="1:45" ht="17.25" thickBot="1" x14ac:dyDescent="0.3">
      <c r="A270" s="467"/>
      <c r="B270" s="354"/>
      <c r="C270" s="285">
        <v>1151651</v>
      </c>
      <c r="D270" s="358" t="s">
        <v>408</v>
      </c>
      <c r="E270" s="360"/>
      <c r="F270" s="361">
        <f>G305-AK270+AL270</f>
        <v>7</v>
      </c>
      <c r="G270" s="369">
        <v>7</v>
      </c>
      <c r="H270" s="369">
        <v>1</v>
      </c>
      <c r="I270" s="369">
        <v>2</v>
      </c>
      <c r="J270" s="369"/>
      <c r="K270" s="369">
        <v>3</v>
      </c>
      <c r="L270" s="218"/>
      <c r="M270" s="218"/>
      <c r="N270" s="218"/>
      <c r="O270" s="218"/>
      <c r="P270" s="352"/>
      <c r="Q270" s="352"/>
      <c r="R270" s="352"/>
      <c r="S270" s="352"/>
      <c r="T270" s="352"/>
      <c r="U270" s="352"/>
      <c r="V270" s="218"/>
      <c r="W270" s="218"/>
      <c r="X270" s="218"/>
      <c r="Y270" s="218"/>
      <c r="Z270" s="218">
        <v>2</v>
      </c>
      <c r="AA270" s="218"/>
      <c r="AB270" s="218">
        <v>2</v>
      </c>
      <c r="AC270" s="218"/>
      <c r="AD270" s="218">
        <v>3</v>
      </c>
      <c r="AE270" s="218"/>
      <c r="AF270" s="218"/>
      <c r="AG270" s="218"/>
      <c r="AH270" s="218"/>
      <c r="AI270" s="218"/>
      <c r="AJ270" s="218"/>
      <c r="AK270" s="218">
        <f>G305+AL270-G270</f>
        <v>0</v>
      </c>
      <c r="AL270" s="218">
        <v>3</v>
      </c>
      <c r="AM270" s="353"/>
      <c r="AN270" s="295"/>
      <c r="AO270" s="296"/>
      <c r="AP270" s="353"/>
      <c r="AQ270" s="290"/>
      <c r="AR270" s="290"/>
      <c r="AS270" s="290"/>
    </row>
    <row r="271" spans="1:45" ht="17.25" thickBot="1" x14ac:dyDescent="0.3">
      <c r="A271" s="467"/>
      <c r="B271" s="354"/>
      <c r="C271" s="285">
        <v>1146029</v>
      </c>
      <c r="D271" s="358" t="s">
        <v>409</v>
      </c>
      <c r="E271" s="360"/>
      <c r="F271" s="361">
        <f>G306-AK271+AL271</f>
        <v>4</v>
      </c>
      <c r="G271" s="369">
        <v>4</v>
      </c>
      <c r="H271" s="369">
        <v>2</v>
      </c>
      <c r="I271" s="369">
        <v>4</v>
      </c>
      <c r="J271" s="369"/>
      <c r="K271" s="369">
        <v>1</v>
      </c>
      <c r="L271" s="218"/>
      <c r="M271" s="218"/>
      <c r="N271" s="218"/>
      <c r="O271" s="218"/>
      <c r="P271" s="352"/>
      <c r="Q271" s="352"/>
      <c r="R271" s="352"/>
      <c r="S271" s="352"/>
      <c r="T271" s="352"/>
      <c r="U271" s="352"/>
      <c r="V271" s="218"/>
      <c r="W271" s="218"/>
      <c r="X271" s="218"/>
      <c r="Y271" s="218"/>
      <c r="Z271" s="218"/>
      <c r="AA271" s="218"/>
      <c r="AB271" s="218"/>
      <c r="AC271" s="218">
        <v>2</v>
      </c>
      <c r="AD271" s="218"/>
      <c r="AE271" s="218"/>
      <c r="AF271" s="218"/>
      <c r="AG271" s="218"/>
      <c r="AH271" s="218"/>
      <c r="AI271" s="218"/>
      <c r="AJ271" s="218"/>
      <c r="AK271" s="218">
        <f>G306+AL271-G271</f>
        <v>0</v>
      </c>
      <c r="AL271" s="218"/>
      <c r="AM271" s="353"/>
      <c r="AN271" s="295"/>
      <c r="AO271" s="296"/>
      <c r="AP271" s="353"/>
      <c r="AQ271" s="290"/>
      <c r="AR271" s="290"/>
      <c r="AS271" s="290"/>
    </row>
    <row r="272" spans="1:45" ht="17.25" thickBot="1" x14ac:dyDescent="0.3">
      <c r="A272" s="467"/>
      <c r="B272" s="355" t="s">
        <v>410</v>
      </c>
      <c r="C272" s="356"/>
      <c r="D272" s="356"/>
      <c r="E272" s="359"/>
      <c r="F272" s="359"/>
      <c r="G272" s="356"/>
      <c r="H272" s="396"/>
      <c r="I272" s="356"/>
      <c r="J272" s="356"/>
      <c r="K272" s="356"/>
      <c r="L272" s="356"/>
      <c r="M272" s="356"/>
      <c r="N272" s="356"/>
      <c r="O272" s="356"/>
      <c r="P272" s="356"/>
      <c r="Q272" s="356"/>
      <c r="R272" s="356"/>
      <c r="S272" s="356"/>
      <c r="T272" s="356"/>
      <c r="U272" s="356"/>
      <c r="V272" s="356"/>
      <c r="W272" s="356"/>
      <c r="X272" s="356"/>
      <c r="Y272" s="356"/>
      <c r="Z272" s="356"/>
      <c r="AA272" s="356"/>
      <c r="AB272" s="356"/>
      <c r="AC272" s="356"/>
      <c r="AD272" s="356"/>
      <c r="AE272" s="356"/>
      <c r="AF272" s="356"/>
      <c r="AG272" s="356"/>
      <c r="AH272" s="356"/>
      <c r="AI272" s="356"/>
      <c r="AJ272" s="356"/>
      <c r="AK272" s="356"/>
      <c r="AL272" s="356"/>
      <c r="AM272" s="356"/>
      <c r="AN272" s="356"/>
      <c r="AO272" s="356"/>
      <c r="AP272" s="356"/>
      <c r="AQ272" s="356"/>
      <c r="AR272" s="356"/>
      <c r="AS272" s="357"/>
    </row>
    <row r="273" spans="1:45" ht="17.25" thickBot="1" x14ac:dyDescent="0.3">
      <c r="A273" s="467"/>
      <c r="B273" s="354"/>
      <c r="C273" s="285">
        <v>1699118</v>
      </c>
      <c r="D273" s="358" t="s">
        <v>411</v>
      </c>
      <c r="E273" s="360"/>
      <c r="F273" s="361">
        <f>G308-AK273+AL273</f>
        <v>0</v>
      </c>
      <c r="G273" s="369">
        <v>0</v>
      </c>
      <c r="H273" s="369">
        <v>1</v>
      </c>
      <c r="I273" s="369">
        <v>0</v>
      </c>
      <c r="J273" s="369"/>
      <c r="K273" s="369">
        <v>0</v>
      </c>
      <c r="L273" s="218"/>
      <c r="M273" s="218"/>
      <c r="N273" s="218"/>
      <c r="O273" s="218"/>
      <c r="P273" s="352"/>
      <c r="Q273" s="352"/>
      <c r="R273" s="352"/>
      <c r="S273" s="352"/>
      <c r="T273" s="352"/>
      <c r="U273" s="352"/>
      <c r="V273" s="218"/>
      <c r="W273" s="218"/>
      <c r="X273" s="218"/>
      <c r="Y273" s="218"/>
      <c r="Z273" s="218"/>
      <c r="AA273" s="218"/>
      <c r="AB273" s="218">
        <v>1</v>
      </c>
      <c r="AC273" s="218"/>
      <c r="AD273" s="218"/>
      <c r="AE273" s="218"/>
      <c r="AF273" s="218">
        <v>1</v>
      </c>
      <c r="AG273" s="218"/>
      <c r="AH273" s="218"/>
      <c r="AI273" s="218"/>
      <c r="AJ273" s="218"/>
      <c r="AK273" s="218">
        <f>G308+AL273-G273</f>
        <v>0</v>
      </c>
      <c r="AL273" s="218"/>
      <c r="AM273" s="353"/>
      <c r="AN273" s="295"/>
      <c r="AO273" s="296"/>
      <c r="AP273" s="353"/>
      <c r="AQ273" s="290"/>
      <c r="AR273" s="290"/>
      <c r="AS273" s="290"/>
    </row>
    <row r="274" spans="1:45" ht="17.25" thickBot="1" x14ac:dyDescent="0.3">
      <c r="A274" s="467"/>
      <c r="B274" s="354"/>
      <c r="C274" s="285">
        <v>1699119</v>
      </c>
      <c r="D274" s="358" t="s">
        <v>412</v>
      </c>
      <c r="E274" s="360"/>
      <c r="F274" s="361">
        <f>G309-AK274+AL274</f>
        <v>4</v>
      </c>
      <c r="G274" s="369">
        <v>4</v>
      </c>
      <c r="H274" s="369">
        <v>1</v>
      </c>
      <c r="I274" s="369">
        <v>4</v>
      </c>
      <c r="J274" s="369"/>
      <c r="K274" s="369">
        <v>1</v>
      </c>
      <c r="L274" s="218"/>
      <c r="M274" s="218"/>
      <c r="N274" s="218"/>
      <c r="O274" s="218"/>
      <c r="P274" s="352"/>
      <c r="Q274" s="352"/>
      <c r="R274" s="352"/>
      <c r="S274" s="352"/>
      <c r="T274" s="352"/>
      <c r="U274" s="352"/>
      <c r="V274" s="218"/>
      <c r="W274" s="218"/>
      <c r="X274" s="218"/>
      <c r="Y274" s="218"/>
      <c r="Z274" s="218"/>
      <c r="AA274" s="218"/>
      <c r="AB274" s="218">
        <v>2</v>
      </c>
      <c r="AC274" s="218"/>
      <c r="AD274" s="218"/>
      <c r="AE274" s="218"/>
      <c r="AF274" s="218">
        <v>1</v>
      </c>
      <c r="AG274" s="218"/>
      <c r="AH274" s="218"/>
      <c r="AI274" s="218"/>
      <c r="AJ274" s="218"/>
      <c r="AK274" s="218">
        <f>G309+AL274-G274</f>
        <v>0</v>
      </c>
      <c r="AL274" s="218"/>
      <c r="AM274" s="353"/>
      <c r="AN274" s="295"/>
      <c r="AO274" s="296"/>
      <c r="AP274" s="353"/>
      <c r="AQ274" s="290"/>
      <c r="AR274" s="290"/>
      <c r="AS274" s="290"/>
    </row>
    <row r="275" spans="1:45" ht="17.25" thickBot="1" x14ac:dyDescent="0.3">
      <c r="A275" s="467"/>
      <c r="B275" s="354"/>
      <c r="C275" s="285">
        <v>1699130</v>
      </c>
      <c r="D275" s="358" t="s">
        <v>413</v>
      </c>
      <c r="E275" s="360"/>
      <c r="F275" s="361">
        <f>G310-AK275+AL275</f>
        <v>4</v>
      </c>
      <c r="G275" s="369">
        <v>4</v>
      </c>
      <c r="H275" s="369">
        <v>4</v>
      </c>
      <c r="I275" s="369">
        <v>4</v>
      </c>
      <c r="J275" s="369"/>
      <c r="K275" s="369">
        <v>0</v>
      </c>
      <c r="L275" s="218"/>
      <c r="M275" s="218"/>
      <c r="N275" s="218"/>
      <c r="O275" s="218"/>
      <c r="P275" s="352"/>
      <c r="Q275" s="352"/>
      <c r="R275" s="352"/>
      <c r="S275" s="352"/>
      <c r="T275" s="352"/>
      <c r="U275" s="352"/>
      <c r="V275" s="218"/>
      <c r="W275" s="218"/>
      <c r="X275" s="218"/>
      <c r="Y275" s="218"/>
      <c r="Z275" s="218"/>
      <c r="AA275" s="218">
        <v>2</v>
      </c>
      <c r="AB275" s="218"/>
      <c r="AC275" s="218"/>
      <c r="AD275" s="218">
        <v>4</v>
      </c>
      <c r="AE275" s="218"/>
      <c r="AF275" s="218"/>
      <c r="AG275" s="218"/>
      <c r="AH275" s="218"/>
      <c r="AI275" s="218"/>
      <c r="AJ275" s="218"/>
      <c r="AK275" s="218">
        <f>G310+AL275-G275</f>
        <v>0</v>
      </c>
      <c r="AL275" s="218"/>
      <c r="AM275" s="353"/>
      <c r="AN275" s="295"/>
      <c r="AO275" s="296"/>
      <c r="AP275" s="353"/>
      <c r="AQ275" s="290"/>
      <c r="AR275" s="290"/>
      <c r="AS275" s="290"/>
    </row>
    <row r="276" spans="1:45" ht="17.25" thickBot="1" x14ac:dyDescent="0.3">
      <c r="A276" s="467"/>
      <c r="B276" s="354"/>
      <c r="C276" s="285">
        <v>1699131</v>
      </c>
      <c r="D276" s="358" t="s">
        <v>414</v>
      </c>
      <c r="E276" s="360"/>
      <c r="F276" s="361">
        <f>G311-AK276+AL276</f>
        <v>3</v>
      </c>
      <c r="G276" s="369">
        <v>3</v>
      </c>
      <c r="H276" s="397">
        <v>3</v>
      </c>
      <c r="I276" s="369">
        <v>3</v>
      </c>
      <c r="J276" s="369"/>
      <c r="K276" s="364">
        <v>2</v>
      </c>
      <c r="L276" s="218"/>
      <c r="M276" s="218"/>
      <c r="N276" s="218"/>
      <c r="O276" s="218"/>
      <c r="P276" s="352"/>
      <c r="Q276" s="352"/>
      <c r="R276" s="352"/>
      <c r="S276" s="352"/>
      <c r="T276" s="352"/>
      <c r="U276" s="352"/>
      <c r="V276" s="218"/>
      <c r="W276" s="218"/>
      <c r="X276" s="218"/>
      <c r="Y276" s="218"/>
      <c r="Z276" s="218"/>
      <c r="AA276" s="218"/>
      <c r="AB276" s="218">
        <v>1</v>
      </c>
      <c r="AC276" s="218"/>
      <c r="AD276" s="218"/>
      <c r="AE276" s="218"/>
      <c r="AF276" s="218">
        <v>2</v>
      </c>
      <c r="AG276" s="218"/>
      <c r="AH276" s="218"/>
      <c r="AI276" s="218"/>
      <c r="AJ276" s="218"/>
      <c r="AK276" s="218">
        <f>G311+AL276-G276</f>
        <v>0</v>
      </c>
      <c r="AL276" s="218"/>
      <c r="AM276" s="353"/>
      <c r="AN276" s="295"/>
      <c r="AO276" s="296"/>
      <c r="AP276" s="353"/>
      <c r="AQ276" s="290"/>
      <c r="AR276" s="290"/>
      <c r="AS276" s="290"/>
    </row>
    <row r="277" spans="1:45" ht="17.25" thickBot="1" x14ac:dyDescent="0.3">
      <c r="A277" s="468"/>
      <c r="B277" s="354"/>
      <c r="C277" s="285">
        <v>1699132</v>
      </c>
      <c r="D277" s="358" t="s">
        <v>415</v>
      </c>
      <c r="E277" s="285"/>
      <c r="F277" s="362">
        <f>G312-AK277+AL277</f>
        <v>1</v>
      </c>
      <c r="G277" s="364">
        <v>1</v>
      </c>
      <c r="H277" s="397">
        <v>3</v>
      </c>
      <c r="I277" s="364">
        <v>1</v>
      </c>
      <c r="J277" s="364"/>
      <c r="K277" s="364">
        <v>2</v>
      </c>
      <c r="L277" s="218"/>
      <c r="M277" s="218"/>
      <c r="N277" s="218"/>
      <c r="O277" s="218"/>
      <c r="P277" s="352"/>
      <c r="Q277" s="352"/>
      <c r="R277" s="352"/>
      <c r="S277" s="352"/>
      <c r="T277" s="352"/>
      <c r="U277" s="352"/>
      <c r="V277" s="218"/>
      <c r="W277" s="218"/>
      <c r="X277" s="218"/>
      <c r="Y277" s="218"/>
      <c r="Z277" s="218"/>
      <c r="AA277" s="218"/>
      <c r="AB277" s="218"/>
      <c r="AC277" s="218"/>
      <c r="AD277" s="218"/>
      <c r="AE277" s="218"/>
      <c r="AF277" s="218">
        <v>2</v>
      </c>
      <c r="AG277" s="218"/>
      <c r="AH277" s="218"/>
      <c r="AI277" s="218"/>
      <c r="AJ277" s="218"/>
      <c r="AK277" s="218">
        <f>G312+AL277-G277</f>
        <v>0</v>
      </c>
      <c r="AL277" s="218"/>
      <c r="AM277" s="353"/>
      <c r="AN277" s="295"/>
      <c r="AO277" s="296"/>
      <c r="AP277" s="353"/>
      <c r="AQ277" s="290"/>
      <c r="AR277" s="290"/>
      <c r="AS277" s="290"/>
    </row>
    <row r="278" spans="1:45" x14ac:dyDescent="0.25">
      <c r="AL278" s="290"/>
    </row>
    <row r="279" spans="1:45" ht="14.25" thickBot="1" x14ac:dyDescent="0.3">
      <c r="B279" s="338" t="s">
        <v>18</v>
      </c>
      <c r="C279" s="339">
        <v>45810</v>
      </c>
      <c r="AA279" s="290">
        <v>0</v>
      </c>
      <c r="AL279" s="290"/>
      <c r="AM279" s="290"/>
      <c r="AN279" s="290"/>
    </row>
    <row r="280" spans="1:45" ht="41.25" thickBot="1" x14ac:dyDescent="0.3">
      <c r="B280" s="283" t="s">
        <v>0</v>
      </c>
      <c r="C280" s="284" t="s">
        <v>1</v>
      </c>
      <c r="D280" s="284" t="s">
        <v>2</v>
      </c>
      <c r="E280" s="284" t="s">
        <v>3</v>
      </c>
      <c r="F280" s="4" t="s">
        <v>318</v>
      </c>
      <c r="G280" s="351" t="s">
        <v>557</v>
      </c>
      <c r="H280" s="382" t="s">
        <v>460</v>
      </c>
      <c r="I280" s="234" t="s">
        <v>553</v>
      </c>
      <c r="J280" s="234"/>
      <c r="K280" s="258" t="s">
        <v>558</v>
      </c>
      <c r="L280" s="258" t="s">
        <v>328</v>
      </c>
      <c r="M280" s="258" t="s">
        <v>327</v>
      </c>
      <c r="N280" s="234" t="s">
        <v>389</v>
      </c>
      <c r="O280" s="240" t="s">
        <v>130</v>
      </c>
      <c r="P280" s="243" t="s">
        <v>303</v>
      </c>
      <c r="Q280" s="244" t="s">
        <v>304</v>
      </c>
      <c r="R280" s="244" t="s">
        <v>314</v>
      </c>
      <c r="S280" s="245" t="s">
        <v>338</v>
      </c>
      <c r="T280" s="245" t="s">
        <v>345</v>
      </c>
      <c r="U280" s="245" t="s">
        <v>361</v>
      </c>
      <c r="V280" s="245" t="s">
        <v>387</v>
      </c>
      <c r="W280" s="245" t="s">
        <v>421</v>
      </c>
      <c r="X280" s="245" t="s">
        <v>452</v>
      </c>
      <c r="Y280" s="245" t="s">
        <v>463</v>
      </c>
      <c r="Z280" s="245" t="s">
        <v>481</v>
      </c>
      <c r="AA280" s="245" t="s">
        <v>498</v>
      </c>
      <c r="AB280" s="245" t="s">
        <v>303</v>
      </c>
      <c r="AC280" s="245" t="s">
        <v>304</v>
      </c>
      <c r="AD280" s="245" t="s">
        <v>314</v>
      </c>
      <c r="AE280" s="245" t="s">
        <v>338</v>
      </c>
      <c r="AF280" s="245" t="s">
        <v>345</v>
      </c>
      <c r="AG280" s="245" t="s">
        <v>361</v>
      </c>
      <c r="AH280" s="245"/>
      <c r="AI280" s="245"/>
      <c r="AJ280" s="245" t="s">
        <v>360</v>
      </c>
      <c r="AK280" s="246" t="s">
        <v>268</v>
      </c>
      <c r="AL280" s="247" t="s">
        <v>269</v>
      </c>
      <c r="AM280" s="291" t="s">
        <v>288</v>
      </c>
      <c r="AN280" s="292" t="s">
        <v>289</v>
      </c>
      <c r="AO280" s="292" t="s">
        <v>287</v>
      </c>
      <c r="AP280" s="293" t="s">
        <v>290</v>
      </c>
      <c r="AQ280" s="290" t="s">
        <v>306</v>
      </c>
      <c r="AR280" s="290" t="s">
        <v>310</v>
      </c>
      <c r="AS280" s="290" t="s">
        <v>311</v>
      </c>
    </row>
    <row r="281" spans="1:45" ht="17.25" thickBot="1" x14ac:dyDescent="0.3">
      <c r="A281" s="463" t="s">
        <v>416</v>
      </c>
      <c r="B281" s="285">
        <v>273664</v>
      </c>
      <c r="C281" s="286">
        <v>1135749</v>
      </c>
      <c r="D281" s="286" t="s">
        <v>7</v>
      </c>
      <c r="E281" s="286">
        <v>6060050026</v>
      </c>
      <c r="F281" s="253">
        <f>G316-AK281+AL281</f>
        <v>10</v>
      </c>
      <c r="G281" s="235">
        <v>10</v>
      </c>
      <c r="H281" s="394">
        <v>5</v>
      </c>
      <c r="I281" s="232">
        <v>10</v>
      </c>
      <c r="J281" s="232"/>
      <c r="K281" s="232">
        <v>3</v>
      </c>
      <c r="L281" s="232">
        <f>IF(K315=K280,L316+AK281,K281)</f>
        <v>3</v>
      </c>
      <c r="M281" s="232">
        <f>IF(K315=K280,0,L316+AK281-K281)</f>
        <v>0</v>
      </c>
      <c r="N281" s="267">
        <v>5</v>
      </c>
      <c r="O281" s="241">
        <f>N281-G281</f>
        <v>-5</v>
      </c>
      <c r="P281" s="277">
        <v>4</v>
      </c>
      <c r="Q281" s="278">
        <v>4</v>
      </c>
      <c r="R281" s="279"/>
      <c r="S281" s="279">
        <v>3</v>
      </c>
      <c r="T281" s="279">
        <v>4</v>
      </c>
      <c r="U281" s="279">
        <v>2</v>
      </c>
      <c r="V281" s="279"/>
      <c r="W281" s="279">
        <f>2+3</f>
        <v>5</v>
      </c>
      <c r="X281" s="241"/>
      <c r="Y281" s="241"/>
      <c r="Z281" s="241"/>
      <c r="AA281" s="241">
        <v>4</v>
      </c>
      <c r="AB281" s="241">
        <v>5</v>
      </c>
      <c r="AC281" s="241"/>
      <c r="AD281" s="241">
        <v>6</v>
      </c>
      <c r="AE281" s="241"/>
      <c r="AF281" s="241">
        <v>2</v>
      </c>
      <c r="AG281" s="241"/>
      <c r="AH281" s="241"/>
      <c r="AI281" s="241"/>
      <c r="AJ281" s="241">
        <f>N281-V281</f>
        <v>5</v>
      </c>
      <c r="AK281" s="235">
        <f>G316+AL281-G281</f>
        <v>0</v>
      </c>
      <c r="AL281" s="350"/>
      <c r="AM281" s="294">
        <v>1.5</v>
      </c>
      <c r="AN281" s="295">
        <v>4</v>
      </c>
      <c r="AO281" s="296">
        <f>G281/(AN281)</f>
        <v>2.5</v>
      </c>
      <c r="AP281" s="297">
        <f>AN281*6</f>
        <v>24</v>
      </c>
      <c r="AQ281" s="290">
        <f>G281+K281</f>
        <v>13</v>
      </c>
      <c r="AR281" s="290">
        <f>IF(G281&lt;G316,(G316-G281+K316-K281),K316-K281)</f>
        <v>0</v>
      </c>
      <c r="AS281" s="290">
        <f>21-8</f>
        <v>13</v>
      </c>
    </row>
    <row r="282" spans="1:45" ht="17.25" thickBot="1" x14ac:dyDescent="0.3">
      <c r="A282" s="464"/>
      <c r="B282" s="285">
        <v>273672</v>
      </c>
      <c r="C282" s="286">
        <v>1135750</v>
      </c>
      <c r="D282" s="286" t="s">
        <v>9</v>
      </c>
      <c r="E282" s="287">
        <v>204000000000</v>
      </c>
      <c r="F282" s="253">
        <f>G317-AK282+AL282</f>
        <v>8</v>
      </c>
      <c r="G282" s="235">
        <v>8</v>
      </c>
      <c r="H282" s="394">
        <v>16</v>
      </c>
      <c r="I282" s="232">
        <v>8</v>
      </c>
      <c r="J282" s="232"/>
      <c r="K282" s="232">
        <v>11</v>
      </c>
      <c r="L282" s="232">
        <f>IF(K315=K280,L317+AK282,K282)</f>
        <v>11</v>
      </c>
      <c r="M282" s="232">
        <f>IF(K315=K280,0,L317+AK282-K282)</f>
        <v>1</v>
      </c>
      <c r="N282" s="267">
        <v>10</v>
      </c>
      <c r="O282" s="241">
        <f>N282-G282</f>
        <v>2</v>
      </c>
      <c r="P282" s="277">
        <v>13</v>
      </c>
      <c r="Q282" s="278">
        <v>2</v>
      </c>
      <c r="R282" s="279">
        <v>6</v>
      </c>
      <c r="S282" s="279">
        <v>6</v>
      </c>
      <c r="T282" s="279">
        <v>10</v>
      </c>
      <c r="U282" s="279">
        <v>4</v>
      </c>
      <c r="V282" s="279">
        <v>6</v>
      </c>
      <c r="W282" s="279">
        <v>16</v>
      </c>
      <c r="X282" s="241"/>
      <c r="Y282" s="241">
        <v>6</v>
      </c>
      <c r="Z282" s="241">
        <v>4</v>
      </c>
      <c r="AA282" s="241">
        <v>6</v>
      </c>
      <c r="AB282" s="241">
        <v>14</v>
      </c>
      <c r="AC282" s="241"/>
      <c r="AD282" s="241">
        <v>12</v>
      </c>
      <c r="AE282" s="241">
        <v>6</v>
      </c>
      <c r="AF282" s="241">
        <v>14</v>
      </c>
      <c r="AG282" s="241"/>
      <c r="AH282" s="241"/>
      <c r="AI282" s="241"/>
      <c r="AJ282" s="241">
        <f>N282-V282</f>
        <v>4</v>
      </c>
      <c r="AK282" s="235">
        <f>G317+AL282-G282</f>
        <v>0</v>
      </c>
      <c r="AL282" s="236"/>
      <c r="AM282" s="298">
        <v>4.2</v>
      </c>
      <c r="AN282" s="295">
        <v>9</v>
      </c>
      <c r="AO282" s="296">
        <f>G282/(AN282)</f>
        <v>0.88888888888888884</v>
      </c>
      <c r="AP282" s="297">
        <f>AN282*6</f>
        <v>54</v>
      </c>
      <c r="AQ282" s="290">
        <f>G282+K282</f>
        <v>19</v>
      </c>
      <c r="AR282" s="290">
        <f>IF(G282&lt;G317,(G317-G282+K317-K282),K317-K282)</f>
        <v>1</v>
      </c>
      <c r="AS282" s="290">
        <f>21-8</f>
        <v>13</v>
      </c>
    </row>
    <row r="283" spans="1:45" ht="17.25" thickBot="1" x14ac:dyDescent="0.3">
      <c r="A283" s="464"/>
      <c r="B283" s="285">
        <v>273702</v>
      </c>
      <c r="C283" s="286">
        <v>1135753</v>
      </c>
      <c r="D283" s="286" t="s">
        <v>10</v>
      </c>
      <c r="E283" s="287">
        <v>301000000000</v>
      </c>
      <c r="F283" s="253">
        <f>G318-AK283+AL283</f>
        <v>3</v>
      </c>
      <c r="G283" s="235">
        <v>3</v>
      </c>
      <c r="H283" s="394">
        <v>1</v>
      </c>
      <c r="I283" s="232">
        <v>3</v>
      </c>
      <c r="J283" s="232"/>
      <c r="K283" s="232">
        <v>2</v>
      </c>
      <c r="L283" s="232">
        <f>IF(K315=K280,L318+AK283,K283)</f>
        <v>2</v>
      </c>
      <c r="M283" s="232">
        <f>IF(K315=K280,0,L318+AK283-K283)</f>
        <v>0</v>
      </c>
      <c r="N283" s="232">
        <v>2</v>
      </c>
      <c r="O283" s="241">
        <f>N283-G283</f>
        <v>-1</v>
      </c>
      <c r="P283" s="277"/>
      <c r="Q283" s="278"/>
      <c r="R283" s="279"/>
      <c r="S283" s="279"/>
      <c r="T283" s="279"/>
      <c r="U283" s="279"/>
      <c r="V283" s="279"/>
      <c r="W283" s="279"/>
      <c r="X283" s="241"/>
      <c r="Y283" s="241"/>
      <c r="Z283" s="241"/>
      <c r="AA283" s="241"/>
      <c r="AB283" s="241">
        <v>2</v>
      </c>
      <c r="AC283" s="241"/>
      <c r="AD283" s="241"/>
      <c r="AE283" s="241"/>
      <c r="AF283" s="241"/>
      <c r="AG283" s="241"/>
      <c r="AH283" s="241"/>
      <c r="AI283" s="241"/>
      <c r="AJ283" s="241">
        <f>N283-V283</f>
        <v>2</v>
      </c>
      <c r="AK283" s="235">
        <f>G318+AL283-G283</f>
        <v>0</v>
      </c>
      <c r="AL283" s="236"/>
      <c r="AM283" s="294">
        <f>4/12</f>
        <v>0.33333333333333331</v>
      </c>
      <c r="AN283" s="295">
        <v>2</v>
      </c>
      <c r="AO283" s="296">
        <f>G283/(AN283)</f>
        <v>1.5</v>
      </c>
      <c r="AP283" s="297">
        <f>AN283*6</f>
        <v>12</v>
      </c>
      <c r="AQ283" s="290">
        <f>G283+K283</f>
        <v>5</v>
      </c>
      <c r="AR283" s="290">
        <f>IF(G283&lt;G318,(G318-G283+K318-K283),K318-K283)</f>
        <v>0</v>
      </c>
      <c r="AS283" s="290">
        <f>21-8</f>
        <v>13</v>
      </c>
    </row>
    <row r="284" spans="1:45" ht="17.25" thickBot="1" x14ac:dyDescent="0.3">
      <c r="A284" s="464"/>
      <c r="B284" s="285">
        <v>273698</v>
      </c>
      <c r="C284" s="286">
        <v>1135752</v>
      </c>
      <c r="D284" s="286" t="s">
        <v>11</v>
      </c>
      <c r="E284" s="287">
        <v>701000000000</v>
      </c>
      <c r="F284" s="253">
        <f>G319-AK284+AL284</f>
        <v>1</v>
      </c>
      <c r="G284" s="235">
        <v>1</v>
      </c>
      <c r="H284" s="394">
        <v>2</v>
      </c>
      <c r="I284" s="232">
        <v>2</v>
      </c>
      <c r="J284" s="232"/>
      <c r="K284" s="232">
        <v>2</v>
      </c>
      <c r="L284" s="232">
        <f>IF(K315=K280,L319+AK284,K284)</f>
        <v>2</v>
      </c>
      <c r="M284" s="232">
        <f>IF(K315=K280,0,L319+AK284-K284)</f>
        <v>0</v>
      </c>
      <c r="N284" s="232">
        <v>3</v>
      </c>
      <c r="O284" s="241">
        <f>N284-G284</f>
        <v>2</v>
      </c>
      <c r="P284" s="277">
        <v>2</v>
      </c>
      <c r="Q284" s="278"/>
      <c r="R284" s="279"/>
      <c r="S284" s="279"/>
      <c r="T284" s="279"/>
      <c r="U284" s="279"/>
      <c r="V284" s="279"/>
      <c r="W284" s="279">
        <v>1</v>
      </c>
      <c r="X284" s="241"/>
      <c r="Y284" s="241"/>
      <c r="Z284" s="241"/>
      <c r="AA284" s="241"/>
      <c r="AB284" s="241">
        <v>2</v>
      </c>
      <c r="AC284" s="241"/>
      <c r="AD284" s="241">
        <v>2</v>
      </c>
      <c r="AE284" s="241"/>
      <c r="AF284" s="241">
        <v>1</v>
      </c>
      <c r="AG284" s="241">
        <v>2</v>
      </c>
      <c r="AH284" s="241"/>
      <c r="AI284" s="241"/>
      <c r="AJ284" s="241">
        <f>N284-V284</f>
        <v>3</v>
      </c>
      <c r="AK284" s="235">
        <f>G319+AL284-G284</f>
        <v>2</v>
      </c>
      <c r="AL284" s="236"/>
      <c r="AM284" s="294">
        <f>4/12</f>
        <v>0.33333333333333331</v>
      </c>
      <c r="AN284" s="295">
        <v>2</v>
      </c>
      <c r="AO284" s="296">
        <f>G284/(AN284)</f>
        <v>0.5</v>
      </c>
      <c r="AP284" s="297">
        <f>AN284*6</f>
        <v>12</v>
      </c>
      <c r="AQ284" s="290">
        <f>G284+K284</f>
        <v>3</v>
      </c>
      <c r="AR284" s="290">
        <f>IF(G284&lt;G319,(G319-G284+K319-K284),K319-K284)</f>
        <v>0</v>
      </c>
      <c r="AS284" s="290">
        <f>21-8</f>
        <v>13</v>
      </c>
    </row>
    <row r="285" spans="1:45" ht="17.25" thickBot="1" x14ac:dyDescent="0.3">
      <c r="A285" s="465"/>
      <c r="B285" s="285">
        <v>273680</v>
      </c>
      <c r="C285" s="286">
        <v>1135751</v>
      </c>
      <c r="D285" s="286" t="s">
        <v>12</v>
      </c>
      <c r="E285" s="286" t="s">
        <v>13</v>
      </c>
      <c r="F285" s="254">
        <f>G320-AK285+AL285</f>
        <v>12</v>
      </c>
      <c r="G285" s="237">
        <v>12</v>
      </c>
      <c r="H285" s="395">
        <v>8</v>
      </c>
      <c r="I285" s="238">
        <v>6</v>
      </c>
      <c r="J285" s="238"/>
      <c r="K285" s="238">
        <v>9</v>
      </c>
      <c r="L285" s="238">
        <f>IF(K315=K280,L320+AK285,K285)</f>
        <v>9</v>
      </c>
      <c r="M285" s="238">
        <f>IF(K315=K280,0,L320+AK285-K285)</f>
        <v>0</v>
      </c>
      <c r="N285" s="238">
        <v>9</v>
      </c>
      <c r="O285" s="242">
        <f>N285-G285</f>
        <v>-3</v>
      </c>
      <c r="P285" s="280"/>
      <c r="Q285" s="281"/>
      <c r="R285" s="282"/>
      <c r="S285" s="282"/>
      <c r="T285" s="282">
        <v>11</v>
      </c>
      <c r="U285" s="282"/>
      <c r="V285" s="282"/>
      <c r="W285" s="282">
        <v>9</v>
      </c>
      <c r="X285" s="242"/>
      <c r="Y285" s="242">
        <v>9</v>
      </c>
      <c r="Z285" s="242"/>
      <c r="AA285" s="242"/>
      <c r="AB285" s="242">
        <v>5</v>
      </c>
      <c r="AC285" s="242"/>
      <c r="AD285" s="242">
        <v>5</v>
      </c>
      <c r="AE285" s="242"/>
      <c r="AF285" s="242">
        <v>9</v>
      </c>
      <c r="AG285" s="242"/>
      <c r="AH285" s="242"/>
      <c r="AI285" s="242"/>
      <c r="AJ285" s="242">
        <f>N285-V285</f>
        <v>9</v>
      </c>
      <c r="AK285" s="235">
        <f>G320+AL285-G285</f>
        <v>0</v>
      </c>
      <c r="AL285" s="239">
        <v>6</v>
      </c>
      <c r="AM285" s="299">
        <f>30/12</f>
        <v>2.5</v>
      </c>
      <c r="AN285" s="300">
        <f>AM285*2</f>
        <v>5</v>
      </c>
      <c r="AO285" s="301">
        <f>G285/(AN285)</f>
        <v>2.4</v>
      </c>
      <c r="AP285" s="302">
        <f>AN285*6</f>
        <v>30</v>
      </c>
      <c r="AQ285" s="290">
        <f>G285+K285</f>
        <v>21</v>
      </c>
      <c r="AR285" s="290">
        <f>IF(G285&lt;G320,(G320-G285+K320-K285),K320-K285)</f>
        <v>0</v>
      </c>
      <c r="AS285" s="290">
        <f>21-8</f>
        <v>13</v>
      </c>
    </row>
    <row r="286" spans="1:45" ht="17.25" thickBot="1" x14ac:dyDescent="0.3">
      <c r="A286" s="466" t="s">
        <v>417</v>
      </c>
      <c r="B286" s="355" t="s">
        <v>129</v>
      </c>
      <c r="C286" s="356"/>
      <c r="D286" s="356"/>
      <c r="E286" s="359"/>
      <c r="F286" s="359"/>
      <c r="G286" s="356"/>
      <c r="H286" s="396"/>
      <c r="I286" s="356"/>
      <c r="J286" s="356"/>
      <c r="K286" s="356"/>
      <c r="L286" s="356"/>
      <c r="M286" s="356"/>
      <c r="N286" s="356"/>
      <c r="O286" s="356"/>
      <c r="P286" s="356"/>
      <c r="Q286" s="356"/>
      <c r="R286" s="356"/>
      <c r="S286" s="356"/>
      <c r="T286" s="356"/>
      <c r="U286" s="356"/>
      <c r="V286" s="356"/>
      <c r="W286" s="356"/>
      <c r="X286" s="356"/>
      <c r="Y286" s="356"/>
      <c r="Z286" s="356"/>
      <c r="AA286" s="356"/>
      <c r="AB286" s="356"/>
      <c r="AC286" s="356"/>
      <c r="AD286" s="356"/>
      <c r="AE286" s="356"/>
      <c r="AF286" s="356"/>
      <c r="AG286" s="356"/>
      <c r="AH286" s="356"/>
      <c r="AI286" s="356"/>
      <c r="AJ286" s="356"/>
      <c r="AK286" s="356"/>
      <c r="AL286" s="367"/>
      <c r="AM286" s="356"/>
      <c r="AN286" s="356"/>
      <c r="AO286" s="356"/>
      <c r="AP286" s="356"/>
      <c r="AQ286" s="356"/>
      <c r="AR286" s="356"/>
      <c r="AS286" s="357"/>
    </row>
    <row r="287" spans="1:45" ht="17.25" thickBot="1" x14ac:dyDescent="0.3">
      <c r="A287" s="467"/>
      <c r="B287" s="354"/>
      <c r="C287" s="354">
        <v>1140327</v>
      </c>
      <c r="D287" s="358" t="s">
        <v>394</v>
      </c>
      <c r="E287" s="360"/>
      <c r="F287" s="361">
        <f>G322-AK287+AL287</f>
        <v>23</v>
      </c>
      <c r="G287" s="218">
        <v>23</v>
      </c>
      <c r="H287" s="397">
        <v>23</v>
      </c>
      <c r="I287" s="218">
        <v>16</v>
      </c>
      <c r="J287" s="218"/>
      <c r="K287" s="218">
        <v>7</v>
      </c>
      <c r="L287" s="218">
        <f>IF(K315=K280,L322+AK287,K287)</f>
        <v>7</v>
      </c>
      <c r="M287" s="218">
        <f>IF(K315=K280,0,L322+AK287-K287)</f>
        <v>1</v>
      </c>
      <c r="N287" s="218"/>
      <c r="O287" s="218"/>
      <c r="P287" s="352"/>
      <c r="Q287" s="352"/>
      <c r="R287" s="352"/>
      <c r="S287" s="352"/>
      <c r="T287" s="352"/>
      <c r="U287" s="352"/>
      <c r="V287" s="218"/>
      <c r="W287" s="218"/>
      <c r="X287" s="218">
        <v>4</v>
      </c>
      <c r="Y287" s="218">
        <v>9</v>
      </c>
      <c r="Z287" s="218">
        <v>14</v>
      </c>
      <c r="AA287" s="218">
        <v>8</v>
      </c>
      <c r="AB287" s="218">
        <f>14+6</f>
        <v>20</v>
      </c>
      <c r="AC287" s="218">
        <v>10</v>
      </c>
      <c r="AD287" s="218">
        <v>12</v>
      </c>
      <c r="AE287" s="218">
        <v>17</v>
      </c>
      <c r="AF287" s="218">
        <v>6</v>
      </c>
      <c r="AG287" s="218"/>
      <c r="AH287" s="218"/>
      <c r="AI287" s="218"/>
      <c r="AJ287" s="242">
        <f>N287-V287</f>
        <v>0</v>
      </c>
      <c r="AK287" s="274">
        <f>G322+AL287-G287</f>
        <v>0</v>
      </c>
      <c r="AL287" s="232">
        <v>7</v>
      </c>
      <c r="AM287" s="353"/>
      <c r="AN287" s="295"/>
      <c r="AO287" s="296"/>
      <c r="AP287" s="353"/>
      <c r="AQ287" s="290"/>
      <c r="AR287" s="290"/>
      <c r="AS287" s="290"/>
    </row>
    <row r="288" spans="1:45" ht="17.25" thickBot="1" x14ac:dyDescent="0.3">
      <c r="A288" s="467"/>
      <c r="B288" s="354"/>
      <c r="C288" s="285">
        <v>1151231</v>
      </c>
      <c r="D288" s="358" t="s">
        <v>395</v>
      </c>
      <c r="E288" s="360"/>
      <c r="F288" s="361">
        <f>G323-AK288+AL288</f>
        <v>8</v>
      </c>
      <c r="G288" s="369">
        <v>8</v>
      </c>
      <c r="H288" s="397">
        <v>13</v>
      </c>
      <c r="I288" s="218">
        <v>11</v>
      </c>
      <c r="J288" s="218"/>
      <c r="K288" s="218">
        <v>6</v>
      </c>
      <c r="L288" s="218">
        <f>IF(K315=K280,L323+AK288,K288)</f>
        <v>6</v>
      </c>
      <c r="M288" s="218">
        <f>IF(K315=K280,0,L323+AK288-K288)</f>
        <v>1</v>
      </c>
      <c r="N288" s="218"/>
      <c r="O288" s="218"/>
      <c r="P288" s="352"/>
      <c r="Q288" s="352"/>
      <c r="R288" s="352"/>
      <c r="S288" s="352"/>
      <c r="T288" s="352"/>
      <c r="U288" s="352"/>
      <c r="V288" s="218"/>
      <c r="W288" s="218"/>
      <c r="X288" s="218">
        <v>3</v>
      </c>
      <c r="Y288" s="218">
        <v>8</v>
      </c>
      <c r="Z288" s="218">
        <v>6</v>
      </c>
      <c r="AA288" s="218"/>
      <c r="AB288" s="218">
        <v>4</v>
      </c>
      <c r="AC288" s="218">
        <v>4</v>
      </c>
      <c r="AD288" s="218">
        <v>4</v>
      </c>
      <c r="AE288" s="218"/>
      <c r="AF288" s="218">
        <v>4</v>
      </c>
      <c r="AG288" s="218">
        <v>3</v>
      </c>
      <c r="AH288" s="218"/>
      <c r="AI288" s="218"/>
      <c r="AJ288" s="242">
        <f>N288-V288</f>
        <v>0</v>
      </c>
      <c r="AK288" s="274">
        <f>G323+AL288-G288</f>
        <v>3</v>
      </c>
      <c r="AL288" s="267"/>
      <c r="AM288" s="353"/>
      <c r="AN288" s="295"/>
      <c r="AO288" s="296"/>
      <c r="AP288" s="353"/>
      <c r="AQ288" s="290"/>
      <c r="AR288" s="290"/>
      <c r="AS288" s="290"/>
    </row>
    <row r="289" spans="1:45" ht="17.25" thickBot="1" x14ac:dyDescent="0.3">
      <c r="A289" s="467"/>
      <c r="B289" s="355" t="s">
        <v>420</v>
      </c>
      <c r="C289" s="356"/>
      <c r="D289" s="356" t="s">
        <v>523</v>
      </c>
      <c r="E289" s="359"/>
      <c r="F289" s="359"/>
      <c r="G289" s="356"/>
      <c r="H289" s="396"/>
      <c r="I289" s="356"/>
      <c r="J289" s="356"/>
      <c r="K289" s="356"/>
      <c r="L289" s="356"/>
      <c r="M289" s="356"/>
      <c r="N289" s="356"/>
      <c r="O289" s="356"/>
      <c r="P289" s="356"/>
      <c r="Q289" s="356"/>
      <c r="R289" s="356"/>
      <c r="S289" s="356"/>
      <c r="T289" s="356"/>
      <c r="U289" s="356"/>
      <c r="V289" s="356"/>
      <c r="W289" s="356"/>
      <c r="X289" s="356"/>
      <c r="Y289" s="356"/>
      <c r="Z289" s="356"/>
      <c r="AA289" s="356"/>
      <c r="AB289" s="356"/>
      <c r="AC289" s="356"/>
      <c r="AD289" s="356"/>
      <c r="AE289" s="356"/>
      <c r="AF289" s="356"/>
      <c r="AG289" s="356"/>
      <c r="AH289" s="356"/>
      <c r="AI289" s="356"/>
      <c r="AJ289" s="356"/>
      <c r="AK289" s="356"/>
      <c r="AL289" s="368"/>
      <c r="AM289" s="356"/>
      <c r="AN289" s="356"/>
      <c r="AO289" s="356"/>
      <c r="AP289" s="356"/>
      <c r="AQ289" s="356"/>
      <c r="AR289" s="356"/>
      <c r="AS289" s="357"/>
    </row>
    <row r="290" spans="1:45" ht="17.25" thickBot="1" x14ac:dyDescent="0.3">
      <c r="A290" s="467"/>
      <c r="B290" s="354"/>
      <c r="C290" s="285">
        <v>1146032</v>
      </c>
      <c r="D290" s="358" t="s">
        <v>396</v>
      </c>
      <c r="E290" s="360"/>
      <c r="F290" s="361">
        <f>G325-AK290+AL290</f>
        <v>0</v>
      </c>
      <c r="G290" s="364">
        <v>0</v>
      </c>
      <c r="H290" s="397">
        <v>1</v>
      </c>
      <c r="I290" s="364">
        <v>0</v>
      </c>
      <c r="J290" s="364"/>
      <c r="K290" s="364">
        <v>3</v>
      </c>
      <c r="L290" s="218"/>
      <c r="M290" s="218"/>
      <c r="N290" s="218"/>
      <c r="O290" s="218"/>
      <c r="P290" s="352"/>
      <c r="Q290" s="352"/>
      <c r="R290" s="352"/>
      <c r="S290" s="352"/>
      <c r="T290" s="352"/>
      <c r="U290" s="352"/>
      <c r="V290" s="218"/>
      <c r="W290" s="218"/>
      <c r="X290" s="218"/>
      <c r="Y290" s="218"/>
      <c r="Z290" s="218"/>
      <c r="AA290" s="218"/>
      <c r="AB290" s="218"/>
      <c r="AC290" s="218"/>
      <c r="AD290" s="218"/>
      <c r="AE290" s="218"/>
      <c r="AF290" s="218">
        <v>1</v>
      </c>
      <c r="AG290" s="218"/>
      <c r="AH290" s="218"/>
      <c r="AI290" s="218"/>
      <c r="AJ290" s="218"/>
      <c r="AK290" s="218">
        <f>G325+AL290-G290</f>
        <v>0</v>
      </c>
      <c r="AL290" s="218"/>
      <c r="AM290" s="353"/>
      <c r="AN290" s="295"/>
      <c r="AO290" s="296"/>
      <c r="AP290" s="353"/>
      <c r="AQ290" s="290"/>
      <c r="AR290" s="290"/>
      <c r="AS290" s="290"/>
    </row>
    <row r="291" spans="1:45" ht="17.25" thickBot="1" x14ac:dyDescent="0.3">
      <c r="A291" s="467"/>
      <c r="B291" s="354"/>
      <c r="C291" s="285">
        <v>1146021</v>
      </c>
      <c r="D291" s="358" t="s">
        <v>397</v>
      </c>
      <c r="E291" s="360"/>
      <c r="F291" s="361">
        <f>G326-AK291+AL291</f>
        <v>2</v>
      </c>
      <c r="G291" s="364">
        <v>2</v>
      </c>
      <c r="H291" s="397">
        <v>2</v>
      </c>
      <c r="I291" s="364">
        <v>2</v>
      </c>
      <c r="J291" s="364"/>
      <c r="K291" s="364">
        <v>1</v>
      </c>
      <c r="L291" s="218"/>
      <c r="M291" s="218"/>
      <c r="N291" s="218"/>
      <c r="O291" s="218"/>
      <c r="P291" s="352"/>
      <c r="Q291" s="352"/>
      <c r="R291" s="352"/>
      <c r="S291" s="352"/>
      <c r="T291" s="352"/>
      <c r="U291" s="352"/>
      <c r="V291" s="218"/>
      <c r="W291" s="218"/>
      <c r="X291" s="218"/>
      <c r="Y291" s="218"/>
      <c r="Z291" s="218"/>
      <c r="AA291" s="218"/>
      <c r="AB291" s="218"/>
      <c r="AC291" s="218"/>
      <c r="AD291" s="218"/>
      <c r="AE291" s="218"/>
      <c r="AF291" s="218"/>
      <c r="AG291" s="218"/>
      <c r="AH291" s="218"/>
      <c r="AI291" s="218"/>
      <c r="AJ291" s="218"/>
      <c r="AK291" s="218">
        <f>G326+AL291-G291</f>
        <v>0</v>
      </c>
      <c r="AL291" s="218"/>
      <c r="AM291" s="353"/>
      <c r="AN291" s="295"/>
      <c r="AO291" s="296"/>
      <c r="AP291" s="353"/>
      <c r="AQ291" s="290"/>
      <c r="AR291" s="290"/>
      <c r="AS291" s="290"/>
    </row>
    <row r="292" spans="1:45" ht="17.25" thickBot="1" x14ac:dyDescent="0.3">
      <c r="A292" s="467"/>
      <c r="B292" s="354"/>
      <c r="C292" s="285">
        <v>1146018</v>
      </c>
      <c r="D292" s="358" t="s">
        <v>398</v>
      </c>
      <c r="E292" s="360"/>
      <c r="F292" s="361">
        <f>G327-AK292+AL292</f>
        <v>2</v>
      </c>
      <c r="G292" s="369">
        <v>2</v>
      </c>
      <c r="H292" s="397">
        <v>1</v>
      </c>
      <c r="I292" s="364">
        <v>2</v>
      </c>
      <c r="J292" s="364"/>
      <c r="K292" s="364">
        <v>3</v>
      </c>
      <c r="L292" s="218"/>
      <c r="M292" s="218"/>
      <c r="N292" s="218"/>
      <c r="O292" s="218"/>
      <c r="P292" s="352"/>
      <c r="Q292" s="352"/>
      <c r="R292" s="352"/>
      <c r="S292" s="352"/>
      <c r="T292" s="352"/>
      <c r="U292" s="352"/>
      <c r="V292" s="218"/>
      <c r="W292" s="218"/>
      <c r="X292" s="218"/>
      <c r="Y292" s="218"/>
      <c r="Z292" s="218"/>
      <c r="AA292" s="218"/>
      <c r="AB292" s="218">
        <v>2</v>
      </c>
      <c r="AC292" s="218"/>
      <c r="AD292" s="218"/>
      <c r="AE292" s="218"/>
      <c r="AF292" s="218">
        <v>2</v>
      </c>
      <c r="AG292" s="218"/>
      <c r="AH292" s="218"/>
      <c r="AI292" s="218"/>
      <c r="AJ292" s="218"/>
      <c r="AK292" s="218">
        <f>G327+AL292-G292</f>
        <v>0</v>
      </c>
      <c r="AL292" s="218"/>
      <c r="AM292" s="353"/>
      <c r="AN292" s="295"/>
      <c r="AO292" s="296"/>
      <c r="AP292" s="353"/>
      <c r="AQ292" s="290"/>
      <c r="AR292" s="290"/>
      <c r="AS292" s="290"/>
    </row>
    <row r="293" spans="1:45" ht="17.25" thickBot="1" x14ac:dyDescent="0.3">
      <c r="A293" s="467"/>
      <c r="B293" s="354"/>
      <c r="C293" s="285">
        <v>1146024</v>
      </c>
      <c r="D293" s="358" t="s">
        <v>399</v>
      </c>
      <c r="E293" s="360"/>
      <c r="F293" s="361">
        <v>1</v>
      </c>
      <c r="G293" s="369">
        <v>2</v>
      </c>
      <c r="H293" s="369">
        <v>2</v>
      </c>
      <c r="I293" s="369">
        <v>2</v>
      </c>
      <c r="J293" s="369"/>
      <c r="K293" s="369">
        <v>2</v>
      </c>
      <c r="L293" s="218"/>
      <c r="M293" s="218"/>
      <c r="N293" s="218"/>
      <c r="O293" s="218"/>
      <c r="P293" s="352"/>
      <c r="Q293" s="352"/>
      <c r="R293" s="352"/>
      <c r="S293" s="352"/>
      <c r="T293" s="352"/>
      <c r="U293" s="352"/>
      <c r="V293" s="218"/>
      <c r="W293" s="218"/>
      <c r="X293" s="218"/>
      <c r="Y293" s="218"/>
      <c r="Z293" s="218"/>
      <c r="AA293" s="218">
        <v>1</v>
      </c>
      <c r="AB293" s="218">
        <v>1</v>
      </c>
      <c r="AC293" s="218"/>
      <c r="AD293" s="218"/>
      <c r="AE293" s="218"/>
      <c r="AF293" s="218">
        <v>2</v>
      </c>
      <c r="AG293" s="218"/>
      <c r="AH293" s="218"/>
      <c r="AI293" s="218"/>
      <c r="AJ293" s="218"/>
      <c r="AK293" s="218">
        <f>G328+AL293-G293</f>
        <v>0</v>
      </c>
      <c r="AL293" s="218"/>
      <c r="AM293" s="353"/>
      <c r="AN293" s="295"/>
      <c r="AO293" s="296"/>
      <c r="AP293" s="353"/>
      <c r="AQ293" s="290"/>
      <c r="AR293" s="290"/>
      <c r="AS293" s="290"/>
    </row>
    <row r="294" spans="1:45" ht="17.25" thickBot="1" x14ac:dyDescent="0.3">
      <c r="A294" s="467"/>
      <c r="B294" s="354"/>
      <c r="C294" s="285">
        <v>1146028</v>
      </c>
      <c r="D294" s="358" t="s">
        <v>400</v>
      </c>
      <c r="E294" s="360"/>
      <c r="F294" s="361">
        <f>G329-AK294+AL294</f>
        <v>3</v>
      </c>
      <c r="G294" s="364">
        <v>3</v>
      </c>
      <c r="H294" s="397">
        <v>2</v>
      </c>
      <c r="I294" s="364">
        <v>5</v>
      </c>
      <c r="J294" s="364"/>
      <c r="K294" s="364">
        <v>2</v>
      </c>
      <c r="L294" s="218"/>
      <c r="M294" s="218"/>
      <c r="N294" s="218"/>
      <c r="O294" s="218"/>
      <c r="P294" s="352"/>
      <c r="Q294" s="352"/>
      <c r="R294" s="352"/>
      <c r="S294" s="352"/>
      <c r="T294" s="352"/>
      <c r="U294" s="352"/>
      <c r="V294" s="218"/>
      <c r="W294" s="218"/>
      <c r="X294" s="218"/>
      <c r="Y294" s="218"/>
      <c r="Z294" s="218"/>
      <c r="AA294" s="218"/>
      <c r="AB294" s="218"/>
      <c r="AC294" s="218"/>
      <c r="AD294" s="218">
        <v>2</v>
      </c>
      <c r="AE294" s="218"/>
      <c r="AF294" s="218"/>
      <c r="AG294" s="218">
        <v>2</v>
      </c>
      <c r="AH294" s="218"/>
      <c r="AI294" s="218"/>
      <c r="AJ294" s="218"/>
      <c r="AK294" s="218">
        <f>G329+AL294-G294</f>
        <v>2</v>
      </c>
      <c r="AL294" s="218"/>
      <c r="AM294" s="353"/>
      <c r="AN294" s="295"/>
      <c r="AO294" s="296"/>
      <c r="AP294" s="353"/>
      <c r="AQ294" s="290"/>
      <c r="AR294" s="290"/>
      <c r="AS294" s="290"/>
    </row>
    <row r="295" spans="1:45" ht="17.25" thickBot="1" x14ac:dyDescent="0.3">
      <c r="A295" s="467"/>
      <c r="B295" s="355" t="s">
        <v>419</v>
      </c>
      <c r="C295" s="356"/>
      <c r="D295" s="356"/>
      <c r="E295" s="359"/>
      <c r="F295" s="359"/>
      <c r="G295" s="356"/>
      <c r="H295" s="396"/>
      <c r="I295" s="356"/>
      <c r="J295" s="356"/>
      <c r="K295" s="356"/>
      <c r="L295" s="356"/>
      <c r="M295" s="356"/>
      <c r="N295" s="356"/>
      <c r="O295" s="356"/>
      <c r="P295" s="356"/>
      <c r="Q295" s="356"/>
      <c r="R295" s="356"/>
      <c r="S295" s="356"/>
      <c r="T295" s="356"/>
      <c r="U295" s="356"/>
      <c r="V295" s="356"/>
      <c r="W295" s="356"/>
      <c r="X295" s="356"/>
      <c r="Y295" s="356"/>
      <c r="Z295" s="356"/>
      <c r="AA295" s="356"/>
      <c r="AB295" s="356"/>
      <c r="AC295" s="356"/>
      <c r="AD295" s="356"/>
      <c r="AE295" s="356"/>
      <c r="AF295" s="356"/>
      <c r="AG295" s="356"/>
      <c r="AH295" s="356"/>
      <c r="AI295" s="356"/>
      <c r="AJ295" s="356"/>
      <c r="AK295" s="356"/>
      <c r="AL295" s="356"/>
      <c r="AM295" s="356"/>
      <c r="AN295" s="356"/>
      <c r="AO295" s="356"/>
      <c r="AP295" s="356"/>
      <c r="AQ295" s="356"/>
      <c r="AR295" s="356"/>
      <c r="AS295" s="357"/>
    </row>
    <row r="296" spans="1:45" ht="17.25" thickBot="1" x14ac:dyDescent="0.3">
      <c r="A296" s="467"/>
      <c r="B296" s="372"/>
      <c r="C296" s="373">
        <v>1146031</v>
      </c>
      <c r="D296" s="374" t="s">
        <v>401</v>
      </c>
      <c r="E296" s="375"/>
      <c r="F296" s="376">
        <f>G331-AK296+AL296</f>
        <v>0</v>
      </c>
      <c r="G296" s="377">
        <v>0</v>
      </c>
      <c r="H296" s="397">
        <v>1</v>
      </c>
      <c r="I296" s="377">
        <v>1</v>
      </c>
      <c r="J296" s="377"/>
      <c r="K296" s="377">
        <v>2</v>
      </c>
      <c r="L296" s="377"/>
      <c r="M296" s="377"/>
      <c r="N296" s="377"/>
      <c r="O296" s="377"/>
      <c r="P296" s="377"/>
      <c r="Q296" s="377"/>
      <c r="R296" s="377"/>
      <c r="S296" s="377"/>
      <c r="T296" s="377"/>
      <c r="U296" s="377"/>
      <c r="V296" s="377"/>
      <c r="W296" s="377"/>
      <c r="X296" s="377"/>
      <c r="Y296" s="377"/>
      <c r="Z296" s="377"/>
      <c r="AA296" s="377"/>
      <c r="AB296" s="377"/>
      <c r="AC296" s="377"/>
      <c r="AD296" s="377"/>
      <c r="AE296" s="377"/>
      <c r="AF296" s="377"/>
      <c r="AG296" s="377"/>
      <c r="AH296" s="377"/>
      <c r="AI296" s="377"/>
      <c r="AJ296" s="377"/>
      <c r="AK296" s="377">
        <f>G331+AL296-G296</f>
        <v>1</v>
      </c>
      <c r="AL296" s="377"/>
      <c r="AM296" s="378"/>
      <c r="AN296" s="379"/>
      <c r="AO296" s="380"/>
      <c r="AP296" s="378"/>
      <c r="AQ296" s="381"/>
      <c r="AR296" s="381"/>
      <c r="AS296" s="381"/>
    </row>
    <row r="297" spans="1:45" ht="17.25" thickBot="1" x14ac:dyDescent="0.3">
      <c r="A297" s="467"/>
      <c r="B297" s="372"/>
      <c r="C297" s="373">
        <v>1146020</v>
      </c>
      <c r="D297" s="374" t="s">
        <v>402</v>
      </c>
      <c r="E297" s="375"/>
      <c r="F297" s="376">
        <f>G332-AK297+AL297</f>
        <v>0</v>
      </c>
      <c r="G297" s="377">
        <v>0</v>
      </c>
      <c r="H297" s="397">
        <v>1</v>
      </c>
      <c r="I297" s="377">
        <v>0</v>
      </c>
      <c r="J297" s="377"/>
      <c r="K297" s="377">
        <v>1</v>
      </c>
      <c r="L297" s="377"/>
      <c r="M297" s="377"/>
      <c r="N297" s="377"/>
      <c r="O297" s="377"/>
      <c r="P297" s="377"/>
      <c r="Q297" s="377"/>
      <c r="R297" s="377"/>
      <c r="S297" s="377"/>
      <c r="T297" s="377"/>
      <c r="U297" s="377"/>
      <c r="V297" s="377"/>
      <c r="W297" s="377"/>
      <c r="X297" s="377"/>
      <c r="Y297" s="377"/>
      <c r="Z297" s="377"/>
      <c r="AA297" s="377"/>
      <c r="AB297" s="377"/>
      <c r="AC297" s="377"/>
      <c r="AD297" s="377"/>
      <c r="AE297" s="377"/>
      <c r="AF297" s="377"/>
      <c r="AG297" s="377"/>
      <c r="AH297" s="377"/>
      <c r="AI297" s="377"/>
      <c r="AJ297" s="377"/>
      <c r="AK297" s="377">
        <f>G332+AL297-G297</f>
        <v>0</v>
      </c>
      <c r="AL297" s="377"/>
      <c r="AM297" s="378"/>
      <c r="AN297" s="379"/>
      <c r="AO297" s="380"/>
      <c r="AP297" s="378"/>
      <c r="AQ297" s="381"/>
      <c r="AR297" s="381"/>
      <c r="AS297" s="381"/>
    </row>
    <row r="298" spans="1:45" ht="17.25" thickBot="1" x14ac:dyDescent="0.3">
      <c r="A298" s="467"/>
      <c r="B298" s="372"/>
      <c r="C298" s="373">
        <v>1146016</v>
      </c>
      <c r="D298" s="374" t="s">
        <v>398</v>
      </c>
      <c r="E298" s="375"/>
      <c r="F298" s="376">
        <f>G333-AK298+AL298</f>
        <v>0</v>
      </c>
      <c r="G298" s="377">
        <v>0</v>
      </c>
      <c r="H298" s="397">
        <v>1</v>
      </c>
      <c r="I298" s="377">
        <v>0</v>
      </c>
      <c r="J298" s="377"/>
      <c r="K298" s="377">
        <v>0</v>
      </c>
      <c r="L298" s="377"/>
      <c r="M298" s="377"/>
      <c r="N298" s="377"/>
      <c r="O298" s="377"/>
      <c r="P298" s="377"/>
      <c r="Q298" s="377"/>
      <c r="R298" s="377"/>
      <c r="S298" s="377"/>
      <c r="T298" s="377"/>
      <c r="U298" s="377"/>
      <c r="V298" s="377"/>
      <c r="W298" s="377"/>
      <c r="X298" s="377"/>
      <c r="Y298" s="377"/>
      <c r="Z298" s="377"/>
      <c r="AA298" s="377"/>
      <c r="AB298" s="377"/>
      <c r="AC298" s="377"/>
      <c r="AD298" s="377"/>
      <c r="AE298" s="377"/>
      <c r="AF298" s="377"/>
      <c r="AG298" s="377"/>
      <c r="AH298" s="377"/>
      <c r="AI298" s="377"/>
      <c r="AJ298" s="377"/>
      <c r="AK298" s="377">
        <f>G333+AL298-G298</f>
        <v>0</v>
      </c>
      <c r="AL298" s="377"/>
      <c r="AM298" s="378"/>
      <c r="AN298" s="379"/>
      <c r="AO298" s="380"/>
      <c r="AP298" s="378"/>
      <c r="AQ298" s="381"/>
      <c r="AR298" s="381"/>
      <c r="AS298" s="381"/>
    </row>
    <row r="299" spans="1:45" ht="17.25" thickBot="1" x14ac:dyDescent="0.3">
      <c r="A299" s="467"/>
      <c r="B299" s="372"/>
      <c r="C299" s="373">
        <v>1146022</v>
      </c>
      <c r="D299" s="374" t="s">
        <v>403</v>
      </c>
      <c r="E299" s="375"/>
      <c r="F299" s="376">
        <f>G334-AK299+AL299</f>
        <v>0</v>
      </c>
      <c r="G299" s="377">
        <v>0</v>
      </c>
      <c r="H299" s="397">
        <v>2</v>
      </c>
      <c r="I299" s="377">
        <v>0</v>
      </c>
      <c r="J299" s="377"/>
      <c r="K299" s="377">
        <v>0</v>
      </c>
      <c r="L299" s="377"/>
      <c r="M299" s="377"/>
      <c r="N299" s="377"/>
      <c r="O299" s="377"/>
      <c r="P299" s="377"/>
      <c r="Q299" s="377"/>
      <c r="R299" s="377"/>
      <c r="S299" s="377"/>
      <c r="T299" s="377"/>
      <c r="U299" s="377"/>
      <c r="V299" s="377"/>
      <c r="W299" s="377"/>
      <c r="X299" s="377"/>
      <c r="Y299" s="377"/>
      <c r="Z299" s="377"/>
      <c r="AA299" s="377"/>
      <c r="AB299" s="377"/>
      <c r="AC299" s="377"/>
      <c r="AD299" s="377"/>
      <c r="AE299" s="377"/>
      <c r="AF299" s="377"/>
      <c r="AG299" s="377"/>
      <c r="AH299" s="377"/>
      <c r="AI299" s="377"/>
      <c r="AJ299" s="377"/>
      <c r="AK299" s="377">
        <f>G334+AL299-G299</f>
        <v>0</v>
      </c>
      <c r="AL299" s="377"/>
      <c r="AM299" s="378"/>
      <c r="AN299" s="379"/>
      <c r="AO299" s="380"/>
      <c r="AP299" s="378"/>
      <c r="AQ299" s="381"/>
      <c r="AR299" s="381"/>
      <c r="AS299" s="381"/>
    </row>
    <row r="300" spans="1:45" ht="17.25" thickBot="1" x14ac:dyDescent="0.3">
      <c r="A300" s="467"/>
      <c r="B300" s="372"/>
      <c r="C300" s="373">
        <v>1146027</v>
      </c>
      <c r="D300" s="374" t="s">
        <v>404</v>
      </c>
      <c r="E300" s="375"/>
      <c r="F300" s="376">
        <f>G335-AK300+AL300</f>
        <v>0</v>
      </c>
      <c r="G300" s="377">
        <v>0</v>
      </c>
      <c r="H300" s="397">
        <v>2</v>
      </c>
      <c r="I300" s="377">
        <v>1</v>
      </c>
      <c r="J300" s="377"/>
      <c r="K300" s="377">
        <v>0</v>
      </c>
      <c r="L300" s="377"/>
      <c r="M300" s="377"/>
      <c r="N300" s="377"/>
      <c r="O300" s="377"/>
      <c r="P300" s="377"/>
      <c r="Q300" s="377"/>
      <c r="R300" s="377"/>
      <c r="S300" s="377"/>
      <c r="T300" s="377"/>
      <c r="U300" s="377"/>
      <c r="V300" s="377"/>
      <c r="W300" s="377"/>
      <c r="X300" s="377"/>
      <c r="Y300" s="377"/>
      <c r="Z300" s="377"/>
      <c r="AA300" s="377"/>
      <c r="AB300" s="377"/>
      <c r="AC300" s="377"/>
      <c r="AD300" s="377"/>
      <c r="AE300" s="377"/>
      <c r="AF300" s="377"/>
      <c r="AG300" s="377"/>
      <c r="AH300" s="377"/>
      <c r="AI300" s="377"/>
      <c r="AJ300" s="377"/>
      <c r="AK300" s="377">
        <f>G335+AL300-G300</f>
        <v>1</v>
      </c>
      <c r="AL300" s="377"/>
      <c r="AM300" s="378"/>
      <c r="AN300" s="379"/>
      <c r="AO300" s="380"/>
      <c r="AP300" s="378"/>
      <c r="AQ300" s="381"/>
      <c r="AR300" s="381"/>
      <c r="AS300" s="381"/>
    </row>
    <row r="301" spans="1:45" ht="17.25" thickBot="1" x14ac:dyDescent="0.3">
      <c r="A301" s="467"/>
      <c r="B301" s="355" t="s">
        <v>418</v>
      </c>
      <c r="C301" s="356"/>
      <c r="D301" s="356"/>
      <c r="E301" s="359"/>
      <c r="F301" s="359"/>
      <c r="G301" s="356"/>
      <c r="H301" s="396"/>
      <c r="I301" s="356"/>
      <c r="J301" s="356"/>
      <c r="K301" s="356"/>
      <c r="L301" s="356"/>
      <c r="M301" s="356"/>
      <c r="N301" s="356"/>
      <c r="O301" s="356"/>
      <c r="P301" s="356"/>
      <c r="Q301" s="356"/>
      <c r="R301" s="356"/>
      <c r="S301" s="356"/>
      <c r="T301" s="356"/>
      <c r="U301" s="356"/>
      <c r="V301" s="356"/>
      <c r="W301" s="356"/>
      <c r="X301" s="356"/>
      <c r="Y301" s="356"/>
      <c r="Z301" s="356"/>
      <c r="AA301" s="356"/>
      <c r="AB301" s="356"/>
      <c r="AC301" s="356"/>
      <c r="AD301" s="356"/>
      <c r="AE301" s="356"/>
      <c r="AF301" s="356"/>
      <c r="AG301" s="356"/>
      <c r="AH301" s="356"/>
      <c r="AI301" s="356"/>
      <c r="AJ301" s="356"/>
      <c r="AK301" s="356"/>
      <c r="AL301" s="356"/>
      <c r="AM301" s="356"/>
      <c r="AN301" s="356"/>
      <c r="AO301" s="356"/>
      <c r="AP301" s="356"/>
      <c r="AQ301" s="356"/>
      <c r="AR301" s="356"/>
      <c r="AS301" s="357"/>
    </row>
    <row r="302" spans="1:45" ht="17.25" thickBot="1" x14ac:dyDescent="0.3">
      <c r="A302" s="467"/>
      <c r="B302" s="354"/>
      <c r="C302" s="285">
        <v>1151653</v>
      </c>
      <c r="D302" s="358" t="s">
        <v>405</v>
      </c>
      <c r="E302" s="360"/>
      <c r="F302" s="361">
        <f>G337-AK302+AL302</f>
        <v>3</v>
      </c>
      <c r="G302" s="364">
        <v>3</v>
      </c>
      <c r="H302" s="397">
        <v>1</v>
      </c>
      <c r="I302" s="364">
        <v>3</v>
      </c>
      <c r="J302" s="364"/>
      <c r="K302" s="364">
        <v>1</v>
      </c>
      <c r="L302" s="218"/>
      <c r="M302" s="218"/>
      <c r="N302" s="218"/>
      <c r="O302" s="218"/>
      <c r="P302" s="352"/>
      <c r="Q302" s="352"/>
      <c r="R302" s="352"/>
      <c r="S302" s="352"/>
      <c r="T302" s="352"/>
      <c r="U302" s="352"/>
      <c r="V302" s="218"/>
      <c r="W302" s="218"/>
      <c r="X302" s="218"/>
      <c r="Y302" s="218"/>
      <c r="Z302" s="218"/>
      <c r="AA302" s="218"/>
      <c r="AB302" s="218"/>
      <c r="AC302" s="218"/>
      <c r="AD302" s="218"/>
      <c r="AE302" s="218"/>
      <c r="AF302" s="218"/>
      <c r="AG302" s="218"/>
      <c r="AH302" s="218"/>
      <c r="AI302" s="218"/>
      <c r="AJ302" s="218"/>
      <c r="AK302" s="218">
        <f>G337+AL302-G302</f>
        <v>0</v>
      </c>
      <c r="AL302" s="218"/>
      <c r="AM302" s="353"/>
      <c r="AN302" s="295"/>
      <c r="AO302" s="296"/>
      <c r="AP302" s="353"/>
      <c r="AQ302" s="290"/>
      <c r="AR302" s="290"/>
      <c r="AS302" s="290"/>
    </row>
    <row r="303" spans="1:45" ht="17.25" thickBot="1" x14ac:dyDescent="0.3">
      <c r="A303" s="467"/>
      <c r="B303" s="354"/>
      <c r="C303" s="285">
        <v>1151650</v>
      </c>
      <c r="D303" s="358" t="s">
        <v>406</v>
      </c>
      <c r="E303" s="360"/>
      <c r="F303" s="361">
        <f>G338-AK303+AL303</f>
        <v>2</v>
      </c>
      <c r="G303" s="364">
        <v>2</v>
      </c>
      <c r="H303" s="397">
        <v>2</v>
      </c>
      <c r="I303" s="364">
        <v>2</v>
      </c>
      <c r="J303" s="364"/>
      <c r="K303" s="364">
        <v>5</v>
      </c>
      <c r="L303" s="218"/>
      <c r="M303" s="218"/>
      <c r="N303" s="218"/>
      <c r="O303" s="218"/>
      <c r="P303" s="352"/>
      <c r="Q303" s="352"/>
      <c r="R303" s="352"/>
      <c r="S303" s="352"/>
      <c r="T303" s="352"/>
      <c r="U303" s="352"/>
      <c r="V303" s="218"/>
      <c r="W303" s="218"/>
      <c r="X303" s="218"/>
      <c r="Y303" s="218"/>
      <c r="Z303" s="218"/>
      <c r="AA303" s="218"/>
      <c r="AB303" s="218"/>
      <c r="AC303" s="218"/>
      <c r="AD303" s="218"/>
      <c r="AE303" s="218"/>
      <c r="AF303" s="218"/>
      <c r="AG303" s="218"/>
      <c r="AH303" s="218"/>
      <c r="AI303" s="218"/>
      <c r="AJ303" s="218"/>
      <c r="AK303" s="218">
        <f>G338+AL303-G303</f>
        <v>0</v>
      </c>
      <c r="AL303" s="218"/>
      <c r="AM303" s="353"/>
      <c r="AN303" s="295"/>
      <c r="AO303" s="296"/>
      <c r="AP303" s="353"/>
      <c r="AQ303" s="290"/>
      <c r="AR303" s="290"/>
      <c r="AS303" s="290"/>
    </row>
    <row r="304" spans="1:45" ht="17.25" thickBot="1" x14ac:dyDescent="0.3">
      <c r="A304" s="467"/>
      <c r="B304" s="354"/>
      <c r="C304" s="285">
        <v>1151649</v>
      </c>
      <c r="D304" s="358" t="s">
        <v>407</v>
      </c>
      <c r="E304" s="360"/>
      <c r="F304" s="361">
        <f>G339-AK304+AL304</f>
        <v>0</v>
      </c>
      <c r="G304" s="369">
        <v>0</v>
      </c>
      <c r="H304" s="369">
        <v>4</v>
      </c>
      <c r="I304" s="369">
        <v>0</v>
      </c>
      <c r="J304" s="369"/>
      <c r="K304" s="369">
        <v>2</v>
      </c>
      <c r="L304" s="218"/>
      <c r="M304" s="218"/>
      <c r="N304" s="218"/>
      <c r="O304" s="218"/>
      <c r="P304" s="352"/>
      <c r="Q304" s="352"/>
      <c r="R304" s="352"/>
      <c r="S304" s="352"/>
      <c r="T304" s="352"/>
      <c r="U304" s="352"/>
      <c r="V304" s="218"/>
      <c r="W304" s="218"/>
      <c r="X304" s="218"/>
      <c r="Y304" s="218"/>
      <c r="Z304" s="218"/>
      <c r="AA304" s="218"/>
      <c r="AB304" s="218">
        <v>2</v>
      </c>
      <c r="AC304" s="218"/>
      <c r="AD304" s="218">
        <v>2</v>
      </c>
      <c r="AE304" s="218"/>
      <c r="AF304" s="218"/>
      <c r="AG304" s="218"/>
      <c r="AH304" s="218"/>
      <c r="AI304" s="218"/>
      <c r="AJ304" s="218"/>
      <c r="AK304" s="218">
        <f>G339+AL304-G304</f>
        <v>0</v>
      </c>
      <c r="AL304" s="218"/>
      <c r="AM304" s="353"/>
      <c r="AN304" s="295"/>
      <c r="AO304" s="296"/>
      <c r="AP304" s="353"/>
      <c r="AQ304" s="290"/>
      <c r="AR304" s="290"/>
      <c r="AS304" s="290"/>
    </row>
    <row r="305" spans="1:45" ht="17.25" thickBot="1" x14ac:dyDescent="0.3">
      <c r="A305" s="467"/>
      <c r="B305" s="354"/>
      <c r="C305" s="285">
        <v>1151651</v>
      </c>
      <c r="D305" s="358" t="s">
        <v>408</v>
      </c>
      <c r="E305" s="360"/>
      <c r="F305" s="361">
        <f>G340-AK305+AL305</f>
        <v>4</v>
      </c>
      <c r="G305" s="369">
        <v>4</v>
      </c>
      <c r="H305" s="369">
        <v>1</v>
      </c>
      <c r="I305" s="369">
        <v>2</v>
      </c>
      <c r="J305" s="369"/>
      <c r="K305" s="369">
        <v>3</v>
      </c>
      <c r="L305" s="218"/>
      <c r="M305" s="218"/>
      <c r="N305" s="218"/>
      <c r="O305" s="218"/>
      <c r="P305" s="352"/>
      <c r="Q305" s="352"/>
      <c r="R305" s="352"/>
      <c r="S305" s="352"/>
      <c r="T305" s="352"/>
      <c r="U305" s="352"/>
      <c r="V305" s="218"/>
      <c r="W305" s="218"/>
      <c r="X305" s="218"/>
      <c r="Y305" s="218"/>
      <c r="Z305" s="218">
        <v>2</v>
      </c>
      <c r="AA305" s="218"/>
      <c r="AB305" s="218">
        <v>2</v>
      </c>
      <c r="AC305" s="218"/>
      <c r="AD305" s="218">
        <v>3</v>
      </c>
      <c r="AE305" s="218"/>
      <c r="AF305" s="218"/>
      <c r="AG305" s="218"/>
      <c r="AH305" s="218"/>
      <c r="AI305" s="218"/>
      <c r="AJ305" s="218"/>
      <c r="AK305" s="218">
        <f>G340+AL305-G305</f>
        <v>0</v>
      </c>
      <c r="AL305" s="218">
        <v>2</v>
      </c>
      <c r="AM305" s="353"/>
      <c r="AN305" s="295"/>
      <c r="AO305" s="296"/>
      <c r="AP305" s="353"/>
      <c r="AQ305" s="290"/>
      <c r="AR305" s="290"/>
      <c r="AS305" s="290"/>
    </row>
    <row r="306" spans="1:45" ht="17.25" thickBot="1" x14ac:dyDescent="0.3">
      <c r="A306" s="467"/>
      <c r="B306" s="354"/>
      <c r="C306" s="285">
        <v>1146029</v>
      </c>
      <c r="D306" s="358" t="s">
        <v>409</v>
      </c>
      <c r="E306" s="360"/>
      <c r="F306" s="361">
        <f>G341-AK306+AL306</f>
        <v>4</v>
      </c>
      <c r="G306" s="369">
        <v>4</v>
      </c>
      <c r="H306" s="369">
        <v>2</v>
      </c>
      <c r="I306" s="369">
        <v>4</v>
      </c>
      <c r="J306" s="369"/>
      <c r="K306" s="369">
        <v>1</v>
      </c>
      <c r="L306" s="218"/>
      <c r="M306" s="218"/>
      <c r="N306" s="218"/>
      <c r="O306" s="218"/>
      <c r="P306" s="352"/>
      <c r="Q306" s="352"/>
      <c r="R306" s="352"/>
      <c r="S306" s="352"/>
      <c r="T306" s="352"/>
      <c r="U306" s="352"/>
      <c r="V306" s="218"/>
      <c r="W306" s="218"/>
      <c r="X306" s="218"/>
      <c r="Y306" s="218"/>
      <c r="Z306" s="218"/>
      <c r="AA306" s="218"/>
      <c r="AB306" s="218"/>
      <c r="AC306" s="218">
        <v>2</v>
      </c>
      <c r="AD306" s="218"/>
      <c r="AE306" s="218"/>
      <c r="AF306" s="218"/>
      <c r="AG306" s="218"/>
      <c r="AH306" s="218"/>
      <c r="AI306" s="218"/>
      <c r="AJ306" s="218"/>
      <c r="AK306" s="218">
        <f>G341+AL306-G306</f>
        <v>0</v>
      </c>
      <c r="AL306" s="218"/>
      <c r="AM306" s="353"/>
      <c r="AN306" s="295"/>
      <c r="AO306" s="296"/>
      <c r="AP306" s="353"/>
      <c r="AQ306" s="290"/>
      <c r="AR306" s="290"/>
      <c r="AS306" s="290"/>
    </row>
    <row r="307" spans="1:45" ht="17.25" thickBot="1" x14ac:dyDescent="0.3">
      <c r="A307" s="467"/>
      <c r="B307" s="355" t="s">
        <v>410</v>
      </c>
      <c r="C307" s="356"/>
      <c r="D307" s="356"/>
      <c r="E307" s="359"/>
      <c r="F307" s="359"/>
      <c r="G307" s="356"/>
      <c r="H307" s="396"/>
      <c r="I307" s="356"/>
      <c r="J307" s="356"/>
      <c r="K307" s="356"/>
      <c r="L307" s="356"/>
      <c r="M307" s="356"/>
      <c r="N307" s="356"/>
      <c r="O307" s="356"/>
      <c r="P307" s="356"/>
      <c r="Q307" s="356"/>
      <c r="R307" s="356"/>
      <c r="S307" s="356"/>
      <c r="T307" s="356"/>
      <c r="U307" s="356"/>
      <c r="V307" s="356"/>
      <c r="W307" s="356"/>
      <c r="X307" s="356"/>
      <c r="Y307" s="356"/>
      <c r="Z307" s="356"/>
      <c r="AA307" s="356"/>
      <c r="AB307" s="356"/>
      <c r="AC307" s="356"/>
      <c r="AD307" s="356"/>
      <c r="AE307" s="356"/>
      <c r="AF307" s="356"/>
      <c r="AG307" s="356"/>
      <c r="AH307" s="356"/>
      <c r="AI307" s="356"/>
      <c r="AJ307" s="356"/>
      <c r="AK307" s="356"/>
      <c r="AL307" s="356"/>
      <c r="AM307" s="356"/>
      <c r="AN307" s="356"/>
      <c r="AO307" s="356"/>
      <c r="AP307" s="356"/>
      <c r="AQ307" s="356"/>
      <c r="AR307" s="356"/>
      <c r="AS307" s="357"/>
    </row>
    <row r="308" spans="1:45" ht="17.25" thickBot="1" x14ac:dyDescent="0.3">
      <c r="A308" s="467"/>
      <c r="B308" s="354"/>
      <c r="C308" s="285">
        <v>1699118</v>
      </c>
      <c r="D308" s="358" t="s">
        <v>411</v>
      </c>
      <c r="E308" s="360"/>
      <c r="F308" s="361">
        <f>G343-AK308+AL308</f>
        <v>0</v>
      </c>
      <c r="G308" s="369">
        <v>0</v>
      </c>
      <c r="H308" s="369">
        <v>1</v>
      </c>
      <c r="I308" s="369">
        <v>0</v>
      </c>
      <c r="J308" s="369"/>
      <c r="K308" s="369">
        <v>0</v>
      </c>
      <c r="L308" s="218"/>
      <c r="M308" s="218"/>
      <c r="N308" s="218"/>
      <c r="O308" s="218"/>
      <c r="P308" s="352"/>
      <c r="Q308" s="352"/>
      <c r="R308" s="352"/>
      <c r="S308" s="352"/>
      <c r="T308" s="352"/>
      <c r="U308" s="352"/>
      <c r="V308" s="218"/>
      <c r="W308" s="218"/>
      <c r="X308" s="218"/>
      <c r="Y308" s="218"/>
      <c r="Z308" s="218"/>
      <c r="AA308" s="218"/>
      <c r="AB308" s="218">
        <v>1</v>
      </c>
      <c r="AC308" s="218"/>
      <c r="AD308" s="218"/>
      <c r="AE308" s="218"/>
      <c r="AF308" s="218">
        <v>1</v>
      </c>
      <c r="AG308" s="218"/>
      <c r="AH308" s="218"/>
      <c r="AI308" s="218"/>
      <c r="AJ308" s="218"/>
      <c r="AK308" s="218">
        <f>G343+AL308-G308</f>
        <v>0</v>
      </c>
      <c r="AL308" s="218"/>
      <c r="AM308" s="353"/>
      <c r="AN308" s="295"/>
      <c r="AO308" s="296"/>
      <c r="AP308" s="353"/>
      <c r="AQ308" s="290"/>
      <c r="AR308" s="290"/>
      <c r="AS308" s="290"/>
    </row>
    <row r="309" spans="1:45" ht="17.25" thickBot="1" x14ac:dyDescent="0.3">
      <c r="A309" s="467"/>
      <c r="B309" s="354"/>
      <c r="C309" s="285">
        <v>1699119</v>
      </c>
      <c r="D309" s="358" t="s">
        <v>412</v>
      </c>
      <c r="E309" s="360"/>
      <c r="F309" s="361">
        <f>G344-AK309+AL309</f>
        <v>4</v>
      </c>
      <c r="G309" s="369">
        <v>4</v>
      </c>
      <c r="H309" s="369">
        <v>1</v>
      </c>
      <c r="I309" s="369">
        <v>4</v>
      </c>
      <c r="J309" s="369"/>
      <c r="K309" s="369">
        <v>1</v>
      </c>
      <c r="L309" s="218"/>
      <c r="M309" s="218"/>
      <c r="N309" s="218"/>
      <c r="O309" s="218"/>
      <c r="P309" s="352"/>
      <c r="Q309" s="352"/>
      <c r="R309" s="352"/>
      <c r="S309" s="352"/>
      <c r="T309" s="352"/>
      <c r="U309" s="352"/>
      <c r="V309" s="218"/>
      <c r="W309" s="218"/>
      <c r="X309" s="218"/>
      <c r="Y309" s="218"/>
      <c r="Z309" s="218"/>
      <c r="AA309" s="218"/>
      <c r="AB309" s="218">
        <v>2</v>
      </c>
      <c r="AC309" s="218"/>
      <c r="AD309" s="218"/>
      <c r="AE309" s="218"/>
      <c r="AF309" s="218">
        <v>1</v>
      </c>
      <c r="AG309" s="218"/>
      <c r="AH309" s="218"/>
      <c r="AI309" s="218"/>
      <c r="AJ309" s="218"/>
      <c r="AK309" s="218">
        <f>G344+AL309-G309</f>
        <v>0</v>
      </c>
      <c r="AL309" s="218"/>
      <c r="AM309" s="353"/>
      <c r="AN309" s="295"/>
      <c r="AO309" s="296"/>
      <c r="AP309" s="353"/>
      <c r="AQ309" s="290"/>
      <c r="AR309" s="290"/>
      <c r="AS309" s="290"/>
    </row>
    <row r="310" spans="1:45" ht="17.25" thickBot="1" x14ac:dyDescent="0.3">
      <c r="A310" s="467"/>
      <c r="B310" s="354"/>
      <c r="C310" s="285">
        <v>1699130</v>
      </c>
      <c r="D310" s="358" t="s">
        <v>413</v>
      </c>
      <c r="E310" s="360"/>
      <c r="F310" s="361">
        <f>G345-AK310+AL310</f>
        <v>4</v>
      </c>
      <c r="G310" s="369">
        <v>4</v>
      </c>
      <c r="H310" s="369">
        <v>4</v>
      </c>
      <c r="I310" s="369">
        <v>4</v>
      </c>
      <c r="J310" s="369"/>
      <c r="K310" s="369">
        <v>0</v>
      </c>
      <c r="L310" s="218"/>
      <c r="M310" s="218"/>
      <c r="N310" s="218"/>
      <c r="O310" s="218"/>
      <c r="P310" s="352"/>
      <c r="Q310" s="352"/>
      <c r="R310" s="352"/>
      <c r="S310" s="352"/>
      <c r="T310" s="352"/>
      <c r="U310" s="352"/>
      <c r="V310" s="218"/>
      <c r="W310" s="218"/>
      <c r="X310" s="218"/>
      <c r="Y310" s="218"/>
      <c r="Z310" s="218"/>
      <c r="AA310" s="218">
        <v>2</v>
      </c>
      <c r="AB310" s="218"/>
      <c r="AC310" s="218"/>
      <c r="AD310" s="218">
        <v>4</v>
      </c>
      <c r="AE310" s="218"/>
      <c r="AF310" s="218"/>
      <c r="AG310" s="218"/>
      <c r="AH310" s="218"/>
      <c r="AI310" s="218"/>
      <c r="AJ310" s="218"/>
      <c r="AK310" s="218">
        <f>G345+AL310-G310</f>
        <v>0</v>
      </c>
      <c r="AL310" s="218"/>
      <c r="AM310" s="353"/>
      <c r="AN310" s="295"/>
      <c r="AO310" s="296"/>
      <c r="AP310" s="353"/>
      <c r="AQ310" s="290"/>
      <c r="AR310" s="290"/>
      <c r="AS310" s="290"/>
    </row>
    <row r="311" spans="1:45" ht="17.25" thickBot="1" x14ac:dyDescent="0.3">
      <c r="A311" s="467"/>
      <c r="B311" s="354"/>
      <c r="C311" s="285">
        <v>1699131</v>
      </c>
      <c r="D311" s="358" t="s">
        <v>414</v>
      </c>
      <c r="E311" s="360"/>
      <c r="F311" s="361">
        <f>G346-AK311+AL311</f>
        <v>3</v>
      </c>
      <c r="G311" s="369">
        <v>3</v>
      </c>
      <c r="H311" s="397">
        <v>3</v>
      </c>
      <c r="I311" s="369">
        <v>3</v>
      </c>
      <c r="J311" s="369"/>
      <c r="K311" s="364">
        <v>2</v>
      </c>
      <c r="L311" s="218"/>
      <c r="M311" s="218"/>
      <c r="N311" s="218"/>
      <c r="O311" s="218"/>
      <c r="P311" s="352"/>
      <c r="Q311" s="352"/>
      <c r="R311" s="352"/>
      <c r="S311" s="352"/>
      <c r="T311" s="352"/>
      <c r="U311" s="352"/>
      <c r="V311" s="218"/>
      <c r="W311" s="218"/>
      <c r="X311" s="218"/>
      <c r="Y311" s="218"/>
      <c r="Z311" s="218"/>
      <c r="AA311" s="218"/>
      <c r="AB311" s="218">
        <v>1</v>
      </c>
      <c r="AC311" s="218"/>
      <c r="AD311" s="218"/>
      <c r="AE311" s="218"/>
      <c r="AF311" s="218">
        <v>2</v>
      </c>
      <c r="AG311" s="218"/>
      <c r="AH311" s="218"/>
      <c r="AI311" s="218"/>
      <c r="AJ311" s="218"/>
      <c r="AK311" s="218">
        <f>G346+AL311-G311</f>
        <v>0</v>
      </c>
      <c r="AL311" s="218"/>
      <c r="AM311" s="353"/>
      <c r="AN311" s="295"/>
      <c r="AO311" s="296"/>
      <c r="AP311" s="353"/>
      <c r="AQ311" s="290"/>
      <c r="AR311" s="290"/>
      <c r="AS311" s="290"/>
    </row>
    <row r="312" spans="1:45" ht="17.25" thickBot="1" x14ac:dyDescent="0.3">
      <c r="A312" s="468"/>
      <c r="B312" s="354"/>
      <c r="C312" s="285">
        <v>1699132</v>
      </c>
      <c r="D312" s="358" t="s">
        <v>415</v>
      </c>
      <c r="E312" s="285"/>
      <c r="F312" s="362">
        <f>G347-AK312+AL312</f>
        <v>1</v>
      </c>
      <c r="G312" s="364">
        <v>1</v>
      </c>
      <c r="H312" s="397">
        <v>3</v>
      </c>
      <c r="I312" s="364">
        <v>1</v>
      </c>
      <c r="J312" s="364"/>
      <c r="K312" s="364">
        <v>2</v>
      </c>
      <c r="L312" s="218"/>
      <c r="M312" s="218"/>
      <c r="N312" s="218"/>
      <c r="O312" s="218"/>
      <c r="P312" s="352"/>
      <c r="Q312" s="352"/>
      <c r="R312" s="352"/>
      <c r="S312" s="352"/>
      <c r="T312" s="352"/>
      <c r="U312" s="352"/>
      <c r="V312" s="218"/>
      <c r="W312" s="218"/>
      <c r="X312" s="218"/>
      <c r="Y312" s="218"/>
      <c r="Z312" s="218"/>
      <c r="AA312" s="218"/>
      <c r="AB312" s="218"/>
      <c r="AC312" s="218"/>
      <c r="AD312" s="218"/>
      <c r="AE312" s="218"/>
      <c r="AF312" s="218">
        <v>2</v>
      </c>
      <c r="AG312" s="218"/>
      <c r="AH312" s="218"/>
      <c r="AI312" s="218"/>
      <c r="AJ312" s="218"/>
      <c r="AK312" s="218">
        <f>G347+AL312-G312</f>
        <v>0</v>
      </c>
      <c r="AL312" s="218"/>
      <c r="AM312" s="353"/>
      <c r="AN312" s="295"/>
      <c r="AO312" s="296"/>
      <c r="AP312" s="353"/>
      <c r="AQ312" s="290"/>
      <c r="AR312" s="290"/>
      <c r="AS312" s="290"/>
    </row>
    <row r="313" spans="1:45" x14ac:dyDescent="0.25">
      <c r="AL313" s="290"/>
    </row>
    <row r="314" spans="1:45" ht="14.25" thickBot="1" x14ac:dyDescent="0.3">
      <c r="B314" s="338" t="s">
        <v>18</v>
      </c>
      <c r="C314" s="339">
        <v>45803</v>
      </c>
      <c r="AA314" s="290">
        <v>0</v>
      </c>
      <c r="AL314" s="290"/>
      <c r="AM314" s="290"/>
      <c r="AN314" s="290"/>
    </row>
    <row r="315" spans="1:45" ht="41.25" thickBot="1" x14ac:dyDescent="0.3">
      <c r="B315" s="283" t="s">
        <v>0</v>
      </c>
      <c r="C315" s="284" t="s">
        <v>1</v>
      </c>
      <c r="D315" s="284" t="s">
        <v>2</v>
      </c>
      <c r="E315" s="284" t="s">
        <v>3</v>
      </c>
      <c r="F315" s="4" t="s">
        <v>318</v>
      </c>
      <c r="G315" s="351" t="s">
        <v>554</v>
      </c>
      <c r="H315" s="382" t="s">
        <v>460</v>
      </c>
      <c r="I315" s="234" t="s">
        <v>553</v>
      </c>
      <c r="J315" s="234"/>
      <c r="K315" s="258" t="s">
        <v>555</v>
      </c>
      <c r="L315" s="258" t="s">
        <v>328</v>
      </c>
      <c r="M315" s="258" t="s">
        <v>327</v>
      </c>
      <c r="N315" s="234" t="s">
        <v>389</v>
      </c>
      <c r="O315" s="240" t="s">
        <v>130</v>
      </c>
      <c r="P315" s="243" t="s">
        <v>303</v>
      </c>
      <c r="Q315" s="244" t="s">
        <v>304</v>
      </c>
      <c r="R315" s="244" t="s">
        <v>314</v>
      </c>
      <c r="S315" s="245" t="s">
        <v>338</v>
      </c>
      <c r="T315" s="245" t="s">
        <v>345</v>
      </c>
      <c r="U315" s="245" t="s">
        <v>361</v>
      </c>
      <c r="V315" s="245" t="s">
        <v>387</v>
      </c>
      <c r="W315" s="245" t="s">
        <v>421</v>
      </c>
      <c r="X315" s="245" t="s">
        <v>452</v>
      </c>
      <c r="Y315" s="245" t="s">
        <v>463</v>
      </c>
      <c r="Z315" s="245" t="s">
        <v>481</v>
      </c>
      <c r="AA315" s="245" t="s">
        <v>498</v>
      </c>
      <c r="AB315" s="245" t="s">
        <v>303</v>
      </c>
      <c r="AC315" s="245" t="s">
        <v>304</v>
      </c>
      <c r="AD315" s="245" t="s">
        <v>314</v>
      </c>
      <c r="AE315" s="245" t="s">
        <v>338</v>
      </c>
      <c r="AF315" s="245" t="s">
        <v>345</v>
      </c>
      <c r="AG315" s="245" t="s">
        <v>361</v>
      </c>
      <c r="AH315" s="245"/>
      <c r="AI315" s="245"/>
      <c r="AJ315" s="245" t="s">
        <v>360</v>
      </c>
      <c r="AK315" s="246" t="s">
        <v>268</v>
      </c>
      <c r="AL315" s="247" t="s">
        <v>269</v>
      </c>
      <c r="AM315" s="291" t="s">
        <v>288</v>
      </c>
      <c r="AN315" s="292" t="s">
        <v>289</v>
      </c>
      <c r="AO315" s="292" t="s">
        <v>287</v>
      </c>
      <c r="AP315" s="293" t="s">
        <v>290</v>
      </c>
      <c r="AQ315" s="290" t="s">
        <v>306</v>
      </c>
      <c r="AR315" s="290" t="s">
        <v>310</v>
      </c>
      <c r="AS315" s="290" t="s">
        <v>311</v>
      </c>
    </row>
    <row r="316" spans="1:45" ht="17.25" thickBot="1" x14ac:dyDescent="0.3">
      <c r="A316" s="463" t="s">
        <v>416</v>
      </c>
      <c r="B316" s="285">
        <v>273664</v>
      </c>
      <c r="C316" s="286">
        <v>1135749</v>
      </c>
      <c r="D316" s="286" t="s">
        <v>7</v>
      </c>
      <c r="E316" s="286">
        <v>6060050026</v>
      </c>
      <c r="F316" s="253">
        <f>G351-AK316+AL316</f>
        <v>10</v>
      </c>
      <c r="G316" s="235">
        <v>10</v>
      </c>
      <c r="H316" s="394">
        <v>5</v>
      </c>
      <c r="I316" s="232">
        <v>10</v>
      </c>
      <c r="J316" s="232"/>
      <c r="K316" s="232">
        <v>3</v>
      </c>
      <c r="L316" s="232">
        <f>IF(K350=K315,L351+AK316,K316)</f>
        <v>3</v>
      </c>
      <c r="M316" s="232">
        <f>IF(K350=K315,0,L351+AK316-K316)</f>
        <v>-1</v>
      </c>
      <c r="N316" s="267">
        <v>5</v>
      </c>
      <c r="O316" s="241">
        <f>N316-G316</f>
        <v>-5</v>
      </c>
      <c r="P316" s="277">
        <v>4</v>
      </c>
      <c r="Q316" s="278">
        <v>4</v>
      </c>
      <c r="R316" s="279"/>
      <c r="S316" s="279">
        <v>3</v>
      </c>
      <c r="T316" s="279">
        <v>4</v>
      </c>
      <c r="U316" s="279">
        <v>2</v>
      </c>
      <c r="V316" s="279"/>
      <c r="W316" s="279">
        <f>2+3</f>
        <v>5</v>
      </c>
      <c r="X316" s="241"/>
      <c r="Y316" s="241"/>
      <c r="Z316" s="241"/>
      <c r="AA316" s="241">
        <v>4</v>
      </c>
      <c r="AB316" s="241">
        <v>5</v>
      </c>
      <c r="AC316" s="241"/>
      <c r="AD316" s="241">
        <v>6</v>
      </c>
      <c r="AE316" s="241"/>
      <c r="AF316" s="241">
        <v>2</v>
      </c>
      <c r="AG316" s="241"/>
      <c r="AH316" s="241"/>
      <c r="AI316" s="241"/>
      <c r="AJ316" s="241">
        <f>N316-V316</f>
        <v>5</v>
      </c>
      <c r="AK316" s="235">
        <f>G351+AL316-G316</f>
        <v>0</v>
      </c>
      <c r="AL316" s="350"/>
      <c r="AM316" s="294">
        <v>1.5</v>
      </c>
      <c r="AN316" s="295">
        <v>4</v>
      </c>
      <c r="AO316" s="296">
        <f>G316/(AN316)</f>
        <v>2.5</v>
      </c>
      <c r="AP316" s="297">
        <f>AN316*6</f>
        <v>24</v>
      </c>
      <c r="AQ316" s="290">
        <f>G316+K316</f>
        <v>13</v>
      </c>
      <c r="AR316" s="290">
        <f>IF(G316&lt;G351,(G351-G316+K351-K316),K351-K316)</f>
        <v>-1</v>
      </c>
      <c r="AS316" s="290">
        <f>21-8</f>
        <v>13</v>
      </c>
    </row>
    <row r="317" spans="1:45" ht="17.25" thickBot="1" x14ac:dyDescent="0.3">
      <c r="A317" s="464"/>
      <c r="B317" s="285">
        <v>273672</v>
      </c>
      <c r="C317" s="286">
        <v>1135750</v>
      </c>
      <c r="D317" s="286" t="s">
        <v>9</v>
      </c>
      <c r="E317" s="287">
        <v>204000000000</v>
      </c>
      <c r="F317" s="253">
        <f>G352-AK317+AL317</f>
        <v>8</v>
      </c>
      <c r="G317" s="235">
        <v>8</v>
      </c>
      <c r="H317" s="394">
        <v>16</v>
      </c>
      <c r="I317" s="232">
        <v>8</v>
      </c>
      <c r="J317" s="232"/>
      <c r="K317" s="232">
        <v>12</v>
      </c>
      <c r="L317" s="232">
        <f>IF(K350=K315,L352+AK317,K317)</f>
        <v>12</v>
      </c>
      <c r="M317" s="232">
        <f>IF(K350=K315,0,L352+AK317-K317)</f>
        <v>0</v>
      </c>
      <c r="N317" s="267">
        <v>10</v>
      </c>
      <c r="O317" s="241">
        <f>N317-G317</f>
        <v>2</v>
      </c>
      <c r="P317" s="277">
        <v>13</v>
      </c>
      <c r="Q317" s="278">
        <v>2</v>
      </c>
      <c r="R317" s="279">
        <v>6</v>
      </c>
      <c r="S317" s="279">
        <v>6</v>
      </c>
      <c r="T317" s="279">
        <v>10</v>
      </c>
      <c r="U317" s="279">
        <v>4</v>
      </c>
      <c r="V317" s="279">
        <v>6</v>
      </c>
      <c r="W317" s="279">
        <v>16</v>
      </c>
      <c r="X317" s="241"/>
      <c r="Y317" s="241">
        <v>6</v>
      </c>
      <c r="Z317" s="241">
        <v>4</v>
      </c>
      <c r="AA317" s="241">
        <v>6</v>
      </c>
      <c r="AB317" s="241">
        <v>14</v>
      </c>
      <c r="AC317" s="241"/>
      <c r="AD317" s="241">
        <v>12</v>
      </c>
      <c r="AE317" s="241">
        <v>6</v>
      </c>
      <c r="AF317" s="241">
        <v>14</v>
      </c>
      <c r="AG317" s="241"/>
      <c r="AH317" s="241"/>
      <c r="AI317" s="241"/>
      <c r="AJ317" s="241">
        <f>N317-V317</f>
        <v>4</v>
      </c>
      <c r="AK317" s="235">
        <f>G352+AL317-G317</f>
        <v>6</v>
      </c>
      <c r="AL317" s="236"/>
      <c r="AM317" s="298">
        <v>4.2</v>
      </c>
      <c r="AN317" s="295">
        <v>9</v>
      </c>
      <c r="AO317" s="296">
        <f>G317/(AN317)</f>
        <v>0.88888888888888884</v>
      </c>
      <c r="AP317" s="297">
        <f>AN317*6</f>
        <v>54</v>
      </c>
      <c r="AQ317" s="290">
        <f>G317+K317</f>
        <v>20</v>
      </c>
      <c r="AR317" s="290">
        <f>IF(G317&lt;G352,(G352-G317+K352-K317),K352-K317)</f>
        <v>0</v>
      </c>
      <c r="AS317" s="290">
        <f>21-8</f>
        <v>13</v>
      </c>
    </row>
    <row r="318" spans="1:45" ht="17.25" thickBot="1" x14ac:dyDescent="0.3">
      <c r="A318" s="464"/>
      <c r="B318" s="285">
        <v>273702</v>
      </c>
      <c r="C318" s="286">
        <v>1135753</v>
      </c>
      <c r="D318" s="286" t="s">
        <v>10</v>
      </c>
      <c r="E318" s="287">
        <v>301000000000</v>
      </c>
      <c r="F318" s="253">
        <f>G353-AK318+AL318</f>
        <v>3</v>
      </c>
      <c r="G318" s="235">
        <v>3</v>
      </c>
      <c r="H318" s="394">
        <v>1</v>
      </c>
      <c r="I318" s="232">
        <v>3</v>
      </c>
      <c r="J318" s="232"/>
      <c r="K318" s="232">
        <v>2</v>
      </c>
      <c r="L318" s="232">
        <f>IF(K350=K315,L353+AK318,K318)</f>
        <v>2</v>
      </c>
      <c r="M318" s="232">
        <f>IF(K350=K315,0,L353+AK318-K318)</f>
        <v>0</v>
      </c>
      <c r="N318" s="232">
        <v>2</v>
      </c>
      <c r="O318" s="241">
        <f>N318-G318</f>
        <v>-1</v>
      </c>
      <c r="P318" s="277"/>
      <c r="Q318" s="278"/>
      <c r="R318" s="279"/>
      <c r="S318" s="279"/>
      <c r="T318" s="279"/>
      <c r="U318" s="279"/>
      <c r="V318" s="279"/>
      <c r="W318" s="279"/>
      <c r="X318" s="241"/>
      <c r="Y318" s="241"/>
      <c r="Z318" s="241"/>
      <c r="AA318" s="241"/>
      <c r="AB318" s="241">
        <v>2</v>
      </c>
      <c r="AC318" s="241"/>
      <c r="AD318" s="241"/>
      <c r="AE318" s="241"/>
      <c r="AF318" s="241"/>
      <c r="AG318" s="241"/>
      <c r="AH318" s="241"/>
      <c r="AI318" s="241"/>
      <c r="AJ318" s="241">
        <f>N318-V318</f>
        <v>2</v>
      </c>
      <c r="AK318" s="235">
        <f>G353+AL318-G318</f>
        <v>0</v>
      </c>
      <c r="AL318" s="236"/>
      <c r="AM318" s="294">
        <f>4/12</f>
        <v>0.33333333333333331</v>
      </c>
      <c r="AN318" s="295">
        <v>2</v>
      </c>
      <c r="AO318" s="296">
        <f>G318/(AN318)</f>
        <v>1.5</v>
      </c>
      <c r="AP318" s="297">
        <f>AN318*6</f>
        <v>12</v>
      </c>
      <c r="AQ318" s="290">
        <f>G318+K318</f>
        <v>5</v>
      </c>
      <c r="AR318" s="290">
        <f>IF(G318&lt;G353,(G353-G318+K353-K318),K353-K318)</f>
        <v>0</v>
      </c>
      <c r="AS318" s="290">
        <f>21-8</f>
        <v>13</v>
      </c>
    </row>
    <row r="319" spans="1:45" ht="17.25" thickBot="1" x14ac:dyDescent="0.3">
      <c r="A319" s="464"/>
      <c r="B319" s="285">
        <v>273698</v>
      </c>
      <c r="C319" s="286">
        <v>1135752</v>
      </c>
      <c r="D319" s="286" t="s">
        <v>11</v>
      </c>
      <c r="E319" s="287">
        <v>701000000000</v>
      </c>
      <c r="F319" s="253">
        <f>G354-AK319+AL319</f>
        <v>3</v>
      </c>
      <c r="G319" s="235">
        <v>3</v>
      </c>
      <c r="H319" s="394">
        <v>2</v>
      </c>
      <c r="I319" s="232">
        <v>2</v>
      </c>
      <c r="J319" s="232"/>
      <c r="K319" s="232">
        <v>0</v>
      </c>
      <c r="L319" s="232">
        <f>IF(K350=K315,L354+AK319,K319)</f>
        <v>0</v>
      </c>
      <c r="M319" s="232">
        <f>IF(K350=K315,0,L354+AK319-K319)</f>
        <v>1</v>
      </c>
      <c r="N319" s="232">
        <v>3</v>
      </c>
      <c r="O319" s="241">
        <f>N319-G319</f>
        <v>0</v>
      </c>
      <c r="P319" s="277">
        <v>2</v>
      </c>
      <c r="Q319" s="278"/>
      <c r="R319" s="279"/>
      <c r="S319" s="279"/>
      <c r="T319" s="279"/>
      <c r="U319" s="279"/>
      <c r="V319" s="279"/>
      <c r="W319" s="279">
        <v>1</v>
      </c>
      <c r="X319" s="241"/>
      <c r="Y319" s="241"/>
      <c r="Z319" s="241"/>
      <c r="AA319" s="241"/>
      <c r="AB319" s="241">
        <v>2</v>
      </c>
      <c r="AC319" s="241"/>
      <c r="AD319" s="241">
        <v>2</v>
      </c>
      <c r="AE319" s="241"/>
      <c r="AF319" s="241">
        <v>1</v>
      </c>
      <c r="AG319" s="241"/>
      <c r="AH319" s="241"/>
      <c r="AI319" s="241"/>
      <c r="AJ319" s="241">
        <f>N319-V319</f>
        <v>3</v>
      </c>
      <c r="AK319" s="235">
        <f>G354+AL319-G319</f>
        <v>1</v>
      </c>
      <c r="AL319" s="236"/>
      <c r="AM319" s="294">
        <f>4/12</f>
        <v>0.33333333333333331</v>
      </c>
      <c r="AN319" s="295">
        <v>2</v>
      </c>
      <c r="AO319" s="296">
        <f>G319/(AN319)</f>
        <v>1.5</v>
      </c>
      <c r="AP319" s="297">
        <f>AN319*6</f>
        <v>12</v>
      </c>
      <c r="AQ319" s="290">
        <f>G319+K319</f>
        <v>3</v>
      </c>
      <c r="AR319" s="290">
        <f>IF(G319&lt;G354,(G354-G319+K354-K319),K354-K319)</f>
        <v>1</v>
      </c>
      <c r="AS319" s="290">
        <f>21-8</f>
        <v>13</v>
      </c>
    </row>
    <row r="320" spans="1:45" ht="17.25" thickBot="1" x14ac:dyDescent="0.3">
      <c r="A320" s="465"/>
      <c r="B320" s="285">
        <v>273680</v>
      </c>
      <c r="C320" s="286">
        <v>1135751</v>
      </c>
      <c r="D320" s="286" t="s">
        <v>12</v>
      </c>
      <c r="E320" s="286" t="s">
        <v>13</v>
      </c>
      <c r="F320" s="254">
        <f>G355-AK320+AL320</f>
        <v>6</v>
      </c>
      <c r="G320" s="237">
        <v>6</v>
      </c>
      <c r="H320" s="395">
        <v>8</v>
      </c>
      <c r="I320" s="238">
        <v>6</v>
      </c>
      <c r="J320" s="238"/>
      <c r="K320" s="238">
        <v>9</v>
      </c>
      <c r="L320" s="238">
        <f>IF(K350=K315,L355+AK320,K320)</f>
        <v>9</v>
      </c>
      <c r="M320" s="238">
        <f>IF(K350=K315,0,L355+AK320-K320)</f>
        <v>0</v>
      </c>
      <c r="N320" s="238">
        <v>9</v>
      </c>
      <c r="O320" s="242">
        <f>N320-G320</f>
        <v>3</v>
      </c>
      <c r="P320" s="280"/>
      <c r="Q320" s="281"/>
      <c r="R320" s="282"/>
      <c r="S320" s="282"/>
      <c r="T320" s="282">
        <v>11</v>
      </c>
      <c r="U320" s="282"/>
      <c r="V320" s="282"/>
      <c r="W320" s="282">
        <v>9</v>
      </c>
      <c r="X320" s="242"/>
      <c r="Y320" s="242">
        <v>9</v>
      </c>
      <c r="Z320" s="242"/>
      <c r="AA320" s="242"/>
      <c r="AB320" s="242">
        <v>5</v>
      </c>
      <c r="AC320" s="242"/>
      <c r="AD320" s="242">
        <v>5</v>
      </c>
      <c r="AE320" s="242"/>
      <c r="AF320" s="242">
        <v>9</v>
      </c>
      <c r="AG320" s="242"/>
      <c r="AH320" s="242"/>
      <c r="AI320" s="242"/>
      <c r="AJ320" s="242">
        <f>N320-V320</f>
        <v>9</v>
      </c>
      <c r="AK320" s="235">
        <f>G355+AL320-G320</f>
        <v>9</v>
      </c>
      <c r="AL320" s="239"/>
      <c r="AM320" s="299">
        <f>30/12</f>
        <v>2.5</v>
      </c>
      <c r="AN320" s="300">
        <f>AM320*2</f>
        <v>5</v>
      </c>
      <c r="AO320" s="301">
        <f>G320/(AN320)</f>
        <v>1.2</v>
      </c>
      <c r="AP320" s="302">
        <f>AN320*6</f>
        <v>30</v>
      </c>
      <c r="AQ320" s="290">
        <f>G320+K320</f>
        <v>15</v>
      </c>
      <c r="AR320" s="290">
        <f>IF(G320&lt;G355,(G355-G320+K355-K320),K355-K320)</f>
        <v>0</v>
      </c>
      <c r="AS320" s="290">
        <f>21-8</f>
        <v>13</v>
      </c>
    </row>
    <row r="321" spans="1:45" ht="17.25" thickBot="1" x14ac:dyDescent="0.3">
      <c r="A321" s="466" t="s">
        <v>417</v>
      </c>
      <c r="B321" s="355" t="s">
        <v>129</v>
      </c>
      <c r="C321" s="356"/>
      <c r="D321" s="356"/>
      <c r="E321" s="359"/>
      <c r="F321" s="359"/>
      <c r="G321" s="356"/>
      <c r="H321" s="396"/>
      <c r="I321" s="356"/>
      <c r="J321" s="356"/>
      <c r="K321" s="356"/>
      <c r="L321" s="356"/>
      <c r="M321" s="356"/>
      <c r="N321" s="356"/>
      <c r="O321" s="356"/>
      <c r="P321" s="356"/>
      <c r="Q321" s="356"/>
      <c r="R321" s="356"/>
      <c r="S321" s="356"/>
      <c r="T321" s="356"/>
      <c r="U321" s="356"/>
      <c r="V321" s="356"/>
      <c r="W321" s="356"/>
      <c r="X321" s="356"/>
      <c r="Y321" s="356"/>
      <c r="Z321" s="356"/>
      <c r="AA321" s="356"/>
      <c r="AB321" s="356"/>
      <c r="AC321" s="356"/>
      <c r="AD321" s="356"/>
      <c r="AE321" s="356"/>
      <c r="AF321" s="356"/>
      <c r="AG321" s="356"/>
      <c r="AH321" s="356"/>
      <c r="AI321" s="356"/>
      <c r="AJ321" s="356"/>
      <c r="AK321" s="356"/>
      <c r="AL321" s="367"/>
      <c r="AM321" s="356"/>
      <c r="AN321" s="356"/>
      <c r="AO321" s="356"/>
      <c r="AP321" s="356"/>
      <c r="AQ321" s="356"/>
      <c r="AR321" s="356"/>
      <c r="AS321" s="357"/>
    </row>
    <row r="322" spans="1:45" ht="17.25" thickBot="1" x14ac:dyDescent="0.3">
      <c r="A322" s="467"/>
      <c r="B322" s="354"/>
      <c r="C322" s="354">
        <v>1140327</v>
      </c>
      <c r="D322" s="358" t="s">
        <v>394</v>
      </c>
      <c r="E322" s="360"/>
      <c r="F322" s="361">
        <f>G357-AK322+AL322</f>
        <v>16</v>
      </c>
      <c r="G322" s="218">
        <v>16</v>
      </c>
      <c r="H322" s="397">
        <v>23</v>
      </c>
      <c r="I322" s="218">
        <v>16</v>
      </c>
      <c r="J322" s="218"/>
      <c r="K322" s="218">
        <v>8</v>
      </c>
      <c r="L322" s="218">
        <f>IF(K350=K315,L357+AK322,K322)</f>
        <v>8</v>
      </c>
      <c r="M322" s="218">
        <f>IF(K350=K315,0,L357+AK322-K322)</f>
        <v>1</v>
      </c>
      <c r="N322" s="218"/>
      <c r="O322" s="218"/>
      <c r="P322" s="352"/>
      <c r="Q322" s="352"/>
      <c r="R322" s="352"/>
      <c r="S322" s="352"/>
      <c r="T322" s="352"/>
      <c r="U322" s="352"/>
      <c r="V322" s="218"/>
      <c r="W322" s="218"/>
      <c r="X322" s="218">
        <v>4</v>
      </c>
      <c r="Y322" s="218">
        <v>9</v>
      </c>
      <c r="Z322" s="218">
        <v>14</v>
      </c>
      <c r="AA322" s="218">
        <v>8</v>
      </c>
      <c r="AB322" s="218">
        <f>14+6</f>
        <v>20</v>
      </c>
      <c r="AC322" s="218">
        <v>10</v>
      </c>
      <c r="AD322" s="218">
        <v>12</v>
      </c>
      <c r="AE322" s="218">
        <v>17</v>
      </c>
      <c r="AF322" s="218">
        <v>6</v>
      </c>
      <c r="AG322" s="218"/>
      <c r="AH322" s="218"/>
      <c r="AI322" s="218"/>
      <c r="AJ322" s="242">
        <f>N322-V322</f>
        <v>0</v>
      </c>
      <c r="AK322" s="274">
        <f>G357+AL322-G322</f>
        <v>0</v>
      </c>
      <c r="AL322" s="232">
        <v>6</v>
      </c>
      <c r="AM322" s="353"/>
      <c r="AN322" s="295"/>
      <c r="AO322" s="296"/>
      <c r="AP322" s="353"/>
      <c r="AQ322" s="290"/>
      <c r="AR322" s="290"/>
      <c r="AS322" s="290"/>
    </row>
    <row r="323" spans="1:45" ht="17.25" thickBot="1" x14ac:dyDescent="0.3">
      <c r="A323" s="467"/>
      <c r="B323" s="354"/>
      <c r="C323" s="285">
        <v>1151231</v>
      </c>
      <c r="D323" s="358" t="s">
        <v>395</v>
      </c>
      <c r="E323" s="360"/>
      <c r="F323" s="361">
        <f>G358-AK323+AL323</f>
        <v>11</v>
      </c>
      <c r="G323" s="369">
        <v>11</v>
      </c>
      <c r="H323" s="397">
        <v>13</v>
      </c>
      <c r="I323" s="218">
        <v>11</v>
      </c>
      <c r="J323" s="218"/>
      <c r="K323" s="218">
        <v>4</v>
      </c>
      <c r="L323" s="218">
        <f>IF(K350=K315,L358+AK323,K323)</f>
        <v>4</v>
      </c>
      <c r="M323" s="218">
        <f>IF(K350=K315,0,L358+AK323-K323)</f>
        <v>1</v>
      </c>
      <c r="N323" s="218"/>
      <c r="O323" s="218"/>
      <c r="P323" s="352"/>
      <c r="Q323" s="352"/>
      <c r="R323" s="352"/>
      <c r="S323" s="352"/>
      <c r="T323" s="352"/>
      <c r="U323" s="352"/>
      <c r="V323" s="218"/>
      <c r="W323" s="218"/>
      <c r="X323" s="218">
        <v>3</v>
      </c>
      <c r="Y323" s="218">
        <v>8</v>
      </c>
      <c r="Z323" s="218">
        <v>6</v>
      </c>
      <c r="AA323" s="218"/>
      <c r="AB323" s="218">
        <v>4</v>
      </c>
      <c r="AC323" s="218">
        <v>4</v>
      </c>
      <c r="AD323" s="218">
        <v>4</v>
      </c>
      <c r="AE323" s="218"/>
      <c r="AF323" s="218">
        <v>4</v>
      </c>
      <c r="AG323" s="218"/>
      <c r="AH323" s="218"/>
      <c r="AI323" s="218"/>
      <c r="AJ323" s="242">
        <f>N323-V323</f>
        <v>0</v>
      </c>
      <c r="AK323" s="274">
        <f>G358+AL323-G323</f>
        <v>0</v>
      </c>
      <c r="AL323" s="267"/>
      <c r="AM323" s="353"/>
      <c r="AN323" s="295"/>
      <c r="AO323" s="296"/>
      <c r="AP323" s="353"/>
      <c r="AQ323" s="290"/>
      <c r="AR323" s="290"/>
      <c r="AS323" s="290"/>
    </row>
    <row r="324" spans="1:45" ht="17.25" thickBot="1" x14ac:dyDescent="0.3">
      <c r="A324" s="467"/>
      <c r="B324" s="355" t="s">
        <v>420</v>
      </c>
      <c r="C324" s="356"/>
      <c r="D324" s="356" t="s">
        <v>523</v>
      </c>
      <c r="E324" s="359"/>
      <c r="F324" s="359"/>
      <c r="G324" s="356"/>
      <c r="H324" s="396"/>
      <c r="I324" s="356"/>
      <c r="J324" s="356"/>
      <c r="K324" s="356"/>
      <c r="L324" s="356"/>
      <c r="M324" s="356"/>
      <c r="N324" s="356"/>
      <c r="O324" s="356"/>
      <c r="P324" s="356"/>
      <c r="Q324" s="356"/>
      <c r="R324" s="356"/>
      <c r="S324" s="356"/>
      <c r="T324" s="356"/>
      <c r="U324" s="356"/>
      <c r="V324" s="356"/>
      <c r="W324" s="356"/>
      <c r="X324" s="356"/>
      <c r="Y324" s="356"/>
      <c r="Z324" s="356"/>
      <c r="AA324" s="356"/>
      <c r="AB324" s="356"/>
      <c r="AC324" s="356"/>
      <c r="AD324" s="356"/>
      <c r="AE324" s="356"/>
      <c r="AF324" s="356"/>
      <c r="AG324" s="356"/>
      <c r="AH324" s="356"/>
      <c r="AI324" s="356"/>
      <c r="AJ324" s="356"/>
      <c r="AK324" s="356"/>
      <c r="AL324" s="368"/>
      <c r="AM324" s="356"/>
      <c r="AN324" s="356"/>
      <c r="AO324" s="356"/>
      <c r="AP324" s="356"/>
      <c r="AQ324" s="356"/>
      <c r="AR324" s="356"/>
      <c r="AS324" s="357"/>
    </row>
    <row r="325" spans="1:45" ht="17.25" thickBot="1" x14ac:dyDescent="0.3">
      <c r="A325" s="467"/>
      <c r="B325" s="354"/>
      <c r="C325" s="285">
        <v>1146032</v>
      </c>
      <c r="D325" s="358" t="s">
        <v>396</v>
      </c>
      <c r="E325" s="360"/>
      <c r="F325" s="361">
        <f>G360-AK325+AL325</f>
        <v>0</v>
      </c>
      <c r="G325" s="364">
        <v>0</v>
      </c>
      <c r="H325" s="397">
        <v>1</v>
      </c>
      <c r="I325" s="364">
        <v>0</v>
      </c>
      <c r="J325" s="364"/>
      <c r="K325" s="364">
        <v>3</v>
      </c>
      <c r="L325" s="218"/>
      <c r="M325" s="218"/>
      <c r="N325" s="218"/>
      <c r="O325" s="218"/>
      <c r="P325" s="352"/>
      <c r="Q325" s="352"/>
      <c r="R325" s="352"/>
      <c r="S325" s="352"/>
      <c r="T325" s="352"/>
      <c r="U325" s="352"/>
      <c r="V325" s="218"/>
      <c r="W325" s="218"/>
      <c r="X325" s="218"/>
      <c r="Y325" s="218"/>
      <c r="Z325" s="218"/>
      <c r="AA325" s="218"/>
      <c r="AB325" s="218"/>
      <c r="AC325" s="218"/>
      <c r="AD325" s="218"/>
      <c r="AE325" s="218"/>
      <c r="AF325" s="218">
        <v>1</v>
      </c>
      <c r="AG325" s="218"/>
      <c r="AH325" s="218"/>
      <c r="AI325" s="218"/>
      <c r="AJ325" s="218"/>
      <c r="AK325" s="218">
        <f>G360+AL325-G325</f>
        <v>0</v>
      </c>
      <c r="AL325" s="218"/>
      <c r="AM325" s="353"/>
      <c r="AN325" s="295"/>
      <c r="AO325" s="296"/>
      <c r="AP325" s="353"/>
      <c r="AQ325" s="290"/>
      <c r="AR325" s="290"/>
      <c r="AS325" s="290"/>
    </row>
    <row r="326" spans="1:45" ht="17.25" thickBot="1" x14ac:dyDescent="0.3">
      <c r="A326" s="467"/>
      <c r="B326" s="354"/>
      <c r="C326" s="285">
        <v>1146021</v>
      </c>
      <c r="D326" s="358" t="s">
        <v>397</v>
      </c>
      <c r="E326" s="360"/>
      <c r="F326" s="361">
        <f>G361-AK326+AL326</f>
        <v>2</v>
      </c>
      <c r="G326" s="364">
        <v>2</v>
      </c>
      <c r="H326" s="397">
        <v>2</v>
      </c>
      <c r="I326" s="364">
        <v>2</v>
      </c>
      <c r="J326" s="364"/>
      <c r="K326" s="364">
        <v>1</v>
      </c>
      <c r="L326" s="218"/>
      <c r="M326" s="218"/>
      <c r="N326" s="218"/>
      <c r="O326" s="218"/>
      <c r="P326" s="352"/>
      <c r="Q326" s="352"/>
      <c r="R326" s="352"/>
      <c r="S326" s="352"/>
      <c r="T326" s="352"/>
      <c r="U326" s="352"/>
      <c r="V326" s="218"/>
      <c r="W326" s="218"/>
      <c r="X326" s="218"/>
      <c r="Y326" s="218"/>
      <c r="Z326" s="218"/>
      <c r="AA326" s="218"/>
      <c r="AB326" s="218"/>
      <c r="AC326" s="218"/>
      <c r="AD326" s="218"/>
      <c r="AE326" s="218"/>
      <c r="AF326" s="218"/>
      <c r="AG326" s="218"/>
      <c r="AH326" s="218"/>
      <c r="AI326" s="218"/>
      <c r="AJ326" s="218"/>
      <c r="AK326" s="218">
        <f>G361+AL326-G326</f>
        <v>0</v>
      </c>
      <c r="AL326" s="218"/>
      <c r="AM326" s="353"/>
      <c r="AN326" s="295"/>
      <c r="AO326" s="296"/>
      <c r="AP326" s="353"/>
      <c r="AQ326" s="290"/>
      <c r="AR326" s="290"/>
      <c r="AS326" s="290"/>
    </row>
    <row r="327" spans="1:45" ht="17.25" thickBot="1" x14ac:dyDescent="0.3">
      <c r="A327" s="467"/>
      <c r="B327" s="354"/>
      <c r="C327" s="285">
        <v>1146018</v>
      </c>
      <c r="D327" s="358" t="s">
        <v>398</v>
      </c>
      <c r="E327" s="360"/>
      <c r="F327" s="361">
        <f>G362-AK327+AL327</f>
        <v>2</v>
      </c>
      <c r="G327" s="369">
        <v>2</v>
      </c>
      <c r="H327" s="397">
        <v>1</v>
      </c>
      <c r="I327" s="364">
        <v>2</v>
      </c>
      <c r="J327" s="364"/>
      <c r="K327" s="364">
        <v>3</v>
      </c>
      <c r="L327" s="218"/>
      <c r="M327" s="218"/>
      <c r="N327" s="218"/>
      <c r="O327" s="218"/>
      <c r="P327" s="352"/>
      <c r="Q327" s="352"/>
      <c r="R327" s="352"/>
      <c r="S327" s="352"/>
      <c r="T327" s="352"/>
      <c r="U327" s="352"/>
      <c r="V327" s="218"/>
      <c r="W327" s="218"/>
      <c r="X327" s="218"/>
      <c r="Y327" s="218"/>
      <c r="Z327" s="218"/>
      <c r="AA327" s="218"/>
      <c r="AB327" s="218">
        <v>2</v>
      </c>
      <c r="AC327" s="218"/>
      <c r="AD327" s="218"/>
      <c r="AE327" s="218"/>
      <c r="AF327" s="218">
        <v>2</v>
      </c>
      <c r="AG327" s="218"/>
      <c r="AH327" s="218"/>
      <c r="AI327" s="218"/>
      <c r="AJ327" s="218"/>
      <c r="AK327" s="218">
        <f>G362+AL327-G327</f>
        <v>2</v>
      </c>
      <c r="AL327" s="218"/>
      <c r="AM327" s="353"/>
      <c r="AN327" s="295"/>
      <c r="AO327" s="296"/>
      <c r="AP327" s="353"/>
      <c r="AQ327" s="290"/>
      <c r="AR327" s="290"/>
      <c r="AS327" s="290"/>
    </row>
    <row r="328" spans="1:45" ht="17.25" thickBot="1" x14ac:dyDescent="0.3">
      <c r="A328" s="467"/>
      <c r="B328" s="354"/>
      <c r="C328" s="285">
        <v>1146024</v>
      </c>
      <c r="D328" s="358" t="s">
        <v>399</v>
      </c>
      <c r="E328" s="360"/>
      <c r="F328" s="361">
        <v>1</v>
      </c>
      <c r="G328" s="369">
        <v>2</v>
      </c>
      <c r="H328" s="369">
        <v>2</v>
      </c>
      <c r="I328" s="369">
        <v>2</v>
      </c>
      <c r="J328" s="369"/>
      <c r="K328" s="369">
        <v>2</v>
      </c>
      <c r="L328" s="218"/>
      <c r="M328" s="218"/>
      <c r="N328" s="218"/>
      <c r="O328" s="218"/>
      <c r="P328" s="352"/>
      <c r="Q328" s="352"/>
      <c r="R328" s="352"/>
      <c r="S328" s="352"/>
      <c r="T328" s="352"/>
      <c r="U328" s="352"/>
      <c r="V328" s="218"/>
      <c r="W328" s="218"/>
      <c r="X328" s="218"/>
      <c r="Y328" s="218"/>
      <c r="Z328" s="218"/>
      <c r="AA328" s="218">
        <v>1</v>
      </c>
      <c r="AB328" s="218">
        <v>1</v>
      </c>
      <c r="AC328" s="218"/>
      <c r="AD328" s="218"/>
      <c r="AE328" s="218"/>
      <c r="AF328" s="218">
        <v>2</v>
      </c>
      <c r="AG328" s="218"/>
      <c r="AH328" s="218"/>
      <c r="AI328" s="218"/>
      <c r="AJ328" s="218"/>
      <c r="AK328" s="218">
        <f>G363+AL328-G328</f>
        <v>2</v>
      </c>
      <c r="AL328" s="218"/>
      <c r="AM328" s="353"/>
      <c r="AN328" s="295"/>
      <c r="AO328" s="296"/>
      <c r="AP328" s="353"/>
      <c r="AQ328" s="290"/>
      <c r="AR328" s="290"/>
      <c r="AS328" s="290"/>
    </row>
    <row r="329" spans="1:45" ht="17.25" thickBot="1" x14ac:dyDescent="0.3">
      <c r="A329" s="467"/>
      <c r="B329" s="354"/>
      <c r="C329" s="285">
        <v>1146028</v>
      </c>
      <c r="D329" s="358" t="s">
        <v>400</v>
      </c>
      <c r="E329" s="360"/>
      <c r="F329" s="361">
        <f>G364-AK329+AL329</f>
        <v>5</v>
      </c>
      <c r="G329" s="364">
        <v>5</v>
      </c>
      <c r="H329" s="397">
        <v>2</v>
      </c>
      <c r="I329" s="364">
        <v>5</v>
      </c>
      <c r="J329" s="364"/>
      <c r="K329" s="364">
        <v>1</v>
      </c>
      <c r="L329" s="218"/>
      <c r="M329" s="218"/>
      <c r="N329" s="218"/>
      <c r="O329" s="218"/>
      <c r="P329" s="352"/>
      <c r="Q329" s="352"/>
      <c r="R329" s="352"/>
      <c r="S329" s="352"/>
      <c r="T329" s="352"/>
      <c r="U329" s="352"/>
      <c r="V329" s="218"/>
      <c r="W329" s="218"/>
      <c r="X329" s="218"/>
      <c r="Y329" s="218"/>
      <c r="Z329" s="218"/>
      <c r="AA329" s="218"/>
      <c r="AB329" s="218"/>
      <c r="AC329" s="218"/>
      <c r="AD329" s="218">
        <v>2</v>
      </c>
      <c r="AE329" s="218"/>
      <c r="AF329" s="218"/>
      <c r="AG329" s="218"/>
      <c r="AH329" s="218"/>
      <c r="AI329" s="218"/>
      <c r="AJ329" s="218"/>
      <c r="AK329" s="218">
        <f>G364+AL329-G329</f>
        <v>0</v>
      </c>
      <c r="AL329" s="218">
        <v>2</v>
      </c>
      <c r="AM329" s="353"/>
      <c r="AN329" s="295"/>
      <c r="AO329" s="296"/>
      <c r="AP329" s="353"/>
      <c r="AQ329" s="290"/>
      <c r="AR329" s="290"/>
      <c r="AS329" s="290"/>
    </row>
    <row r="330" spans="1:45" ht="17.25" thickBot="1" x14ac:dyDescent="0.3">
      <c r="A330" s="467"/>
      <c r="B330" s="355" t="s">
        <v>419</v>
      </c>
      <c r="C330" s="356"/>
      <c r="D330" s="356"/>
      <c r="E330" s="359"/>
      <c r="F330" s="359"/>
      <c r="G330" s="356"/>
      <c r="H330" s="396"/>
      <c r="I330" s="356"/>
      <c r="J330" s="356"/>
      <c r="K330" s="356"/>
      <c r="L330" s="356"/>
      <c r="M330" s="356"/>
      <c r="N330" s="356"/>
      <c r="O330" s="356"/>
      <c r="P330" s="356"/>
      <c r="Q330" s="356"/>
      <c r="R330" s="356"/>
      <c r="S330" s="356"/>
      <c r="T330" s="356"/>
      <c r="U330" s="356"/>
      <c r="V330" s="356"/>
      <c r="W330" s="356"/>
      <c r="X330" s="356"/>
      <c r="Y330" s="356"/>
      <c r="Z330" s="356"/>
      <c r="AA330" s="356"/>
      <c r="AB330" s="356"/>
      <c r="AC330" s="356"/>
      <c r="AD330" s="356"/>
      <c r="AE330" s="356"/>
      <c r="AF330" s="356"/>
      <c r="AG330" s="356"/>
      <c r="AH330" s="356"/>
      <c r="AI330" s="356"/>
      <c r="AJ330" s="356"/>
      <c r="AK330" s="356"/>
      <c r="AL330" s="356"/>
      <c r="AM330" s="356"/>
      <c r="AN330" s="356"/>
      <c r="AO330" s="356"/>
      <c r="AP330" s="356"/>
      <c r="AQ330" s="356"/>
      <c r="AR330" s="356"/>
      <c r="AS330" s="357"/>
    </row>
    <row r="331" spans="1:45" ht="17.25" thickBot="1" x14ac:dyDescent="0.3">
      <c r="A331" s="467"/>
      <c r="B331" s="372"/>
      <c r="C331" s="373">
        <v>1146031</v>
      </c>
      <c r="D331" s="374" t="s">
        <v>401</v>
      </c>
      <c r="E331" s="375"/>
      <c r="F331" s="376">
        <f>G366-AK331+AL331</f>
        <v>1</v>
      </c>
      <c r="G331" s="377">
        <v>1</v>
      </c>
      <c r="H331" s="397">
        <v>1</v>
      </c>
      <c r="I331" s="377">
        <v>1</v>
      </c>
      <c r="J331" s="377"/>
      <c r="K331" s="377">
        <v>1</v>
      </c>
      <c r="L331" s="377"/>
      <c r="M331" s="377"/>
      <c r="N331" s="377"/>
      <c r="O331" s="377"/>
      <c r="P331" s="377"/>
      <c r="Q331" s="377"/>
      <c r="R331" s="377"/>
      <c r="S331" s="377"/>
      <c r="T331" s="377"/>
      <c r="U331" s="377"/>
      <c r="V331" s="377"/>
      <c r="W331" s="377"/>
      <c r="X331" s="377"/>
      <c r="Y331" s="377"/>
      <c r="Z331" s="377"/>
      <c r="AA331" s="377"/>
      <c r="AB331" s="377"/>
      <c r="AC331" s="377"/>
      <c r="AD331" s="377"/>
      <c r="AE331" s="377"/>
      <c r="AF331" s="377"/>
      <c r="AG331" s="377"/>
      <c r="AH331" s="377"/>
      <c r="AI331" s="377"/>
      <c r="AJ331" s="377"/>
      <c r="AK331" s="377">
        <f>G366+AL331-G331</f>
        <v>1</v>
      </c>
      <c r="AL331" s="377"/>
      <c r="AM331" s="378"/>
      <c r="AN331" s="379"/>
      <c r="AO331" s="380"/>
      <c r="AP331" s="378"/>
      <c r="AQ331" s="381"/>
      <c r="AR331" s="381"/>
      <c r="AS331" s="381"/>
    </row>
    <row r="332" spans="1:45" ht="17.25" thickBot="1" x14ac:dyDescent="0.3">
      <c r="A332" s="467"/>
      <c r="B332" s="372"/>
      <c r="C332" s="373">
        <v>1146020</v>
      </c>
      <c r="D332" s="374" t="s">
        <v>402</v>
      </c>
      <c r="E332" s="375"/>
      <c r="F332" s="376">
        <f>G367-AK332+AL332</f>
        <v>0</v>
      </c>
      <c r="G332" s="377">
        <v>0</v>
      </c>
      <c r="H332" s="397">
        <v>1</v>
      </c>
      <c r="I332" s="377">
        <v>0</v>
      </c>
      <c r="J332" s="377"/>
      <c r="K332" s="377">
        <v>0</v>
      </c>
      <c r="L332" s="377"/>
      <c r="M332" s="377"/>
      <c r="N332" s="377"/>
      <c r="O332" s="377"/>
      <c r="P332" s="377"/>
      <c r="Q332" s="377"/>
      <c r="R332" s="377"/>
      <c r="S332" s="377"/>
      <c r="T332" s="377"/>
      <c r="U332" s="377"/>
      <c r="V332" s="377"/>
      <c r="W332" s="377"/>
      <c r="X332" s="377"/>
      <c r="Y332" s="377"/>
      <c r="Z332" s="377"/>
      <c r="AA332" s="377"/>
      <c r="AB332" s="377"/>
      <c r="AC332" s="377"/>
      <c r="AD332" s="377"/>
      <c r="AE332" s="377"/>
      <c r="AF332" s="377"/>
      <c r="AG332" s="377"/>
      <c r="AH332" s="377"/>
      <c r="AI332" s="377"/>
      <c r="AJ332" s="377"/>
      <c r="AK332" s="377">
        <f>G367+AL332-G332</f>
        <v>1</v>
      </c>
      <c r="AL332" s="377"/>
      <c r="AM332" s="378"/>
      <c r="AN332" s="379"/>
      <c r="AO332" s="380"/>
      <c r="AP332" s="378"/>
      <c r="AQ332" s="381"/>
      <c r="AR332" s="381"/>
      <c r="AS332" s="381"/>
    </row>
    <row r="333" spans="1:45" ht="17.25" thickBot="1" x14ac:dyDescent="0.3">
      <c r="A333" s="467"/>
      <c r="B333" s="372"/>
      <c r="C333" s="373">
        <v>1146016</v>
      </c>
      <c r="D333" s="374" t="s">
        <v>398</v>
      </c>
      <c r="E333" s="375"/>
      <c r="F333" s="376">
        <f>G368-AK333+AL333</f>
        <v>0</v>
      </c>
      <c r="G333" s="377">
        <v>0</v>
      </c>
      <c r="H333" s="397">
        <v>1</v>
      </c>
      <c r="I333" s="377">
        <v>0</v>
      </c>
      <c r="J333" s="377"/>
      <c r="K333" s="377">
        <v>0</v>
      </c>
      <c r="L333" s="377"/>
      <c r="M333" s="377"/>
      <c r="N333" s="377"/>
      <c r="O333" s="377"/>
      <c r="P333" s="377"/>
      <c r="Q333" s="377"/>
      <c r="R333" s="377"/>
      <c r="S333" s="377"/>
      <c r="T333" s="377"/>
      <c r="U333" s="377"/>
      <c r="V333" s="377"/>
      <c r="W333" s="377"/>
      <c r="X333" s="377"/>
      <c r="Y333" s="377"/>
      <c r="Z333" s="377"/>
      <c r="AA333" s="377"/>
      <c r="AB333" s="377"/>
      <c r="AC333" s="377"/>
      <c r="AD333" s="377"/>
      <c r="AE333" s="377"/>
      <c r="AF333" s="377"/>
      <c r="AG333" s="377"/>
      <c r="AH333" s="377"/>
      <c r="AI333" s="377"/>
      <c r="AJ333" s="377"/>
      <c r="AK333" s="377">
        <f>G368+AL333-G333</f>
        <v>6</v>
      </c>
      <c r="AL333" s="377"/>
      <c r="AM333" s="378"/>
      <c r="AN333" s="379"/>
      <c r="AO333" s="380"/>
      <c r="AP333" s="378"/>
      <c r="AQ333" s="381"/>
      <c r="AR333" s="381"/>
      <c r="AS333" s="381"/>
    </row>
    <row r="334" spans="1:45" ht="17.25" thickBot="1" x14ac:dyDescent="0.3">
      <c r="A334" s="467"/>
      <c r="B334" s="372"/>
      <c r="C334" s="373">
        <v>1146022</v>
      </c>
      <c r="D334" s="374" t="s">
        <v>403</v>
      </c>
      <c r="E334" s="375"/>
      <c r="F334" s="376">
        <f>G369-AK334+AL334</f>
        <v>0</v>
      </c>
      <c r="G334" s="377">
        <v>0</v>
      </c>
      <c r="H334" s="397">
        <v>2</v>
      </c>
      <c r="I334" s="377">
        <v>0</v>
      </c>
      <c r="J334" s="377"/>
      <c r="K334" s="377">
        <v>0</v>
      </c>
      <c r="L334" s="377"/>
      <c r="M334" s="377"/>
      <c r="N334" s="377"/>
      <c r="O334" s="377"/>
      <c r="P334" s="377"/>
      <c r="Q334" s="377"/>
      <c r="R334" s="377"/>
      <c r="S334" s="377"/>
      <c r="T334" s="377"/>
      <c r="U334" s="377"/>
      <c r="V334" s="377"/>
      <c r="W334" s="377"/>
      <c r="X334" s="377"/>
      <c r="Y334" s="377"/>
      <c r="Z334" s="377"/>
      <c r="AA334" s="377"/>
      <c r="AB334" s="377"/>
      <c r="AC334" s="377"/>
      <c r="AD334" s="377"/>
      <c r="AE334" s="377"/>
      <c r="AF334" s="377"/>
      <c r="AG334" s="377"/>
      <c r="AH334" s="377"/>
      <c r="AI334" s="377"/>
      <c r="AJ334" s="377"/>
      <c r="AK334" s="377">
        <f>G369+AL334-G334</f>
        <v>0</v>
      </c>
      <c r="AL334" s="377"/>
      <c r="AM334" s="378"/>
      <c r="AN334" s="379"/>
      <c r="AO334" s="380"/>
      <c r="AP334" s="378"/>
      <c r="AQ334" s="381"/>
      <c r="AR334" s="381"/>
      <c r="AS334" s="381"/>
    </row>
    <row r="335" spans="1:45" ht="17.25" thickBot="1" x14ac:dyDescent="0.3">
      <c r="A335" s="467"/>
      <c r="B335" s="372"/>
      <c r="C335" s="373">
        <v>1146027</v>
      </c>
      <c r="D335" s="374" t="s">
        <v>404</v>
      </c>
      <c r="E335" s="375"/>
      <c r="F335" s="376">
        <f>G370-AK335+AL335</f>
        <v>1</v>
      </c>
      <c r="G335" s="377">
        <v>1</v>
      </c>
      <c r="H335" s="397">
        <v>2</v>
      </c>
      <c r="I335" s="377">
        <v>1</v>
      </c>
      <c r="J335" s="377"/>
      <c r="K335" s="377">
        <v>0</v>
      </c>
      <c r="L335" s="377"/>
      <c r="M335" s="377"/>
      <c r="N335" s="377"/>
      <c r="O335" s="377"/>
      <c r="P335" s="377"/>
      <c r="Q335" s="377"/>
      <c r="R335" s="377"/>
      <c r="S335" s="377"/>
      <c r="T335" s="377"/>
      <c r="U335" s="377"/>
      <c r="V335" s="377"/>
      <c r="W335" s="377"/>
      <c r="X335" s="377"/>
      <c r="Y335" s="377"/>
      <c r="Z335" s="377"/>
      <c r="AA335" s="377"/>
      <c r="AB335" s="377"/>
      <c r="AC335" s="377"/>
      <c r="AD335" s="377"/>
      <c r="AE335" s="377"/>
      <c r="AF335" s="377"/>
      <c r="AG335" s="377"/>
      <c r="AH335" s="377"/>
      <c r="AI335" s="377"/>
      <c r="AJ335" s="377"/>
      <c r="AK335" s="377">
        <f>G370+AL335-G335</f>
        <v>0</v>
      </c>
      <c r="AL335" s="377"/>
      <c r="AM335" s="378"/>
      <c r="AN335" s="379"/>
      <c r="AO335" s="380"/>
      <c r="AP335" s="378"/>
      <c r="AQ335" s="381"/>
      <c r="AR335" s="381"/>
      <c r="AS335" s="381"/>
    </row>
    <row r="336" spans="1:45" ht="17.25" thickBot="1" x14ac:dyDescent="0.3">
      <c r="A336" s="467"/>
      <c r="B336" s="355" t="s">
        <v>418</v>
      </c>
      <c r="C336" s="356"/>
      <c r="D336" s="356"/>
      <c r="E336" s="359"/>
      <c r="F336" s="359"/>
      <c r="G336" s="356"/>
      <c r="H336" s="396"/>
      <c r="I336" s="356"/>
      <c r="J336" s="356"/>
      <c r="K336" s="356"/>
      <c r="L336" s="356"/>
      <c r="M336" s="356"/>
      <c r="N336" s="356"/>
      <c r="O336" s="356"/>
      <c r="P336" s="356"/>
      <c r="Q336" s="356"/>
      <c r="R336" s="356"/>
      <c r="S336" s="356"/>
      <c r="T336" s="356"/>
      <c r="U336" s="356"/>
      <c r="V336" s="356"/>
      <c r="W336" s="356"/>
      <c r="X336" s="356"/>
      <c r="Y336" s="356"/>
      <c r="Z336" s="356"/>
      <c r="AA336" s="356"/>
      <c r="AB336" s="356"/>
      <c r="AC336" s="356"/>
      <c r="AD336" s="356"/>
      <c r="AE336" s="356"/>
      <c r="AF336" s="356"/>
      <c r="AG336" s="356"/>
      <c r="AH336" s="356"/>
      <c r="AI336" s="356"/>
      <c r="AJ336" s="356"/>
      <c r="AK336" s="356"/>
      <c r="AL336" s="356"/>
      <c r="AM336" s="356"/>
      <c r="AN336" s="356"/>
      <c r="AO336" s="356"/>
      <c r="AP336" s="356"/>
      <c r="AQ336" s="356"/>
      <c r="AR336" s="356"/>
      <c r="AS336" s="357"/>
    </row>
    <row r="337" spans="1:45" ht="17.25" thickBot="1" x14ac:dyDescent="0.3">
      <c r="A337" s="467"/>
      <c r="B337" s="354"/>
      <c r="C337" s="285">
        <v>1151653</v>
      </c>
      <c r="D337" s="358" t="s">
        <v>405</v>
      </c>
      <c r="E337" s="360"/>
      <c r="F337" s="361">
        <f>G372-AK337+AL337</f>
        <v>3</v>
      </c>
      <c r="G337" s="364">
        <v>3</v>
      </c>
      <c r="H337" s="397">
        <v>1</v>
      </c>
      <c r="I337" s="364">
        <v>3</v>
      </c>
      <c r="J337" s="364"/>
      <c r="K337" s="364">
        <v>1</v>
      </c>
      <c r="L337" s="218"/>
      <c r="M337" s="218"/>
      <c r="N337" s="218"/>
      <c r="O337" s="218"/>
      <c r="P337" s="352"/>
      <c r="Q337" s="352"/>
      <c r="R337" s="352"/>
      <c r="S337" s="352"/>
      <c r="T337" s="352"/>
      <c r="U337" s="352"/>
      <c r="V337" s="218"/>
      <c r="W337" s="218"/>
      <c r="X337" s="218"/>
      <c r="Y337" s="218"/>
      <c r="Z337" s="218"/>
      <c r="AA337" s="218"/>
      <c r="AB337" s="218"/>
      <c r="AC337" s="218"/>
      <c r="AD337" s="218"/>
      <c r="AE337" s="218"/>
      <c r="AF337" s="218"/>
      <c r="AG337" s="218"/>
      <c r="AH337" s="218"/>
      <c r="AI337" s="218"/>
      <c r="AJ337" s="218"/>
      <c r="AK337" s="218">
        <f>G372+AL337-G337</f>
        <v>0</v>
      </c>
      <c r="AL337" s="218"/>
      <c r="AM337" s="353"/>
      <c r="AN337" s="295"/>
      <c r="AO337" s="296"/>
      <c r="AP337" s="353"/>
      <c r="AQ337" s="290"/>
      <c r="AR337" s="290"/>
      <c r="AS337" s="290"/>
    </row>
    <row r="338" spans="1:45" ht="17.25" thickBot="1" x14ac:dyDescent="0.3">
      <c r="A338" s="467"/>
      <c r="B338" s="354"/>
      <c r="C338" s="285">
        <v>1151650</v>
      </c>
      <c r="D338" s="358" t="s">
        <v>406</v>
      </c>
      <c r="E338" s="360"/>
      <c r="F338" s="361">
        <f>G373-AK338+AL338</f>
        <v>2</v>
      </c>
      <c r="G338" s="364">
        <v>2</v>
      </c>
      <c r="H338" s="397">
        <v>2</v>
      </c>
      <c r="I338" s="364">
        <v>2</v>
      </c>
      <c r="J338" s="364"/>
      <c r="K338" s="364">
        <v>5</v>
      </c>
      <c r="L338" s="218"/>
      <c r="M338" s="218"/>
      <c r="N338" s="218"/>
      <c r="O338" s="218"/>
      <c r="P338" s="352"/>
      <c r="Q338" s="352"/>
      <c r="R338" s="352"/>
      <c r="S338" s="352"/>
      <c r="T338" s="352"/>
      <c r="U338" s="352"/>
      <c r="V338" s="218"/>
      <c r="W338" s="218"/>
      <c r="X338" s="218"/>
      <c r="Y338" s="218"/>
      <c r="Z338" s="218"/>
      <c r="AA338" s="218"/>
      <c r="AB338" s="218"/>
      <c r="AC338" s="218"/>
      <c r="AD338" s="218"/>
      <c r="AE338" s="218"/>
      <c r="AF338" s="218"/>
      <c r="AG338" s="218"/>
      <c r="AH338" s="218"/>
      <c r="AI338" s="218"/>
      <c r="AJ338" s="218"/>
      <c r="AK338" s="218">
        <f>G373+AL338-G338</f>
        <v>0</v>
      </c>
      <c r="AL338" s="218"/>
      <c r="AM338" s="353"/>
      <c r="AN338" s="295"/>
      <c r="AO338" s="296"/>
      <c r="AP338" s="353"/>
      <c r="AQ338" s="290"/>
      <c r="AR338" s="290"/>
      <c r="AS338" s="290"/>
    </row>
    <row r="339" spans="1:45" ht="17.25" thickBot="1" x14ac:dyDescent="0.3">
      <c r="A339" s="467"/>
      <c r="B339" s="354"/>
      <c r="C339" s="285">
        <v>1151649</v>
      </c>
      <c r="D339" s="358" t="s">
        <v>407</v>
      </c>
      <c r="E339" s="360"/>
      <c r="F339" s="361">
        <f>G374-AK339+AL339</f>
        <v>0</v>
      </c>
      <c r="G339" s="369">
        <v>0</v>
      </c>
      <c r="H339" s="369">
        <v>4</v>
      </c>
      <c r="I339" s="369">
        <v>0</v>
      </c>
      <c r="J339" s="369"/>
      <c r="K339" s="369">
        <v>2</v>
      </c>
      <c r="L339" s="218"/>
      <c r="M339" s="218"/>
      <c r="N339" s="218"/>
      <c r="O339" s="218"/>
      <c r="P339" s="352"/>
      <c r="Q339" s="352"/>
      <c r="R339" s="352"/>
      <c r="S339" s="352"/>
      <c r="T339" s="352"/>
      <c r="U339" s="352"/>
      <c r="V339" s="218"/>
      <c r="W339" s="218"/>
      <c r="X339" s="218"/>
      <c r="Y339" s="218"/>
      <c r="Z339" s="218"/>
      <c r="AA339" s="218"/>
      <c r="AB339" s="218">
        <v>2</v>
      </c>
      <c r="AC339" s="218"/>
      <c r="AD339" s="218">
        <v>2</v>
      </c>
      <c r="AE339" s="218"/>
      <c r="AF339" s="218"/>
      <c r="AG339" s="218"/>
      <c r="AH339" s="218"/>
      <c r="AI339" s="218"/>
      <c r="AJ339" s="218"/>
      <c r="AK339" s="218">
        <f>G374+AL339-G339</f>
        <v>0</v>
      </c>
      <c r="AL339" s="218"/>
      <c r="AM339" s="353"/>
      <c r="AN339" s="295"/>
      <c r="AO339" s="296"/>
      <c r="AP339" s="353"/>
      <c r="AQ339" s="290"/>
      <c r="AR339" s="290"/>
      <c r="AS339" s="290"/>
    </row>
    <row r="340" spans="1:45" ht="17.25" thickBot="1" x14ac:dyDescent="0.3">
      <c r="A340" s="467"/>
      <c r="B340" s="354"/>
      <c r="C340" s="285">
        <v>1151651</v>
      </c>
      <c r="D340" s="358" t="s">
        <v>408</v>
      </c>
      <c r="E340" s="360"/>
      <c r="F340" s="361">
        <f>G375-AK340+AL340</f>
        <v>2</v>
      </c>
      <c r="G340" s="369">
        <v>2</v>
      </c>
      <c r="H340" s="369">
        <v>1</v>
      </c>
      <c r="I340" s="369">
        <v>2</v>
      </c>
      <c r="J340" s="369"/>
      <c r="K340" s="369">
        <v>3</v>
      </c>
      <c r="L340" s="218"/>
      <c r="M340" s="218"/>
      <c r="N340" s="218"/>
      <c r="O340" s="218"/>
      <c r="P340" s="352"/>
      <c r="Q340" s="352"/>
      <c r="R340" s="352"/>
      <c r="S340" s="352"/>
      <c r="T340" s="352"/>
      <c r="U340" s="352"/>
      <c r="V340" s="218"/>
      <c r="W340" s="218"/>
      <c r="X340" s="218"/>
      <c r="Y340" s="218"/>
      <c r="Z340" s="218">
        <v>2</v>
      </c>
      <c r="AA340" s="218"/>
      <c r="AB340" s="218">
        <v>2</v>
      </c>
      <c r="AC340" s="218"/>
      <c r="AD340" s="218">
        <v>3</v>
      </c>
      <c r="AE340" s="218"/>
      <c r="AF340" s="218"/>
      <c r="AG340" s="218"/>
      <c r="AH340" s="218"/>
      <c r="AI340" s="218"/>
      <c r="AJ340" s="218"/>
      <c r="AK340" s="218">
        <f>G375+AL340-G340</f>
        <v>0</v>
      </c>
      <c r="AL340" s="218"/>
      <c r="AM340" s="353"/>
      <c r="AN340" s="295"/>
      <c r="AO340" s="296"/>
      <c r="AP340" s="353"/>
      <c r="AQ340" s="290"/>
      <c r="AR340" s="290"/>
      <c r="AS340" s="290"/>
    </row>
    <row r="341" spans="1:45" ht="17.25" thickBot="1" x14ac:dyDescent="0.3">
      <c r="A341" s="467"/>
      <c r="B341" s="354"/>
      <c r="C341" s="285">
        <v>1146029</v>
      </c>
      <c r="D341" s="358" t="s">
        <v>409</v>
      </c>
      <c r="E341" s="360"/>
      <c r="F341" s="361">
        <f>G376-AK341+AL341</f>
        <v>4</v>
      </c>
      <c r="G341" s="369">
        <v>4</v>
      </c>
      <c r="H341" s="369">
        <v>2</v>
      </c>
      <c r="I341" s="369">
        <v>4</v>
      </c>
      <c r="J341" s="369"/>
      <c r="K341" s="369">
        <v>1</v>
      </c>
      <c r="L341" s="218"/>
      <c r="M341" s="218"/>
      <c r="N341" s="218"/>
      <c r="O341" s="218"/>
      <c r="P341" s="352"/>
      <c r="Q341" s="352"/>
      <c r="R341" s="352"/>
      <c r="S341" s="352"/>
      <c r="T341" s="352"/>
      <c r="U341" s="352"/>
      <c r="V341" s="218"/>
      <c r="W341" s="218"/>
      <c r="X341" s="218"/>
      <c r="Y341" s="218"/>
      <c r="Z341" s="218"/>
      <c r="AA341" s="218"/>
      <c r="AB341" s="218"/>
      <c r="AC341" s="218">
        <v>2</v>
      </c>
      <c r="AD341" s="218"/>
      <c r="AE341" s="218"/>
      <c r="AF341" s="218"/>
      <c r="AG341" s="218"/>
      <c r="AH341" s="218"/>
      <c r="AI341" s="218"/>
      <c r="AJ341" s="218"/>
      <c r="AK341" s="218">
        <f>G376+AL341-G341</f>
        <v>0</v>
      </c>
      <c r="AL341" s="218"/>
      <c r="AM341" s="353"/>
      <c r="AN341" s="295"/>
      <c r="AO341" s="296"/>
      <c r="AP341" s="353"/>
      <c r="AQ341" s="290"/>
      <c r="AR341" s="290"/>
      <c r="AS341" s="290"/>
    </row>
    <row r="342" spans="1:45" ht="17.25" thickBot="1" x14ac:dyDescent="0.3">
      <c r="A342" s="467"/>
      <c r="B342" s="355" t="s">
        <v>410</v>
      </c>
      <c r="C342" s="356"/>
      <c r="D342" s="356"/>
      <c r="E342" s="359"/>
      <c r="F342" s="359"/>
      <c r="G342" s="356"/>
      <c r="H342" s="396"/>
      <c r="I342" s="356"/>
      <c r="J342" s="356"/>
      <c r="K342" s="356"/>
      <c r="L342" s="356"/>
      <c r="M342" s="356"/>
      <c r="N342" s="356"/>
      <c r="O342" s="356"/>
      <c r="P342" s="356"/>
      <c r="Q342" s="356"/>
      <c r="R342" s="356"/>
      <c r="S342" s="356"/>
      <c r="T342" s="356"/>
      <c r="U342" s="356"/>
      <c r="V342" s="356"/>
      <c r="W342" s="356"/>
      <c r="X342" s="356"/>
      <c r="Y342" s="356"/>
      <c r="Z342" s="356"/>
      <c r="AA342" s="356"/>
      <c r="AB342" s="356"/>
      <c r="AC342" s="356"/>
      <c r="AD342" s="356"/>
      <c r="AE342" s="356"/>
      <c r="AF342" s="356"/>
      <c r="AG342" s="356"/>
      <c r="AH342" s="356"/>
      <c r="AI342" s="356"/>
      <c r="AJ342" s="356"/>
      <c r="AK342" s="356"/>
      <c r="AL342" s="356"/>
      <c r="AM342" s="356"/>
      <c r="AN342" s="356"/>
      <c r="AO342" s="356"/>
      <c r="AP342" s="356"/>
      <c r="AQ342" s="356"/>
      <c r="AR342" s="356"/>
      <c r="AS342" s="357"/>
    </row>
    <row r="343" spans="1:45" ht="17.25" thickBot="1" x14ac:dyDescent="0.3">
      <c r="A343" s="467"/>
      <c r="B343" s="354"/>
      <c r="C343" s="285">
        <v>1699118</v>
      </c>
      <c r="D343" s="358" t="s">
        <v>411</v>
      </c>
      <c r="E343" s="360"/>
      <c r="F343" s="361">
        <f>G378-AK343+AL343</f>
        <v>0</v>
      </c>
      <c r="G343" s="369">
        <v>0</v>
      </c>
      <c r="H343" s="369">
        <v>1</v>
      </c>
      <c r="I343" s="369">
        <v>0</v>
      </c>
      <c r="J343" s="369"/>
      <c r="K343" s="369">
        <v>0</v>
      </c>
      <c r="L343" s="218"/>
      <c r="M343" s="218"/>
      <c r="N343" s="218"/>
      <c r="O343" s="218"/>
      <c r="P343" s="352"/>
      <c r="Q343" s="352"/>
      <c r="R343" s="352"/>
      <c r="S343" s="352"/>
      <c r="T343" s="352"/>
      <c r="U343" s="352"/>
      <c r="V343" s="218"/>
      <c r="W343" s="218"/>
      <c r="X343" s="218"/>
      <c r="Y343" s="218"/>
      <c r="Z343" s="218"/>
      <c r="AA343" s="218"/>
      <c r="AB343" s="218">
        <v>1</v>
      </c>
      <c r="AC343" s="218"/>
      <c r="AD343" s="218"/>
      <c r="AE343" s="218"/>
      <c r="AF343" s="218">
        <v>1</v>
      </c>
      <c r="AG343" s="218"/>
      <c r="AH343" s="218"/>
      <c r="AI343" s="218"/>
      <c r="AJ343" s="218"/>
      <c r="AK343" s="218">
        <f>G378+AL343-G343</f>
        <v>0</v>
      </c>
      <c r="AL343" s="218"/>
      <c r="AM343" s="353"/>
      <c r="AN343" s="295"/>
      <c r="AO343" s="296"/>
      <c r="AP343" s="353"/>
      <c r="AQ343" s="290"/>
      <c r="AR343" s="290"/>
      <c r="AS343" s="290"/>
    </row>
    <row r="344" spans="1:45" ht="17.25" thickBot="1" x14ac:dyDescent="0.3">
      <c r="A344" s="467"/>
      <c r="B344" s="354"/>
      <c r="C344" s="285">
        <v>1699119</v>
      </c>
      <c r="D344" s="358" t="s">
        <v>412</v>
      </c>
      <c r="E344" s="360"/>
      <c r="F344" s="361">
        <f>G379-AK344+AL344</f>
        <v>4</v>
      </c>
      <c r="G344" s="369">
        <v>4</v>
      </c>
      <c r="H344" s="369">
        <v>1</v>
      </c>
      <c r="I344" s="369">
        <v>4</v>
      </c>
      <c r="J344" s="369"/>
      <c r="K344" s="369">
        <v>1</v>
      </c>
      <c r="L344" s="218"/>
      <c r="M344" s="218"/>
      <c r="N344" s="218"/>
      <c r="O344" s="218"/>
      <c r="P344" s="352"/>
      <c r="Q344" s="352"/>
      <c r="R344" s="352"/>
      <c r="S344" s="352"/>
      <c r="T344" s="352"/>
      <c r="U344" s="352"/>
      <c r="V344" s="218"/>
      <c r="W344" s="218"/>
      <c r="X344" s="218"/>
      <c r="Y344" s="218"/>
      <c r="Z344" s="218"/>
      <c r="AA344" s="218"/>
      <c r="AB344" s="218">
        <v>2</v>
      </c>
      <c r="AC344" s="218"/>
      <c r="AD344" s="218"/>
      <c r="AE344" s="218"/>
      <c r="AF344" s="218">
        <v>1</v>
      </c>
      <c r="AG344" s="218"/>
      <c r="AH344" s="218"/>
      <c r="AI344" s="218"/>
      <c r="AJ344" s="218"/>
      <c r="AK344" s="218">
        <f>G379+AL344-G344</f>
        <v>0</v>
      </c>
      <c r="AL344" s="218"/>
      <c r="AM344" s="353"/>
      <c r="AN344" s="295"/>
      <c r="AO344" s="296"/>
      <c r="AP344" s="353"/>
      <c r="AQ344" s="290"/>
      <c r="AR344" s="290"/>
      <c r="AS344" s="290"/>
    </row>
    <row r="345" spans="1:45" ht="17.25" thickBot="1" x14ac:dyDescent="0.3">
      <c r="A345" s="467"/>
      <c r="B345" s="354"/>
      <c r="C345" s="285">
        <v>1699130</v>
      </c>
      <c r="D345" s="358" t="s">
        <v>413</v>
      </c>
      <c r="E345" s="360"/>
      <c r="F345" s="361">
        <f>G380-AK345+AL345</f>
        <v>4</v>
      </c>
      <c r="G345" s="369">
        <v>4</v>
      </c>
      <c r="H345" s="369">
        <v>4</v>
      </c>
      <c r="I345" s="369">
        <v>4</v>
      </c>
      <c r="J345" s="369"/>
      <c r="K345" s="369">
        <v>0</v>
      </c>
      <c r="L345" s="218"/>
      <c r="M345" s="218"/>
      <c r="N345" s="218"/>
      <c r="O345" s="218"/>
      <c r="P345" s="352"/>
      <c r="Q345" s="352"/>
      <c r="R345" s="352"/>
      <c r="S345" s="352"/>
      <c r="T345" s="352"/>
      <c r="U345" s="352"/>
      <c r="V345" s="218"/>
      <c r="W345" s="218"/>
      <c r="X345" s="218"/>
      <c r="Y345" s="218"/>
      <c r="Z345" s="218"/>
      <c r="AA345" s="218">
        <v>2</v>
      </c>
      <c r="AB345" s="218"/>
      <c r="AC345" s="218"/>
      <c r="AD345" s="218">
        <v>4</v>
      </c>
      <c r="AE345" s="218"/>
      <c r="AF345" s="218"/>
      <c r="AG345" s="218"/>
      <c r="AH345" s="218"/>
      <c r="AI345" s="218"/>
      <c r="AJ345" s="218"/>
      <c r="AK345" s="218">
        <f>G380+AL345-G345</f>
        <v>0</v>
      </c>
      <c r="AL345" s="218"/>
      <c r="AM345" s="353"/>
      <c r="AN345" s="295"/>
      <c r="AO345" s="296"/>
      <c r="AP345" s="353"/>
      <c r="AQ345" s="290"/>
      <c r="AR345" s="290"/>
      <c r="AS345" s="290"/>
    </row>
    <row r="346" spans="1:45" ht="17.25" thickBot="1" x14ac:dyDescent="0.3">
      <c r="A346" s="467"/>
      <c r="B346" s="354"/>
      <c r="C346" s="285">
        <v>1699131</v>
      </c>
      <c r="D346" s="358" t="s">
        <v>414</v>
      </c>
      <c r="E346" s="360"/>
      <c r="F346" s="361">
        <f>G381-AK346+AL346</f>
        <v>3</v>
      </c>
      <c r="G346" s="369">
        <v>3</v>
      </c>
      <c r="H346" s="397">
        <v>3</v>
      </c>
      <c r="I346" s="369">
        <v>3</v>
      </c>
      <c r="J346" s="369"/>
      <c r="K346" s="364">
        <v>2</v>
      </c>
      <c r="L346" s="218"/>
      <c r="M346" s="218"/>
      <c r="N346" s="218"/>
      <c r="O346" s="218"/>
      <c r="P346" s="352"/>
      <c r="Q346" s="352"/>
      <c r="R346" s="352"/>
      <c r="S346" s="352"/>
      <c r="T346" s="352"/>
      <c r="U346" s="352"/>
      <c r="V346" s="218"/>
      <c r="W346" s="218"/>
      <c r="X346" s="218"/>
      <c r="Y346" s="218"/>
      <c r="Z346" s="218"/>
      <c r="AA346" s="218"/>
      <c r="AB346" s="218">
        <v>1</v>
      </c>
      <c r="AC346" s="218"/>
      <c r="AD346" s="218"/>
      <c r="AE346" s="218"/>
      <c r="AF346" s="218">
        <v>2</v>
      </c>
      <c r="AG346" s="218"/>
      <c r="AH346" s="218"/>
      <c r="AI346" s="218"/>
      <c r="AJ346" s="218"/>
      <c r="AK346" s="218">
        <f>G381+AL346-G346</f>
        <v>2</v>
      </c>
      <c r="AL346" s="218"/>
      <c r="AM346" s="353"/>
      <c r="AN346" s="295"/>
      <c r="AO346" s="296"/>
      <c r="AP346" s="353"/>
      <c r="AQ346" s="290"/>
      <c r="AR346" s="290"/>
      <c r="AS346" s="290"/>
    </row>
    <row r="347" spans="1:45" ht="17.25" thickBot="1" x14ac:dyDescent="0.3">
      <c r="A347" s="468"/>
      <c r="B347" s="354"/>
      <c r="C347" s="285">
        <v>1699132</v>
      </c>
      <c r="D347" s="358" t="s">
        <v>415</v>
      </c>
      <c r="E347" s="285"/>
      <c r="F347" s="362">
        <f>G382-AK347+AL347</f>
        <v>1</v>
      </c>
      <c r="G347" s="364">
        <v>1</v>
      </c>
      <c r="H347" s="397">
        <v>3</v>
      </c>
      <c r="I347" s="364">
        <v>1</v>
      </c>
      <c r="J347" s="364"/>
      <c r="K347" s="364">
        <v>2</v>
      </c>
      <c r="L347" s="218"/>
      <c r="M347" s="218"/>
      <c r="N347" s="218"/>
      <c r="O347" s="218"/>
      <c r="P347" s="352"/>
      <c r="Q347" s="352"/>
      <c r="R347" s="352"/>
      <c r="S347" s="352"/>
      <c r="T347" s="352"/>
      <c r="U347" s="352"/>
      <c r="V347" s="218"/>
      <c r="W347" s="218"/>
      <c r="X347" s="218"/>
      <c r="Y347" s="218"/>
      <c r="Z347" s="218"/>
      <c r="AA347" s="218"/>
      <c r="AB347" s="218"/>
      <c r="AC347" s="218"/>
      <c r="AD347" s="218"/>
      <c r="AE347" s="218"/>
      <c r="AF347" s="218">
        <v>2</v>
      </c>
      <c r="AG347" s="218"/>
      <c r="AH347" s="218"/>
      <c r="AI347" s="218"/>
      <c r="AJ347" s="218"/>
      <c r="AK347" s="218">
        <f>G382+AL347-G347</f>
        <v>0</v>
      </c>
      <c r="AL347" s="218"/>
      <c r="AM347" s="353"/>
      <c r="AN347" s="295"/>
      <c r="AO347" s="296"/>
      <c r="AP347" s="353"/>
      <c r="AQ347" s="290"/>
      <c r="AR347" s="290"/>
      <c r="AS347" s="290"/>
    </row>
    <row r="348" spans="1:45" x14ac:dyDescent="0.25">
      <c r="AL348" s="290"/>
      <c r="AM348" s="290"/>
    </row>
    <row r="349" spans="1:45" ht="14.25" thickBot="1" x14ac:dyDescent="0.3">
      <c r="B349" s="338" t="s">
        <v>18</v>
      </c>
      <c r="C349" s="339">
        <v>45796</v>
      </c>
      <c r="AA349" s="290">
        <v>0</v>
      </c>
      <c r="AL349" s="290"/>
      <c r="AM349" s="290"/>
      <c r="AN349" s="290"/>
      <c r="AO349" s="290"/>
    </row>
    <row r="350" spans="1:45" ht="41.25" thickBot="1" x14ac:dyDescent="0.3">
      <c r="B350" s="283" t="s">
        <v>0</v>
      </c>
      <c r="C350" s="284" t="s">
        <v>1</v>
      </c>
      <c r="D350" s="284" t="s">
        <v>2</v>
      </c>
      <c r="E350" s="284" t="s">
        <v>3</v>
      </c>
      <c r="F350" s="4" t="s">
        <v>318</v>
      </c>
      <c r="G350" s="351" t="s">
        <v>550</v>
      </c>
      <c r="H350" s="382" t="s">
        <v>460</v>
      </c>
      <c r="I350" s="234" t="s">
        <v>546</v>
      </c>
      <c r="J350" s="234"/>
      <c r="K350" s="258" t="s">
        <v>552</v>
      </c>
      <c r="L350" s="258" t="s">
        <v>328</v>
      </c>
      <c r="M350" s="258" t="s">
        <v>327</v>
      </c>
      <c r="N350" s="234" t="s">
        <v>389</v>
      </c>
      <c r="O350" s="240" t="s">
        <v>130</v>
      </c>
      <c r="P350" s="243" t="s">
        <v>303</v>
      </c>
      <c r="Q350" s="244" t="s">
        <v>304</v>
      </c>
      <c r="R350" s="244" t="s">
        <v>314</v>
      </c>
      <c r="S350" s="245" t="s">
        <v>338</v>
      </c>
      <c r="T350" s="245" t="s">
        <v>345</v>
      </c>
      <c r="U350" s="245" t="s">
        <v>361</v>
      </c>
      <c r="V350" s="245" t="s">
        <v>387</v>
      </c>
      <c r="W350" s="245" t="s">
        <v>421</v>
      </c>
      <c r="X350" s="245" t="s">
        <v>452</v>
      </c>
      <c r="Y350" s="245" t="s">
        <v>463</v>
      </c>
      <c r="Z350" s="245" t="s">
        <v>481</v>
      </c>
      <c r="AA350" s="245" t="s">
        <v>498</v>
      </c>
      <c r="AB350" s="245" t="s">
        <v>303</v>
      </c>
      <c r="AC350" s="245" t="s">
        <v>304</v>
      </c>
      <c r="AD350" s="245" t="s">
        <v>314</v>
      </c>
      <c r="AE350" s="245" t="s">
        <v>338</v>
      </c>
      <c r="AF350" s="245" t="s">
        <v>345</v>
      </c>
      <c r="AG350" s="245"/>
      <c r="AH350" s="245"/>
      <c r="AI350" s="245"/>
      <c r="AJ350" s="245" t="s">
        <v>360</v>
      </c>
      <c r="AK350" s="246" t="s">
        <v>268</v>
      </c>
      <c r="AL350" s="247" t="s">
        <v>269</v>
      </c>
      <c r="AM350" s="291" t="s">
        <v>288</v>
      </c>
      <c r="AN350" s="292" t="s">
        <v>289</v>
      </c>
      <c r="AO350" s="292" t="s">
        <v>287</v>
      </c>
      <c r="AP350" s="293" t="s">
        <v>290</v>
      </c>
      <c r="AQ350" s="290" t="s">
        <v>306</v>
      </c>
      <c r="AR350" s="290" t="s">
        <v>310</v>
      </c>
      <c r="AS350" s="290" t="s">
        <v>311</v>
      </c>
    </row>
    <row r="351" spans="1:45" ht="17.25" thickBot="1" x14ac:dyDescent="0.3">
      <c r="A351" s="463" t="s">
        <v>416</v>
      </c>
      <c r="B351" s="285">
        <v>273664</v>
      </c>
      <c r="C351" s="286">
        <v>1135749</v>
      </c>
      <c r="D351" s="286" t="s">
        <v>7</v>
      </c>
      <c r="E351" s="286">
        <v>6060050026</v>
      </c>
      <c r="F351" s="253">
        <f>G386-AK351+AL351</f>
        <v>10</v>
      </c>
      <c r="G351" s="235">
        <v>10</v>
      </c>
      <c r="H351" s="394">
        <v>5</v>
      </c>
      <c r="I351" s="232">
        <v>9</v>
      </c>
      <c r="J351" s="232"/>
      <c r="K351" s="232">
        <v>2</v>
      </c>
      <c r="L351" s="232">
        <f>IF(K385=K350,L386+AK351,K351)</f>
        <v>2</v>
      </c>
      <c r="M351" s="232">
        <f>IF(K385=K350,0,L386+AK351-K351)</f>
        <v>1</v>
      </c>
      <c r="N351" s="267">
        <v>5</v>
      </c>
      <c r="O351" s="241">
        <f>N351-G351</f>
        <v>-5</v>
      </c>
      <c r="P351" s="277">
        <v>4</v>
      </c>
      <c r="Q351" s="278">
        <v>4</v>
      </c>
      <c r="R351" s="279"/>
      <c r="S351" s="279">
        <v>3</v>
      </c>
      <c r="T351" s="279">
        <v>4</v>
      </c>
      <c r="U351" s="279">
        <v>2</v>
      </c>
      <c r="V351" s="279"/>
      <c r="W351" s="279">
        <f>2+3</f>
        <v>5</v>
      </c>
      <c r="X351" s="241"/>
      <c r="Y351" s="241"/>
      <c r="Z351" s="241"/>
      <c r="AA351" s="241">
        <v>4</v>
      </c>
      <c r="AB351" s="241">
        <v>5</v>
      </c>
      <c r="AC351" s="241"/>
      <c r="AD351" s="241">
        <v>6</v>
      </c>
      <c r="AE351" s="241"/>
      <c r="AF351" s="241">
        <v>2</v>
      </c>
      <c r="AG351" s="241"/>
      <c r="AH351" s="241"/>
      <c r="AI351" s="241"/>
      <c r="AJ351" s="241">
        <f>N351-V351</f>
        <v>5</v>
      </c>
      <c r="AK351" s="235">
        <f>G386+AL351-G351</f>
        <v>2</v>
      </c>
      <c r="AL351" s="350"/>
      <c r="AM351" s="294">
        <v>1.5</v>
      </c>
      <c r="AN351" s="295">
        <v>4</v>
      </c>
      <c r="AO351" s="296">
        <f>G351/(AN351)</f>
        <v>2.5</v>
      </c>
      <c r="AP351" s="297">
        <f>AN351*6</f>
        <v>24</v>
      </c>
      <c r="AQ351" s="290">
        <f>G351+K351</f>
        <v>12</v>
      </c>
      <c r="AR351" s="290">
        <f>IF(G351&lt;G386,(G386-G351+K386-K351),K386-K351)</f>
        <v>1</v>
      </c>
      <c r="AS351" s="290">
        <f>21-8</f>
        <v>13</v>
      </c>
    </row>
    <row r="352" spans="1:45" ht="17.25" thickBot="1" x14ac:dyDescent="0.3">
      <c r="A352" s="464"/>
      <c r="B352" s="285">
        <v>273672</v>
      </c>
      <c r="C352" s="286">
        <v>1135750</v>
      </c>
      <c r="D352" s="286" t="s">
        <v>9</v>
      </c>
      <c r="E352" s="287">
        <v>204000000000</v>
      </c>
      <c r="F352" s="253">
        <f>G387-AK352+AL352</f>
        <v>14</v>
      </c>
      <c r="G352" s="235">
        <v>14</v>
      </c>
      <c r="H352" s="394">
        <v>16</v>
      </c>
      <c r="I352" s="232">
        <v>13</v>
      </c>
      <c r="J352" s="232"/>
      <c r="K352" s="232">
        <v>6</v>
      </c>
      <c r="L352" s="232">
        <f>IF(K385=K350,L387+AK352,K352)</f>
        <v>6</v>
      </c>
      <c r="M352" s="232">
        <f>IF(K385=K350,0,L387+AK352-K352)</f>
        <v>2</v>
      </c>
      <c r="N352" s="267">
        <v>10</v>
      </c>
      <c r="O352" s="241">
        <f>N352-G352</f>
        <v>-4</v>
      </c>
      <c r="P352" s="277">
        <v>13</v>
      </c>
      <c r="Q352" s="278">
        <v>2</v>
      </c>
      <c r="R352" s="279">
        <v>6</v>
      </c>
      <c r="S352" s="279">
        <v>6</v>
      </c>
      <c r="T352" s="279">
        <v>10</v>
      </c>
      <c r="U352" s="279">
        <v>4</v>
      </c>
      <c r="V352" s="279">
        <v>6</v>
      </c>
      <c r="W352" s="279">
        <v>16</v>
      </c>
      <c r="X352" s="241"/>
      <c r="Y352" s="241">
        <v>6</v>
      </c>
      <c r="Z352" s="241">
        <v>4</v>
      </c>
      <c r="AA352" s="241">
        <v>6</v>
      </c>
      <c r="AB352" s="241">
        <v>14</v>
      </c>
      <c r="AC352" s="241"/>
      <c r="AD352" s="241">
        <v>12</v>
      </c>
      <c r="AE352" s="241">
        <v>6</v>
      </c>
      <c r="AF352" s="241">
        <v>8</v>
      </c>
      <c r="AG352" s="241"/>
      <c r="AH352" s="241"/>
      <c r="AI352" s="241"/>
      <c r="AJ352" s="241">
        <f>N352-V352</f>
        <v>4</v>
      </c>
      <c r="AK352" s="235">
        <f>G387+AL352-G352</f>
        <v>0</v>
      </c>
      <c r="AL352" s="236"/>
      <c r="AM352" s="298">
        <v>4.2</v>
      </c>
      <c r="AN352" s="295">
        <v>9</v>
      </c>
      <c r="AO352" s="296">
        <f>G352/(AN352)</f>
        <v>1.5555555555555556</v>
      </c>
      <c r="AP352" s="297">
        <f>AN352*6</f>
        <v>54</v>
      </c>
      <c r="AQ352" s="290">
        <f>G352+K352</f>
        <v>20</v>
      </c>
      <c r="AR352" s="290">
        <f>IF(G352&lt;G387,(G387-G352+K387-K352),K387-K352)</f>
        <v>2</v>
      </c>
      <c r="AS352" s="290">
        <f>21-8</f>
        <v>13</v>
      </c>
    </row>
    <row r="353" spans="1:45" ht="17.25" thickBot="1" x14ac:dyDescent="0.3">
      <c r="A353" s="464"/>
      <c r="B353" s="285">
        <v>273702</v>
      </c>
      <c r="C353" s="286">
        <v>1135753</v>
      </c>
      <c r="D353" s="286" t="s">
        <v>10</v>
      </c>
      <c r="E353" s="287">
        <v>301000000000</v>
      </c>
      <c r="F353" s="253">
        <f>G388-AK353+AL353</f>
        <v>3</v>
      </c>
      <c r="G353" s="235">
        <v>3</v>
      </c>
      <c r="H353" s="394">
        <v>1</v>
      </c>
      <c r="I353" s="232">
        <v>3</v>
      </c>
      <c r="J353" s="232"/>
      <c r="K353" s="232">
        <v>2</v>
      </c>
      <c r="L353" s="232">
        <f>IF(K385=K350,L388+AK353,K353)</f>
        <v>2</v>
      </c>
      <c r="M353" s="232">
        <f>IF(K385=K350,0,L388+AK353-K353)</f>
        <v>0</v>
      </c>
      <c r="N353" s="232">
        <v>2</v>
      </c>
      <c r="O353" s="241">
        <f>N353-G353</f>
        <v>-1</v>
      </c>
      <c r="P353" s="277"/>
      <c r="Q353" s="278"/>
      <c r="R353" s="279"/>
      <c r="S353" s="279"/>
      <c r="T353" s="279"/>
      <c r="U353" s="279"/>
      <c r="V353" s="279"/>
      <c r="W353" s="279"/>
      <c r="X353" s="241"/>
      <c r="Y353" s="241"/>
      <c r="Z353" s="241"/>
      <c r="AA353" s="241"/>
      <c r="AB353" s="241">
        <v>2</v>
      </c>
      <c r="AC353" s="241"/>
      <c r="AD353" s="241"/>
      <c r="AE353" s="241"/>
      <c r="AF353" s="241"/>
      <c r="AG353" s="241"/>
      <c r="AH353" s="241"/>
      <c r="AI353" s="241"/>
      <c r="AJ353" s="241">
        <f>N353-V353</f>
        <v>2</v>
      </c>
      <c r="AK353" s="235">
        <f>G388+AL353-G353</f>
        <v>0</v>
      </c>
      <c r="AL353" s="236"/>
      <c r="AM353" s="294">
        <f>4/12</f>
        <v>0.33333333333333331</v>
      </c>
      <c r="AN353" s="295">
        <v>2</v>
      </c>
      <c r="AO353" s="296">
        <f>G353/(AN353)</f>
        <v>1.5</v>
      </c>
      <c r="AP353" s="297">
        <f>AN353*6</f>
        <v>12</v>
      </c>
      <c r="AQ353" s="290">
        <f>G353+K353</f>
        <v>5</v>
      </c>
      <c r="AR353" s="290">
        <f>IF(G353&lt;G388,(G388-G353+K388-K353),K388-K353)</f>
        <v>0</v>
      </c>
      <c r="AS353" s="290">
        <f>21-8</f>
        <v>13</v>
      </c>
    </row>
    <row r="354" spans="1:45" ht="17.25" thickBot="1" x14ac:dyDescent="0.3">
      <c r="A354" s="464"/>
      <c r="B354" s="285">
        <v>273698</v>
      </c>
      <c r="C354" s="286">
        <v>1135752</v>
      </c>
      <c r="D354" s="286" t="s">
        <v>11</v>
      </c>
      <c r="E354" s="287">
        <v>701000000000</v>
      </c>
      <c r="F354" s="253">
        <f>G389-AK354+AL354</f>
        <v>4</v>
      </c>
      <c r="G354" s="235">
        <v>4</v>
      </c>
      <c r="H354" s="394">
        <v>2</v>
      </c>
      <c r="I354" s="232">
        <v>1</v>
      </c>
      <c r="J354" s="232"/>
      <c r="K354" s="232">
        <v>0</v>
      </c>
      <c r="L354" s="232">
        <f>IF(K385=K350,L389+AK354,K354)</f>
        <v>0</v>
      </c>
      <c r="M354" s="232">
        <f>IF(K385=K350,0,L389+AK354-K354)</f>
        <v>0</v>
      </c>
      <c r="N354" s="232">
        <v>3</v>
      </c>
      <c r="O354" s="241">
        <f>N354-G354</f>
        <v>-1</v>
      </c>
      <c r="P354" s="277">
        <v>2</v>
      </c>
      <c r="Q354" s="278"/>
      <c r="R354" s="279"/>
      <c r="S354" s="279"/>
      <c r="T354" s="279"/>
      <c r="U354" s="279"/>
      <c r="V354" s="279"/>
      <c r="W354" s="279">
        <v>1</v>
      </c>
      <c r="X354" s="241"/>
      <c r="Y354" s="241"/>
      <c r="Z354" s="241"/>
      <c r="AA354" s="241"/>
      <c r="AB354" s="241">
        <v>2</v>
      </c>
      <c r="AC354" s="241"/>
      <c r="AD354" s="241">
        <v>2</v>
      </c>
      <c r="AE354" s="241"/>
      <c r="AF354" s="241"/>
      <c r="AG354" s="241"/>
      <c r="AH354" s="241"/>
      <c r="AI354" s="241"/>
      <c r="AJ354" s="241">
        <f>N354-V354</f>
        <v>3</v>
      </c>
      <c r="AK354" s="235">
        <f>G389+AL354-G354</f>
        <v>0</v>
      </c>
      <c r="AL354" s="236"/>
      <c r="AM354" s="294">
        <f>4/12</f>
        <v>0.33333333333333331</v>
      </c>
      <c r="AN354" s="295">
        <v>2</v>
      </c>
      <c r="AO354" s="296">
        <f>G354/(AN354)</f>
        <v>2</v>
      </c>
      <c r="AP354" s="297">
        <f>AN354*6</f>
        <v>12</v>
      </c>
      <c r="AQ354" s="290">
        <f>G354+K354</f>
        <v>4</v>
      </c>
      <c r="AR354" s="290">
        <f>IF(G354&lt;G389,(G389-G354+K389-K354),K389-K354)</f>
        <v>0</v>
      </c>
      <c r="AS354" s="290">
        <f>21-8</f>
        <v>13</v>
      </c>
    </row>
    <row r="355" spans="1:45" ht="17.25" thickBot="1" x14ac:dyDescent="0.3">
      <c r="A355" s="465"/>
      <c r="B355" s="285">
        <v>273680</v>
      </c>
      <c r="C355" s="286">
        <v>1135751</v>
      </c>
      <c r="D355" s="286" t="s">
        <v>12</v>
      </c>
      <c r="E355" s="286" t="s">
        <v>13</v>
      </c>
      <c r="F355" s="254">
        <f>G390-AK355+AL355</f>
        <v>15</v>
      </c>
      <c r="G355" s="237">
        <v>15</v>
      </c>
      <c r="H355" s="395">
        <v>8</v>
      </c>
      <c r="I355" s="238">
        <v>15</v>
      </c>
      <c r="J355" s="238"/>
      <c r="K355" s="238">
        <v>0</v>
      </c>
      <c r="L355" s="238">
        <f>IF(K385=K350,L390+AK355,K355)</f>
        <v>0</v>
      </c>
      <c r="M355" s="238">
        <f>IF(K385=K350,0,L390+AK355-K355)</f>
        <v>0</v>
      </c>
      <c r="N355" s="238">
        <v>9</v>
      </c>
      <c r="O355" s="242">
        <f>N355-G355</f>
        <v>-6</v>
      </c>
      <c r="P355" s="280"/>
      <c r="Q355" s="281"/>
      <c r="R355" s="282"/>
      <c r="S355" s="282"/>
      <c r="T355" s="282">
        <v>11</v>
      </c>
      <c r="U355" s="282"/>
      <c r="V355" s="282"/>
      <c r="W355" s="282">
        <v>9</v>
      </c>
      <c r="X355" s="242"/>
      <c r="Y355" s="242">
        <v>9</v>
      </c>
      <c r="Z355" s="242"/>
      <c r="AA355" s="242"/>
      <c r="AB355" s="242">
        <v>5</v>
      </c>
      <c r="AC355" s="242"/>
      <c r="AD355" s="242">
        <v>5</v>
      </c>
      <c r="AE355" s="242"/>
      <c r="AF355" s="242"/>
      <c r="AG355" s="242"/>
      <c r="AH355" s="242"/>
      <c r="AI355" s="242"/>
      <c r="AJ355" s="242">
        <f>N355-V355</f>
        <v>9</v>
      </c>
      <c r="AK355" s="235">
        <f>G390+AL355-G355</f>
        <v>0</v>
      </c>
      <c r="AL355" s="239"/>
      <c r="AM355" s="299">
        <f>30/12</f>
        <v>2.5</v>
      </c>
      <c r="AN355" s="300">
        <f>AM355*2</f>
        <v>5</v>
      </c>
      <c r="AO355" s="301">
        <f>G355/(AN355)</f>
        <v>3</v>
      </c>
      <c r="AP355" s="302">
        <f>AN355*6</f>
        <v>30</v>
      </c>
      <c r="AQ355" s="290">
        <f>G355+K355</f>
        <v>15</v>
      </c>
      <c r="AR355" s="290">
        <f>IF(G355&lt;G390,(G390-G355+K390-K355),K390-K355)</f>
        <v>0</v>
      </c>
      <c r="AS355" s="290">
        <f>21-8</f>
        <v>13</v>
      </c>
    </row>
    <row r="356" spans="1:45" ht="17.25" thickBot="1" x14ac:dyDescent="0.3">
      <c r="A356" s="466" t="s">
        <v>417</v>
      </c>
      <c r="B356" s="355" t="s">
        <v>129</v>
      </c>
      <c r="C356" s="356"/>
      <c r="D356" s="356"/>
      <c r="E356" s="359"/>
      <c r="F356" s="359"/>
      <c r="G356" s="356"/>
      <c r="H356" s="396"/>
      <c r="I356" s="356"/>
      <c r="J356" s="356"/>
      <c r="K356" s="356"/>
      <c r="L356" s="356"/>
      <c r="M356" s="356"/>
      <c r="N356" s="356"/>
      <c r="O356" s="356"/>
      <c r="P356" s="356"/>
      <c r="Q356" s="356"/>
      <c r="R356" s="356"/>
      <c r="S356" s="356"/>
      <c r="T356" s="356"/>
      <c r="U356" s="356"/>
      <c r="V356" s="356"/>
      <c r="W356" s="356"/>
      <c r="X356" s="356"/>
      <c r="Y356" s="356"/>
      <c r="Z356" s="356"/>
      <c r="AA356" s="356"/>
      <c r="AB356" s="356"/>
      <c r="AC356" s="356"/>
      <c r="AD356" s="356"/>
      <c r="AE356" s="356"/>
      <c r="AF356" s="356"/>
      <c r="AG356" s="356"/>
      <c r="AH356" s="356"/>
      <c r="AI356" s="356"/>
      <c r="AJ356" s="356"/>
      <c r="AK356" s="356"/>
      <c r="AL356" s="367"/>
      <c r="AM356" s="356"/>
      <c r="AN356" s="356"/>
      <c r="AO356" s="356"/>
      <c r="AP356" s="356"/>
      <c r="AQ356" s="356"/>
      <c r="AR356" s="356"/>
      <c r="AS356" s="357"/>
    </row>
    <row r="357" spans="1:45" ht="17.25" thickBot="1" x14ac:dyDescent="0.3">
      <c r="A357" s="467"/>
      <c r="B357" s="354"/>
      <c r="C357" s="354">
        <v>1140327</v>
      </c>
      <c r="D357" s="358" t="s">
        <v>394</v>
      </c>
      <c r="E357" s="360"/>
      <c r="F357" s="361">
        <f>G392-AK357+AL357</f>
        <v>10</v>
      </c>
      <c r="G357" s="218">
        <v>10</v>
      </c>
      <c r="H357" s="397">
        <v>23</v>
      </c>
      <c r="I357" s="218">
        <v>10</v>
      </c>
      <c r="J357" s="218"/>
      <c r="K357" s="218">
        <v>9</v>
      </c>
      <c r="L357" s="218">
        <f>IF(K385=K350,L392+AK357,K357)</f>
        <v>9</v>
      </c>
      <c r="M357" s="218">
        <f>IF(K385=K350,0,L392+AK357-K357)</f>
        <v>0</v>
      </c>
      <c r="N357" s="218"/>
      <c r="O357" s="218"/>
      <c r="P357" s="352"/>
      <c r="Q357" s="352"/>
      <c r="R357" s="352"/>
      <c r="S357" s="352"/>
      <c r="T357" s="352"/>
      <c r="U357" s="352"/>
      <c r="V357" s="218"/>
      <c r="W357" s="218"/>
      <c r="X357" s="218">
        <v>4</v>
      </c>
      <c r="Y357" s="218">
        <v>9</v>
      </c>
      <c r="Z357" s="218">
        <v>14</v>
      </c>
      <c r="AA357" s="218">
        <v>8</v>
      </c>
      <c r="AB357" s="218">
        <f>14+6</f>
        <v>20</v>
      </c>
      <c r="AC357" s="218">
        <v>10</v>
      </c>
      <c r="AD357" s="218">
        <v>12</v>
      </c>
      <c r="AE357" s="218">
        <v>17</v>
      </c>
      <c r="AF357" s="218">
        <v>6</v>
      </c>
      <c r="AG357" s="218"/>
      <c r="AH357" s="218"/>
      <c r="AI357" s="218"/>
      <c r="AJ357" s="242">
        <f>N357-V357</f>
        <v>0</v>
      </c>
      <c r="AK357" s="274">
        <f>G392+AL357-G357</f>
        <v>0</v>
      </c>
      <c r="AL357" s="232"/>
      <c r="AM357" s="353"/>
      <c r="AN357" s="295"/>
      <c r="AO357" s="296"/>
      <c r="AP357" s="353"/>
      <c r="AQ357" s="290"/>
      <c r="AR357" s="290"/>
      <c r="AS357" s="290"/>
    </row>
    <row r="358" spans="1:45" ht="17.25" thickBot="1" x14ac:dyDescent="0.3">
      <c r="A358" s="467"/>
      <c r="B358" s="354"/>
      <c r="C358" s="285">
        <v>1151231</v>
      </c>
      <c r="D358" s="358" t="s">
        <v>395</v>
      </c>
      <c r="E358" s="360"/>
      <c r="F358" s="361">
        <f>G393-AK358+AL358</f>
        <v>11</v>
      </c>
      <c r="G358" s="369">
        <v>11</v>
      </c>
      <c r="H358" s="397">
        <v>13</v>
      </c>
      <c r="I358" s="218">
        <v>11</v>
      </c>
      <c r="J358" s="218"/>
      <c r="K358" s="218">
        <v>5</v>
      </c>
      <c r="L358" s="218">
        <f>IF(K385=K350,L393+AK358,K358)</f>
        <v>5</v>
      </c>
      <c r="M358" s="218">
        <f>IF(K385=K350,0,L393+AK358-K358)</f>
        <v>1</v>
      </c>
      <c r="N358" s="218"/>
      <c r="O358" s="218"/>
      <c r="P358" s="352"/>
      <c r="Q358" s="352"/>
      <c r="R358" s="352"/>
      <c r="S358" s="352"/>
      <c r="T358" s="352"/>
      <c r="U358" s="352"/>
      <c r="V358" s="218"/>
      <c r="W358" s="218"/>
      <c r="X358" s="218">
        <v>3</v>
      </c>
      <c r="Y358" s="218">
        <v>8</v>
      </c>
      <c r="Z358" s="218">
        <v>6</v>
      </c>
      <c r="AA358" s="218"/>
      <c r="AB358" s="218">
        <v>4</v>
      </c>
      <c r="AC358" s="218">
        <v>4</v>
      </c>
      <c r="AD358" s="218">
        <v>4</v>
      </c>
      <c r="AE358" s="218"/>
      <c r="AF358" s="218">
        <v>4</v>
      </c>
      <c r="AG358" s="218"/>
      <c r="AH358" s="218"/>
      <c r="AI358" s="218"/>
      <c r="AJ358" s="242">
        <f>N358-V358</f>
        <v>0</v>
      </c>
      <c r="AK358" s="274">
        <f>G393+AL358-G358</f>
        <v>0</v>
      </c>
      <c r="AL358" s="267"/>
      <c r="AM358" s="353"/>
      <c r="AN358" s="295"/>
      <c r="AO358" s="296"/>
      <c r="AP358" s="353"/>
      <c r="AQ358" s="290"/>
      <c r="AR358" s="290"/>
      <c r="AS358" s="290"/>
    </row>
    <row r="359" spans="1:45" ht="17.25" thickBot="1" x14ac:dyDescent="0.3">
      <c r="A359" s="467"/>
      <c r="B359" s="355" t="s">
        <v>420</v>
      </c>
      <c r="C359" s="356"/>
      <c r="D359" s="356" t="s">
        <v>523</v>
      </c>
      <c r="E359" s="359"/>
      <c r="F359" s="359"/>
      <c r="G359" s="356"/>
      <c r="H359" s="396"/>
      <c r="I359" s="356"/>
      <c r="J359" s="356"/>
      <c r="K359" s="356"/>
      <c r="L359" s="356"/>
      <c r="M359" s="356"/>
      <c r="N359" s="356"/>
      <c r="O359" s="356"/>
      <c r="P359" s="356"/>
      <c r="Q359" s="356"/>
      <c r="R359" s="356"/>
      <c r="S359" s="356"/>
      <c r="T359" s="356"/>
      <c r="U359" s="356"/>
      <c r="V359" s="356"/>
      <c r="W359" s="356"/>
      <c r="X359" s="356"/>
      <c r="Y359" s="356"/>
      <c r="Z359" s="356"/>
      <c r="AA359" s="356"/>
      <c r="AB359" s="356"/>
      <c r="AC359" s="356"/>
      <c r="AD359" s="356"/>
      <c r="AE359" s="356"/>
      <c r="AF359" s="356"/>
      <c r="AG359" s="356"/>
      <c r="AH359" s="356"/>
      <c r="AI359" s="356"/>
      <c r="AJ359" s="356"/>
      <c r="AK359" s="356"/>
      <c r="AL359" s="368"/>
      <c r="AM359" s="356"/>
      <c r="AN359" s="356"/>
      <c r="AO359" s="356"/>
      <c r="AP359" s="356"/>
      <c r="AQ359" s="356"/>
      <c r="AR359" s="356"/>
      <c r="AS359" s="357"/>
    </row>
    <row r="360" spans="1:45" ht="17.25" thickBot="1" x14ac:dyDescent="0.3">
      <c r="A360" s="467"/>
      <c r="B360" s="354"/>
      <c r="C360" s="285">
        <v>1146032</v>
      </c>
      <c r="D360" s="358" t="s">
        <v>396</v>
      </c>
      <c r="E360" s="360"/>
      <c r="F360" s="361">
        <f>G395-AK360+AL360</f>
        <v>0</v>
      </c>
      <c r="G360" s="364">
        <v>0</v>
      </c>
      <c r="H360" s="397">
        <v>1</v>
      </c>
      <c r="I360" s="364">
        <v>1</v>
      </c>
      <c r="J360" s="364"/>
      <c r="K360" s="364">
        <v>2</v>
      </c>
      <c r="L360" s="218"/>
      <c r="M360" s="218"/>
      <c r="N360" s="218"/>
      <c r="O360" s="218"/>
      <c r="P360" s="352"/>
      <c r="Q360" s="352"/>
      <c r="R360" s="352"/>
      <c r="S360" s="352"/>
      <c r="T360" s="352"/>
      <c r="U360" s="352"/>
      <c r="V360" s="218"/>
      <c r="W360" s="218"/>
      <c r="X360" s="218"/>
      <c r="Y360" s="218"/>
      <c r="Z360" s="218"/>
      <c r="AA360" s="218"/>
      <c r="AB360" s="218"/>
      <c r="AC360" s="218"/>
      <c r="AD360" s="218"/>
      <c r="AE360" s="218"/>
      <c r="AF360" s="218">
        <v>1</v>
      </c>
      <c r="AG360" s="218"/>
      <c r="AH360" s="218"/>
      <c r="AI360" s="218"/>
      <c r="AJ360" s="218"/>
      <c r="AK360" s="218">
        <f>G395+AL360-G360</f>
        <v>1</v>
      </c>
      <c r="AL360" s="218"/>
      <c r="AM360" s="353"/>
      <c r="AN360" s="295"/>
      <c r="AO360" s="296"/>
      <c r="AP360" s="353"/>
      <c r="AQ360" s="290"/>
      <c r="AR360" s="290"/>
      <c r="AS360" s="290"/>
    </row>
    <row r="361" spans="1:45" ht="17.25" thickBot="1" x14ac:dyDescent="0.3">
      <c r="A361" s="467"/>
      <c r="B361" s="354"/>
      <c r="C361" s="285">
        <v>1146021</v>
      </c>
      <c r="D361" s="358" t="s">
        <v>397</v>
      </c>
      <c r="E361" s="360"/>
      <c r="F361" s="361">
        <f>G396-AK361+AL361</f>
        <v>2</v>
      </c>
      <c r="G361" s="364">
        <v>2</v>
      </c>
      <c r="H361" s="397">
        <v>2</v>
      </c>
      <c r="I361" s="364">
        <v>2</v>
      </c>
      <c r="J361" s="364"/>
      <c r="K361" s="364">
        <v>1</v>
      </c>
      <c r="L361" s="218"/>
      <c r="M361" s="218"/>
      <c r="N361" s="218"/>
      <c r="O361" s="218"/>
      <c r="P361" s="352"/>
      <c r="Q361" s="352"/>
      <c r="R361" s="352"/>
      <c r="S361" s="352"/>
      <c r="T361" s="352"/>
      <c r="U361" s="352"/>
      <c r="V361" s="218"/>
      <c r="W361" s="218"/>
      <c r="X361" s="218"/>
      <c r="Y361" s="218"/>
      <c r="Z361" s="218"/>
      <c r="AA361" s="218"/>
      <c r="AB361" s="218"/>
      <c r="AC361" s="218"/>
      <c r="AD361" s="218"/>
      <c r="AE361" s="218"/>
      <c r="AF361" s="218"/>
      <c r="AG361" s="218"/>
      <c r="AH361" s="218"/>
      <c r="AI361" s="218"/>
      <c r="AJ361" s="218"/>
      <c r="AK361" s="218">
        <f>G396+AL361-G361</f>
        <v>0</v>
      </c>
      <c r="AL361" s="218"/>
      <c r="AM361" s="353"/>
      <c r="AN361" s="295"/>
      <c r="AO361" s="296"/>
      <c r="AP361" s="353"/>
      <c r="AQ361" s="290"/>
      <c r="AR361" s="290"/>
      <c r="AS361" s="290"/>
    </row>
    <row r="362" spans="1:45" ht="17.25" thickBot="1" x14ac:dyDescent="0.3">
      <c r="A362" s="467"/>
      <c r="B362" s="354"/>
      <c r="C362" s="285">
        <v>1146018</v>
      </c>
      <c r="D362" s="358" t="s">
        <v>398</v>
      </c>
      <c r="E362" s="360"/>
      <c r="F362" s="361">
        <f>G397-AK362+AL362</f>
        <v>4</v>
      </c>
      <c r="G362" s="369">
        <v>4</v>
      </c>
      <c r="H362" s="397">
        <v>1</v>
      </c>
      <c r="I362" s="364">
        <v>4</v>
      </c>
      <c r="J362" s="364"/>
      <c r="K362" s="364">
        <v>1</v>
      </c>
      <c r="L362" s="218"/>
      <c r="M362" s="218"/>
      <c r="N362" s="218"/>
      <c r="O362" s="218"/>
      <c r="P362" s="352"/>
      <c r="Q362" s="352"/>
      <c r="R362" s="352"/>
      <c r="S362" s="352"/>
      <c r="T362" s="352"/>
      <c r="U362" s="352"/>
      <c r="V362" s="218"/>
      <c r="W362" s="218"/>
      <c r="X362" s="218"/>
      <c r="Y362" s="218"/>
      <c r="Z362" s="218"/>
      <c r="AA362" s="218"/>
      <c r="AB362" s="218">
        <v>2</v>
      </c>
      <c r="AC362" s="218"/>
      <c r="AD362" s="218"/>
      <c r="AE362" s="218"/>
      <c r="AF362" s="218"/>
      <c r="AG362" s="218"/>
      <c r="AH362" s="218"/>
      <c r="AI362" s="218"/>
      <c r="AJ362" s="218"/>
      <c r="AK362" s="218">
        <f>G397+AL362-G362</f>
        <v>0</v>
      </c>
      <c r="AL362" s="218"/>
      <c r="AM362" s="353"/>
      <c r="AN362" s="295"/>
      <c r="AO362" s="296"/>
      <c r="AP362" s="353"/>
      <c r="AQ362" s="290"/>
      <c r="AR362" s="290"/>
      <c r="AS362" s="290"/>
    </row>
    <row r="363" spans="1:45" ht="17.25" thickBot="1" x14ac:dyDescent="0.3">
      <c r="A363" s="467"/>
      <c r="B363" s="354"/>
      <c r="C363" s="285">
        <v>1146024</v>
      </c>
      <c r="D363" s="358" t="s">
        <v>399</v>
      </c>
      <c r="E363" s="360"/>
      <c r="F363" s="361">
        <v>1</v>
      </c>
      <c r="G363" s="369">
        <v>4</v>
      </c>
      <c r="H363" s="369">
        <v>2</v>
      </c>
      <c r="I363" s="369">
        <v>4</v>
      </c>
      <c r="J363" s="369"/>
      <c r="K363" s="369">
        <v>0</v>
      </c>
      <c r="L363" s="218"/>
      <c r="M363" s="218"/>
      <c r="N363" s="218"/>
      <c r="O363" s="218"/>
      <c r="P363" s="352"/>
      <c r="Q363" s="352"/>
      <c r="R363" s="352"/>
      <c r="S363" s="352"/>
      <c r="T363" s="352"/>
      <c r="U363" s="352"/>
      <c r="V363" s="218"/>
      <c r="W363" s="218"/>
      <c r="X363" s="218"/>
      <c r="Y363" s="218"/>
      <c r="Z363" s="218"/>
      <c r="AA363" s="218">
        <v>1</v>
      </c>
      <c r="AB363" s="218">
        <v>1</v>
      </c>
      <c r="AC363" s="218"/>
      <c r="AD363" s="218"/>
      <c r="AE363" s="218"/>
      <c r="AF363" s="218"/>
      <c r="AG363" s="218"/>
      <c r="AH363" s="218"/>
      <c r="AI363" s="218"/>
      <c r="AJ363" s="218"/>
      <c r="AK363" s="218">
        <f>G398+AL363-G363</f>
        <v>0</v>
      </c>
      <c r="AL363" s="218"/>
      <c r="AM363" s="353"/>
      <c r="AN363" s="295"/>
      <c r="AO363" s="296"/>
      <c r="AP363" s="353"/>
      <c r="AQ363" s="290"/>
      <c r="AR363" s="290"/>
      <c r="AS363" s="290"/>
    </row>
    <row r="364" spans="1:45" ht="17.25" thickBot="1" x14ac:dyDescent="0.3">
      <c r="A364" s="467"/>
      <c r="B364" s="354"/>
      <c r="C364" s="285">
        <v>1146028</v>
      </c>
      <c r="D364" s="358" t="s">
        <v>400</v>
      </c>
      <c r="E364" s="360"/>
      <c r="F364" s="361">
        <f>G399-AK364+AL364</f>
        <v>3</v>
      </c>
      <c r="G364" s="364">
        <v>3</v>
      </c>
      <c r="H364" s="397">
        <v>2</v>
      </c>
      <c r="I364" s="364">
        <v>3</v>
      </c>
      <c r="J364" s="364"/>
      <c r="K364" s="364">
        <v>1</v>
      </c>
      <c r="L364" s="218"/>
      <c r="M364" s="218"/>
      <c r="N364" s="218"/>
      <c r="O364" s="218"/>
      <c r="P364" s="352"/>
      <c r="Q364" s="352"/>
      <c r="R364" s="352"/>
      <c r="S364" s="352"/>
      <c r="T364" s="352"/>
      <c r="U364" s="352"/>
      <c r="V364" s="218"/>
      <c r="W364" s="218"/>
      <c r="X364" s="218"/>
      <c r="Y364" s="218"/>
      <c r="Z364" s="218"/>
      <c r="AA364" s="218"/>
      <c r="AB364" s="218"/>
      <c r="AC364" s="218"/>
      <c r="AD364" s="218">
        <v>2</v>
      </c>
      <c r="AE364" s="218"/>
      <c r="AF364" s="218"/>
      <c r="AG364" s="218"/>
      <c r="AH364" s="218"/>
      <c r="AI364" s="218"/>
      <c r="AJ364" s="218"/>
      <c r="AK364" s="218">
        <f>G399+AL364-G364</f>
        <v>0</v>
      </c>
      <c r="AL364" s="218"/>
      <c r="AM364" s="353"/>
      <c r="AN364" s="295"/>
      <c r="AO364" s="296"/>
      <c r="AP364" s="353"/>
      <c r="AQ364" s="290"/>
      <c r="AR364" s="290"/>
      <c r="AS364" s="290"/>
    </row>
    <row r="365" spans="1:45" ht="17.25" thickBot="1" x14ac:dyDescent="0.3">
      <c r="A365" s="467"/>
      <c r="B365" s="355" t="s">
        <v>419</v>
      </c>
      <c r="C365" s="356"/>
      <c r="D365" s="356"/>
      <c r="E365" s="359"/>
      <c r="F365" s="359"/>
      <c r="G365" s="356"/>
      <c r="H365" s="396"/>
      <c r="I365" s="356"/>
      <c r="J365" s="356"/>
      <c r="K365" s="356"/>
      <c r="L365" s="356"/>
      <c r="M365" s="356"/>
      <c r="N365" s="356"/>
      <c r="O365" s="356"/>
      <c r="P365" s="356"/>
      <c r="Q365" s="356"/>
      <c r="R365" s="356"/>
      <c r="S365" s="356"/>
      <c r="T365" s="356"/>
      <c r="U365" s="356"/>
      <c r="V365" s="356"/>
      <c r="W365" s="356"/>
      <c r="X365" s="356"/>
      <c r="Y365" s="356"/>
      <c r="Z365" s="356"/>
      <c r="AA365" s="356"/>
      <c r="AB365" s="356"/>
      <c r="AC365" s="356"/>
      <c r="AD365" s="356"/>
      <c r="AE365" s="356"/>
      <c r="AF365" s="356"/>
      <c r="AG365" s="356"/>
      <c r="AH365" s="356"/>
      <c r="AI365" s="356"/>
      <c r="AJ365" s="356"/>
      <c r="AK365" s="356"/>
      <c r="AL365" s="356"/>
      <c r="AM365" s="356"/>
      <c r="AN365" s="356"/>
      <c r="AO365" s="356"/>
      <c r="AP365" s="356"/>
      <c r="AQ365" s="356"/>
      <c r="AR365" s="356"/>
      <c r="AS365" s="357"/>
    </row>
    <row r="366" spans="1:45" ht="17.25" thickBot="1" x14ac:dyDescent="0.3">
      <c r="A366" s="467"/>
      <c r="B366" s="372"/>
      <c r="C366" s="373">
        <v>1146031</v>
      </c>
      <c r="D366" s="374" t="s">
        <v>401</v>
      </c>
      <c r="E366" s="375"/>
      <c r="F366" s="376">
        <f>G401-AK366+AL366</f>
        <v>2</v>
      </c>
      <c r="G366" s="377">
        <v>2</v>
      </c>
      <c r="H366" s="397">
        <v>1</v>
      </c>
      <c r="I366" s="377">
        <v>1</v>
      </c>
      <c r="J366" s="377"/>
      <c r="K366" s="377">
        <v>2</v>
      </c>
      <c r="L366" s="377"/>
      <c r="M366" s="377"/>
      <c r="N366" s="377"/>
      <c r="O366" s="377"/>
      <c r="P366" s="377"/>
      <c r="Q366" s="377"/>
      <c r="R366" s="377"/>
      <c r="S366" s="377"/>
      <c r="T366" s="377"/>
      <c r="U366" s="377"/>
      <c r="V366" s="377"/>
      <c r="W366" s="377"/>
      <c r="X366" s="377"/>
      <c r="Y366" s="377"/>
      <c r="Z366" s="377"/>
      <c r="AA366" s="377"/>
      <c r="AB366" s="377"/>
      <c r="AC366" s="377"/>
      <c r="AD366" s="377"/>
      <c r="AE366" s="377"/>
      <c r="AF366" s="377"/>
      <c r="AG366" s="377"/>
      <c r="AH366" s="377"/>
      <c r="AI366" s="377"/>
      <c r="AJ366" s="377"/>
      <c r="AK366" s="377">
        <f>G401+AL366-G366</f>
        <v>0</v>
      </c>
      <c r="AL366" s="377"/>
      <c r="AM366" s="378"/>
      <c r="AN366" s="379"/>
      <c r="AO366" s="380"/>
      <c r="AP366" s="378"/>
      <c r="AQ366" s="381"/>
      <c r="AR366" s="381"/>
      <c r="AS366" s="381"/>
    </row>
    <row r="367" spans="1:45" ht="17.25" thickBot="1" x14ac:dyDescent="0.3">
      <c r="A367" s="467"/>
      <c r="B367" s="372"/>
      <c r="C367" s="373">
        <v>1146020</v>
      </c>
      <c r="D367" s="374" t="s">
        <v>402</v>
      </c>
      <c r="E367" s="375"/>
      <c r="F367" s="376">
        <f>G402-AK367+AL367</f>
        <v>1</v>
      </c>
      <c r="G367" s="377">
        <v>1</v>
      </c>
      <c r="H367" s="397">
        <v>1</v>
      </c>
      <c r="I367" s="377">
        <v>0</v>
      </c>
      <c r="J367" s="377"/>
      <c r="K367" s="377">
        <v>1</v>
      </c>
      <c r="L367" s="377"/>
      <c r="M367" s="377"/>
      <c r="N367" s="377"/>
      <c r="O367" s="377"/>
      <c r="P367" s="377"/>
      <c r="Q367" s="377"/>
      <c r="R367" s="377"/>
      <c r="S367" s="377"/>
      <c r="T367" s="377"/>
      <c r="U367" s="377"/>
      <c r="V367" s="377"/>
      <c r="W367" s="377"/>
      <c r="X367" s="377"/>
      <c r="Y367" s="377"/>
      <c r="Z367" s="377"/>
      <c r="AA367" s="377"/>
      <c r="AB367" s="377"/>
      <c r="AC367" s="377"/>
      <c r="AD367" s="377"/>
      <c r="AE367" s="377"/>
      <c r="AF367" s="377"/>
      <c r="AG367" s="377"/>
      <c r="AH367" s="377"/>
      <c r="AI367" s="377"/>
      <c r="AJ367" s="377"/>
      <c r="AK367" s="377">
        <f>G402+AL367-G367</f>
        <v>0</v>
      </c>
      <c r="AL367" s="377"/>
      <c r="AM367" s="378"/>
      <c r="AN367" s="379"/>
      <c r="AO367" s="380"/>
      <c r="AP367" s="378"/>
      <c r="AQ367" s="381"/>
      <c r="AR367" s="381"/>
      <c r="AS367" s="381"/>
    </row>
    <row r="368" spans="1:45" ht="17.25" thickBot="1" x14ac:dyDescent="0.3">
      <c r="A368" s="467"/>
      <c r="B368" s="372"/>
      <c r="C368" s="373">
        <v>1146016</v>
      </c>
      <c r="D368" s="374" t="s">
        <v>398</v>
      </c>
      <c r="E368" s="375"/>
      <c r="F368" s="376">
        <f>G403-AK368+AL368</f>
        <v>6</v>
      </c>
      <c r="G368" s="377">
        <v>6</v>
      </c>
      <c r="H368" s="397">
        <v>1</v>
      </c>
      <c r="I368" s="377">
        <v>0</v>
      </c>
      <c r="J368" s="377"/>
      <c r="K368" s="377">
        <v>0</v>
      </c>
      <c r="L368" s="377"/>
      <c r="M368" s="377"/>
      <c r="N368" s="377"/>
      <c r="O368" s="377"/>
      <c r="P368" s="377"/>
      <c r="Q368" s="377"/>
      <c r="R368" s="377"/>
      <c r="S368" s="377"/>
      <c r="T368" s="377"/>
      <c r="U368" s="377"/>
      <c r="V368" s="377"/>
      <c r="W368" s="377"/>
      <c r="X368" s="377"/>
      <c r="Y368" s="377"/>
      <c r="Z368" s="377"/>
      <c r="AA368" s="377"/>
      <c r="AB368" s="377"/>
      <c r="AC368" s="377"/>
      <c r="AD368" s="377"/>
      <c r="AE368" s="377"/>
      <c r="AF368" s="377"/>
      <c r="AG368" s="377"/>
      <c r="AH368" s="377"/>
      <c r="AI368" s="377"/>
      <c r="AJ368" s="377"/>
      <c r="AK368" s="377">
        <f>G403+AL368-G368</f>
        <v>0</v>
      </c>
      <c r="AL368" s="377"/>
      <c r="AM368" s="378"/>
      <c r="AN368" s="379"/>
      <c r="AO368" s="380"/>
      <c r="AP368" s="378"/>
      <c r="AQ368" s="381"/>
      <c r="AR368" s="381"/>
      <c r="AS368" s="381"/>
    </row>
    <row r="369" spans="1:45" ht="17.25" thickBot="1" x14ac:dyDescent="0.3">
      <c r="A369" s="467"/>
      <c r="B369" s="372"/>
      <c r="C369" s="373">
        <v>1146022</v>
      </c>
      <c r="D369" s="374" t="s">
        <v>403</v>
      </c>
      <c r="E369" s="375"/>
      <c r="F369" s="376">
        <f>G404-AK369+AL369</f>
        <v>0</v>
      </c>
      <c r="G369" s="377">
        <v>0</v>
      </c>
      <c r="H369" s="397">
        <v>2</v>
      </c>
      <c r="I369" s="377">
        <v>0</v>
      </c>
      <c r="J369" s="377"/>
      <c r="K369" s="377">
        <v>0</v>
      </c>
      <c r="L369" s="377"/>
      <c r="M369" s="377"/>
      <c r="N369" s="377"/>
      <c r="O369" s="377"/>
      <c r="P369" s="377"/>
      <c r="Q369" s="377"/>
      <c r="R369" s="377"/>
      <c r="S369" s="377"/>
      <c r="T369" s="377"/>
      <c r="U369" s="377"/>
      <c r="V369" s="377"/>
      <c r="W369" s="377"/>
      <c r="X369" s="377"/>
      <c r="Y369" s="377"/>
      <c r="Z369" s="377"/>
      <c r="AA369" s="377"/>
      <c r="AB369" s="377"/>
      <c r="AC369" s="377"/>
      <c r="AD369" s="377"/>
      <c r="AE369" s="377"/>
      <c r="AF369" s="377"/>
      <c r="AG369" s="377"/>
      <c r="AH369" s="377"/>
      <c r="AI369" s="377"/>
      <c r="AJ369" s="377"/>
      <c r="AK369" s="377">
        <f>G404+AL369-G369</f>
        <v>0</v>
      </c>
      <c r="AL369" s="377"/>
      <c r="AM369" s="378"/>
      <c r="AN369" s="379"/>
      <c r="AO369" s="380"/>
      <c r="AP369" s="378"/>
      <c r="AQ369" s="381"/>
      <c r="AR369" s="381"/>
      <c r="AS369" s="381"/>
    </row>
    <row r="370" spans="1:45" ht="17.25" thickBot="1" x14ac:dyDescent="0.3">
      <c r="A370" s="467"/>
      <c r="B370" s="372"/>
      <c r="C370" s="373">
        <v>1146027</v>
      </c>
      <c r="D370" s="374" t="s">
        <v>404</v>
      </c>
      <c r="E370" s="375"/>
      <c r="F370" s="376">
        <f>G405-AK370+AL370</f>
        <v>1</v>
      </c>
      <c r="G370" s="377">
        <v>1</v>
      </c>
      <c r="H370" s="397">
        <v>2</v>
      </c>
      <c r="I370" s="377">
        <v>1</v>
      </c>
      <c r="J370" s="377"/>
      <c r="K370" s="377">
        <v>0</v>
      </c>
      <c r="L370" s="377"/>
      <c r="M370" s="377"/>
      <c r="N370" s="377"/>
      <c r="O370" s="377"/>
      <c r="P370" s="377"/>
      <c r="Q370" s="377"/>
      <c r="R370" s="377"/>
      <c r="S370" s="377"/>
      <c r="T370" s="377"/>
      <c r="U370" s="377"/>
      <c r="V370" s="377"/>
      <c r="W370" s="377"/>
      <c r="X370" s="377"/>
      <c r="Y370" s="377"/>
      <c r="Z370" s="377"/>
      <c r="AA370" s="377"/>
      <c r="AB370" s="377"/>
      <c r="AC370" s="377"/>
      <c r="AD370" s="377"/>
      <c r="AE370" s="377"/>
      <c r="AF370" s="377"/>
      <c r="AG370" s="377"/>
      <c r="AH370" s="377"/>
      <c r="AI370" s="377"/>
      <c r="AJ370" s="377"/>
      <c r="AK370" s="377">
        <f>G405+AL370-G370</f>
        <v>0</v>
      </c>
      <c r="AL370" s="377"/>
      <c r="AM370" s="378"/>
      <c r="AN370" s="379"/>
      <c r="AO370" s="380"/>
      <c r="AP370" s="378"/>
      <c r="AQ370" s="381"/>
      <c r="AR370" s="381"/>
      <c r="AS370" s="381"/>
    </row>
    <row r="371" spans="1:45" ht="17.25" thickBot="1" x14ac:dyDescent="0.3">
      <c r="A371" s="467"/>
      <c r="B371" s="355" t="s">
        <v>418</v>
      </c>
      <c r="C371" s="356"/>
      <c r="D371" s="356"/>
      <c r="E371" s="359"/>
      <c r="F371" s="359"/>
      <c r="G371" s="356"/>
      <c r="H371" s="396"/>
      <c r="I371" s="356"/>
      <c r="J371" s="356"/>
      <c r="K371" s="356"/>
      <c r="L371" s="356"/>
      <c r="M371" s="356"/>
      <c r="N371" s="356"/>
      <c r="O371" s="356"/>
      <c r="P371" s="356"/>
      <c r="Q371" s="356"/>
      <c r="R371" s="356"/>
      <c r="S371" s="356"/>
      <c r="T371" s="356"/>
      <c r="U371" s="356"/>
      <c r="V371" s="356"/>
      <c r="W371" s="356"/>
      <c r="X371" s="356"/>
      <c r="Y371" s="356"/>
      <c r="Z371" s="356"/>
      <c r="AA371" s="356"/>
      <c r="AB371" s="356"/>
      <c r="AC371" s="356"/>
      <c r="AD371" s="356"/>
      <c r="AE371" s="356"/>
      <c r="AF371" s="356"/>
      <c r="AG371" s="356"/>
      <c r="AH371" s="356"/>
      <c r="AI371" s="356"/>
      <c r="AJ371" s="356"/>
      <c r="AK371" s="356"/>
      <c r="AL371" s="356"/>
      <c r="AM371" s="356"/>
      <c r="AN371" s="356"/>
      <c r="AO371" s="356"/>
      <c r="AP371" s="356"/>
      <c r="AQ371" s="356"/>
      <c r="AR371" s="356"/>
      <c r="AS371" s="357"/>
    </row>
    <row r="372" spans="1:45" ht="17.25" thickBot="1" x14ac:dyDescent="0.3">
      <c r="A372" s="467"/>
      <c r="B372" s="354"/>
      <c r="C372" s="285">
        <v>1151653</v>
      </c>
      <c r="D372" s="358" t="s">
        <v>405</v>
      </c>
      <c r="E372" s="360"/>
      <c r="F372" s="361">
        <f>G407-AK372+AL372</f>
        <v>3</v>
      </c>
      <c r="G372" s="364">
        <v>3</v>
      </c>
      <c r="H372" s="397">
        <v>1</v>
      </c>
      <c r="I372" s="364">
        <v>3</v>
      </c>
      <c r="J372" s="364"/>
      <c r="K372" s="364">
        <v>1</v>
      </c>
      <c r="L372" s="218"/>
      <c r="M372" s="218"/>
      <c r="N372" s="218"/>
      <c r="O372" s="218"/>
      <c r="P372" s="352"/>
      <c r="Q372" s="352"/>
      <c r="R372" s="352"/>
      <c r="S372" s="352"/>
      <c r="T372" s="352"/>
      <c r="U372" s="352"/>
      <c r="V372" s="218"/>
      <c r="W372" s="218"/>
      <c r="X372" s="218"/>
      <c r="Y372" s="218"/>
      <c r="Z372" s="218"/>
      <c r="AA372" s="218"/>
      <c r="AB372" s="218"/>
      <c r="AC372" s="218"/>
      <c r="AD372" s="218"/>
      <c r="AE372" s="218"/>
      <c r="AF372" s="218"/>
      <c r="AG372" s="218"/>
      <c r="AH372" s="218"/>
      <c r="AI372" s="218"/>
      <c r="AJ372" s="218"/>
      <c r="AK372" s="218">
        <f>G407+AL372-G372</f>
        <v>0</v>
      </c>
      <c r="AL372" s="218"/>
      <c r="AM372" s="353"/>
      <c r="AN372" s="295"/>
      <c r="AO372" s="296"/>
      <c r="AP372" s="353"/>
      <c r="AQ372" s="290"/>
      <c r="AR372" s="290"/>
      <c r="AS372" s="290"/>
    </row>
    <row r="373" spans="1:45" ht="17.25" thickBot="1" x14ac:dyDescent="0.3">
      <c r="A373" s="467"/>
      <c r="B373" s="354"/>
      <c r="C373" s="285">
        <v>1151650</v>
      </c>
      <c r="D373" s="358" t="s">
        <v>406</v>
      </c>
      <c r="E373" s="360"/>
      <c r="F373" s="361">
        <f>G408-AK373+AL373</f>
        <v>2</v>
      </c>
      <c r="G373" s="364">
        <v>2</v>
      </c>
      <c r="H373" s="397">
        <v>2</v>
      </c>
      <c r="I373" s="364">
        <v>2</v>
      </c>
      <c r="J373" s="364"/>
      <c r="K373" s="364">
        <v>5</v>
      </c>
      <c r="L373" s="218"/>
      <c r="M373" s="218"/>
      <c r="N373" s="218"/>
      <c r="O373" s="218"/>
      <c r="P373" s="352"/>
      <c r="Q373" s="352"/>
      <c r="R373" s="352"/>
      <c r="S373" s="352"/>
      <c r="T373" s="352"/>
      <c r="U373" s="352"/>
      <c r="V373" s="218"/>
      <c r="W373" s="218"/>
      <c r="X373" s="218"/>
      <c r="Y373" s="218"/>
      <c r="Z373" s="218"/>
      <c r="AA373" s="218"/>
      <c r="AB373" s="218"/>
      <c r="AC373" s="218"/>
      <c r="AD373" s="218"/>
      <c r="AE373" s="218"/>
      <c r="AF373" s="218"/>
      <c r="AG373" s="218"/>
      <c r="AH373" s="218"/>
      <c r="AI373" s="218"/>
      <c r="AJ373" s="218"/>
      <c r="AK373" s="218">
        <f>G408+AL373-G373</f>
        <v>0</v>
      </c>
      <c r="AL373" s="218"/>
      <c r="AM373" s="353"/>
      <c r="AN373" s="295"/>
      <c r="AO373" s="296"/>
      <c r="AP373" s="353"/>
      <c r="AQ373" s="290"/>
      <c r="AR373" s="290"/>
      <c r="AS373" s="290"/>
    </row>
    <row r="374" spans="1:45" ht="17.25" thickBot="1" x14ac:dyDescent="0.3">
      <c r="A374" s="467"/>
      <c r="B374" s="354"/>
      <c r="C374" s="285">
        <v>1151649</v>
      </c>
      <c r="D374" s="358" t="s">
        <v>407</v>
      </c>
      <c r="E374" s="360"/>
      <c r="F374" s="361">
        <f>G409-AK374+AL374</f>
        <v>0</v>
      </c>
      <c r="G374" s="369">
        <v>0</v>
      </c>
      <c r="H374" s="369">
        <v>4</v>
      </c>
      <c r="I374" s="369">
        <v>0</v>
      </c>
      <c r="J374" s="369"/>
      <c r="K374" s="369">
        <v>2</v>
      </c>
      <c r="L374" s="218"/>
      <c r="M374" s="218"/>
      <c r="N374" s="218"/>
      <c r="O374" s="218"/>
      <c r="P374" s="352"/>
      <c r="Q374" s="352"/>
      <c r="R374" s="352"/>
      <c r="S374" s="352"/>
      <c r="T374" s="352"/>
      <c r="U374" s="352"/>
      <c r="V374" s="218"/>
      <c r="W374" s="218"/>
      <c r="X374" s="218"/>
      <c r="Y374" s="218"/>
      <c r="Z374" s="218"/>
      <c r="AA374" s="218"/>
      <c r="AB374" s="218">
        <v>2</v>
      </c>
      <c r="AC374" s="218"/>
      <c r="AD374" s="218">
        <v>2</v>
      </c>
      <c r="AE374" s="218"/>
      <c r="AF374" s="218"/>
      <c r="AG374" s="218"/>
      <c r="AH374" s="218"/>
      <c r="AI374" s="218"/>
      <c r="AJ374" s="218"/>
      <c r="AK374" s="218">
        <f>G409+AL374-G374</f>
        <v>0</v>
      </c>
      <c r="AL374" s="218"/>
      <c r="AM374" s="353"/>
      <c r="AN374" s="295"/>
      <c r="AO374" s="296"/>
      <c r="AP374" s="353"/>
      <c r="AQ374" s="290"/>
      <c r="AR374" s="290"/>
      <c r="AS374" s="290"/>
    </row>
    <row r="375" spans="1:45" ht="17.25" thickBot="1" x14ac:dyDescent="0.3">
      <c r="A375" s="467"/>
      <c r="B375" s="354"/>
      <c r="C375" s="285">
        <v>1151651</v>
      </c>
      <c r="D375" s="358" t="s">
        <v>408</v>
      </c>
      <c r="E375" s="360"/>
      <c r="F375" s="361">
        <f>G410-AK375+AL375</f>
        <v>2</v>
      </c>
      <c r="G375" s="369">
        <v>2</v>
      </c>
      <c r="H375" s="369">
        <v>1</v>
      </c>
      <c r="I375" s="369">
        <v>2</v>
      </c>
      <c r="J375" s="369"/>
      <c r="K375" s="369">
        <v>3</v>
      </c>
      <c r="L375" s="218"/>
      <c r="M375" s="218"/>
      <c r="N375" s="218"/>
      <c r="O375" s="218"/>
      <c r="P375" s="352"/>
      <c r="Q375" s="352"/>
      <c r="R375" s="352"/>
      <c r="S375" s="352"/>
      <c r="T375" s="352"/>
      <c r="U375" s="352"/>
      <c r="V375" s="218"/>
      <c r="W375" s="218"/>
      <c r="X375" s="218"/>
      <c r="Y375" s="218"/>
      <c r="Z375" s="218">
        <v>2</v>
      </c>
      <c r="AA375" s="218"/>
      <c r="AB375" s="218">
        <v>2</v>
      </c>
      <c r="AC375" s="218"/>
      <c r="AD375" s="218">
        <v>3</v>
      </c>
      <c r="AE375" s="218"/>
      <c r="AF375" s="218"/>
      <c r="AG375" s="218"/>
      <c r="AH375" s="218"/>
      <c r="AI375" s="218"/>
      <c r="AJ375" s="218"/>
      <c r="AK375" s="218">
        <f>G410+AL375-G375</f>
        <v>0</v>
      </c>
      <c r="AL375" s="218"/>
      <c r="AM375" s="353"/>
      <c r="AN375" s="295"/>
      <c r="AO375" s="296"/>
      <c r="AP375" s="353"/>
      <c r="AQ375" s="290"/>
      <c r="AR375" s="290"/>
      <c r="AS375" s="290"/>
    </row>
    <row r="376" spans="1:45" ht="17.25" thickBot="1" x14ac:dyDescent="0.3">
      <c r="A376" s="467"/>
      <c r="B376" s="354"/>
      <c r="C376" s="285">
        <v>1146029</v>
      </c>
      <c r="D376" s="358" t="s">
        <v>409</v>
      </c>
      <c r="E376" s="360"/>
      <c r="F376" s="361">
        <f>G411-AK376+AL376</f>
        <v>4</v>
      </c>
      <c r="G376" s="369">
        <v>4</v>
      </c>
      <c r="H376" s="369">
        <v>2</v>
      </c>
      <c r="I376" s="369">
        <v>4</v>
      </c>
      <c r="J376" s="369"/>
      <c r="K376" s="369">
        <v>1</v>
      </c>
      <c r="L376" s="218"/>
      <c r="M376" s="218"/>
      <c r="N376" s="218"/>
      <c r="O376" s="218"/>
      <c r="P376" s="352"/>
      <c r="Q376" s="352"/>
      <c r="R376" s="352"/>
      <c r="S376" s="352"/>
      <c r="T376" s="352"/>
      <c r="U376" s="352"/>
      <c r="V376" s="218"/>
      <c r="W376" s="218"/>
      <c r="X376" s="218"/>
      <c r="Y376" s="218"/>
      <c r="Z376" s="218"/>
      <c r="AA376" s="218"/>
      <c r="AB376" s="218"/>
      <c r="AC376" s="218">
        <v>2</v>
      </c>
      <c r="AD376" s="218"/>
      <c r="AE376" s="218"/>
      <c r="AF376" s="218"/>
      <c r="AG376" s="218"/>
      <c r="AH376" s="218"/>
      <c r="AI376" s="218"/>
      <c r="AJ376" s="218"/>
      <c r="AK376" s="218">
        <f>G411+AL376-G376</f>
        <v>0</v>
      </c>
      <c r="AL376" s="218"/>
      <c r="AM376" s="353"/>
      <c r="AN376" s="295"/>
      <c r="AO376" s="296"/>
      <c r="AP376" s="353"/>
      <c r="AQ376" s="290"/>
      <c r="AR376" s="290"/>
      <c r="AS376" s="290"/>
    </row>
    <row r="377" spans="1:45" ht="17.25" thickBot="1" x14ac:dyDescent="0.3">
      <c r="A377" s="467"/>
      <c r="B377" s="355" t="s">
        <v>410</v>
      </c>
      <c r="C377" s="356"/>
      <c r="D377" s="356"/>
      <c r="E377" s="359"/>
      <c r="F377" s="359"/>
      <c r="G377" s="356"/>
      <c r="H377" s="396"/>
      <c r="I377" s="356"/>
      <c r="J377" s="356"/>
      <c r="K377" s="356"/>
      <c r="L377" s="356"/>
      <c r="M377" s="356"/>
      <c r="N377" s="356"/>
      <c r="O377" s="356"/>
      <c r="P377" s="356"/>
      <c r="Q377" s="356"/>
      <c r="R377" s="356"/>
      <c r="S377" s="356"/>
      <c r="T377" s="356"/>
      <c r="U377" s="356"/>
      <c r="V377" s="356"/>
      <c r="W377" s="356"/>
      <c r="X377" s="356"/>
      <c r="Y377" s="356"/>
      <c r="Z377" s="356"/>
      <c r="AA377" s="356"/>
      <c r="AB377" s="356"/>
      <c r="AC377" s="356"/>
      <c r="AD377" s="356"/>
      <c r="AE377" s="356"/>
      <c r="AF377" s="356"/>
      <c r="AG377" s="356"/>
      <c r="AH377" s="356"/>
      <c r="AI377" s="356"/>
      <c r="AJ377" s="356"/>
      <c r="AK377" s="356"/>
      <c r="AL377" s="356"/>
      <c r="AM377" s="356"/>
      <c r="AN377" s="356"/>
      <c r="AO377" s="356"/>
      <c r="AP377" s="356"/>
      <c r="AQ377" s="356"/>
      <c r="AR377" s="356"/>
      <c r="AS377" s="357"/>
    </row>
    <row r="378" spans="1:45" ht="17.25" thickBot="1" x14ac:dyDescent="0.3">
      <c r="A378" s="467"/>
      <c r="B378" s="354"/>
      <c r="C378" s="285">
        <v>1699118</v>
      </c>
      <c r="D378" s="358" t="s">
        <v>411</v>
      </c>
      <c r="E378" s="360"/>
      <c r="F378" s="361">
        <f>G413-AK378+AL378</f>
        <v>0</v>
      </c>
      <c r="G378" s="369">
        <v>0</v>
      </c>
      <c r="H378" s="369">
        <v>1</v>
      </c>
      <c r="I378" s="369">
        <v>1</v>
      </c>
      <c r="J378" s="369"/>
      <c r="K378" s="369">
        <v>0</v>
      </c>
      <c r="L378" s="218"/>
      <c r="M378" s="218"/>
      <c r="N378" s="218"/>
      <c r="O378" s="218"/>
      <c r="P378" s="352"/>
      <c r="Q378" s="352"/>
      <c r="R378" s="352"/>
      <c r="S378" s="352"/>
      <c r="T378" s="352"/>
      <c r="U378" s="352"/>
      <c r="V378" s="218"/>
      <c r="W378" s="218"/>
      <c r="X378" s="218"/>
      <c r="Y378" s="218"/>
      <c r="Z378" s="218"/>
      <c r="AA378" s="218"/>
      <c r="AB378" s="218">
        <v>1</v>
      </c>
      <c r="AC378" s="218"/>
      <c r="AD378" s="218"/>
      <c r="AE378" s="218"/>
      <c r="AF378" s="218">
        <v>1</v>
      </c>
      <c r="AG378" s="218"/>
      <c r="AH378" s="218"/>
      <c r="AI378" s="218"/>
      <c r="AJ378" s="218"/>
      <c r="AK378" s="218">
        <f>G413+AL378-G378</f>
        <v>1</v>
      </c>
      <c r="AL378" s="218"/>
      <c r="AM378" s="353"/>
      <c r="AN378" s="295"/>
      <c r="AO378" s="296"/>
      <c r="AP378" s="353"/>
      <c r="AQ378" s="290"/>
      <c r="AR378" s="290"/>
      <c r="AS378" s="290"/>
    </row>
    <row r="379" spans="1:45" ht="17.25" thickBot="1" x14ac:dyDescent="0.3">
      <c r="A379" s="467"/>
      <c r="B379" s="354"/>
      <c r="C379" s="285">
        <v>1699119</v>
      </c>
      <c r="D379" s="358" t="s">
        <v>412</v>
      </c>
      <c r="E379" s="360"/>
      <c r="F379" s="361">
        <f>G414-AK379+AL379</f>
        <v>4</v>
      </c>
      <c r="G379" s="369">
        <v>4</v>
      </c>
      <c r="H379" s="369">
        <v>1</v>
      </c>
      <c r="I379" s="369">
        <v>5</v>
      </c>
      <c r="J379" s="369"/>
      <c r="K379" s="369">
        <v>1</v>
      </c>
      <c r="L379" s="218"/>
      <c r="M379" s="218"/>
      <c r="N379" s="218"/>
      <c r="O379" s="218"/>
      <c r="P379" s="352"/>
      <c r="Q379" s="352"/>
      <c r="R379" s="352"/>
      <c r="S379" s="352"/>
      <c r="T379" s="352"/>
      <c r="U379" s="352"/>
      <c r="V379" s="218"/>
      <c r="W379" s="218"/>
      <c r="X379" s="218"/>
      <c r="Y379" s="218"/>
      <c r="Z379" s="218"/>
      <c r="AA379" s="218"/>
      <c r="AB379" s="218">
        <v>2</v>
      </c>
      <c r="AC379" s="218"/>
      <c r="AD379" s="218"/>
      <c r="AE379" s="218"/>
      <c r="AF379" s="218">
        <v>1</v>
      </c>
      <c r="AG379" s="218"/>
      <c r="AH379" s="218"/>
      <c r="AI379" s="218"/>
      <c r="AJ379" s="218"/>
      <c r="AK379" s="218">
        <f>G414+AL379-G379</f>
        <v>1</v>
      </c>
      <c r="AL379" s="218"/>
      <c r="AM379" s="353"/>
      <c r="AN379" s="295"/>
      <c r="AO379" s="296"/>
      <c r="AP379" s="353"/>
      <c r="AQ379" s="290"/>
      <c r="AR379" s="290"/>
      <c r="AS379" s="290"/>
    </row>
    <row r="380" spans="1:45" ht="17.25" thickBot="1" x14ac:dyDescent="0.3">
      <c r="A380" s="467"/>
      <c r="B380" s="354"/>
      <c r="C380" s="285">
        <v>1699130</v>
      </c>
      <c r="D380" s="358" t="s">
        <v>413</v>
      </c>
      <c r="E380" s="360"/>
      <c r="F380" s="361">
        <f>G415-AK380+AL380</f>
        <v>4</v>
      </c>
      <c r="G380" s="369">
        <v>4</v>
      </c>
      <c r="H380" s="369">
        <v>4</v>
      </c>
      <c r="I380" s="369">
        <v>0</v>
      </c>
      <c r="J380" s="369"/>
      <c r="K380" s="369">
        <v>0</v>
      </c>
      <c r="L380" s="218"/>
      <c r="M380" s="218"/>
      <c r="N380" s="218"/>
      <c r="O380" s="218"/>
      <c r="P380" s="352"/>
      <c r="Q380" s="352"/>
      <c r="R380" s="352"/>
      <c r="S380" s="352"/>
      <c r="T380" s="352"/>
      <c r="U380" s="352"/>
      <c r="V380" s="218"/>
      <c r="W380" s="218"/>
      <c r="X380" s="218"/>
      <c r="Y380" s="218"/>
      <c r="Z380" s="218"/>
      <c r="AA380" s="218">
        <v>2</v>
      </c>
      <c r="AB380" s="218"/>
      <c r="AC380" s="218"/>
      <c r="AD380" s="218">
        <v>4</v>
      </c>
      <c r="AE380" s="218"/>
      <c r="AF380" s="218"/>
      <c r="AG380" s="218"/>
      <c r="AH380" s="218"/>
      <c r="AI380" s="218"/>
      <c r="AJ380" s="218"/>
      <c r="AK380" s="218">
        <f>G415+AL380-G380</f>
        <v>0</v>
      </c>
      <c r="AL380" s="218"/>
      <c r="AM380" s="353"/>
      <c r="AN380" s="295"/>
      <c r="AO380" s="296"/>
      <c r="AP380" s="353"/>
      <c r="AQ380" s="290"/>
      <c r="AR380" s="290"/>
      <c r="AS380" s="290"/>
    </row>
    <row r="381" spans="1:45" ht="17.25" thickBot="1" x14ac:dyDescent="0.3">
      <c r="A381" s="467"/>
      <c r="B381" s="354"/>
      <c r="C381" s="285">
        <v>1699131</v>
      </c>
      <c r="D381" s="358" t="s">
        <v>414</v>
      </c>
      <c r="E381" s="360"/>
      <c r="F381" s="361">
        <f>G416-AK381+AL381</f>
        <v>5</v>
      </c>
      <c r="G381" s="369">
        <v>5</v>
      </c>
      <c r="H381" s="397">
        <v>3</v>
      </c>
      <c r="I381" s="369">
        <v>5</v>
      </c>
      <c r="J381" s="369"/>
      <c r="K381" s="364">
        <v>0</v>
      </c>
      <c r="L381" s="218"/>
      <c r="M381" s="218"/>
      <c r="N381" s="218"/>
      <c r="O381" s="218"/>
      <c r="P381" s="352"/>
      <c r="Q381" s="352"/>
      <c r="R381" s="352"/>
      <c r="S381" s="352"/>
      <c r="T381" s="352"/>
      <c r="U381" s="352"/>
      <c r="V381" s="218"/>
      <c r="W381" s="218"/>
      <c r="X381" s="218"/>
      <c r="Y381" s="218"/>
      <c r="Z381" s="218"/>
      <c r="AA381" s="218"/>
      <c r="AB381" s="218">
        <v>1</v>
      </c>
      <c r="AC381" s="218"/>
      <c r="AD381" s="218"/>
      <c r="AE381" s="218"/>
      <c r="AF381" s="218"/>
      <c r="AG381" s="218"/>
      <c r="AH381" s="218"/>
      <c r="AI381" s="218"/>
      <c r="AJ381" s="218"/>
      <c r="AK381" s="218">
        <f>G416+AL381-G381</f>
        <v>0</v>
      </c>
      <c r="AL381" s="218"/>
      <c r="AM381" s="353"/>
      <c r="AN381" s="295"/>
      <c r="AO381" s="296"/>
      <c r="AP381" s="353"/>
      <c r="AQ381" s="290"/>
      <c r="AR381" s="290"/>
      <c r="AS381" s="290"/>
    </row>
    <row r="382" spans="1:45" ht="17.25" thickBot="1" x14ac:dyDescent="0.3">
      <c r="A382" s="468"/>
      <c r="B382" s="354"/>
      <c r="C382" s="285">
        <v>1699132</v>
      </c>
      <c r="D382" s="358" t="s">
        <v>415</v>
      </c>
      <c r="E382" s="285"/>
      <c r="F382" s="362">
        <f>G417-AK382+AL382</f>
        <v>1</v>
      </c>
      <c r="G382" s="364">
        <v>1</v>
      </c>
      <c r="H382" s="397">
        <v>3</v>
      </c>
      <c r="I382" s="364">
        <v>3</v>
      </c>
      <c r="J382" s="364"/>
      <c r="K382" s="364">
        <v>0</v>
      </c>
      <c r="L382" s="218"/>
      <c r="M382" s="218"/>
      <c r="N382" s="218"/>
      <c r="O382" s="218"/>
      <c r="P382" s="352"/>
      <c r="Q382" s="352"/>
      <c r="R382" s="352"/>
      <c r="S382" s="352"/>
      <c r="T382" s="352"/>
      <c r="U382" s="352"/>
      <c r="V382" s="218"/>
      <c r="W382" s="218"/>
      <c r="X382" s="218"/>
      <c r="Y382" s="218"/>
      <c r="Z382" s="218"/>
      <c r="AA382" s="218"/>
      <c r="AB382" s="218"/>
      <c r="AC382" s="218"/>
      <c r="AD382" s="218"/>
      <c r="AE382" s="218"/>
      <c r="AF382" s="218">
        <v>2</v>
      </c>
      <c r="AG382" s="218"/>
      <c r="AH382" s="218"/>
      <c r="AI382" s="218"/>
      <c r="AJ382" s="218"/>
      <c r="AK382" s="218">
        <f>G417+AL382-G382</f>
        <v>2</v>
      </c>
      <c r="AL382" s="218"/>
      <c r="AM382" s="353"/>
      <c r="AN382" s="295"/>
      <c r="AO382" s="296"/>
      <c r="AP382" s="353"/>
      <c r="AQ382" s="290"/>
      <c r="AR382" s="290"/>
      <c r="AS382" s="290"/>
    </row>
    <row r="383" spans="1:45" x14ac:dyDescent="0.25">
      <c r="AL383" s="290"/>
      <c r="AM383" s="290"/>
    </row>
    <row r="384" spans="1:45" ht="14.25" thickBot="1" x14ac:dyDescent="0.3">
      <c r="B384" s="338" t="s">
        <v>18</v>
      </c>
      <c r="C384" s="339">
        <v>45789</v>
      </c>
      <c r="AA384" s="290">
        <v>0</v>
      </c>
      <c r="AL384" s="290"/>
      <c r="AM384" s="290"/>
      <c r="AN384" s="290"/>
      <c r="AO384" s="290"/>
    </row>
    <row r="385" spans="1:45" ht="41.25" thickBot="1" x14ac:dyDescent="0.3">
      <c r="B385" s="283" t="s">
        <v>0</v>
      </c>
      <c r="C385" s="284" t="s">
        <v>1</v>
      </c>
      <c r="D385" s="284" t="s">
        <v>2</v>
      </c>
      <c r="E385" s="284" t="s">
        <v>3</v>
      </c>
      <c r="F385" s="4" t="s">
        <v>318</v>
      </c>
      <c r="G385" s="351" t="s">
        <v>549</v>
      </c>
      <c r="H385" s="382" t="s">
        <v>460</v>
      </c>
      <c r="I385" s="234" t="s">
        <v>546</v>
      </c>
      <c r="J385" s="234"/>
      <c r="K385" s="258" t="s">
        <v>551</v>
      </c>
      <c r="L385" s="258" t="s">
        <v>328</v>
      </c>
      <c r="M385" s="258" t="s">
        <v>327</v>
      </c>
      <c r="N385" s="234" t="s">
        <v>389</v>
      </c>
      <c r="O385" s="240" t="s">
        <v>130</v>
      </c>
      <c r="P385" s="243" t="s">
        <v>303</v>
      </c>
      <c r="Q385" s="244" t="s">
        <v>304</v>
      </c>
      <c r="R385" s="244" t="s">
        <v>314</v>
      </c>
      <c r="S385" s="245" t="s">
        <v>338</v>
      </c>
      <c r="T385" s="245" t="s">
        <v>345</v>
      </c>
      <c r="U385" s="245" t="s">
        <v>361</v>
      </c>
      <c r="V385" s="245" t="s">
        <v>387</v>
      </c>
      <c r="W385" s="245" t="s">
        <v>421</v>
      </c>
      <c r="X385" s="245" t="s">
        <v>452</v>
      </c>
      <c r="Y385" s="245" t="s">
        <v>463</v>
      </c>
      <c r="Z385" s="245" t="s">
        <v>481</v>
      </c>
      <c r="AA385" s="245" t="s">
        <v>498</v>
      </c>
      <c r="AB385" s="245" t="s">
        <v>303</v>
      </c>
      <c r="AC385" s="245" t="s">
        <v>304</v>
      </c>
      <c r="AD385" s="245" t="s">
        <v>314</v>
      </c>
      <c r="AE385" s="245" t="s">
        <v>338</v>
      </c>
      <c r="AF385" s="245" t="s">
        <v>345</v>
      </c>
      <c r="AG385" s="245"/>
      <c r="AH385" s="245"/>
      <c r="AI385" s="245"/>
      <c r="AJ385" s="245" t="s">
        <v>360</v>
      </c>
      <c r="AK385" s="246" t="s">
        <v>268</v>
      </c>
      <c r="AL385" s="247" t="s">
        <v>269</v>
      </c>
      <c r="AM385" s="291" t="s">
        <v>288</v>
      </c>
      <c r="AN385" s="292" t="s">
        <v>289</v>
      </c>
      <c r="AO385" s="292" t="s">
        <v>287</v>
      </c>
      <c r="AP385" s="293" t="s">
        <v>290</v>
      </c>
      <c r="AQ385" s="290" t="s">
        <v>306</v>
      </c>
      <c r="AR385" s="290" t="s">
        <v>310</v>
      </c>
      <c r="AS385" s="290" t="s">
        <v>311</v>
      </c>
    </row>
    <row r="386" spans="1:45" ht="17.25" thickBot="1" x14ac:dyDescent="0.3">
      <c r="A386" s="463" t="s">
        <v>416</v>
      </c>
      <c r="B386" s="285">
        <v>273664</v>
      </c>
      <c r="C386" s="286">
        <v>1135749</v>
      </c>
      <c r="D386" s="286" t="s">
        <v>7</v>
      </c>
      <c r="E386" s="286">
        <v>6060050026</v>
      </c>
      <c r="F386" s="253">
        <f>G421-AK386+AL386</f>
        <v>12</v>
      </c>
      <c r="G386" s="235">
        <v>12</v>
      </c>
      <c r="H386" s="394">
        <v>5</v>
      </c>
      <c r="I386" s="232">
        <v>9</v>
      </c>
      <c r="J386" s="232"/>
      <c r="K386" s="232">
        <v>1</v>
      </c>
      <c r="L386" s="232">
        <f>IF(K420=K385,L421+AK386,K386)</f>
        <v>1</v>
      </c>
      <c r="M386" s="232">
        <f>IF(K420=K385,0,L421+AK386-K386)</f>
        <v>1</v>
      </c>
      <c r="N386" s="267">
        <v>5</v>
      </c>
      <c r="O386" s="241">
        <f>N386-G386</f>
        <v>-7</v>
      </c>
      <c r="P386" s="277">
        <v>4</v>
      </c>
      <c r="Q386" s="278">
        <v>4</v>
      </c>
      <c r="R386" s="279"/>
      <c r="S386" s="279">
        <v>3</v>
      </c>
      <c r="T386" s="279">
        <v>4</v>
      </c>
      <c r="U386" s="279">
        <v>2</v>
      </c>
      <c r="V386" s="279"/>
      <c r="W386" s="279">
        <f>2+3</f>
        <v>5</v>
      </c>
      <c r="X386" s="241"/>
      <c r="Y386" s="241"/>
      <c r="Z386" s="241"/>
      <c r="AA386" s="241">
        <v>4</v>
      </c>
      <c r="AB386" s="241">
        <v>5</v>
      </c>
      <c r="AC386" s="241"/>
      <c r="AD386" s="241">
        <v>6</v>
      </c>
      <c r="AE386" s="241"/>
      <c r="AF386" s="241"/>
      <c r="AG386" s="241"/>
      <c r="AH386" s="241"/>
      <c r="AI386" s="241"/>
      <c r="AJ386" s="241">
        <f>N386-V386</f>
        <v>5</v>
      </c>
      <c r="AK386" s="235">
        <f>G421+AL386-G386</f>
        <v>0</v>
      </c>
      <c r="AL386" s="350">
        <v>3</v>
      </c>
      <c r="AM386" s="294">
        <v>1.5</v>
      </c>
      <c r="AN386" s="295">
        <v>4</v>
      </c>
      <c r="AO386" s="296">
        <f>G386/(AN386)</f>
        <v>3</v>
      </c>
      <c r="AP386" s="297">
        <f>AN386*6</f>
        <v>24</v>
      </c>
      <c r="AQ386" s="290">
        <f>G386+K386</f>
        <v>13</v>
      </c>
      <c r="AR386" s="290">
        <f>IF(G386&lt;G421,(G421-G386+K421-K386),K421-K386)</f>
        <v>1</v>
      </c>
      <c r="AS386" s="290">
        <f>21-8</f>
        <v>13</v>
      </c>
    </row>
    <row r="387" spans="1:45" ht="17.25" thickBot="1" x14ac:dyDescent="0.3">
      <c r="A387" s="464"/>
      <c r="B387" s="285">
        <v>273672</v>
      </c>
      <c r="C387" s="286">
        <v>1135750</v>
      </c>
      <c r="D387" s="286" t="s">
        <v>9</v>
      </c>
      <c r="E387" s="287">
        <v>204000000000</v>
      </c>
      <c r="F387" s="253">
        <f>G422-AK387+AL387</f>
        <v>14</v>
      </c>
      <c r="G387" s="235">
        <v>14</v>
      </c>
      <c r="H387" s="394">
        <v>16</v>
      </c>
      <c r="I387" s="232">
        <v>13</v>
      </c>
      <c r="J387" s="232"/>
      <c r="K387" s="232">
        <v>8</v>
      </c>
      <c r="L387" s="232">
        <f>IF(K420=K385,L422+AK387,K387)</f>
        <v>8</v>
      </c>
      <c r="M387" s="232">
        <f>IF(K420=K385,0,L422+AK387-K387)</f>
        <v>-6</v>
      </c>
      <c r="N387" s="267">
        <v>10</v>
      </c>
      <c r="O387" s="241">
        <f>N387-G387</f>
        <v>-4</v>
      </c>
      <c r="P387" s="277">
        <v>13</v>
      </c>
      <c r="Q387" s="278">
        <v>2</v>
      </c>
      <c r="R387" s="279">
        <v>6</v>
      </c>
      <c r="S387" s="279">
        <v>6</v>
      </c>
      <c r="T387" s="279">
        <v>10</v>
      </c>
      <c r="U387" s="279">
        <v>4</v>
      </c>
      <c r="V387" s="279">
        <v>6</v>
      </c>
      <c r="W387" s="279">
        <v>16</v>
      </c>
      <c r="X387" s="241"/>
      <c r="Y387" s="241">
        <v>6</v>
      </c>
      <c r="Z387" s="241">
        <v>4</v>
      </c>
      <c r="AA387" s="241">
        <v>6</v>
      </c>
      <c r="AB387" s="241">
        <v>14</v>
      </c>
      <c r="AC387" s="241"/>
      <c r="AD387" s="241">
        <v>12</v>
      </c>
      <c r="AE387" s="241">
        <v>6</v>
      </c>
      <c r="AF387" s="241">
        <v>8</v>
      </c>
      <c r="AG387" s="241"/>
      <c r="AH387" s="241"/>
      <c r="AI387" s="241"/>
      <c r="AJ387" s="241">
        <f>N387-V387</f>
        <v>4</v>
      </c>
      <c r="AK387" s="235">
        <f>G422+AL387-G387</f>
        <v>0</v>
      </c>
      <c r="AL387" s="236">
        <v>9</v>
      </c>
      <c r="AM387" s="298">
        <v>4.2</v>
      </c>
      <c r="AN387" s="295">
        <v>9</v>
      </c>
      <c r="AO387" s="296">
        <f>G387/(AN387)</f>
        <v>1.5555555555555556</v>
      </c>
      <c r="AP387" s="297">
        <f>AN387*6</f>
        <v>54</v>
      </c>
      <c r="AQ387" s="290">
        <f>G387+K387</f>
        <v>22</v>
      </c>
      <c r="AR387" s="290">
        <f>IF(G387&lt;G422,(G422-G387+K422-K387),K422-K387)</f>
        <v>-6</v>
      </c>
      <c r="AS387" s="290">
        <f>21-8</f>
        <v>13</v>
      </c>
    </row>
    <row r="388" spans="1:45" ht="17.25" thickBot="1" x14ac:dyDescent="0.3">
      <c r="A388" s="464"/>
      <c r="B388" s="285">
        <v>273702</v>
      </c>
      <c r="C388" s="286">
        <v>1135753</v>
      </c>
      <c r="D388" s="286" t="s">
        <v>10</v>
      </c>
      <c r="E388" s="287">
        <v>301000000000</v>
      </c>
      <c r="F388" s="253">
        <f>G423-AK388+AL388</f>
        <v>3</v>
      </c>
      <c r="G388" s="235">
        <v>3</v>
      </c>
      <c r="H388" s="394">
        <v>1</v>
      </c>
      <c r="I388" s="232">
        <v>3</v>
      </c>
      <c r="J388" s="232"/>
      <c r="K388" s="232">
        <v>2</v>
      </c>
      <c r="L388" s="232">
        <f>IF(K420=K385,L423+AK388,K388)</f>
        <v>2</v>
      </c>
      <c r="M388" s="232">
        <f>IF(K420=K385,0,L423+AK388-K388)</f>
        <v>0</v>
      </c>
      <c r="N388" s="232">
        <v>2</v>
      </c>
      <c r="O388" s="241">
        <f>N388-G388</f>
        <v>-1</v>
      </c>
      <c r="P388" s="277"/>
      <c r="Q388" s="278"/>
      <c r="R388" s="279"/>
      <c r="S388" s="279"/>
      <c r="T388" s="279"/>
      <c r="U388" s="279"/>
      <c r="V388" s="279"/>
      <c r="W388" s="279"/>
      <c r="X388" s="241"/>
      <c r="Y388" s="241"/>
      <c r="Z388" s="241"/>
      <c r="AA388" s="241"/>
      <c r="AB388" s="241">
        <v>2</v>
      </c>
      <c r="AC388" s="241"/>
      <c r="AD388" s="241"/>
      <c r="AE388" s="241"/>
      <c r="AF388" s="241"/>
      <c r="AG388" s="241"/>
      <c r="AH388" s="241"/>
      <c r="AI388" s="241"/>
      <c r="AJ388" s="241">
        <f>N388-V388</f>
        <v>2</v>
      </c>
      <c r="AK388" s="235">
        <f>G423+AL388-G388</f>
        <v>0</v>
      </c>
      <c r="AL388" s="236"/>
      <c r="AM388" s="294">
        <f>4/12</f>
        <v>0.33333333333333331</v>
      </c>
      <c r="AN388" s="295">
        <v>2</v>
      </c>
      <c r="AO388" s="296">
        <f>G388/(AN388)</f>
        <v>1.5</v>
      </c>
      <c r="AP388" s="297">
        <f>AN388*6</f>
        <v>12</v>
      </c>
      <c r="AQ388" s="290">
        <f>G388+K388</f>
        <v>5</v>
      </c>
      <c r="AR388" s="290">
        <f>IF(G388&lt;G423,(G423-G388+K423-K388),K423-K388)</f>
        <v>0</v>
      </c>
      <c r="AS388" s="290">
        <f>21-8</f>
        <v>13</v>
      </c>
    </row>
    <row r="389" spans="1:45" ht="17.25" thickBot="1" x14ac:dyDescent="0.3">
      <c r="A389" s="464"/>
      <c r="B389" s="285">
        <v>273698</v>
      </c>
      <c r="C389" s="286">
        <v>1135752</v>
      </c>
      <c r="D389" s="286" t="s">
        <v>11</v>
      </c>
      <c r="E389" s="287">
        <v>701000000000</v>
      </c>
      <c r="F389" s="253">
        <f>G424-AK389+AL389</f>
        <v>4</v>
      </c>
      <c r="G389" s="235">
        <v>4</v>
      </c>
      <c r="H389" s="394">
        <v>2</v>
      </c>
      <c r="I389" s="232">
        <v>1</v>
      </c>
      <c r="J389" s="232"/>
      <c r="K389" s="232">
        <v>0</v>
      </c>
      <c r="L389" s="232">
        <f>IF(K420=K385,L424+AK389,K389)</f>
        <v>0</v>
      </c>
      <c r="M389" s="232">
        <f>IF(K420=K385,0,L424+AK389-K389)</f>
        <v>0</v>
      </c>
      <c r="N389" s="232">
        <v>3</v>
      </c>
      <c r="O389" s="241">
        <f>N389-G389</f>
        <v>-1</v>
      </c>
      <c r="P389" s="277">
        <v>2</v>
      </c>
      <c r="Q389" s="278"/>
      <c r="R389" s="279"/>
      <c r="S389" s="279"/>
      <c r="T389" s="279"/>
      <c r="U389" s="279"/>
      <c r="V389" s="279"/>
      <c r="W389" s="279">
        <v>1</v>
      </c>
      <c r="X389" s="241"/>
      <c r="Y389" s="241"/>
      <c r="Z389" s="241"/>
      <c r="AA389" s="241"/>
      <c r="AB389" s="241">
        <v>2</v>
      </c>
      <c r="AC389" s="241"/>
      <c r="AD389" s="241">
        <v>2</v>
      </c>
      <c r="AE389" s="241"/>
      <c r="AF389" s="241"/>
      <c r="AG389" s="241"/>
      <c r="AH389" s="241"/>
      <c r="AI389" s="241"/>
      <c r="AJ389" s="241">
        <f>N389-V389</f>
        <v>3</v>
      </c>
      <c r="AK389" s="235">
        <f>G424+AL389-G389</f>
        <v>0</v>
      </c>
      <c r="AL389" s="236">
        <v>3</v>
      </c>
      <c r="AM389" s="294">
        <f>4/12</f>
        <v>0.33333333333333331</v>
      </c>
      <c r="AN389" s="295">
        <v>2</v>
      </c>
      <c r="AO389" s="296">
        <f>G389/(AN389)</f>
        <v>2</v>
      </c>
      <c r="AP389" s="297">
        <f>AN389*6</f>
        <v>12</v>
      </c>
      <c r="AQ389" s="290">
        <f>G389+K389</f>
        <v>4</v>
      </c>
      <c r="AR389" s="290">
        <f>IF(G389&lt;G424,(G424-G389+K424-K389),K424-K389)</f>
        <v>0</v>
      </c>
      <c r="AS389" s="290">
        <f>21-8</f>
        <v>13</v>
      </c>
    </row>
    <row r="390" spans="1:45" ht="17.25" thickBot="1" x14ac:dyDescent="0.3">
      <c r="A390" s="465"/>
      <c r="B390" s="285">
        <v>273680</v>
      </c>
      <c r="C390" s="286">
        <v>1135751</v>
      </c>
      <c r="D390" s="286" t="s">
        <v>12</v>
      </c>
      <c r="E390" s="286" t="s">
        <v>13</v>
      </c>
      <c r="F390" s="254">
        <f>G425-AK390+AL390</f>
        <v>15</v>
      </c>
      <c r="G390" s="237">
        <v>15</v>
      </c>
      <c r="H390" s="395">
        <v>8</v>
      </c>
      <c r="I390" s="238">
        <v>15</v>
      </c>
      <c r="J390" s="238"/>
      <c r="K390" s="238">
        <v>0</v>
      </c>
      <c r="L390" s="238">
        <f>IF(K420=K385,L425+AK390,K390)</f>
        <v>0</v>
      </c>
      <c r="M390" s="238">
        <f>IF(K420=K385,0,L425+AK390-K390)</f>
        <v>0</v>
      </c>
      <c r="N390" s="238">
        <v>9</v>
      </c>
      <c r="O390" s="242">
        <f>N390-G390</f>
        <v>-6</v>
      </c>
      <c r="P390" s="280"/>
      <c r="Q390" s="281"/>
      <c r="R390" s="282"/>
      <c r="S390" s="282"/>
      <c r="T390" s="282">
        <v>11</v>
      </c>
      <c r="U390" s="282"/>
      <c r="V390" s="282"/>
      <c r="W390" s="282">
        <v>9</v>
      </c>
      <c r="X390" s="242"/>
      <c r="Y390" s="242">
        <v>9</v>
      </c>
      <c r="Z390" s="242"/>
      <c r="AA390" s="242"/>
      <c r="AB390" s="242">
        <v>5</v>
      </c>
      <c r="AC390" s="242"/>
      <c r="AD390" s="242">
        <v>5</v>
      </c>
      <c r="AE390" s="242"/>
      <c r="AF390" s="242"/>
      <c r="AG390" s="242"/>
      <c r="AH390" s="242"/>
      <c r="AI390" s="242"/>
      <c r="AJ390" s="242">
        <f>N390-V390</f>
        <v>9</v>
      </c>
      <c r="AK390" s="235">
        <f>G425+AL390-G390</f>
        <v>0</v>
      </c>
      <c r="AL390" s="239"/>
      <c r="AM390" s="299">
        <f>30/12</f>
        <v>2.5</v>
      </c>
      <c r="AN390" s="300">
        <f>AM390*2</f>
        <v>5</v>
      </c>
      <c r="AO390" s="301">
        <f>G390/(AN390)</f>
        <v>3</v>
      </c>
      <c r="AP390" s="302">
        <f>AN390*6</f>
        <v>30</v>
      </c>
      <c r="AQ390" s="290">
        <f>G390+K390</f>
        <v>15</v>
      </c>
      <c r="AR390" s="290">
        <f>IF(G390&lt;G425,(G425-G390+K425-K390),K425-K390)</f>
        <v>0</v>
      </c>
      <c r="AS390" s="290">
        <f>21-8</f>
        <v>13</v>
      </c>
    </row>
    <row r="391" spans="1:45" ht="17.25" thickBot="1" x14ac:dyDescent="0.3">
      <c r="A391" s="466" t="s">
        <v>417</v>
      </c>
      <c r="B391" s="355" t="s">
        <v>129</v>
      </c>
      <c r="C391" s="356"/>
      <c r="D391" s="356"/>
      <c r="E391" s="359"/>
      <c r="F391" s="359"/>
      <c r="G391" s="356"/>
      <c r="H391" s="396"/>
      <c r="I391" s="356"/>
      <c r="J391" s="356"/>
      <c r="K391" s="356"/>
      <c r="L391" s="356"/>
      <c r="M391" s="356"/>
      <c r="N391" s="356"/>
      <c r="O391" s="356"/>
      <c r="P391" s="356"/>
      <c r="Q391" s="356"/>
      <c r="R391" s="356"/>
      <c r="S391" s="356"/>
      <c r="T391" s="356"/>
      <c r="U391" s="356"/>
      <c r="V391" s="356"/>
      <c r="W391" s="356"/>
      <c r="X391" s="356"/>
      <c r="Y391" s="356"/>
      <c r="Z391" s="356"/>
      <c r="AA391" s="356"/>
      <c r="AB391" s="356"/>
      <c r="AC391" s="356"/>
      <c r="AD391" s="356"/>
      <c r="AE391" s="356"/>
      <c r="AF391" s="356"/>
      <c r="AG391" s="356"/>
      <c r="AH391" s="356"/>
      <c r="AI391" s="356"/>
      <c r="AJ391" s="356"/>
      <c r="AK391" s="356"/>
      <c r="AL391" s="367"/>
      <c r="AM391" s="356"/>
      <c r="AN391" s="356"/>
      <c r="AO391" s="356"/>
      <c r="AP391" s="356"/>
      <c r="AQ391" s="356"/>
      <c r="AR391" s="356"/>
      <c r="AS391" s="357"/>
    </row>
    <row r="392" spans="1:45" ht="17.25" thickBot="1" x14ac:dyDescent="0.3">
      <c r="A392" s="467"/>
      <c r="B392" s="354"/>
      <c r="C392" s="354">
        <v>1140327</v>
      </c>
      <c r="D392" s="358" t="s">
        <v>394</v>
      </c>
      <c r="E392" s="360"/>
      <c r="F392" s="361">
        <f>G427-AK392+AL392</f>
        <v>10</v>
      </c>
      <c r="G392" s="218">
        <v>10</v>
      </c>
      <c r="H392" s="397">
        <v>23</v>
      </c>
      <c r="I392" s="218">
        <v>10</v>
      </c>
      <c r="J392" s="218"/>
      <c r="K392" s="218">
        <v>9</v>
      </c>
      <c r="L392" s="218">
        <f>IF(K420=K385,L427+AK392,K392)</f>
        <v>9</v>
      </c>
      <c r="M392" s="218">
        <f>IF(K420=K385,0,L427+AK392-K392)</f>
        <v>-5</v>
      </c>
      <c r="N392" s="218"/>
      <c r="O392" s="218"/>
      <c r="P392" s="352"/>
      <c r="Q392" s="352"/>
      <c r="R392" s="352"/>
      <c r="S392" s="352"/>
      <c r="T392" s="352"/>
      <c r="U392" s="352"/>
      <c r="V392" s="218"/>
      <c r="W392" s="218"/>
      <c r="X392" s="218">
        <v>4</v>
      </c>
      <c r="Y392" s="218">
        <v>9</v>
      </c>
      <c r="Z392" s="218">
        <v>14</v>
      </c>
      <c r="AA392" s="218">
        <v>8</v>
      </c>
      <c r="AB392" s="218">
        <f>14+6</f>
        <v>20</v>
      </c>
      <c r="AC392" s="218">
        <v>10</v>
      </c>
      <c r="AD392" s="218">
        <v>12</v>
      </c>
      <c r="AE392" s="218">
        <v>17</v>
      </c>
      <c r="AF392" s="218">
        <v>6</v>
      </c>
      <c r="AG392" s="218"/>
      <c r="AH392" s="218"/>
      <c r="AI392" s="218"/>
      <c r="AJ392" s="242">
        <f>N392-V392</f>
        <v>0</v>
      </c>
      <c r="AK392" s="274">
        <f>G427+AL392-G392</f>
        <v>0</v>
      </c>
      <c r="AL392" s="232">
        <v>6</v>
      </c>
      <c r="AM392" s="353"/>
      <c r="AN392" s="295"/>
      <c r="AO392" s="296"/>
      <c r="AP392" s="353"/>
      <c r="AQ392" s="290"/>
      <c r="AR392" s="290"/>
      <c r="AS392" s="290"/>
    </row>
    <row r="393" spans="1:45" ht="17.25" thickBot="1" x14ac:dyDescent="0.3">
      <c r="A393" s="467"/>
      <c r="B393" s="354"/>
      <c r="C393" s="285">
        <v>1151231</v>
      </c>
      <c r="D393" s="358" t="s">
        <v>395</v>
      </c>
      <c r="E393" s="360"/>
      <c r="F393" s="361">
        <f>G428-AK393+AL393</f>
        <v>11</v>
      </c>
      <c r="G393" s="369">
        <v>11</v>
      </c>
      <c r="H393" s="397">
        <v>13</v>
      </c>
      <c r="I393" s="218">
        <v>11</v>
      </c>
      <c r="J393" s="218"/>
      <c r="K393" s="218">
        <v>6</v>
      </c>
      <c r="L393" s="218">
        <f>IF(K420=K385,L428+AK393,K393)</f>
        <v>6</v>
      </c>
      <c r="M393" s="218">
        <f>IF(K420=K385,0,L428+AK393-K393)</f>
        <v>-3</v>
      </c>
      <c r="N393" s="218"/>
      <c r="O393" s="218"/>
      <c r="P393" s="352"/>
      <c r="Q393" s="352"/>
      <c r="R393" s="352"/>
      <c r="S393" s="352"/>
      <c r="T393" s="352"/>
      <c r="U393" s="352"/>
      <c r="V393" s="218"/>
      <c r="W393" s="218"/>
      <c r="X393" s="218">
        <v>3</v>
      </c>
      <c r="Y393" s="218">
        <v>8</v>
      </c>
      <c r="Z393" s="218">
        <v>6</v>
      </c>
      <c r="AA393" s="218"/>
      <c r="AB393" s="218">
        <v>4</v>
      </c>
      <c r="AC393" s="218">
        <v>4</v>
      </c>
      <c r="AD393" s="218">
        <v>4</v>
      </c>
      <c r="AE393" s="218"/>
      <c r="AF393" s="218">
        <v>4</v>
      </c>
      <c r="AG393" s="218"/>
      <c r="AH393" s="218"/>
      <c r="AI393" s="218"/>
      <c r="AJ393" s="242">
        <f>N393-V393</f>
        <v>0</v>
      </c>
      <c r="AK393" s="274">
        <f>G428+AL393-G393</f>
        <v>0</v>
      </c>
      <c r="AL393" s="267">
        <v>4</v>
      </c>
      <c r="AM393" s="353"/>
      <c r="AN393" s="295"/>
      <c r="AO393" s="296"/>
      <c r="AP393" s="353"/>
      <c r="AQ393" s="290"/>
      <c r="AR393" s="290"/>
      <c r="AS393" s="290"/>
    </row>
    <row r="394" spans="1:45" ht="17.25" thickBot="1" x14ac:dyDescent="0.3">
      <c r="A394" s="467"/>
      <c r="B394" s="355" t="s">
        <v>420</v>
      </c>
      <c r="C394" s="356"/>
      <c r="D394" s="356" t="s">
        <v>523</v>
      </c>
      <c r="E394" s="359"/>
      <c r="F394" s="359"/>
      <c r="G394" s="356"/>
      <c r="H394" s="396"/>
      <c r="I394" s="356"/>
      <c r="J394" s="356"/>
      <c r="K394" s="356"/>
      <c r="L394" s="356"/>
      <c r="M394" s="356"/>
      <c r="N394" s="356"/>
      <c r="O394" s="356"/>
      <c r="P394" s="356"/>
      <c r="Q394" s="356"/>
      <c r="R394" s="356"/>
      <c r="S394" s="356"/>
      <c r="T394" s="356"/>
      <c r="U394" s="356"/>
      <c r="V394" s="356"/>
      <c r="W394" s="356"/>
      <c r="X394" s="356"/>
      <c r="Y394" s="356"/>
      <c r="Z394" s="356"/>
      <c r="AA394" s="356"/>
      <c r="AB394" s="356"/>
      <c r="AC394" s="356"/>
      <c r="AD394" s="356"/>
      <c r="AE394" s="356"/>
      <c r="AF394" s="356"/>
      <c r="AG394" s="356"/>
      <c r="AH394" s="356"/>
      <c r="AI394" s="356"/>
      <c r="AJ394" s="356"/>
      <c r="AK394" s="356"/>
      <c r="AL394" s="368"/>
      <c r="AM394" s="356"/>
      <c r="AN394" s="356"/>
      <c r="AO394" s="356"/>
      <c r="AP394" s="356"/>
      <c r="AQ394" s="356"/>
      <c r="AR394" s="356"/>
      <c r="AS394" s="357"/>
    </row>
    <row r="395" spans="1:45" ht="17.25" thickBot="1" x14ac:dyDescent="0.3">
      <c r="A395" s="467"/>
      <c r="B395" s="354"/>
      <c r="C395" s="285">
        <v>1146032</v>
      </c>
      <c r="D395" s="358" t="s">
        <v>396</v>
      </c>
      <c r="E395" s="360"/>
      <c r="F395" s="361">
        <f>G430-AK395+AL395</f>
        <v>1</v>
      </c>
      <c r="G395" s="364">
        <v>1</v>
      </c>
      <c r="H395" s="397">
        <v>1</v>
      </c>
      <c r="I395" s="364">
        <v>1</v>
      </c>
      <c r="J395" s="364"/>
      <c r="K395" s="364">
        <v>2</v>
      </c>
      <c r="L395" s="218"/>
      <c r="M395" s="218"/>
      <c r="N395" s="218"/>
      <c r="O395" s="218"/>
      <c r="P395" s="352"/>
      <c r="Q395" s="352"/>
      <c r="R395" s="352"/>
      <c r="S395" s="352"/>
      <c r="T395" s="352"/>
      <c r="U395" s="352"/>
      <c r="V395" s="218"/>
      <c r="W395" s="218"/>
      <c r="X395" s="218"/>
      <c r="Y395" s="218"/>
      <c r="Z395" s="218"/>
      <c r="AA395" s="218"/>
      <c r="AB395" s="218"/>
      <c r="AC395" s="218"/>
      <c r="AD395" s="218"/>
      <c r="AE395" s="218"/>
      <c r="AF395" s="218"/>
      <c r="AG395" s="218"/>
      <c r="AH395" s="218"/>
      <c r="AI395" s="218"/>
      <c r="AJ395" s="218"/>
      <c r="AK395" s="218">
        <f>G430+AL395-G395</f>
        <v>0</v>
      </c>
      <c r="AL395" s="218"/>
      <c r="AM395" s="353"/>
      <c r="AN395" s="295"/>
      <c r="AO395" s="296"/>
      <c r="AP395" s="353"/>
      <c r="AQ395" s="290"/>
      <c r="AR395" s="290"/>
      <c r="AS395" s="290"/>
    </row>
    <row r="396" spans="1:45" ht="17.25" thickBot="1" x14ac:dyDescent="0.3">
      <c r="A396" s="467"/>
      <c r="B396" s="354"/>
      <c r="C396" s="285">
        <v>1146021</v>
      </c>
      <c r="D396" s="358" t="s">
        <v>397</v>
      </c>
      <c r="E396" s="360"/>
      <c r="F396" s="361">
        <f>G431-AK396+AL396</f>
        <v>2</v>
      </c>
      <c r="G396" s="364">
        <v>2</v>
      </c>
      <c r="H396" s="397">
        <v>2</v>
      </c>
      <c r="I396" s="364">
        <v>2</v>
      </c>
      <c r="J396" s="364"/>
      <c r="K396" s="364">
        <v>1</v>
      </c>
      <c r="L396" s="218"/>
      <c r="M396" s="218"/>
      <c r="N396" s="218"/>
      <c r="O396" s="218"/>
      <c r="P396" s="352"/>
      <c r="Q396" s="352"/>
      <c r="R396" s="352"/>
      <c r="S396" s="352"/>
      <c r="T396" s="352"/>
      <c r="U396" s="352"/>
      <c r="V396" s="218"/>
      <c r="W396" s="218"/>
      <c r="X396" s="218"/>
      <c r="Y396" s="218"/>
      <c r="Z396" s="218"/>
      <c r="AA396" s="218"/>
      <c r="AB396" s="218"/>
      <c r="AC396" s="218"/>
      <c r="AD396" s="218"/>
      <c r="AE396" s="218"/>
      <c r="AF396" s="218"/>
      <c r="AG396" s="218"/>
      <c r="AH396" s="218"/>
      <c r="AI396" s="218"/>
      <c r="AJ396" s="218"/>
      <c r="AK396" s="218">
        <f>G431+AL396-G396</f>
        <v>0</v>
      </c>
      <c r="AL396" s="218"/>
      <c r="AM396" s="353"/>
      <c r="AN396" s="295"/>
      <c r="AO396" s="296"/>
      <c r="AP396" s="353"/>
      <c r="AQ396" s="290"/>
      <c r="AR396" s="290"/>
      <c r="AS396" s="290"/>
    </row>
    <row r="397" spans="1:45" ht="17.25" thickBot="1" x14ac:dyDescent="0.3">
      <c r="A397" s="467"/>
      <c r="B397" s="354"/>
      <c r="C397" s="285">
        <v>1146018</v>
      </c>
      <c r="D397" s="358" t="s">
        <v>398</v>
      </c>
      <c r="E397" s="360"/>
      <c r="F397" s="361">
        <f>G432-AK397+AL397</f>
        <v>4</v>
      </c>
      <c r="G397" s="369">
        <v>4</v>
      </c>
      <c r="H397" s="397">
        <v>1</v>
      </c>
      <c r="I397" s="364">
        <v>4</v>
      </c>
      <c r="J397" s="364"/>
      <c r="K397" s="364">
        <v>1</v>
      </c>
      <c r="L397" s="218"/>
      <c r="M397" s="218"/>
      <c r="N397" s="218"/>
      <c r="O397" s="218"/>
      <c r="P397" s="352"/>
      <c r="Q397" s="352"/>
      <c r="R397" s="352"/>
      <c r="S397" s="352"/>
      <c r="T397" s="352"/>
      <c r="U397" s="352"/>
      <c r="V397" s="218"/>
      <c r="W397" s="218"/>
      <c r="X397" s="218"/>
      <c r="Y397" s="218"/>
      <c r="Z397" s="218"/>
      <c r="AA397" s="218"/>
      <c r="AB397" s="218">
        <v>2</v>
      </c>
      <c r="AC397" s="218"/>
      <c r="AD397" s="218"/>
      <c r="AE397" s="218"/>
      <c r="AF397" s="218"/>
      <c r="AG397" s="218"/>
      <c r="AH397" s="218"/>
      <c r="AI397" s="218"/>
      <c r="AJ397" s="218"/>
      <c r="AK397" s="218">
        <f>G432+AL397-G397</f>
        <v>0</v>
      </c>
      <c r="AL397" s="218"/>
      <c r="AM397" s="353"/>
      <c r="AN397" s="295"/>
      <c r="AO397" s="296"/>
      <c r="AP397" s="353"/>
      <c r="AQ397" s="290"/>
      <c r="AR397" s="290"/>
      <c r="AS397" s="290"/>
    </row>
    <row r="398" spans="1:45" ht="17.25" thickBot="1" x14ac:dyDescent="0.3">
      <c r="A398" s="467"/>
      <c r="B398" s="354"/>
      <c r="C398" s="285">
        <v>1146024</v>
      </c>
      <c r="D398" s="358" t="s">
        <v>399</v>
      </c>
      <c r="E398" s="360"/>
      <c r="F398" s="361">
        <v>1</v>
      </c>
      <c r="G398" s="369">
        <v>4</v>
      </c>
      <c r="H398" s="369">
        <v>2</v>
      </c>
      <c r="I398" s="369">
        <v>4</v>
      </c>
      <c r="J398" s="369"/>
      <c r="K398" s="369">
        <v>0</v>
      </c>
      <c r="L398" s="218"/>
      <c r="M398" s="218"/>
      <c r="N398" s="218"/>
      <c r="O398" s="218"/>
      <c r="P398" s="352"/>
      <c r="Q398" s="352"/>
      <c r="R398" s="352"/>
      <c r="S398" s="352"/>
      <c r="T398" s="352"/>
      <c r="U398" s="352"/>
      <c r="V398" s="218"/>
      <c r="W398" s="218"/>
      <c r="X398" s="218"/>
      <c r="Y398" s="218"/>
      <c r="Z398" s="218"/>
      <c r="AA398" s="218">
        <v>1</v>
      </c>
      <c r="AB398" s="218">
        <v>1</v>
      </c>
      <c r="AC398" s="218"/>
      <c r="AD398" s="218"/>
      <c r="AE398" s="218"/>
      <c r="AF398" s="218"/>
      <c r="AG398" s="218"/>
      <c r="AH398" s="218"/>
      <c r="AI398" s="218"/>
      <c r="AJ398" s="218"/>
      <c r="AK398" s="218">
        <f>G433+AL398-G398</f>
        <v>0</v>
      </c>
      <c r="AL398" s="218"/>
      <c r="AM398" s="353"/>
      <c r="AN398" s="295"/>
      <c r="AO398" s="296"/>
      <c r="AP398" s="353"/>
      <c r="AQ398" s="290"/>
      <c r="AR398" s="290"/>
      <c r="AS398" s="290"/>
    </row>
    <row r="399" spans="1:45" ht="17.25" thickBot="1" x14ac:dyDescent="0.3">
      <c r="A399" s="467"/>
      <c r="B399" s="354"/>
      <c r="C399" s="285">
        <v>1146028</v>
      </c>
      <c r="D399" s="358" t="s">
        <v>400</v>
      </c>
      <c r="E399" s="360"/>
      <c r="F399" s="361">
        <f>G434-AK399+AL399</f>
        <v>3</v>
      </c>
      <c r="G399" s="364">
        <v>3</v>
      </c>
      <c r="H399" s="397">
        <v>2</v>
      </c>
      <c r="I399" s="364">
        <v>3</v>
      </c>
      <c r="J399" s="364"/>
      <c r="K399" s="364">
        <v>1</v>
      </c>
      <c r="L399" s="218"/>
      <c r="M399" s="218"/>
      <c r="N399" s="218"/>
      <c r="O399" s="218"/>
      <c r="P399" s="352"/>
      <c r="Q399" s="352"/>
      <c r="R399" s="352"/>
      <c r="S399" s="352"/>
      <c r="T399" s="352"/>
      <c r="U399" s="352"/>
      <c r="V399" s="218"/>
      <c r="W399" s="218"/>
      <c r="X399" s="218"/>
      <c r="Y399" s="218"/>
      <c r="Z399" s="218"/>
      <c r="AA399" s="218"/>
      <c r="AB399" s="218"/>
      <c r="AC399" s="218"/>
      <c r="AD399" s="218">
        <v>2</v>
      </c>
      <c r="AE399" s="218"/>
      <c r="AF399" s="218"/>
      <c r="AG399" s="218"/>
      <c r="AH399" s="218"/>
      <c r="AI399" s="218"/>
      <c r="AJ399" s="218"/>
      <c r="AK399" s="218">
        <f>G434+AL399-G399</f>
        <v>0</v>
      </c>
      <c r="AL399" s="218"/>
      <c r="AM399" s="353"/>
      <c r="AN399" s="295"/>
      <c r="AO399" s="296"/>
      <c r="AP399" s="353"/>
      <c r="AQ399" s="290"/>
      <c r="AR399" s="290"/>
      <c r="AS399" s="290"/>
    </row>
    <row r="400" spans="1:45" ht="17.25" thickBot="1" x14ac:dyDescent="0.3">
      <c r="A400" s="467"/>
      <c r="B400" s="355" t="s">
        <v>419</v>
      </c>
      <c r="C400" s="356"/>
      <c r="D400" s="356"/>
      <c r="E400" s="359"/>
      <c r="F400" s="359"/>
      <c r="G400" s="356"/>
      <c r="H400" s="396"/>
      <c r="I400" s="356"/>
      <c r="J400" s="356"/>
      <c r="K400" s="356"/>
      <c r="L400" s="356"/>
      <c r="M400" s="356"/>
      <c r="N400" s="356"/>
      <c r="O400" s="356"/>
      <c r="P400" s="356"/>
      <c r="Q400" s="356"/>
      <c r="R400" s="356"/>
      <c r="S400" s="356"/>
      <c r="T400" s="356"/>
      <c r="U400" s="356"/>
      <c r="V400" s="356"/>
      <c r="W400" s="356"/>
      <c r="X400" s="356"/>
      <c r="Y400" s="356"/>
      <c r="Z400" s="356"/>
      <c r="AA400" s="356"/>
      <c r="AB400" s="356"/>
      <c r="AC400" s="356"/>
      <c r="AD400" s="356"/>
      <c r="AE400" s="356"/>
      <c r="AF400" s="356"/>
      <c r="AG400" s="356"/>
      <c r="AH400" s="356"/>
      <c r="AI400" s="356"/>
      <c r="AJ400" s="356"/>
      <c r="AK400" s="356"/>
      <c r="AL400" s="356"/>
      <c r="AM400" s="356"/>
      <c r="AN400" s="356"/>
      <c r="AO400" s="356"/>
      <c r="AP400" s="356"/>
      <c r="AQ400" s="356"/>
      <c r="AR400" s="356"/>
      <c r="AS400" s="357"/>
    </row>
    <row r="401" spans="1:45" ht="17.25" thickBot="1" x14ac:dyDescent="0.3">
      <c r="A401" s="467"/>
      <c r="B401" s="372"/>
      <c r="C401" s="373">
        <v>1146031</v>
      </c>
      <c r="D401" s="374" t="s">
        <v>401</v>
      </c>
      <c r="E401" s="375"/>
      <c r="F401" s="376">
        <f>G436-AK401+AL401</f>
        <v>2</v>
      </c>
      <c r="G401" s="377">
        <v>2</v>
      </c>
      <c r="H401" s="397">
        <v>1</v>
      </c>
      <c r="I401" s="377">
        <v>1</v>
      </c>
      <c r="J401" s="377"/>
      <c r="K401" s="377">
        <v>2</v>
      </c>
      <c r="L401" s="377"/>
      <c r="M401" s="377"/>
      <c r="N401" s="377"/>
      <c r="O401" s="377"/>
      <c r="P401" s="377"/>
      <c r="Q401" s="377"/>
      <c r="R401" s="377"/>
      <c r="S401" s="377"/>
      <c r="T401" s="377"/>
      <c r="U401" s="377"/>
      <c r="V401" s="377"/>
      <c r="W401" s="377"/>
      <c r="X401" s="377"/>
      <c r="Y401" s="377"/>
      <c r="Z401" s="377"/>
      <c r="AA401" s="377"/>
      <c r="AB401" s="377"/>
      <c r="AC401" s="377"/>
      <c r="AD401" s="377"/>
      <c r="AE401" s="377"/>
      <c r="AF401" s="377"/>
      <c r="AG401" s="377"/>
      <c r="AH401" s="377"/>
      <c r="AI401" s="377"/>
      <c r="AJ401" s="377"/>
      <c r="AK401" s="377">
        <f>G436+AL401-G401</f>
        <v>-1</v>
      </c>
      <c r="AL401" s="377"/>
      <c r="AM401" s="378"/>
      <c r="AN401" s="379"/>
      <c r="AO401" s="380"/>
      <c r="AP401" s="378"/>
      <c r="AQ401" s="381"/>
      <c r="AR401" s="381"/>
      <c r="AS401" s="381"/>
    </row>
    <row r="402" spans="1:45" ht="17.25" thickBot="1" x14ac:dyDescent="0.3">
      <c r="A402" s="467"/>
      <c r="B402" s="372"/>
      <c r="C402" s="373">
        <v>1146020</v>
      </c>
      <c r="D402" s="374" t="s">
        <v>402</v>
      </c>
      <c r="E402" s="375"/>
      <c r="F402" s="376">
        <f>G437-AK402+AL402</f>
        <v>1</v>
      </c>
      <c r="G402" s="377">
        <v>1</v>
      </c>
      <c r="H402" s="397">
        <v>1</v>
      </c>
      <c r="I402" s="377">
        <v>0</v>
      </c>
      <c r="J402" s="377"/>
      <c r="K402" s="377">
        <v>1</v>
      </c>
      <c r="L402" s="377"/>
      <c r="M402" s="377"/>
      <c r="N402" s="377"/>
      <c r="O402" s="377"/>
      <c r="P402" s="377"/>
      <c r="Q402" s="377"/>
      <c r="R402" s="377"/>
      <c r="S402" s="377"/>
      <c r="T402" s="377"/>
      <c r="U402" s="377"/>
      <c r="V402" s="377"/>
      <c r="W402" s="377"/>
      <c r="X402" s="377"/>
      <c r="Y402" s="377"/>
      <c r="Z402" s="377"/>
      <c r="AA402" s="377"/>
      <c r="AB402" s="377"/>
      <c r="AC402" s="377"/>
      <c r="AD402" s="377"/>
      <c r="AE402" s="377"/>
      <c r="AF402" s="377"/>
      <c r="AG402" s="377"/>
      <c r="AH402" s="377"/>
      <c r="AI402" s="377"/>
      <c r="AJ402" s="377"/>
      <c r="AK402" s="377">
        <f>G437+AL402-G402</f>
        <v>-1</v>
      </c>
      <c r="AL402" s="377"/>
      <c r="AM402" s="378"/>
      <c r="AN402" s="379"/>
      <c r="AO402" s="380"/>
      <c r="AP402" s="378"/>
      <c r="AQ402" s="381"/>
      <c r="AR402" s="381"/>
      <c r="AS402" s="381"/>
    </row>
    <row r="403" spans="1:45" ht="17.25" thickBot="1" x14ac:dyDescent="0.3">
      <c r="A403" s="467"/>
      <c r="B403" s="372"/>
      <c r="C403" s="373">
        <v>1146016</v>
      </c>
      <c r="D403" s="374" t="s">
        <v>398</v>
      </c>
      <c r="E403" s="375"/>
      <c r="F403" s="376">
        <f>G438-AK403+AL403</f>
        <v>6</v>
      </c>
      <c r="G403" s="377">
        <v>6</v>
      </c>
      <c r="H403" s="397">
        <v>1</v>
      </c>
      <c r="I403" s="377">
        <v>0</v>
      </c>
      <c r="J403" s="377"/>
      <c r="K403" s="377">
        <v>0</v>
      </c>
      <c r="L403" s="377"/>
      <c r="M403" s="377"/>
      <c r="N403" s="377"/>
      <c r="O403" s="377"/>
      <c r="P403" s="377"/>
      <c r="Q403" s="377"/>
      <c r="R403" s="377"/>
      <c r="S403" s="377"/>
      <c r="T403" s="377"/>
      <c r="U403" s="377"/>
      <c r="V403" s="377"/>
      <c r="W403" s="377"/>
      <c r="X403" s="377"/>
      <c r="Y403" s="377"/>
      <c r="Z403" s="377"/>
      <c r="AA403" s="377"/>
      <c r="AB403" s="377"/>
      <c r="AC403" s="377"/>
      <c r="AD403" s="377"/>
      <c r="AE403" s="377"/>
      <c r="AF403" s="377"/>
      <c r="AG403" s="377"/>
      <c r="AH403" s="377"/>
      <c r="AI403" s="377"/>
      <c r="AJ403" s="377"/>
      <c r="AK403" s="377">
        <f>G438+AL403-G403</f>
        <v>-6</v>
      </c>
      <c r="AL403" s="377"/>
      <c r="AM403" s="378"/>
      <c r="AN403" s="379"/>
      <c r="AO403" s="380"/>
      <c r="AP403" s="378"/>
      <c r="AQ403" s="381"/>
      <c r="AR403" s="381"/>
      <c r="AS403" s="381"/>
    </row>
    <row r="404" spans="1:45" ht="17.25" thickBot="1" x14ac:dyDescent="0.3">
      <c r="A404" s="467"/>
      <c r="B404" s="372"/>
      <c r="C404" s="373">
        <v>1146022</v>
      </c>
      <c r="D404" s="374" t="s">
        <v>403</v>
      </c>
      <c r="E404" s="375"/>
      <c r="F404" s="376">
        <f>G439-AK404+AL404</f>
        <v>0</v>
      </c>
      <c r="G404" s="377">
        <v>0</v>
      </c>
      <c r="H404" s="397">
        <v>2</v>
      </c>
      <c r="I404" s="377">
        <v>0</v>
      </c>
      <c r="J404" s="377"/>
      <c r="K404" s="377">
        <v>0</v>
      </c>
      <c r="L404" s="377"/>
      <c r="M404" s="377"/>
      <c r="N404" s="377"/>
      <c r="O404" s="377"/>
      <c r="P404" s="377"/>
      <c r="Q404" s="377"/>
      <c r="R404" s="377"/>
      <c r="S404" s="377"/>
      <c r="T404" s="377"/>
      <c r="U404" s="377"/>
      <c r="V404" s="377"/>
      <c r="W404" s="377"/>
      <c r="X404" s="377"/>
      <c r="Y404" s="377"/>
      <c r="Z404" s="377"/>
      <c r="AA404" s="377"/>
      <c r="AB404" s="377"/>
      <c r="AC404" s="377"/>
      <c r="AD404" s="377"/>
      <c r="AE404" s="377"/>
      <c r="AF404" s="377"/>
      <c r="AG404" s="377"/>
      <c r="AH404" s="377"/>
      <c r="AI404" s="377"/>
      <c r="AJ404" s="377"/>
      <c r="AK404" s="377">
        <f>G439+AL404-G404</f>
        <v>0</v>
      </c>
      <c r="AL404" s="377"/>
      <c r="AM404" s="378"/>
      <c r="AN404" s="379"/>
      <c r="AO404" s="380"/>
      <c r="AP404" s="378"/>
      <c r="AQ404" s="381"/>
      <c r="AR404" s="381"/>
      <c r="AS404" s="381"/>
    </row>
    <row r="405" spans="1:45" ht="17.25" thickBot="1" x14ac:dyDescent="0.3">
      <c r="A405" s="467"/>
      <c r="B405" s="372"/>
      <c r="C405" s="373">
        <v>1146027</v>
      </c>
      <c r="D405" s="374" t="s">
        <v>404</v>
      </c>
      <c r="E405" s="375"/>
      <c r="F405" s="376">
        <f>G440-AK405+AL405</f>
        <v>1</v>
      </c>
      <c r="G405" s="377">
        <v>1</v>
      </c>
      <c r="H405" s="397">
        <v>2</v>
      </c>
      <c r="I405" s="377">
        <v>1</v>
      </c>
      <c r="J405" s="377"/>
      <c r="K405" s="377">
        <v>0</v>
      </c>
      <c r="L405" s="377"/>
      <c r="M405" s="377"/>
      <c r="N405" s="377"/>
      <c r="O405" s="377"/>
      <c r="P405" s="377"/>
      <c r="Q405" s="377"/>
      <c r="R405" s="377"/>
      <c r="S405" s="377"/>
      <c r="T405" s="377"/>
      <c r="U405" s="377"/>
      <c r="V405" s="377"/>
      <c r="W405" s="377"/>
      <c r="X405" s="377"/>
      <c r="Y405" s="377"/>
      <c r="Z405" s="377"/>
      <c r="AA405" s="377"/>
      <c r="AB405" s="377"/>
      <c r="AC405" s="377"/>
      <c r="AD405" s="377"/>
      <c r="AE405" s="377"/>
      <c r="AF405" s="377"/>
      <c r="AG405" s="377"/>
      <c r="AH405" s="377"/>
      <c r="AI405" s="377"/>
      <c r="AJ405" s="377"/>
      <c r="AK405" s="377">
        <f>G440+AL405-G405</f>
        <v>0</v>
      </c>
      <c r="AL405" s="377"/>
      <c r="AM405" s="378"/>
      <c r="AN405" s="379"/>
      <c r="AO405" s="380"/>
      <c r="AP405" s="378"/>
      <c r="AQ405" s="381"/>
      <c r="AR405" s="381"/>
      <c r="AS405" s="381"/>
    </row>
    <row r="406" spans="1:45" ht="17.25" thickBot="1" x14ac:dyDescent="0.3">
      <c r="A406" s="467"/>
      <c r="B406" s="355" t="s">
        <v>418</v>
      </c>
      <c r="C406" s="356"/>
      <c r="D406" s="356"/>
      <c r="E406" s="359"/>
      <c r="F406" s="359"/>
      <c r="G406" s="356"/>
      <c r="H406" s="396"/>
      <c r="I406" s="356"/>
      <c r="J406" s="356"/>
      <c r="K406" s="356"/>
      <c r="L406" s="356"/>
      <c r="M406" s="356"/>
      <c r="N406" s="356"/>
      <c r="O406" s="356"/>
      <c r="P406" s="356"/>
      <c r="Q406" s="356"/>
      <c r="R406" s="356"/>
      <c r="S406" s="356"/>
      <c r="T406" s="356"/>
      <c r="U406" s="356"/>
      <c r="V406" s="356"/>
      <c r="W406" s="356"/>
      <c r="X406" s="356"/>
      <c r="Y406" s="356"/>
      <c r="Z406" s="356"/>
      <c r="AA406" s="356"/>
      <c r="AB406" s="356"/>
      <c r="AC406" s="356"/>
      <c r="AD406" s="356"/>
      <c r="AE406" s="356"/>
      <c r="AF406" s="356"/>
      <c r="AG406" s="356"/>
      <c r="AH406" s="356"/>
      <c r="AI406" s="356"/>
      <c r="AJ406" s="356"/>
      <c r="AK406" s="356"/>
      <c r="AL406" s="356"/>
      <c r="AM406" s="356"/>
      <c r="AN406" s="356"/>
      <c r="AO406" s="356"/>
      <c r="AP406" s="356"/>
      <c r="AQ406" s="356"/>
      <c r="AR406" s="356"/>
      <c r="AS406" s="357"/>
    </row>
    <row r="407" spans="1:45" ht="17.25" thickBot="1" x14ac:dyDescent="0.3">
      <c r="A407" s="467"/>
      <c r="B407" s="354"/>
      <c r="C407" s="285">
        <v>1151653</v>
      </c>
      <c r="D407" s="358" t="s">
        <v>405</v>
      </c>
      <c r="E407" s="360"/>
      <c r="F407" s="361">
        <f>G442-AK407+AL407</f>
        <v>3</v>
      </c>
      <c r="G407" s="364">
        <v>3</v>
      </c>
      <c r="H407" s="397">
        <v>1</v>
      </c>
      <c r="I407" s="364">
        <v>3</v>
      </c>
      <c r="J407" s="364"/>
      <c r="K407" s="364">
        <v>1</v>
      </c>
      <c r="L407" s="218"/>
      <c r="M407" s="218"/>
      <c r="N407" s="218"/>
      <c r="O407" s="218"/>
      <c r="P407" s="352"/>
      <c r="Q407" s="352"/>
      <c r="R407" s="352"/>
      <c r="S407" s="352"/>
      <c r="T407" s="352"/>
      <c r="U407" s="352"/>
      <c r="V407" s="218"/>
      <c r="W407" s="218"/>
      <c r="X407" s="218"/>
      <c r="Y407" s="218"/>
      <c r="Z407" s="218"/>
      <c r="AA407" s="218"/>
      <c r="AB407" s="218"/>
      <c r="AC407" s="218"/>
      <c r="AD407" s="218"/>
      <c r="AE407" s="218"/>
      <c r="AF407" s="218"/>
      <c r="AG407" s="218"/>
      <c r="AH407" s="218"/>
      <c r="AI407" s="218"/>
      <c r="AJ407" s="218"/>
      <c r="AK407" s="218">
        <f>G442+AL407-G407</f>
        <v>0</v>
      </c>
      <c r="AL407" s="218"/>
      <c r="AM407" s="353"/>
      <c r="AN407" s="295"/>
      <c r="AO407" s="296"/>
      <c r="AP407" s="353"/>
      <c r="AQ407" s="290"/>
      <c r="AR407" s="290"/>
      <c r="AS407" s="290"/>
    </row>
    <row r="408" spans="1:45" ht="17.25" thickBot="1" x14ac:dyDescent="0.3">
      <c r="A408" s="467"/>
      <c r="B408" s="354"/>
      <c r="C408" s="285">
        <v>1151650</v>
      </c>
      <c r="D408" s="358" t="s">
        <v>406</v>
      </c>
      <c r="E408" s="360"/>
      <c r="F408" s="361">
        <f>G443-AK408+AL408</f>
        <v>2</v>
      </c>
      <c r="G408" s="364">
        <v>2</v>
      </c>
      <c r="H408" s="397">
        <v>2</v>
      </c>
      <c r="I408" s="364">
        <v>2</v>
      </c>
      <c r="J408" s="364"/>
      <c r="K408" s="364">
        <v>5</v>
      </c>
      <c r="L408" s="218"/>
      <c r="M408" s="218"/>
      <c r="N408" s="218"/>
      <c r="O408" s="218"/>
      <c r="P408" s="352"/>
      <c r="Q408" s="352"/>
      <c r="R408" s="352"/>
      <c r="S408" s="352"/>
      <c r="T408" s="352"/>
      <c r="U408" s="352"/>
      <c r="V408" s="218"/>
      <c r="W408" s="218"/>
      <c r="X408" s="218"/>
      <c r="Y408" s="218"/>
      <c r="Z408" s="218"/>
      <c r="AA408" s="218"/>
      <c r="AB408" s="218"/>
      <c r="AC408" s="218"/>
      <c r="AD408" s="218"/>
      <c r="AE408" s="218"/>
      <c r="AF408" s="218"/>
      <c r="AG408" s="218"/>
      <c r="AH408" s="218"/>
      <c r="AI408" s="218"/>
      <c r="AJ408" s="218"/>
      <c r="AK408" s="218">
        <f>G443+AL408-G408</f>
        <v>0</v>
      </c>
      <c r="AL408" s="218"/>
      <c r="AM408" s="353"/>
      <c r="AN408" s="295"/>
      <c r="AO408" s="296"/>
      <c r="AP408" s="353"/>
      <c r="AQ408" s="290"/>
      <c r="AR408" s="290"/>
      <c r="AS408" s="290"/>
    </row>
    <row r="409" spans="1:45" ht="17.25" thickBot="1" x14ac:dyDescent="0.3">
      <c r="A409" s="467"/>
      <c r="B409" s="354"/>
      <c r="C409" s="285">
        <v>1151649</v>
      </c>
      <c r="D409" s="358" t="s">
        <v>407</v>
      </c>
      <c r="E409" s="360"/>
      <c r="F409" s="361">
        <f>G444-AK409+AL409</f>
        <v>0</v>
      </c>
      <c r="G409" s="369">
        <v>0</v>
      </c>
      <c r="H409" s="369">
        <v>4</v>
      </c>
      <c r="I409" s="369">
        <v>0</v>
      </c>
      <c r="J409" s="369"/>
      <c r="K409" s="369">
        <v>2</v>
      </c>
      <c r="L409" s="218"/>
      <c r="M409" s="218"/>
      <c r="N409" s="218"/>
      <c r="O409" s="218"/>
      <c r="P409" s="352"/>
      <c r="Q409" s="352"/>
      <c r="R409" s="352"/>
      <c r="S409" s="352"/>
      <c r="T409" s="352"/>
      <c r="U409" s="352"/>
      <c r="V409" s="218"/>
      <c r="W409" s="218"/>
      <c r="X409" s="218"/>
      <c r="Y409" s="218"/>
      <c r="Z409" s="218"/>
      <c r="AA409" s="218"/>
      <c r="AB409" s="218">
        <v>2</v>
      </c>
      <c r="AC409" s="218"/>
      <c r="AD409" s="218">
        <v>2</v>
      </c>
      <c r="AE409" s="218"/>
      <c r="AF409" s="218"/>
      <c r="AG409" s="218"/>
      <c r="AH409" s="218"/>
      <c r="AI409" s="218"/>
      <c r="AJ409" s="218"/>
      <c r="AK409" s="218">
        <f>G444+AL409-G409</f>
        <v>0</v>
      </c>
      <c r="AL409" s="218"/>
      <c r="AM409" s="353"/>
      <c r="AN409" s="295"/>
      <c r="AO409" s="296"/>
      <c r="AP409" s="353"/>
      <c r="AQ409" s="290"/>
      <c r="AR409" s="290"/>
      <c r="AS409" s="290"/>
    </row>
    <row r="410" spans="1:45" ht="17.25" thickBot="1" x14ac:dyDescent="0.3">
      <c r="A410" s="467"/>
      <c r="B410" s="354"/>
      <c r="C410" s="285">
        <v>1151651</v>
      </c>
      <c r="D410" s="358" t="s">
        <v>408</v>
      </c>
      <c r="E410" s="360"/>
      <c r="F410" s="361">
        <f>G445-AK410+AL410</f>
        <v>2</v>
      </c>
      <c r="G410" s="369">
        <v>2</v>
      </c>
      <c r="H410" s="369">
        <v>1</v>
      </c>
      <c r="I410" s="369">
        <v>2</v>
      </c>
      <c r="J410" s="369"/>
      <c r="K410" s="369">
        <v>3</v>
      </c>
      <c r="L410" s="218"/>
      <c r="M410" s="218"/>
      <c r="N410" s="218"/>
      <c r="O410" s="218"/>
      <c r="P410" s="352"/>
      <c r="Q410" s="352"/>
      <c r="R410" s="352"/>
      <c r="S410" s="352"/>
      <c r="T410" s="352"/>
      <c r="U410" s="352"/>
      <c r="V410" s="218"/>
      <c r="W410" s="218"/>
      <c r="X410" s="218"/>
      <c r="Y410" s="218"/>
      <c r="Z410" s="218">
        <v>2</v>
      </c>
      <c r="AA410" s="218"/>
      <c r="AB410" s="218">
        <v>2</v>
      </c>
      <c r="AC410" s="218"/>
      <c r="AD410" s="218">
        <v>3</v>
      </c>
      <c r="AE410" s="218"/>
      <c r="AF410" s="218"/>
      <c r="AG410" s="218"/>
      <c r="AH410" s="218"/>
      <c r="AI410" s="218"/>
      <c r="AJ410" s="218"/>
      <c r="AK410" s="218">
        <f>G445+AL410-G410</f>
        <v>0</v>
      </c>
      <c r="AL410" s="218"/>
      <c r="AM410" s="353"/>
      <c r="AN410" s="295"/>
      <c r="AO410" s="296"/>
      <c r="AP410" s="353"/>
      <c r="AQ410" s="290"/>
      <c r="AR410" s="290"/>
      <c r="AS410" s="290"/>
    </row>
    <row r="411" spans="1:45" ht="17.25" thickBot="1" x14ac:dyDescent="0.3">
      <c r="A411" s="467"/>
      <c r="B411" s="354"/>
      <c r="C411" s="285">
        <v>1146029</v>
      </c>
      <c r="D411" s="358" t="s">
        <v>409</v>
      </c>
      <c r="E411" s="360"/>
      <c r="F411" s="361">
        <f>G446-AK411+AL411</f>
        <v>4</v>
      </c>
      <c r="G411" s="369">
        <v>4</v>
      </c>
      <c r="H411" s="369">
        <v>2</v>
      </c>
      <c r="I411" s="369">
        <v>4</v>
      </c>
      <c r="J411" s="369"/>
      <c r="K411" s="369">
        <v>1</v>
      </c>
      <c r="L411" s="218"/>
      <c r="M411" s="218"/>
      <c r="N411" s="218"/>
      <c r="O411" s="218"/>
      <c r="P411" s="352"/>
      <c r="Q411" s="352"/>
      <c r="R411" s="352"/>
      <c r="S411" s="352"/>
      <c r="T411" s="352"/>
      <c r="U411" s="352"/>
      <c r="V411" s="218"/>
      <c r="W411" s="218"/>
      <c r="X411" s="218"/>
      <c r="Y411" s="218"/>
      <c r="Z411" s="218"/>
      <c r="AA411" s="218"/>
      <c r="AB411" s="218"/>
      <c r="AC411" s="218">
        <v>2</v>
      </c>
      <c r="AD411" s="218"/>
      <c r="AE411" s="218"/>
      <c r="AF411" s="218"/>
      <c r="AG411" s="218"/>
      <c r="AH411" s="218"/>
      <c r="AI411" s="218"/>
      <c r="AJ411" s="218"/>
      <c r="AK411" s="218">
        <f>G446+AL411-G411</f>
        <v>0</v>
      </c>
      <c r="AL411" s="218"/>
      <c r="AM411" s="353"/>
      <c r="AN411" s="295"/>
      <c r="AO411" s="296"/>
      <c r="AP411" s="353"/>
      <c r="AQ411" s="290"/>
      <c r="AR411" s="290"/>
      <c r="AS411" s="290"/>
    </row>
    <row r="412" spans="1:45" ht="17.25" thickBot="1" x14ac:dyDescent="0.3">
      <c r="A412" s="467"/>
      <c r="B412" s="355" t="s">
        <v>410</v>
      </c>
      <c r="C412" s="356"/>
      <c r="D412" s="356"/>
      <c r="E412" s="359"/>
      <c r="F412" s="359"/>
      <c r="G412" s="356"/>
      <c r="H412" s="396"/>
      <c r="I412" s="356"/>
      <c r="J412" s="356"/>
      <c r="K412" s="356"/>
      <c r="L412" s="356"/>
      <c r="M412" s="356"/>
      <c r="N412" s="356"/>
      <c r="O412" s="356"/>
      <c r="P412" s="356"/>
      <c r="Q412" s="356"/>
      <c r="R412" s="356"/>
      <c r="S412" s="356"/>
      <c r="T412" s="356"/>
      <c r="U412" s="356"/>
      <c r="V412" s="356"/>
      <c r="W412" s="356"/>
      <c r="X412" s="356"/>
      <c r="Y412" s="356"/>
      <c r="Z412" s="356"/>
      <c r="AA412" s="356"/>
      <c r="AB412" s="356"/>
      <c r="AC412" s="356"/>
      <c r="AD412" s="356"/>
      <c r="AE412" s="356"/>
      <c r="AF412" s="356"/>
      <c r="AG412" s="356"/>
      <c r="AH412" s="356"/>
      <c r="AI412" s="356"/>
      <c r="AJ412" s="356"/>
      <c r="AK412" s="356"/>
      <c r="AL412" s="356"/>
      <c r="AM412" s="356"/>
      <c r="AN412" s="356"/>
      <c r="AO412" s="356"/>
      <c r="AP412" s="356"/>
      <c r="AQ412" s="356"/>
      <c r="AR412" s="356"/>
      <c r="AS412" s="357"/>
    </row>
    <row r="413" spans="1:45" ht="17.25" thickBot="1" x14ac:dyDescent="0.3">
      <c r="A413" s="467"/>
      <c r="B413" s="354"/>
      <c r="C413" s="285">
        <v>1699118</v>
      </c>
      <c r="D413" s="358" t="s">
        <v>411</v>
      </c>
      <c r="E413" s="360"/>
      <c r="F413" s="361">
        <f>G448-AK413+AL413</f>
        <v>1</v>
      </c>
      <c r="G413" s="369">
        <v>1</v>
      </c>
      <c r="H413" s="369">
        <v>1</v>
      </c>
      <c r="I413" s="369">
        <v>1</v>
      </c>
      <c r="J413" s="369"/>
      <c r="K413" s="369">
        <v>0</v>
      </c>
      <c r="L413" s="218"/>
      <c r="M413" s="218"/>
      <c r="N413" s="218"/>
      <c r="O413" s="218"/>
      <c r="P413" s="352"/>
      <c r="Q413" s="352"/>
      <c r="R413" s="352"/>
      <c r="S413" s="352"/>
      <c r="T413" s="352"/>
      <c r="U413" s="352"/>
      <c r="V413" s="218"/>
      <c r="W413" s="218"/>
      <c r="X413" s="218"/>
      <c r="Y413" s="218"/>
      <c r="Z413" s="218"/>
      <c r="AA413" s="218"/>
      <c r="AB413" s="218">
        <v>1</v>
      </c>
      <c r="AC413" s="218"/>
      <c r="AD413" s="218"/>
      <c r="AE413" s="218"/>
      <c r="AF413" s="218"/>
      <c r="AG413" s="218"/>
      <c r="AH413" s="218"/>
      <c r="AI413" s="218"/>
      <c r="AJ413" s="218"/>
      <c r="AK413" s="218">
        <f>G448+AL413-G413</f>
        <v>0</v>
      </c>
      <c r="AL413" s="218"/>
      <c r="AM413" s="353"/>
      <c r="AN413" s="295"/>
      <c r="AO413" s="296"/>
      <c r="AP413" s="353"/>
      <c r="AQ413" s="290"/>
      <c r="AR413" s="290"/>
      <c r="AS413" s="290"/>
    </row>
    <row r="414" spans="1:45" ht="17.25" thickBot="1" x14ac:dyDescent="0.3">
      <c r="A414" s="467"/>
      <c r="B414" s="354"/>
      <c r="C414" s="285">
        <v>1699119</v>
      </c>
      <c r="D414" s="358" t="s">
        <v>412</v>
      </c>
      <c r="E414" s="360"/>
      <c r="F414" s="361">
        <f>G449-AK414+AL414</f>
        <v>5</v>
      </c>
      <c r="G414" s="369">
        <v>5</v>
      </c>
      <c r="H414" s="369">
        <v>1</v>
      </c>
      <c r="I414" s="369">
        <v>5</v>
      </c>
      <c r="J414" s="369"/>
      <c r="K414" s="369">
        <v>1</v>
      </c>
      <c r="L414" s="218"/>
      <c r="M414" s="218"/>
      <c r="N414" s="218"/>
      <c r="O414" s="218"/>
      <c r="P414" s="352"/>
      <c r="Q414" s="352"/>
      <c r="R414" s="352"/>
      <c r="S414" s="352"/>
      <c r="T414" s="352"/>
      <c r="U414" s="352"/>
      <c r="V414" s="218"/>
      <c r="W414" s="218"/>
      <c r="X414" s="218"/>
      <c r="Y414" s="218"/>
      <c r="Z414" s="218"/>
      <c r="AA414" s="218"/>
      <c r="AB414" s="218">
        <v>2</v>
      </c>
      <c r="AC414" s="218"/>
      <c r="AD414" s="218"/>
      <c r="AE414" s="218"/>
      <c r="AF414" s="218"/>
      <c r="AG414" s="218"/>
      <c r="AH414" s="218"/>
      <c r="AI414" s="218"/>
      <c r="AJ414" s="218"/>
      <c r="AK414" s="218">
        <f>G449+AL414-G414</f>
        <v>0</v>
      </c>
      <c r="AL414" s="218"/>
      <c r="AM414" s="353"/>
      <c r="AN414" s="295"/>
      <c r="AO414" s="296"/>
      <c r="AP414" s="353"/>
      <c r="AQ414" s="290"/>
      <c r="AR414" s="290"/>
      <c r="AS414" s="290"/>
    </row>
    <row r="415" spans="1:45" ht="17.25" thickBot="1" x14ac:dyDescent="0.3">
      <c r="A415" s="467"/>
      <c r="B415" s="354"/>
      <c r="C415" s="285">
        <v>1699130</v>
      </c>
      <c r="D415" s="358" t="s">
        <v>413</v>
      </c>
      <c r="E415" s="360"/>
      <c r="F415" s="361">
        <f>G450-AK415+AL415</f>
        <v>4</v>
      </c>
      <c r="G415" s="369">
        <v>4</v>
      </c>
      <c r="H415" s="369">
        <v>4</v>
      </c>
      <c r="I415" s="369">
        <v>0</v>
      </c>
      <c r="J415" s="369"/>
      <c r="K415" s="369">
        <v>0</v>
      </c>
      <c r="L415" s="218"/>
      <c r="M415" s="218"/>
      <c r="N415" s="218"/>
      <c r="O415" s="218"/>
      <c r="P415" s="352"/>
      <c r="Q415" s="352"/>
      <c r="R415" s="352"/>
      <c r="S415" s="352"/>
      <c r="T415" s="352"/>
      <c r="U415" s="352"/>
      <c r="V415" s="218"/>
      <c r="W415" s="218"/>
      <c r="X415" s="218"/>
      <c r="Y415" s="218"/>
      <c r="Z415" s="218"/>
      <c r="AA415" s="218">
        <v>2</v>
      </c>
      <c r="AB415" s="218"/>
      <c r="AC415" s="218"/>
      <c r="AD415" s="218">
        <v>4</v>
      </c>
      <c r="AE415" s="218"/>
      <c r="AF415" s="218"/>
      <c r="AG415" s="218"/>
      <c r="AH415" s="218"/>
      <c r="AI415" s="218"/>
      <c r="AJ415" s="218"/>
      <c r="AK415" s="218">
        <f>G450+AL415-G415</f>
        <v>0</v>
      </c>
      <c r="AL415" s="218">
        <v>4</v>
      </c>
      <c r="AM415" s="353"/>
      <c r="AN415" s="295"/>
      <c r="AO415" s="296"/>
      <c r="AP415" s="353"/>
      <c r="AQ415" s="290"/>
      <c r="AR415" s="290"/>
      <c r="AS415" s="290"/>
    </row>
    <row r="416" spans="1:45" ht="17.25" thickBot="1" x14ac:dyDescent="0.3">
      <c r="A416" s="467"/>
      <c r="B416" s="354"/>
      <c r="C416" s="285">
        <v>1699131</v>
      </c>
      <c r="D416" s="358" t="s">
        <v>414</v>
      </c>
      <c r="E416" s="360"/>
      <c r="F416" s="361">
        <f>G451-AK416+AL416</f>
        <v>5</v>
      </c>
      <c r="G416" s="369">
        <v>5</v>
      </c>
      <c r="H416" s="397">
        <v>3</v>
      </c>
      <c r="I416" s="369">
        <v>5</v>
      </c>
      <c r="J416" s="369"/>
      <c r="K416" s="364">
        <v>0</v>
      </c>
      <c r="L416" s="218"/>
      <c r="M416" s="218"/>
      <c r="N416" s="218"/>
      <c r="O416" s="218"/>
      <c r="P416" s="352"/>
      <c r="Q416" s="352"/>
      <c r="R416" s="352"/>
      <c r="S416" s="352"/>
      <c r="T416" s="352"/>
      <c r="U416" s="352"/>
      <c r="V416" s="218"/>
      <c r="W416" s="218"/>
      <c r="X416" s="218"/>
      <c r="Y416" s="218"/>
      <c r="Z416" s="218"/>
      <c r="AA416" s="218"/>
      <c r="AB416" s="218">
        <v>1</v>
      </c>
      <c r="AC416" s="218"/>
      <c r="AD416" s="218"/>
      <c r="AE416" s="218"/>
      <c r="AF416" s="218"/>
      <c r="AG416" s="218"/>
      <c r="AH416" s="218"/>
      <c r="AI416" s="218"/>
      <c r="AJ416" s="218"/>
      <c r="AK416" s="218">
        <f>G451+AL416-G416</f>
        <v>0</v>
      </c>
      <c r="AL416" s="218"/>
      <c r="AM416" s="353"/>
      <c r="AN416" s="295"/>
      <c r="AO416" s="296"/>
      <c r="AP416" s="353"/>
      <c r="AQ416" s="290"/>
      <c r="AR416" s="290"/>
      <c r="AS416" s="290"/>
    </row>
    <row r="417" spans="1:45" ht="17.25" thickBot="1" x14ac:dyDescent="0.3">
      <c r="A417" s="468"/>
      <c r="B417" s="354"/>
      <c r="C417" s="285">
        <v>1699132</v>
      </c>
      <c r="D417" s="358" t="s">
        <v>415</v>
      </c>
      <c r="E417" s="285"/>
      <c r="F417" s="362">
        <f>G452-AK417+AL417</f>
        <v>3</v>
      </c>
      <c r="G417" s="364">
        <v>3</v>
      </c>
      <c r="H417" s="397">
        <v>3</v>
      </c>
      <c r="I417" s="364">
        <v>3</v>
      </c>
      <c r="J417" s="364"/>
      <c r="K417" s="364">
        <v>0</v>
      </c>
      <c r="L417" s="218"/>
      <c r="M417" s="218"/>
      <c r="N417" s="218"/>
      <c r="O417" s="218"/>
      <c r="P417" s="352"/>
      <c r="Q417" s="352"/>
      <c r="R417" s="352"/>
      <c r="S417" s="352"/>
      <c r="T417" s="352"/>
      <c r="U417" s="352"/>
      <c r="V417" s="218"/>
      <c r="W417" s="218"/>
      <c r="X417" s="218"/>
      <c r="Y417" s="218"/>
      <c r="Z417" s="218"/>
      <c r="AA417" s="218"/>
      <c r="AB417" s="218"/>
      <c r="AC417" s="218"/>
      <c r="AD417" s="218"/>
      <c r="AE417" s="218"/>
      <c r="AF417" s="218"/>
      <c r="AG417" s="218"/>
      <c r="AH417" s="218"/>
      <c r="AI417" s="218"/>
      <c r="AJ417" s="218"/>
      <c r="AK417" s="218">
        <f>G452+AL417-G417</f>
        <v>0</v>
      </c>
      <c r="AL417" s="218"/>
      <c r="AM417" s="353"/>
      <c r="AN417" s="295"/>
      <c r="AO417" s="296"/>
      <c r="AP417" s="353"/>
      <c r="AQ417" s="290"/>
      <c r="AR417" s="290"/>
      <c r="AS417" s="290"/>
    </row>
    <row r="418" spans="1:45" x14ac:dyDescent="0.25">
      <c r="AL418" s="290"/>
      <c r="AM418" s="290"/>
    </row>
    <row r="419" spans="1:45" ht="14.25" thickBot="1" x14ac:dyDescent="0.3">
      <c r="B419" s="338" t="s">
        <v>18</v>
      </c>
      <c r="C419" s="339">
        <v>45782</v>
      </c>
      <c r="AA419" s="290">
        <v>0</v>
      </c>
      <c r="AL419" s="290"/>
      <c r="AM419" s="290"/>
      <c r="AN419" s="290"/>
      <c r="AO419" s="290"/>
    </row>
    <row r="420" spans="1:45" ht="41.25" thickBot="1" x14ac:dyDescent="0.3">
      <c r="B420" s="283" t="s">
        <v>0</v>
      </c>
      <c r="C420" s="284" t="s">
        <v>1</v>
      </c>
      <c r="D420" s="284" t="s">
        <v>2</v>
      </c>
      <c r="E420" s="284" t="s">
        <v>3</v>
      </c>
      <c r="F420" s="4" t="s">
        <v>318</v>
      </c>
      <c r="G420" s="351" t="s">
        <v>547</v>
      </c>
      <c r="H420" s="382" t="s">
        <v>460</v>
      </c>
      <c r="I420" s="234" t="s">
        <v>546</v>
      </c>
      <c r="J420" s="234"/>
      <c r="K420" s="258" t="s">
        <v>548</v>
      </c>
      <c r="L420" s="258" t="s">
        <v>328</v>
      </c>
      <c r="M420" s="258" t="s">
        <v>327</v>
      </c>
      <c r="N420" s="234" t="s">
        <v>389</v>
      </c>
      <c r="O420" s="240" t="s">
        <v>130</v>
      </c>
      <c r="P420" s="243" t="s">
        <v>303</v>
      </c>
      <c r="Q420" s="244" t="s">
        <v>304</v>
      </c>
      <c r="R420" s="244" t="s">
        <v>314</v>
      </c>
      <c r="S420" s="245" t="s">
        <v>338</v>
      </c>
      <c r="T420" s="245" t="s">
        <v>345</v>
      </c>
      <c r="U420" s="245" t="s">
        <v>361</v>
      </c>
      <c r="V420" s="245" t="s">
        <v>387</v>
      </c>
      <c r="W420" s="245" t="s">
        <v>421</v>
      </c>
      <c r="X420" s="245" t="s">
        <v>452</v>
      </c>
      <c r="Y420" s="245" t="s">
        <v>463</v>
      </c>
      <c r="Z420" s="245" t="s">
        <v>481</v>
      </c>
      <c r="AA420" s="245" t="s">
        <v>498</v>
      </c>
      <c r="AB420" s="245" t="s">
        <v>303</v>
      </c>
      <c r="AC420" s="245" t="s">
        <v>304</v>
      </c>
      <c r="AD420" s="245" t="s">
        <v>314</v>
      </c>
      <c r="AE420" s="245" t="s">
        <v>338</v>
      </c>
      <c r="AF420" s="245" t="s">
        <v>345</v>
      </c>
      <c r="AG420" s="245"/>
      <c r="AH420" s="245"/>
      <c r="AI420" s="245"/>
      <c r="AJ420" s="245" t="s">
        <v>360</v>
      </c>
      <c r="AK420" s="246" t="s">
        <v>268</v>
      </c>
      <c r="AL420" s="247" t="s">
        <v>269</v>
      </c>
      <c r="AM420" s="291" t="s">
        <v>288</v>
      </c>
      <c r="AN420" s="292" t="s">
        <v>289</v>
      </c>
      <c r="AO420" s="292" t="s">
        <v>287</v>
      </c>
      <c r="AP420" s="293" t="s">
        <v>290</v>
      </c>
      <c r="AQ420" s="290" t="s">
        <v>306</v>
      </c>
      <c r="AR420" s="290" t="s">
        <v>310</v>
      </c>
      <c r="AS420" s="290" t="s">
        <v>311</v>
      </c>
    </row>
    <row r="421" spans="1:45" ht="17.25" thickBot="1" x14ac:dyDescent="0.3">
      <c r="A421" s="463" t="s">
        <v>416</v>
      </c>
      <c r="B421" s="285">
        <v>273664</v>
      </c>
      <c r="C421" s="286">
        <v>1135749</v>
      </c>
      <c r="D421" s="286" t="s">
        <v>7</v>
      </c>
      <c r="E421" s="286">
        <v>6060050026</v>
      </c>
      <c r="F421" s="253">
        <f>G456-AK421+AL421</f>
        <v>9</v>
      </c>
      <c r="G421" s="235">
        <v>9</v>
      </c>
      <c r="H421" s="394">
        <v>5</v>
      </c>
      <c r="I421" s="232">
        <v>9</v>
      </c>
      <c r="J421" s="232"/>
      <c r="K421" s="232">
        <v>2</v>
      </c>
      <c r="L421" s="232">
        <f>IF(K455=K420,L456+AK421,K421)</f>
        <v>2</v>
      </c>
      <c r="M421" s="232">
        <f>IF(K455=K420,0,L456+AK421-K421)</f>
        <v>1</v>
      </c>
      <c r="N421" s="267">
        <v>5</v>
      </c>
      <c r="O421" s="241">
        <f>N421-G421</f>
        <v>-4</v>
      </c>
      <c r="P421" s="277">
        <v>4</v>
      </c>
      <c r="Q421" s="278">
        <v>4</v>
      </c>
      <c r="R421" s="279"/>
      <c r="S421" s="279">
        <v>3</v>
      </c>
      <c r="T421" s="279">
        <v>4</v>
      </c>
      <c r="U421" s="279">
        <v>2</v>
      </c>
      <c r="V421" s="279"/>
      <c r="W421" s="279">
        <f>2+3</f>
        <v>5</v>
      </c>
      <c r="X421" s="241"/>
      <c r="Y421" s="241"/>
      <c r="Z421" s="241"/>
      <c r="AA421" s="241">
        <v>4</v>
      </c>
      <c r="AB421" s="241">
        <v>5</v>
      </c>
      <c r="AC421" s="241"/>
      <c r="AD421" s="241">
        <v>6</v>
      </c>
      <c r="AE421" s="241"/>
      <c r="AF421" s="241"/>
      <c r="AG421" s="241"/>
      <c r="AH421" s="241"/>
      <c r="AI421" s="241"/>
      <c r="AJ421" s="241">
        <f>N421-V421</f>
        <v>5</v>
      </c>
      <c r="AK421" s="235">
        <f>G456+AL421-G421</f>
        <v>0</v>
      </c>
      <c r="AL421" s="350"/>
      <c r="AM421" s="294">
        <v>1.5</v>
      </c>
      <c r="AN421" s="295">
        <v>4</v>
      </c>
      <c r="AO421" s="296">
        <f>G421/(AN421)</f>
        <v>2.25</v>
      </c>
      <c r="AP421" s="297">
        <f>AN421*6</f>
        <v>24</v>
      </c>
      <c r="AQ421" s="290">
        <f>G421+K421</f>
        <v>11</v>
      </c>
      <c r="AR421" s="290">
        <f>IF(G421&lt;G456,(G456-G421+K456-K421),K456-K421)</f>
        <v>1</v>
      </c>
      <c r="AS421" s="290">
        <f>21-8</f>
        <v>13</v>
      </c>
    </row>
    <row r="422" spans="1:45" ht="17.25" thickBot="1" x14ac:dyDescent="0.3">
      <c r="A422" s="464"/>
      <c r="B422" s="285">
        <v>273672</v>
      </c>
      <c r="C422" s="286">
        <v>1135750</v>
      </c>
      <c r="D422" s="286" t="s">
        <v>9</v>
      </c>
      <c r="E422" s="287">
        <v>204000000000</v>
      </c>
      <c r="F422" s="253">
        <f>G457-AK422+AL422</f>
        <v>5</v>
      </c>
      <c r="G422" s="235">
        <v>5</v>
      </c>
      <c r="H422" s="394">
        <v>16</v>
      </c>
      <c r="I422" s="232">
        <v>13</v>
      </c>
      <c r="J422" s="232"/>
      <c r="K422" s="232">
        <v>2</v>
      </c>
      <c r="L422" s="232">
        <f>IF(K455=K420,L457+AK422,K422)</f>
        <v>2</v>
      </c>
      <c r="M422" s="232">
        <f>IF(K455=K420,0,L457+AK422-K422)</f>
        <v>13</v>
      </c>
      <c r="N422" s="267">
        <v>10</v>
      </c>
      <c r="O422" s="241">
        <f>N422-G422</f>
        <v>5</v>
      </c>
      <c r="P422" s="277">
        <v>13</v>
      </c>
      <c r="Q422" s="278">
        <v>2</v>
      </c>
      <c r="R422" s="279">
        <v>6</v>
      </c>
      <c r="S422" s="279">
        <v>6</v>
      </c>
      <c r="T422" s="279">
        <v>10</v>
      </c>
      <c r="U422" s="279">
        <v>4</v>
      </c>
      <c r="V422" s="279">
        <v>6</v>
      </c>
      <c r="W422" s="279">
        <v>16</v>
      </c>
      <c r="X422" s="241"/>
      <c r="Y422" s="241">
        <v>6</v>
      </c>
      <c r="Z422" s="241">
        <v>4</v>
      </c>
      <c r="AA422" s="241">
        <v>6</v>
      </c>
      <c r="AB422" s="241">
        <v>14</v>
      </c>
      <c r="AC422" s="241"/>
      <c r="AD422" s="241">
        <v>12</v>
      </c>
      <c r="AE422" s="241">
        <v>6</v>
      </c>
      <c r="AF422" s="241">
        <v>8</v>
      </c>
      <c r="AG422" s="241"/>
      <c r="AH422" s="241"/>
      <c r="AI422" s="241"/>
      <c r="AJ422" s="241">
        <f>N422-V422</f>
        <v>4</v>
      </c>
      <c r="AK422" s="235">
        <f>G457+AL422-G422</f>
        <v>8</v>
      </c>
      <c r="AL422" s="236"/>
      <c r="AM422" s="298">
        <v>4.2</v>
      </c>
      <c r="AN422" s="295">
        <v>9</v>
      </c>
      <c r="AO422" s="296">
        <f>G422/(AN422)</f>
        <v>0.55555555555555558</v>
      </c>
      <c r="AP422" s="297">
        <f>AN422*6</f>
        <v>54</v>
      </c>
      <c r="AQ422" s="290">
        <f>G422+K422</f>
        <v>7</v>
      </c>
      <c r="AR422" s="290">
        <f>IF(G422&lt;G457,(G457-G422+K457-K422),K457-K422)</f>
        <v>12</v>
      </c>
      <c r="AS422" s="290">
        <f>21-8</f>
        <v>13</v>
      </c>
    </row>
    <row r="423" spans="1:45" ht="17.25" thickBot="1" x14ac:dyDescent="0.3">
      <c r="A423" s="464"/>
      <c r="B423" s="285">
        <v>273702</v>
      </c>
      <c r="C423" s="286">
        <v>1135753</v>
      </c>
      <c r="D423" s="286" t="s">
        <v>10</v>
      </c>
      <c r="E423" s="287">
        <v>301000000000</v>
      </c>
      <c r="F423" s="253">
        <f>G458-AK423+AL423</f>
        <v>3</v>
      </c>
      <c r="G423" s="235">
        <v>3</v>
      </c>
      <c r="H423" s="394">
        <v>1</v>
      </c>
      <c r="I423" s="232">
        <v>3</v>
      </c>
      <c r="J423" s="232"/>
      <c r="K423" s="232">
        <v>2</v>
      </c>
      <c r="L423" s="232">
        <f>IF(K455=K420,L458+AK423,K423)</f>
        <v>2</v>
      </c>
      <c r="M423" s="232">
        <f>IF(K455=K420,0,L458+AK423-K423)</f>
        <v>0</v>
      </c>
      <c r="N423" s="232">
        <v>2</v>
      </c>
      <c r="O423" s="241">
        <f>N423-G423</f>
        <v>-1</v>
      </c>
      <c r="P423" s="277"/>
      <c r="Q423" s="278"/>
      <c r="R423" s="279"/>
      <c r="S423" s="279"/>
      <c r="T423" s="279"/>
      <c r="U423" s="279"/>
      <c r="V423" s="279"/>
      <c r="W423" s="279"/>
      <c r="X423" s="241"/>
      <c r="Y423" s="241"/>
      <c r="Z423" s="241"/>
      <c r="AA423" s="241"/>
      <c r="AB423" s="241">
        <v>2</v>
      </c>
      <c r="AC423" s="241"/>
      <c r="AD423" s="241"/>
      <c r="AE423" s="241"/>
      <c r="AF423" s="241"/>
      <c r="AG423" s="241"/>
      <c r="AH423" s="241"/>
      <c r="AI423" s="241"/>
      <c r="AJ423" s="241">
        <f>N423-V423</f>
        <v>2</v>
      </c>
      <c r="AK423" s="235">
        <f>G458+AL423-G423</f>
        <v>0</v>
      </c>
      <c r="AL423" s="236"/>
      <c r="AM423" s="294">
        <f>4/12</f>
        <v>0.33333333333333331</v>
      </c>
      <c r="AN423" s="295">
        <v>2</v>
      </c>
      <c r="AO423" s="296">
        <f>G423/(AN423)</f>
        <v>1.5</v>
      </c>
      <c r="AP423" s="297">
        <f>AN423*6</f>
        <v>12</v>
      </c>
      <c r="AQ423" s="290">
        <f>G423+K423</f>
        <v>5</v>
      </c>
      <c r="AR423" s="290">
        <f>IF(G423&lt;G458,(G458-G423+K458-K423),K458-K423)</f>
        <v>0</v>
      </c>
      <c r="AS423" s="290">
        <f>21-8</f>
        <v>13</v>
      </c>
    </row>
    <row r="424" spans="1:45" ht="17.25" thickBot="1" x14ac:dyDescent="0.3">
      <c r="A424" s="464"/>
      <c r="B424" s="285">
        <v>273698</v>
      </c>
      <c r="C424" s="286">
        <v>1135752</v>
      </c>
      <c r="D424" s="286" t="s">
        <v>11</v>
      </c>
      <c r="E424" s="287">
        <v>701000000000</v>
      </c>
      <c r="F424" s="253">
        <f>G459-AK424+AL424</f>
        <v>1</v>
      </c>
      <c r="G424" s="235">
        <v>1</v>
      </c>
      <c r="H424" s="394">
        <v>2</v>
      </c>
      <c r="I424" s="232">
        <v>1</v>
      </c>
      <c r="J424" s="232"/>
      <c r="K424" s="232">
        <v>0</v>
      </c>
      <c r="L424" s="232">
        <f>IF(K455=K420,L459+AK424,K424)</f>
        <v>0</v>
      </c>
      <c r="M424" s="232">
        <f>IF(K455=K420,0,L459+AK424-K424)</f>
        <v>0</v>
      </c>
      <c r="N424" s="232">
        <v>3</v>
      </c>
      <c r="O424" s="241">
        <f>N424-G424</f>
        <v>2</v>
      </c>
      <c r="P424" s="277">
        <v>2</v>
      </c>
      <c r="Q424" s="278"/>
      <c r="R424" s="279"/>
      <c r="S424" s="279"/>
      <c r="T424" s="279"/>
      <c r="U424" s="279"/>
      <c r="V424" s="279"/>
      <c r="W424" s="279">
        <v>1</v>
      </c>
      <c r="X424" s="241"/>
      <c r="Y424" s="241"/>
      <c r="Z424" s="241"/>
      <c r="AA424" s="241"/>
      <c r="AB424" s="241">
        <v>2</v>
      </c>
      <c r="AC424" s="241"/>
      <c r="AD424" s="241">
        <v>2</v>
      </c>
      <c r="AE424" s="241"/>
      <c r="AF424" s="241"/>
      <c r="AG424" s="241"/>
      <c r="AH424" s="241"/>
      <c r="AI424" s="241"/>
      <c r="AJ424" s="241">
        <f>N424-V424</f>
        <v>3</v>
      </c>
      <c r="AK424" s="235">
        <f>G459+AL424-G424</f>
        <v>0</v>
      </c>
      <c r="AL424" s="236"/>
      <c r="AM424" s="294">
        <f>4/12</f>
        <v>0.33333333333333331</v>
      </c>
      <c r="AN424" s="295">
        <v>2</v>
      </c>
      <c r="AO424" s="296">
        <f>G424/(AN424)</f>
        <v>0.5</v>
      </c>
      <c r="AP424" s="297">
        <f>AN424*6</f>
        <v>12</v>
      </c>
      <c r="AQ424" s="290">
        <f>G424+K424</f>
        <v>1</v>
      </c>
      <c r="AR424" s="290">
        <f>IF(G424&lt;G459,(G459-G424+K459-K424),K459-K424)</f>
        <v>0</v>
      </c>
      <c r="AS424" s="290">
        <f>21-8</f>
        <v>13</v>
      </c>
    </row>
    <row r="425" spans="1:45" ht="17.25" thickBot="1" x14ac:dyDescent="0.3">
      <c r="A425" s="465"/>
      <c r="B425" s="285">
        <v>273680</v>
      </c>
      <c r="C425" s="286">
        <v>1135751</v>
      </c>
      <c r="D425" s="286" t="s">
        <v>12</v>
      </c>
      <c r="E425" s="286" t="s">
        <v>13</v>
      </c>
      <c r="F425" s="254">
        <f>G460-AK425+AL425</f>
        <v>15</v>
      </c>
      <c r="G425" s="237">
        <v>15</v>
      </c>
      <c r="H425" s="395">
        <v>8</v>
      </c>
      <c r="I425" s="238">
        <v>15</v>
      </c>
      <c r="J425" s="238"/>
      <c r="K425" s="238">
        <v>0</v>
      </c>
      <c r="L425" s="238">
        <f>IF(K455=K420,L460+AK425,K425)</f>
        <v>0</v>
      </c>
      <c r="M425" s="238">
        <f>IF(K455=K420,0,L460+AK425-K425)</f>
        <v>0</v>
      </c>
      <c r="N425" s="238">
        <v>9</v>
      </c>
      <c r="O425" s="242">
        <f>N425-G425</f>
        <v>-6</v>
      </c>
      <c r="P425" s="280"/>
      <c r="Q425" s="281"/>
      <c r="R425" s="282"/>
      <c r="S425" s="282"/>
      <c r="T425" s="282">
        <v>11</v>
      </c>
      <c r="U425" s="282"/>
      <c r="V425" s="282"/>
      <c r="W425" s="282">
        <v>9</v>
      </c>
      <c r="X425" s="242"/>
      <c r="Y425" s="242">
        <v>9</v>
      </c>
      <c r="Z425" s="242"/>
      <c r="AA425" s="242"/>
      <c r="AB425" s="242">
        <v>5</v>
      </c>
      <c r="AC425" s="242"/>
      <c r="AD425" s="242">
        <v>5</v>
      </c>
      <c r="AE425" s="242"/>
      <c r="AF425" s="242"/>
      <c r="AG425" s="242"/>
      <c r="AH425" s="242"/>
      <c r="AI425" s="242"/>
      <c r="AJ425" s="242">
        <f>N425-V425</f>
        <v>9</v>
      </c>
      <c r="AK425" s="235">
        <f>G460+AL425-G425</f>
        <v>0</v>
      </c>
      <c r="AL425" s="239"/>
      <c r="AM425" s="299">
        <f>30/12</f>
        <v>2.5</v>
      </c>
      <c r="AN425" s="300">
        <f>AM425*2</f>
        <v>5</v>
      </c>
      <c r="AO425" s="301">
        <f>G425/(AN425)</f>
        <v>3</v>
      </c>
      <c r="AP425" s="302">
        <f>AN425*6</f>
        <v>30</v>
      </c>
      <c r="AQ425" s="290">
        <f>G425+K425</f>
        <v>15</v>
      </c>
      <c r="AR425" s="290">
        <f>IF(G425&lt;G460,(G460-G425+K460-K425),K460-K425)</f>
        <v>0</v>
      </c>
      <c r="AS425" s="290">
        <f>21-8</f>
        <v>13</v>
      </c>
    </row>
    <row r="426" spans="1:45" ht="17.25" thickBot="1" x14ac:dyDescent="0.3">
      <c r="A426" s="466" t="s">
        <v>417</v>
      </c>
      <c r="B426" s="355" t="s">
        <v>129</v>
      </c>
      <c r="C426" s="356"/>
      <c r="D426" s="356"/>
      <c r="E426" s="359"/>
      <c r="F426" s="359"/>
      <c r="G426" s="356"/>
      <c r="H426" s="396"/>
      <c r="I426" s="356"/>
      <c r="J426" s="356"/>
      <c r="K426" s="356"/>
      <c r="L426" s="356"/>
      <c r="M426" s="356"/>
      <c r="N426" s="356"/>
      <c r="O426" s="356"/>
      <c r="P426" s="356"/>
      <c r="Q426" s="356"/>
      <c r="R426" s="356"/>
      <c r="S426" s="356"/>
      <c r="T426" s="356"/>
      <c r="U426" s="356"/>
      <c r="V426" s="356"/>
      <c r="W426" s="356"/>
      <c r="X426" s="356"/>
      <c r="Y426" s="356"/>
      <c r="Z426" s="356"/>
      <c r="AA426" s="356"/>
      <c r="AB426" s="356"/>
      <c r="AC426" s="356"/>
      <c r="AD426" s="356"/>
      <c r="AE426" s="356"/>
      <c r="AF426" s="356"/>
      <c r="AG426" s="356"/>
      <c r="AH426" s="356"/>
      <c r="AI426" s="356"/>
      <c r="AJ426" s="356"/>
      <c r="AK426" s="356"/>
      <c r="AL426" s="367"/>
      <c r="AM426" s="356"/>
      <c r="AN426" s="356"/>
      <c r="AO426" s="356"/>
      <c r="AP426" s="356"/>
      <c r="AQ426" s="356"/>
      <c r="AR426" s="356"/>
      <c r="AS426" s="357"/>
    </row>
    <row r="427" spans="1:45" ht="17.25" thickBot="1" x14ac:dyDescent="0.3">
      <c r="A427" s="467"/>
      <c r="B427" s="354"/>
      <c r="C427" s="354">
        <v>1140327</v>
      </c>
      <c r="D427" s="358" t="s">
        <v>394</v>
      </c>
      <c r="E427" s="360"/>
      <c r="F427" s="361">
        <f>G462-AK427+AL427</f>
        <v>4</v>
      </c>
      <c r="G427" s="218">
        <v>4</v>
      </c>
      <c r="H427" s="397">
        <v>23</v>
      </c>
      <c r="I427" s="218">
        <v>10</v>
      </c>
      <c r="J427" s="218"/>
      <c r="K427" s="218">
        <v>4</v>
      </c>
      <c r="L427" s="218">
        <f>IF(K455=K420,L462+AK427,K427)</f>
        <v>4</v>
      </c>
      <c r="M427" s="218">
        <f>IF(K455=K420,0,L462+AK427-K427)</f>
        <v>13</v>
      </c>
      <c r="N427" s="218"/>
      <c r="O427" s="218"/>
      <c r="P427" s="352"/>
      <c r="Q427" s="352"/>
      <c r="R427" s="352"/>
      <c r="S427" s="352"/>
      <c r="T427" s="352"/>
      <c r="U427" s="352"/>
      <c r="V427" s="218"/>
      <c r="W427" s="218"/>
      <c r="X427" s="218">
        <v>4</v>
      </c>
      <c r="Y427" s="218">
        <v>9</v>
      </c>
      <c r="Z427" s="218">
        <v>14</v>
      </c>
      <c r="AA427" s="218">
        <v>8</v>
      </c>
      <c r="AB427" s="218">
        <f>14+6</f>
        <v>20</v>
      </c>
      <c r="AC427" s="218">
        <v>10</v>
      </c>
      <c r="AD427" s="218">
        <v>12</v>
      </c>
      <c r="AE427" s="218">
        <v>17</v>
      </c>
      <c r="AF427" s="218">
        <v>6</v>
      </c>
      <c r="AG427" s="218"/>
      <c r="AH427" s="218"/>
      <c r="AI427" s="218"/>
      <c r="AJ427" s="242">
        <f>N427-V427</f>
        <v>0</v>
      </c>
      <c r="AK427" s="274">
        <f>G462+AL427-G427</f>
        <v>6</v>
      </c>
      <c r="AL427" s="232"/>
      <c r="AM427" s="353"/>
      <c r="AN427" s="295"/>
      <c r="AO427" s="296"/>
      <c r="AP427" s="353"/>
      <c r="AQ427" s="290"/>
      <c r="AR427" s="290"/>
      <c r="AS427" s="290"/>
    </row>
    <row r="428" spans="1:45" ht="17.25" thickBot="1" x14ac:dyDescent="0.3">
      <c r="A428" s="467"/>
      <c r="B428" s="354"/>
      <c r="C428" s="285">
        <v>1151231</v>
      </c>
      <c r="D428" s="358" t="s">
        <v>395</v>
      </c>
      <c r="E428" s="360"/>
      <c r="F428" s="361">
        <f>G463-AK428+AL428</f>
        <v>7</v>
      </c>
      <c r="G428" s="369">
        <v>7</v>
      </c>
      <c r="H428" s="397">
        <v>13</v>
      </c>
      <c r="I428" s="218">
        <v>11</v>
      </c>
      <c r="J428" s="218"/>
      <c r="K428" s="218">
        <v>3</v>
      </c>
      <c r="L428" s="218">
        <f>IF(K455=K420,L463+AK428,K428)</f>
        <v>3</v>
      </c>
      <c r="M428" s="218">
        <f>IF(K455=K420,0,L463+AK428-K428)</f>
        <v>5</v>
      </c>
      <c r="N428" s="218"/>
      <c r="O428" s="218"/>
      <c r="P428" s="352"/>
      <c r="Q428" s="352"/>
      <c r="R428" s="352"/>
      <c r="S428" s="352"/>
      <c r="T428" s="352"/>
      <c r="U428" s="352"/>
      <c r="V428" s="218"/>
      <c r="W428" s="218"/>
      <c r="X428" s="218">
        <v>3</v>
      </c>
      <c r="Y428" s="218">
        <v>8</v>
      </c>
      <c r="Z428" s="218">
        <v>6</v>
      </c>
      <c r="AA428" s="218"/>
      <c r="AB428" s="218">
        <v>4</v>
      </c>
      <c r="AC428" s="218">
        <v>4</v>
      </c>
      <c r="AD428" s="218">
        <v>4</v>
      </c>
      <c r="AE428" s="218"/>
      <c r="AF428" s="218">
        <v>4</v>
      </c>
      <c r="AG428" s="218"/>
      <c r="AH428" s="218"/>
      <c r="AI428" s="218"/>
      <c r="AJ428" s="242">
        <f>N428-V428</f>
        <v>0</v>
      </c>
      <c r="AK428" s="274">
        <f>G463+AL428-G428</f>
        <v>4</v>
      </c>
      <c r="AL428" s="232"/>
      <c r="AM428" s="353"/>
      <c r="AN428" s="295"/>
      <c r="AO428" s="296"/>
      <c r="AP428" s="353"/>
      <c r="AQ428" s="290"/>
      <c r="AR428" s="290"/>
      <c r="AS428" s="290"/>
    </row>
    <row r="429" spans="1:45" ht="17.25" thickBot="1" x14ac:dyDescent="0.3">
      <c r="A429" s="467"/>
      <c r="B429" s="355" t="s">
        <v>420</v>
      </c>
      <c r="C429" s="356"/>
      <c r="D429" s="356" t="s">
        <v>523</v>
      </c>
      <c r="E429" s="359"/>
      <c r="F429" s="359"/>
      <c r="G429" s="356"/>
      <c r="H429" s="396"/>
      <c r="I429" s="356"/>
      <c r="J429" s="356"/>
      <c r="K429" s="356"/>
      <c r="L429" s="356"/>
      <c r="M429" s="356"/>
      <c r="N429" s="356"/>
      <c r="O429" s="356"/>
      <c r="P429" s="356"/>
      <c r="Q429" s="356"/>
      <c r="R429" s="356"/>
      <c r="S429" s="356"/>
      <c r="T429" s="356"/>
      <c r="U429" s="356"/>
      <c r="V429" s="356"/>
      <c r="W429" s="356"/>
      <c r="X429" s="356"/>
      <c r="Y429" s="356"/>
      <c r="Z429" s="356"/>
      <c r="AA429" s="356"/>
      <c r="AB429" s="356"/>
      <c r="AC429" s="356"/>
      <c r="AD429" s="356"/>
      <c r="AE429" s="356"/>
      <c r="AF429" s="356"/>
      <c r="AG429" s="356"/>
      <c r="AH429" s="356"/>
      <c r="AI429" s="356"/>
      <c r="AJ429" s="356"/>
      <c r="AK429" s="356"/>
      <c r="AL429" s="368"/>
      <c r="AM429" s="356"/>
      <c r="AN429" s="356"/>
      <c r="AO429" s="356"/>
      <c r="AP429" s="356"/>
      <c r="AQ429" s="356"/>
      <c r="AR429" s="356"/>
      <c r="AS429" s="357"/>
    </row>
    <row r="430" spans="1:45" ht="17.25" thickBot="1" x14ac:dyDescent="0.3">
      <c r="A430" s="467"/>
      <c r="B430" s="354"/>
      <c r="C430" s="285">
        <v>1146032</v>
      </c>
      <c r="D430" s="358" t="s">
        <v>396</v>
      </c>
      <c r="E430" s="360"/>
      <c r="F430" s="361">
        <f>G465-AK430+AL430</f>
        <v>1</v>
      </c>
      <c r="G430" s="364">
        <v>1</v>
      </c>
      <c r="H430" s="397">
        <v>1</v>
      </c>
      <c r="I430" s="364">
        <v>1</v>
      </c>
      <c r="J430" s="364"/>
      <c r="K430" s="364">
        <v>2</v>
      </c>
      <c r="L430" s="218"/>
      <c r="M430" s="218"/>
      <c r="N430" s="218"/>
      <c r="O430" s="218"/>
      <c r="P430" s="352"/>
      <c r="Q430" s="352"/>
      <c r="R430" s="352"/>
      <c r="S430" s="352"/>
      <c r="T430" s="352"/>
      <c r="U430" s="352"/>
      <c r="V430" s="218"/>
      <c r="W430" s="218"/>
      <c r="X430" s="218"/>
      <c r="Y430" s="218"/>
      <c r="Z430" s="218"/>
      <c r="AA430" s="218"/>
      <c r="AB430" s="218"/>
      <c r="AC430" s="218"/>
      <c r="AD430" s="218"/>
      <c r="AE430" s="218"/>
      <c r="AF430" s="218"/>
      <c r="AG430" s="218"/>
      <c r="AH430" s="218"/>
      <c r="AI430" s="218"/>
      <c r="AJ430" s="218"/>
      <c r="AK430" s="218">
        <f>G465+AL430-G430</f>
        <v>0</v>
      </c>
      <c r="AL430" s="218"/>
      <c r="AM430" s="353"/>
      <c r="AN430" s="295"/>
      <c r="AO430" s="296"/>
      <c r="AP430" s="353"/>
      <c r="AQ430" s="290"/>
      <c r="AR430" s="290"/>
      <c r="AS430" s="290"/>
    </row>
    <row r="431" spans="1:45" ht="17.25" thickBot="1" x14ac:dyDescent="0.3">
      <c r="A431" s="467"/>
      <c r="B431" s="354"/>
      <c r="C431" s="285">
        <v>1146021</v>
      </c>
      <c r="D431" s="358" t="s">
        <v>397</v>
      </c>
      <c r="E431" s="360"/>
      <c r="F431" s="361">
        <f>G466-AK431+AL431</f>
        <v>2</v>
      </c>
      <c r="G431" s="364">
        <v>2</v>
      </c>
      <c r="H431" s="397">
        <v>2</v>
      </c>
      <c r="I431" s="364">
        <v>2</v>
      </c>
      <c r="J431" s="364"/>
      <c r="K431" s="364">
        <v>1</v>
      </c>
      <c r="L431" s="218"/>
      <c r="M431" s="218"/>
      <c r="N431" s="218"/>
      <c r="O431" s="218"/>
      <c r="P431" s="352"/>
      <c r="Q431" s="352"/>
      <c r="R431" s="352"/>
      <c r="S431" s="352"/>
      <c r="T431" s="352"/>
      <c r="U431" s="352"/>
      <c r="V431" s="218"/>
      <c r="W431" s="218"/>
      <c r="X431" s="218"/>
      <c r="Y431" s="218"/>
      <c r="Z431" s="218"/>
      <c r="AA431" s="218"/>
      <c r="AB431" s="218"/>
      <c r="AC431" s="218"/>
      <c r="AD431" s="218"/>
      <c r="AE431" s="218"/>
      <c r="AF431" s="218"/>
      <c r="AG431" s="218"/>
      <c r="AH431" s="218"/>
      <c r="AI431" s="218"/>
      <c r="AJ431" s="218"/>
      <c r="AK431" s="218">
        <f>G466+AL431-G431</f>
        <v>0</v>
      </c>
      <c r="AL431" s="218"/>
      <c r="AM431" s="353"/>
      <c r="AN431" s="295"/>
      <c r="AO431" s="296"/>
      <c r="AP431" s="353"/>
      <c r="AQ431" s="290"/>
      <c r="AR431" s="290"/>
      <c r="AS431" s="290"/>
    </row>
    <row r="432" spans="1:45" ht="17.25" thickBot="1" x14ac:dyDescent="0.3">
      <c r="A432" s="467"/>
      <c r="B432" s="354"/>
      <c r="C432" s="285">
        <v>1146018</v>
      </c>
      <c r="D432" s="358" t="s">
        <v>398</v>
      </c>
      <c r="E432" s="360"/>
      <c r="F432" s="361">
        <f>G467-AK432+AL432</f>
        <v>4</v>
      </c>
      <c r="G432" s="369">
        <v>4</v>
      </c>
      <c r="H432" s="397">
        <v>1</v>
      </c>
      <c r="I432" s="364">
        <v>4</v>
      </c>
      <c r="J432" s="364"/>
      <c r="K432" s="364">
        <v>1</v>
      </c>
      <c r="L432" s="218"/>
      <c r="M432" s="218"/>
      <c r="N432" s="218"/>
      <c r="O432" s="218"/>
      <c r="P432" s="352"/>
      <c r="Q432" s="352"/>
      <c r="R432" s="352"/>
      <c r="S432" s="352"/>
      <c r="T432" s="352"/>
      <c r="U432" s="352"/>
      <c r="V432" s="218"/>
      <c r="W432" s="218"/>
      <c r="X432" s="218"/>
      <c r="Y432" s="218"/>
      <c r="Z432" s="218"/>
      <c r="AA432" s="218"/>
      <c r="AB432" s="218">
        <v>2</v>
      </c>
      <c r="AC432" s="218"/>
      <c r="AD432" s="218"/>
      <c r="AE432" s="218"/>
      <c r="AF432" s="218"/>
      <c r="AG432" s="218"/>
      <c r="AH432" s="218"/>
      <c r="AI432" s="218"/>
      <c r="AJ432" s="218"/>
      <c r="AK432" s="218">
        <f>G467+AL432-G432</f>
        <v>0</v>
      </c>
      <c r="AL432" s="218"/>
      <c r="AM432" s="353"/>
      <c r="AN432" s="295"/>
      <c r="AO432" s="296"/>
      <c r="AP432" s="353"/>
      <c r="AQ432" s="290"/>
      <c r="AR432" s="290"/>
      <c r="AS432" s="290"/>
    </row>
    <row r="433" spans="1:45" ht="17.25" thickBot="1" x14ac:dyDescent="0.3">
      <c r="A433" s="467"/>
      <c r="B433" s="354"/>
      <c r="C433" s="285">
        <v>1146024</v>
      </c>
      <c r="D433" s="358" t="s">
        <v>399</v>
      </c>
      <c r="E433" s="360"/>
      <c r="F433" s="361">
        <v>1</v>
      </c>
      <c r="G433" s="369">
        <v>4</v>
      </c>
      <c r="H433" s="369">
        <v>2</v>
      </c>
      <c r="I433" s="369">
        <v>4</v>
      </c>
      <c r="J433" s="369"/>
      <c r="K433" s="369">
        <v>0</v>
      </c>
      <c r="L433" s="218"/>
      <c r="M433" s="218"/>
      <c r="N433" s="218"/>
      <c r="O433" s="218"/>
      <c r="P433" s="352"/>
      <c r="Q433" s="352"/>
      <c r="R433" s="352"/>
      <c r="S433" s="352"/>
      <c r="T433" s="352"/>
      <c r="U433" s="352"/>
      <c r="V433" s="218"/>
      <c r="W433" s="218"/>
      <c r="X433" s="218"/>
      <c r="Y433" s="218"/>
      <c r="Z433" s="218"/>
      <c r="AA433" s="218">
        <v>1</v>
      </c>
      <c r="AB433" s="218">
        <v>1</v>
      </c>
      <c r="AC433" s="218"/>
      <c r="AD433" s="218"/>
      <c r="AE433" s="218"/>
      <c r="AF433" s="218"/>
      <c r="AG433" s="218"/>
      <c r="AH433" s="218"/>
      <c r="AI433" s="218"/>
      <c r="AJ433" s="218"/>
      <c r="AK433" s="218">
        <f>G468+AL433-G433</f>
        <v>0</v>
      </c>
      <c r="AL433" s="218"/>
      <c r="AM433" s="353"/>
      <c r="AN433" s="295"/>
      <c r="AO433" s="296"/>
      <c r="AP433" s="353"/>
      <c r="AQ433" s="290"/>
      <c r="AR433" s="290"/>
      <c r="AS433" s="290"/>
    </row>
    <row r="434" spans="1:45" ht="17.25" thickBot="1" x14ac:dyDescent="0.3">
      <c r="A434" s="467"/>
      <c r="B434" s="354"/>
      <c r="C434" s="285">
        <v>1146028</v>
      </c>
      <c r="D434" s="358" t="s">
        <v>400</v>
      </c>
      <c r="E434" s="360"/>
      <c r="F434" s="361">
        <f>G469-AK434+AL434</f>
        <v>3</v>
      </c>
      <c r="G434" s="364">
        <v>3</v>
      </c>
      <c r="H434" s="397">
        <v>2</v>
      </c>
      <c r="I434" s="364">
        <v>3</v>
      </c>
      <c r="J434" s="364"/>
      <c r="K434" s="364">
        <v>1</v>
      </c>
      <c r="L434" s="218"/>
      <c r="M434" s="218"/>
      <c r="N434" s="218"/>
      <c r="O434" s="218"/>
      <c r="P434" s="352"/>
      <c r="Q434" s="352"/>
      <c r="R434" s="352"/>
      <c r="S434" s="352"/>
      <c r="T434" s="352"/>
      <c r="U434" s="352"/>
      <c r="V434" s="218"/>
      <c r="W434" s="218"/>
      <c r="X434" s="218"/>
      <c r="Y434" s="218"/>
      <c r="Z434" s="218"/>
      <c r="AA434" s="218"/>
      <c r="AB434" s="218"/>
      <c r="AC434" s="218"/>
      <c r="AD434" s="218">
        <v>2</v>
      </c>
      <c r="AE434" s="218"/>
      <c r="AF434" s="218"/>
      <c r="AG434" s="218"/>
      <c r="AH434" s="218"/>
      <c r="AI434" s="218"/>
      <c r="AJ434" s="218"/>
      <c r="AK434" s="218">
        <f>G469+AL434-G434</f>
        <v>0</v>
      </c>
      <c r="AL434" s="218"/>
      <c r="AM434" s="353"/>
      <c r="AN434" s="295"/>
      <c r="AO434" s="296"/>
      <c r="AP434" s="353"/>
      <c r="AQ434" s="290"/>
      <c r="AR434" s="290"/>
      <c r="AS434" s="290"/>
    </row>
    <row r="435" spans="1:45" ht="17.25" thickBot="1" x14ac:dyDescent="0.3">
      <c r="A435" s="467"/>
      <c r="B435" s="355" t="s">
        <v>419</v>
      </c>
      <c r="C435" s="356"/>
      <c r="D435" s="356"/>
      <c r="E435" s="359"/>
      <c r="F435" s="359"/>
      <c r="G435" s="356"/>
      <c r="H435" s="396"/>
      <c r="I435" s="356"/>
      <c r="J435" s="356"/>
      <c r="K435" s="356"/>
      <c r="L435" s="356"/>
      <c r="M435" s="356"/>
      <c r="N435" s="356"/>
      <c r="O435" s="356"/>
      <c r="P435" s="356"/>
      <c r="Q435" s="356"/>
      <c r="R435" s="356"/>
      <c r="S435" s="356"/>
      <c r="T435" s="356"/>
      <c r="U435" s="356"/>
      <c r="V435" s="356"/>
      <c r="W435" s="356"/>
      <c r="X435" s="356"/>
      <c r="Y435" s="356"/>
      <c r="Z435" s="356"/>
      <c r="AA435" s="356"/>
      <c r="AB435" s="356"/>
      <c r="AC435" s="356"/>
      <c r="AD435" s="356"/>
      <c r="AE435" s="356"/>
      <c r="AF435" s="356"/>
      <c r="AG435" s="356"/>
      <c r="AH435" s="356"/>
      <c r="AI435" s="356"/>
      <c r="AJ435" s="356"/>
      <c r="AK435" s="356"/>
      <c r="AL435" s="356"/>
      <c r="AM435" s="356"/>
      <c r="AN435" s="356"/>
      <c r="AO435" s="356"/>
      <c r="AP435" s="356"/>
      <c r="AQ435" s="356"/>
      <c r="AR435" s="356"/>
      <c r="AS435" s="357"/>
    </row>
    <row r="436" spans="1:45" ht="17.25" thickBot="1" x14ac:dyDescent="0.3">
      <c r="A436" s="467"/>
      <c r="B436" s="372"/>
      <c r="C436" s="373">
        <v>1146031</v>
      </c>
      <c r="D436" s="374" t="s">
        <v>401</v>
      </c>
      <c r="E436" s="375"/>
      <c r="F436" s="376">
        <f>G471-AK436+AL436</f>
        <v>1</v>
      </c>
      <c r="G436" s="377">
        <v>1</v>
      </c>
      <c r="H436" s="397">
        <v>1</v>
      </c>
      <c r="I436" s="377">
        <v>1</v>
      </c>
      <c r="J436" s="377"/>
      <c r="K436" s="377">
        <v>2</v>
      </c>
      <c r="L436" s="377"/>
      <c r="M436" s="377"/>
      <c r="N436" s="377"/>
      <c r="O436" s="377"/>
      <c r="P436" s="377"/>
      <c r="Q436" s="377"/>
      <c r="R436" s="377"/>
      <c r="S436" s="377"/>
      <c r="T436" s="377"/>
      <c r="U436" s="377"/>
      <c r="V436" s="377"/>
      <c r="W436" s="377"/>
      <c r="X436" s="377"/>
      <c r="Y436" s="377"/>
      <c r="Z436" s="377"/>
      <c r="AA436" s="377"/>
      <c r="AB436" s="377"/>
      <c r="AC436" s="377"/>
      <c r="AD436" s="377"/>
      <c r="AE436" s="377"/>
      <c r="AF436" s="377"/>
      <c r="AG436" s="377"/>
      <c r="AH436" s="377"/>
      <c r="AI436" s="377"/>
      <c r="AJ436" s="377"/>
      <c r="AK436" s="377">
        <f>G471+AL436-G436</f>
        <v>0</v>
      </c>
      <c r="AL436" s="377"/>
      <c r="AM436" s="378"/>
      <c r="AN436" s="379"/>
      <c r="AO436" s="380"/>
      <c r="AP436" s="378"/>
      <c r="AQ436" s="381"/>
      <c r="AR436" s="381"/>
      <c r="AS436" s="381"/>
    </row>
    <row r="437" spans="1:45" ht="17.25" thickBot="1" x14ac:dyDescent="0.3">
      <c r="A437" s="467"/>
      <c r="B437" s="372"/>
      <c r="C437" s="373">
        <v>1146020</v>
      </c>
      <c r="D437" s="374" t="s">
        <v>402</v>
      </c>
      <c r="E437" s="375"/>
      <c r="F437" s="376">
        <f>G472-AK437+AL437</f>
        <v>0</v>
      </c>
      <c r="G437" s="377">
        <v>0</v>
      </c>
      <c r="H437" s="397">
        <v>1</v>
      </c>
      <c r="I437" s="377">
        <v>0</v>
      </c>
      <c r="J437" s="377"/>
      <c r="K437" s="377">
        <v>1</v>
      </c>
      <c r="L437" s="377"/>
      <c r="M437" s="377"/>
      <c r="N437" s="377"/>
      <c r="O437" s="377"/>
      <c r="P437" s="377"/>
      <c r="Q437" s="377"/>
      <c r="R437" s="377"/>
      <c r="S437" s="377"/>
      <c r="T437" s="377"/>
      <c r="U437" s="377"/>
      <c r="V437" s="377"/>
      <c r="W437" s="377"/>
      <c r="X437" s="377"/>
      <c r="Y437" s="377"/>
      <c r="Z437" s="377"/>
      <c r="AA437" s="377"/>
      <c r="AB437" s="377"/>
      <c r="AC437" s="377"/>
      <c r="AD437" s="377"/>
      <c r="AE437" s="377"/>
      <c r="AF437" s="377"/>
      <c r="AG437" s="377"/>
      <c r="AH437" s="377"/>
      <c r="AI437" s="377"/>
      <c r="AJ437" s="377"/>
      <c r="AK437" s="377">
        <f>G472+AL437-G437</f>
        <v>0</v>
      </c>
      <c r="AL437" s="377"/>
      <c r="AM437" s="378"/>
      <c r="AN437" s="379"/>
      <c r="AO437" s="380"/>
      <c r="AP437" s="378"/>
      <c r="AQ437" s="381"/>
      <c r="AR437" s="381"/>
      <c r="AS437" s="381"/>
    </row>
    <row r="438" spans="1:45" ht="17.25" thickBot="1" x14ac:dyDescent="0.3">
      <c r="A438" s="467"/>
      <c r="B438" s="372"/>
      <c r="C438" s="373">
        <v>1146016</v>
      </c>
      <c r="D438" s="374" t="s">
        <v>398</v>
      </c>
      <c r="E438" s="375"/>
      <c r="F438" s="376">
        <f>G473-AK438+AL438</f>
        <v>0</v>
      </c>
      <c r="G438" s="377">
        <v>0</v>
      </c>
      <c r="H438" s="397">
        <v>1</v>
      </c>
      <c r="I438" s="377">
        <v>0</v>
      </c>
      <c r="J438" s="377"/>
      <c r="K438" s="377">
        <v>0</v>
      </c>
      <c r="L438" s="377"/>
      <c r="M438" s="377"/>
      <c r="N438" s="377"/>
      <c r="O438" s="377"/>
      <c r="P438" s="377"/>
      <c r="Q438" s="377"/>
      <c r="R438" s="377"/>
      <c r="S438" s="377"/>
      <c r="T438" s="377"/>
      <c r="U438" s="377"/>
      <c r="V438" s="377"/>
      <c r="W438" s="377"/>
      <c r="X438" s="377"/>
      <c r="Y438" s="377"/>
      <c r="Z438" s="377"/>
      <c r="AA438" s="377"/>
      <c r="AB438" s="377"/>
      <c r="AC438" s="377"/>
      <c r="AD438" s="377"/>
      <c r="AE438" s="377"/>
      <c r="AF438" s="377"/>
      <c r="AG438" s="377"/>
      <c r="AH438" s="377"/>
      <c r="AI438" s="377"/>
      <c r="AJ438" s="377"/>
      <c r="AK438" s="377">
        <f>G473+AL438-G438</f>
        <v>0</v>
      </c>
      <c r="AL438" s="377"/>
      <c r="AM438" s="378"/>
      <c r="AN438" s="379"/>
      <c r="AO438" s="380"/>
      <c r="AP438" s="378"/>
      <c r="AQ438" s="381"/>
      <c r="AR438" s="381"/>
      <c r="AS438" s="381"/>
    </row>
    <row r="439" spans="1:45" ht="17.25" thickBot="1" x14ac:dyDescent="0.3">
      <c r="A439" s="467"/>
      <c r="B439" s="372"/>
      <c r="C439" s="373">
        <v>1146022</v>
      </c>
      <c r="D439" s="374" t="s">
        <v>403</v>
      </c>
      <c r="E439" s="375"/>
      <c r="F439" s="376">
        <f>G474-AK439+AL439</f>
        <v>0</v>
      </c>
      <c r="G439" s="377">
        <v>0</v>
      </c>
      <c r="H439" s="397">
        <v>2</v>
      </c>
      <c r="I439" s="377">
        <v>0</v>
      </c>
      <c r="J439" s="377"/>
      <c r="K439" s="377">
        <v>0</v>
      </c>
      <c r="L439" s="377"/>
      <c r="M439" s="377"/>
      <c r="N439" s="377"/>
      <c r="O439" s="377"/>
      <c r="P439" s="377"/>
      <c r="Q439" s="377"/>
      <c r="R439" s="377"/>
      <c r="S439" s="377"/>
      <c r="T439" s="377"/>
      <c r="U439" s="377"/>
      <c r="V439" s="377"/>
      <c r="W439" s="377"/>
      <c r="X439" s="377"/>
      <c r="Y439" s="377"/>
      <c r="Z439" s="377"/>
      <c r="AA439" s="377"/>
      <c r="AB439" s="377"/>
      <c r="AC439" s="377"/>
      <c r="AD439" s="377"/>
      <c r="AE439" s="377"/>
      <c r="AF439" s="377"/>
      <c r="AG439" s="377"/>
      <c r="AH439" s="377"/>
      <c r="AI439" s="377"/>
      <c r="AJ439" s="377"/>
      <c r="AK439" s="377">
        <f>G474+AL439-G439</f>
        <v>0</v>
      </c>
      <c r="AL439" s="377"/>
      <c r="AM439" s="378"/>
      <c r="AN439" s="379"/>
      <c r="AO439" s="380"/>
      <c r="AP439" s="378"/>
      <c r="AQ439" s="381"/>
      <c r="AR439" s="381"/>
      <c r="AS439" s="381"/>
    </row>
    <row r="440" spans="1:45" ht="17.25" thickBot="1" x14ac:dyDescent="0.3">
      <c r="A440" s="467"/>
      <c r="B440" s="372"/>
      <c r="C440" s="373">
        <v>1146027</v>
      </c>
      <c r="D440" s="374" t="s">
        <v>404</v>
      </c>
      <c r="E440" s="375"/>
      <c r="F440" s="376">
        <f>G475-AK440+AL440</f>
        <v>1</v>
      </c>
      <c r="G440" s="377">
        <v>1</v>
      </c>
      <c r="H440" s="397">
        <v>2</v>
      </c>
      <c r="I440" s="377">
        <v>1</v>
      </c>
      <c r="J440" s="377"/>
      <c r="K440" s="377">
        <v>0</v>
      </c>
      <c r="L440" s="377"/>
      <c r="M440" s="377"/>
      <c r="N440" s="377"/>
      <c r="O440" s="377"/>
      <c r="P440" s="377"/>
      <c r="Q440" s="377"/>
      <c r="R440" s="377"/>
      <c r="S440" s="377"/>
      <c r="T440" s="377"/>
      <c r="U440" s="377"/>
      <c r="V440" s="377"/>
      <c r="W440" s="377"/>
      <c r="X440" s="377"/>
      <c r="Y440" s="377"/>
      <c r="Z440" s="377"/>
      <c r="AA440" s="377"/>
      <c r="AB440" s="377"/>
      <c r="AC440" s="377"/>
      <c r="AD440" s="377"/>
      <c r="AE440" s="377"/>
      <c r="AF440" s="377"/>
      <c r="AG440" s="377"/>
      <c r="AH440" s="377"/>
      <c r="AI440" s="377"/>
      <c r="AJ440" s="377"/>
      <c r="AK440" s="377">
        <f>G475+AL440-G440</f>
        <v>0</v>
      </c>
      <c r="AL440" s="377"/>
      <c r="AM440" s="378"/>
      <c r="AN440" s="379"/>
      <c r="AO440" s="380"/>
      <c r="AP440" s="378"/>
      <c r="AQ440" s="381"/>
      <c r="AR440" s="381"/>
      <c r="AS440" s="381"/>
    </row>
    <row r="441" spans="1:45" ht="17.25" thickBot="1" x14ac:dyDescent="0.3">
      <c r="A441" s="467"/>
      <c r="B441" s="355" t="s">
        <v>418</v>
      </c>
      <c r="C441" s="356"/>
      <c r="D441" s="356"/>
      <c r="E441" s="359"/>
      <c r="F441" s="359"/>
      <c r="G441" s="356"/>
      <c r="H441" s="396"/>
      <c r="I441" s="356"/>
      <c r="J441" s="356"/>
      <c r="K441" s="356"/>
      <c r="L441" s="356"/>
      <c r="M441" s="356"/>
      <c r="N441" s="356"/>
      <c r="O441" s="356"/>
      <c r="P441" s="356"/>
      <c r="Q441" s="356"/>
      <c r="R441" s="356"/>
      <c r="S441" s="356"/>
      <c r="T441" s="356"/>
      <c r="U441" s="356"/>
      <c r="V441" s="356"/>
      <c r="W441" s="356"/>
      <c r="X441" s="356"/>
      <c r="Y441" s="356"/>
      <c r="Z441" s="356"/>
      <c r="AA441" s="356"/>
      <c r="AB441" s="356"/>
      <c r="AC441" s="356"/>
      <c r="AD441" s="356"/>
      <c r="AE441" s="356"/>
      <c r="AF441" s="356"/>
      <c r="AG441" s="356"/>
      <c r="AH441" s="356"/>
      <c r="AI441" s="356"/>
      <c r="AJ441" s="356"/>
      <c r="AK441" s="356"/>
      <c r="AL441" s="356"/>
      <c r="AM441" s="356"/>
      <c r="AN441" s="356"/>
      <c r="AO441" s="356"/>
      <c r="AP441" s="356"/>
      <c r="AQ441" s="356"/>
      <c r="AR441" s="356"/>
      <c r="AS441" s="357"/>
    </row>
    <row r="442" spans="1:45" ht="17.25" thickBot="1" x14ac:dyDescent="0.3">
      <c r="A442" s="467"/>
      <c r="B442" s="354"/>
      <c r="C442" s="285">
        <v>1151653</v>
      </c>
      <c r="D442" s="358" t="s">
        <v>405</v>
      </c>
      <c r="E442" s="360"/>
      <c r="F442" s="361">
        <f>G477-AK442+AL442</f>
        <v>3</v>
      </c>
      <c r="G442" s="364">
        <v>3</v>
      </c>
      <c r="H442" s="397">
        <v>1</v>
      </c>
      <c r="I442" s="364">
        <v>3</v>
      </c>
      <c r="J442" s="364"/>
      <c r="K442" s="364">
        <v>1</v>
      </c>
      <c r="L442" s="218"/>
      <c r="M442" s="218"/>
      <c r="N442" s="218"/>
      <c r="O442" s="218"/>
      <c r="P442" s="352"/>
      <c r="Q442" s="352"/>
      <c r="R442" s="352"/>
      <c r="S442" s="352"/>
      <c r="T442" s="352"/>
      <c r="U442" s="352"/>
      <c r="V442" s="218"/>
      <c r="W442" s="218"/>
      <c r="X442" s="218"/>
      <c r="Y442" s="218"/>
      <c r="Z442" s="218"/>
      <c r="AA442" s="218"/>
      <c r="AB442" s="218"/>
      <c r="AC442" s="218"/>
      <c r="AD442" s="218"/>
      <c r="AE442" s="218"/>
      <c r="AF442" s="218"/>
      <c r="AG442" s="218"/>
      <c r="AH442" s="218"/>
      <c r="AI442" s="218"/>
      <c r="AJ442" s="218"/>
      <c r="AK442" s="218">
        <f>G477+AL442-G442</f>
        <v>0</v>
      </c>
      <c r="AL442" s="218"/>
      <c r="AM442" s="353"/>
      <c r="AN442" s="295"/>
      <c r="AO442" s="296"/>
      <c r="AP442" s="353"/>
      <c r="AQ442" s="290"/>
      <c r="AR442" s="290"/>
      <c r="AS442" s="290"/>
    </row>
    <row r="443" spans="1:45" ht="17.25" thickBot="1" x14ac:dyDescent="0.3">
      <c r="A443" s="467"/>
      <c r="B443" s="354"/>
      <c r="C443" s="285">
        <v>1151650</v>
      </c>
      <c r="D443" s="358" t="s">
        <v>406</v>
      </c>
      <c r="E443" s="360"/>
      <c r="F443" s="361">
        <f>G478-AK443+AL443</f>
        <v>2</v>
      </c>
      <c r="G443" s="364">
        <v>2</v>
      </c>
      <c r="H443" s="397">
        <v>2</v>
      </c>
      <c r="I443" s="364">
        <v>2</v>
      </c>
      <c r="J443" s="364"/>
      <c r="K443" s="364">
        <v>5</v>
      </c>
      <c r="L443" s="218"/>
      <c r="M443" s="218"/>
      <c r="N443" s="218"/>
      <c r="O443" s="218"/>
      <c r="P443" s="352"/>
      <c r="Q443" s="352"/>
      <c r="R443" s="352"/>
      <c r="S443" s="352"/>
      <c r="T443" s="352"/>
      <c r="U443" s="352"/>
      <c r="V443" s="218"/>
      <c r="W443" s="218"/>
      <c r="X443" s="218"/>
      <c r="Y443" s="218"/>
      <c r="Z443" s="218"/>
      <c r="AA443" s="218"/>
      <c r="AB443" s="218"/>
      <c r="AC443" s="218"/>
      <c r="AD443" s="218"/>
      <c r="AE443" s="218"/>
      <c r="AF443" s="218"/>
      <c r="AG443" s="218"/>
      <c r="AH443" s="218"/>
      <c r="AI443" s="218"/>
      <c r="AJ443" s="218"/>
      <c r="AK443" s="218">
        <f>G478+AL443-G443</f>
        <v>0</v>
      </c>
      <c r="AL443" s="218"/>
      <c r="AM443" s="353"/>
      <c r="AN443" s="295"/>
      <c r="AO443" s="296"/>
      <c r="AP443" s="353"/>
      <c r="AQ443" s="290"/>
      <c r="AR443" s="290"/>
      <c r="AS443" s="290"/>
    </row>
    <row r="444" spans="1:45" ht="17.25" thickBot="1" x14ac:dyDescent="0.3">
      <c r="A444" s="467"/>
      <c r="B444" s="354"/>
      <c r="C444" s="285">
        <v>1151649</v>
      </c>
      <c r="D444" s="358" t="s">
        <v>407</v>
      </c>
      <c r="E444" s="360"/>
      <c r="F444" s="361">
        <f>G479-AK444+AL444</f>
        <v>0</v>
      </c>
      <c r="G444" s="369">
        <v>0</v>
      </c>
      <c r="H444" s="369">
        <v>4</v>
      </c>
      <c r="I444" s="369">
        <v>0</v>
      </c>
      <c r="J444" s="369"/>
      <c r="K444" s="369">
        <v>2</v>
      </c>
      <c r="L444" s="218"/>
      <c r="M444" s="218"/>
      <c r="N444" s="218"/>
      <c r="O444" s="218"/>
      <c r="P444" s="352"/>
      <c r="Q444" s="352"/>
      <c r="R444" s="352"/>
      <c r="S444" s="352"/>
      <c r="T444" s="352"/>
      <c r="U444" s="352"/>
      <c r="V444" s="218"/>
      <c r="W444" s="218"/>
      <c r="X444" s="218"/>
      <c r="Y444" s="218"/>
      <c r="Z444" s="218"/>
      <c r="AA444" s="218"/>
      <c r="AB444" s="218">
        <v>2</v>
      </c>
      <c r="AC444" s="218"/>
      <c r="AD444" s="218">
        <v>2</v>
      </c>
      <c r="AE444" s="218"/>
      <c r="AF444" s="218"/>
      <c r="AG444" s="218"/>
      <c r="AH444" s="218"/>
      <c r="AI444" s="218"/>
      <c r="AJ444" s="218"/>
      <c r="AK444" s="218">
        <f>G479+AL444-G444</f>
        <v>0</v>
      </c>
      <c r="AL444" s="218"/>
      <c r="AM444" s="353"/>
      <c r="AN444" s="295"/>
      <c r="AO444" s="296"/>
      <c r="AP444" s="353"/>
      <c r="AQ444" s="290"/>
      <c r="AR444" s="290"/>
      <c r="AS444" s="290"/>
    </row>
    <row r="445" spans="1:45" ht="17.25" thickBot="1" x14ac:dyDescent="0.3">
      <c r="A445" s="467"/>
      <c r="B445" s="354"/>
      <c r="C445" s="285">
        <v>1151651</v>
      </c>
      <c r="D445" s="358" t="s">
        <v>408</v>
      </c>
      <c r="E445" s="360"/>
      <c r="F445" s="361">
        <f>G480-AK445+AL445</f>
        <v>2</v>
      </c>
      <c r="G445" s="369">
        <v>2</v>
      </c>
      <c r="H445" s="369">
        <v>1</v>
      </c>
      <c r="I445" s="369">
        <v>2</v>
      </c>
      <c r="J445" s="369"/>
      <c r="K445" s="369">
        <v>3</v>
      </c>
      <c r="L445" s="218"/>
      <c r="M445" s="218"/>
      <c r="N445" s="218"/>
      <c r="O445" s="218"/>
      <c r="P445" s="352"/>
      <c r="Q445" s="352"/>
      <c r="R445" s="352"/>
      <c r="S445" s="352"/>
      <c r="T445" s="352"/>
      <c r="U445" s="352"/>
      <c r="V445" s="218"/>
      <c r="W445" s="218"/>
      <c r="X445" s="218"/>
      <c r="Y445" s="218"/>
      <c r="Z445" s="218">
        <v>2</v>
      </c>
      <c r="AA445" s="218"/>
      <c r="AB445" s="218">
        <v>2</v>
      </c>
      <c r="AC445" s="218"/>
      <c r="AD445" s="218">
        <v>3</v>
      </c>
      <c r="AE445" s="218"/>
      <c r="AF445" s="218"/>
      <c r="AG445" s="218"/>
      <c r="AH445" s="218"/>
      <c r="AI445" s="218"/>
      <c r="AJ445" s="218"/>
      <c r="AK445" s="218">
        <f>G480+AL445-G445</f>
        <v>0</v>
      </c>
      <c r="AL445" s="218"/>
      <c r="AM445" s="353"/>
      <c r="AN445" s="295"/>
      <c r="AO445" s="296"/>
      <c r="AP445" s="353"/>
      <c r="AQ445" s="290"/>
      <c r="AR445" s="290"/>
      <c r="AS445" s="290"/>
    </row>
    <row r="446" spans="1:45" ht="17.25" thickBot="1" x14ac:dyDescent="0.3">
      <c r="A446" s="467"/>
      <c r="B446" s="354"/>
      <c r="C446" s="285">
        <v>1146029</v>
      </c>
      <c r="D446" s="358" t="s">
        <v>409</v>
      </c>
      <c r="E446" s="360"/>
      <c r="F446" s="361">
        <f>G481-AK446+AL446</f>
        <v>4</v>
      </c>
      <c r="G446" s="369">
        <v>4</v>
      </c>
      <c r="H446" s="369">
        <v>2</v>
      </c>
      <c r="I446" s="369">
        <v>4</v>
      </c>
      <c r="J446" s="369"/>
      <c r="K446" s="369">
        <v>1</v>
      </c>
      <c r="L446" s="218"/>
      <c r="M446" s="218"/>
      <c r="N446" s="218"/>
      <c r="O446" s="218"/>
      <c r="P446" s="352"/>
      <c r="Q446" s="352"/>
      <c r="R446" s="352"/>
      <c r="S446" s="352"/>
      <c r="T446" s="352"/>
      <c r="U446" s="352"/>
      <c r="V446" s="218"/>
      <c r="W446" s="218"/>
      <c r="X446" s="218"/>
      <c r="Y446" s="218"/>
      <c r="Z446" s="218"/>
      <c r="AA446" s="218"/>
      <c r="AB446" s="218"/>
      <c r="AC446" s="218">
        <v>2</v>
      </c>
      <c r="AD446" s="218"/>
      <c r="AE446" s="218"/>
      <c r="AF446" s="218"/>
      <c r="AG446" s="218"/>
      <c r="AH446" s="218"/>
      <c r="AI446" s="218"/>
      <c r="AJ446" s="218"/>
      <c r="AK446" s="218">
        <f>G481+AL446-G446</f>
        <v>0</v>
      </c>
      <c r="AL446" s="218"/>
      <c r="AM446" s="353"/>
      <c r="AN446" s="295"/>
      <c r="AO446" s="296"/>
      <c r="AP446" s="353"/>
      <c r="AQ446" s="290"/>
      <c r="AR446" s="290"/>
      <c r="AS446" s="290"/>
    </row>
    <row r="447" spans="1:45" ht="17.25" thickBot="1" x14ac:dyDescent="0.3">
      <c r="A447" s="467"/>
      <c r="B447" s="355" t="s">
        <v>410</v>
      </c>
      <c r="C447" s="356"/>
      <c r="D447" s="356"/>
      <c r="E447" s="359"/>
      <c r="F447" s="359"/>
      <c r="G447" s="356"/>
      <c r="H447" s="396"/>
      <c r="I447" s="356"/>
      <c r="J447" s="356"/>
      <c r="K447" s="356"/>
      <c r="L447" s="356"/>
      <c r="M447" s="356"/>
      <c r="N447" s="356"/>
      <c r="O447" s="356"/>
      <c r="P447" s="356"/>
      <c r="Q447" s="356"/>
      <c r="R447" s="356"/>
      <c r="S447" s="356"/>
      <c r="T447" s="356"/>
      <c r="U447" s="356"/>
      <c r="V447" s="356"/>
      <c r="W447" s="356"/>
      <c r="X447" s="356"/>
      <c r="Y447" s="356"/>
      <c r="Z447" s="356"/>
      <c r="AA447" s="356"/>
      <c r="AB447" s="356"/>
      <c r="AC447" s="356"/>
      <c r="AD447" s="356"/>
      <c r="AE447" s="356"/>
      <c r="AF447" s="356"/>
      <c r="AG447" s="356"/>
      <c r="AH447" s="356"/>
      <c r="AI447" s="356"/>
      <c r="AJ447" s="356"/>
      <c r="AK447" s="356"/>
      <c r="AL447" s="356"/>
      <c r="AM447" s="356"/>
      <c r="AN447" s="356"/>
      <c r="AO447" s="356"/>
      <c r="AP447" s="356"/>
      <c r="AQ447" s="356"/>
      <c r="AR447" s="356"/>
      <c r="AS447" s="357"/>
    </row>
    <row r="448" spans="1:45" ht="17.25" thickBot="1" x14ac:dyDescent="0.3">
      <c r="A448" s="467"/>
      <c r="B448" s="354"/>
      <c r="C448" s="285">
        <v>1699118</v>
      </c>
      <c r="D448" s="358" t="s">
        <v>411</v>
      </c>
      <c r="E448" s="360"/>
      <c r="F448" s="361">
        <f>G483-AK448+AL448</f>
        <v>1</v>
      </c>
      <c r="G448" s="369">
        <v>1</v>
      </c>
      <c r="H448" s="369">
        <v>1</v>
      </c>
      <c r="I448" s="369">
        <v>1</v>
      </c>
      <c r="J448" s="369"/>
      <c r="K448" s="369">
        <v>0</v>
      </c>
      <c r="L448" s="218"/>
      <c r="M448" s="218"/>
      <c r="N448" s="218"/>
      <c r="O448" s="218"/>
      <c r="P448" s="352"/>
      <c r="Q448" s="352"/>
      <c r="R448" s="352"/>
      <c r="S448" s="352"/>
      <c r="T448" s="352"/>
      <c r="U448" s="352"/>
      <c r="V448" s="218"/>
      <c r="W448" s="218"/>
      <c r="X448" s="218"/>
      <c r="Y448" s="218"/>
      <c r="Z448" s="218"/>
      <c r="AA448" s="218"/>
      <c r="AB448" s="218">
        <v>1</v>
      </c>
      <c r="AC448" s="218"/>
      <c r="AD448" s="218"/>
      <c r="AE448" s="218"/>
      <c r="AF448" s="218"/>
      <c r="AG448" s="218"/>
      <c r="AH448" s="218"/>
      <c r="AI448" s="218"/>
      <c r="AJ448" s="218"/>
      <c r="AK448" s="218">
        <f>G483+AL448-G448</f>
        <v>0</v>
      </c>
      <c r="AL448" s="218"/>
      <c r="AM448" s="353"/>
      <c r="AN448" s="295"/>
      <c r="AO448" s="296"/>
      <c r="AP448" s="353"/>
      <c r="AQ448" s="290"/>
      <c r="AR448" s="290"/>
      <c r="AS448" s="290"/>
    </row>
    <row r="449" spans="1:45" ht="17.25" thickBot="1" x14ac:dyDescent="0.3">
      <c r="A449" s="467"/>
      <c r="B449" s="354"/>
      <c r="C449" s="285">
        <v>1699119</v>
      </c>
      <c r="D449" s="358" t="s">
        <v>412</v>
      </c>
      <c r="E449" s="360"/>
      <c r="F449" s="361">
        <f>G484-AK449+AL449</f>
        <v>5</v>
      </c>
      <c r="G449" s="369">
        <v>5</v>
      </c>
      <c r="H449" s="369">
        <v>1</v>
      </c>
      <c r="I449" s="369">
        <v>5</v>
      </c>
      <c r="J449" s="369"/>
      <c r="K449" s="369">
        <v>1</v>
      </c>
      <c r="L449" s="218"/>
      <c r="M449" s="218"/>
      <c r="N449" s="218"/>
      <c r="O449" s="218"/>
      <c r="P449" s="352"/>
      <c r="Q449" s="352"/>
      <c r="R449" s="352"/>
      <c r="S449" s="352"/>
      <c r="T449" s="352"/>
      <c r="U449" s="352"/>
      <c r="V449" s="218"/>
      <c r="W449" s="218"/>
      <c r="X449" s="218"/>
      <c r="Y449" s="218"/>
      <c r="Z449" s="218"/>
      <c r="AA449" s="218"/>
      <c r="AB449" s="218">
        <v>2</v>
      </c>
      <c r="AC449" s="218"/>
      <c r="AD449" s="218"/>
      <c r="AE449" s="218"/>
      <c r="AF449" s="218"/>
      <c r="AG449" s="218"/>
      <c r="AH449" s="218"/>
      <c r="AI449" s="218"/>
      <c r="AJ449" s="218"/>
      <c r="AK449" s="218">
        <f>G484+AL449-G449</f>
        <v>0</v>
      </c>
      <c r="AL449" s="218"/>
      <c r="AM449" s="353"/>
      <c r="AN449" s="295"/>
      <c r="AO449" s="296"/>
      <c r="AP449" s="353"/>
      <c r="AQ449" s="290"/>
      <c r="AR449" s="290"/>
      <c r="AS449" s="290"/>
    </row>
    <row r="450" spans="1:45" ht="17.25" thickBot="1" x14ac:dyDescent="0.3">
      <c r="A450" s="467"/>
      <c r="B450" s="354"/>
      <c r="C450" s="285">
        <v>1699130</v>
      </c>
      <c r="D450" s="358" t="s">
        <v>413</v>
      </c>
      <c r="E450" s="360"/>
      <c r="F450" s="361">
        <f>G485-AK450+AL450</f>
        <v>0</v>
      </c>
      <c r="G450" s="369">
        <v>0</v>
      </c>
      <c r="H450" s="369">
        <v>4</v>
      </c>
      <c r="I450" s="369">
        <v>0</v>
      </c>
      <c r="J450" s="369"/>
      <c r="K450" s="369">
        <v>0</v>
      </c>
      <c r="L450" s="218"/>
      <c r="M450" s="218"/>
      <c r="N450" s="218"/>
      <c r="O450" s="218"/>
      <c r="P450" s="352"/>
      <c r="Q450" s="352"/>
      <c r="R450" s="352"/>
      <c r="S450" s="352"/>
      <c r="T450" s="352"/>
      <c r="U450" s="352"/>
      <c r="V450" s="218"/>
      <c r="W450" s="218"/>
      <c r="X450" s="218"/>
      <c r="Y450" s="218"/>
      <c r="Z450" s="218"/>
      <c r="AA450" s="218">
        <v>2</v>
      </c>
      <c r="AB450" s="218"/>
      <c r="AC450" s="218"/>
      <c r="AD450" s="218">
        <v>4</v>
      </c>
      <c r="AE450" s="218"/>
      <c r="AF450" s="218"/>
      <c r="AG450" s="218"/>
      <c r="AH450" s="218"/>
      <c r="AI450" s="218"/>
      <c r="AJ450" s="218"/>
      <c r="AK450" s="218">
        <f>G485+AL450-G450</f>
        <v>0</v>
      </c>
      <c r="AL450" s="218"/>
      <c r="AM450" s="353"/>
      <c r="AN450" s="295"/>
      <c r="AO450" s="296"/>
      <c r="AP450" s="353"/>
      <c r="AQ450" s="290"/>
      <c r="AR450" s="290"/>
      <c r="AS450" s="290"/>
    </row>
    <row r="451" spans="1:45" ht="17.25" thickBot="1" x14ac:dyDescent="0.3">
      <c r="A451" s="467"/>
      <c r="B451" s="354"/>
      <c r="C451" s="285">
        <v>1699131</v>
      </c>
      <c r="D451" s="358" t="s">
        <v>414</v>
      </c>
      <c r="E451" s="360"/>
      <c r="F451" s="361">
        <f>G486-AK451+AL451</f>
        <v>5</v>
      </c>
      <c r="G451" s="369">
        <v>5</v>
      </c>
      <c r="H451" s="397">
        <v>3</v>
      </c>
      <c r="I451" s="369">
        <v>5</v>
      </c>
      <c r="J451" s="369"/>
      <c r="K451" s="364">
        <v>0</v>
      </c>
      <c r="L451" s="218"/>
      <c r="M451" s="218"/>
      <c r="N451" s="218"/>
      <c r="O451" s="218"/>
      <c r="P451" s="352"/>
      <c r="Q451" s="352"/>
      <c r="R451" s="352"/>
      <c r="S451" s="352"/>
      <c r="T451" s="352"/>
      <c r="U451" s="352"/>
      <c r="V451" s="218"/>
      <c r="W451" s="218"/>
      <c r="X451" s="218"/>
      <c r="Y451" s="218"/>
      <c r="Z451" s="218"/>
      <c r="AA451" s="218"/>
      <c r="AB451" s="218">
        <v>1</v>
      </c>
      <c r="AC451" s="218"/>
      <c r="AD451" s="218"/>
      <c r="AE451" s="218"/>
      <c r="AF451" s="218"/>
      <c r="AG451" s="218"/>
      <c r="AH451" s="218"/>
      <c r="AI451" s="218"/>
      <c r="AJ451" s="218"/>
      <c r="AK451" s="218">
        <f>G486+AL451-G451</f>
        <v>0</v>
      </c>
      <c r="AL451" s="218"/>
      <c r="AM451" s="353"/>
      <c r="AN451" s="295"/>
      <c r="AO451" s="296"/>
      <c r="AP451" s="353"/>
      <c r="AQ451" s="290"/>
      <c r="AR451" s="290"/>
      <c r="AS451" s="290"/>
    </row>
    <row r="452" spans="1:45" ht="17.25" thickBot="1" x14ac:dyDescent="0.3">
      <c r="A452" s="468"/>
      <c r="B452" s="354"/>
      <c r="C452" s="285">
        <v>1699132</v>
      </c>
      <c r="D452" s="358" t="s">
        <v>415</v>
      </c>
      <c r="E452" s="285"/>
      <c r="F452" s="362">
        <f>G487-AK452+AL452</f>
        <v>3</v>
      </c>
      <c r="G452" s="364">
        <v>3</v>
      </c>
      <c r="H452" s="397">
        <v>3</v>
      </c>
      <c r="I452" s="364">
        <v>3</v>
      </c>
      <c r="J452" s="364"/>
      <c r="K452" s="364">
        <v>0</v>
      </c>
      <c r="L452" s="218"/>
      <c r="M452" s="218"/>
      <c r="N452" s="218"/>
      <c r="O452" s="218"/>
      <c r="P452" s="352"/>
      <c r="Q452" s="352"/>
      <c r="R452" s="352"/>
      <c r="S452" s="352"/>
      <c r="T452" s="352"/>
      <c r="U452" s="352"/>
      <c r="V452" s="218"/>
      <c r="W452" s="218"/>
      <c r="X452" s="218"/>
      <c r="Y452" s="218"/>
      <c r="Z452" s="218"/>
      <c r="AA452" s="218"/>
      <c r="AB452" s="218"/>
      <c r="AC452" s="218"/>
      <c r="AD452" s="218"/>
      <c r="AE452" s="218"/>
      <c r="AF452" s="218"/>
      <c r="AG452" s="218"/>
      <c r="AH452" s="218"/>
      <c r="AI452" s="218"/>
      <c r="AJ452" s="218"/>
      <c r="AK452" s="218">
        <f>G487+AL452-G452</f>
        <v>0</v>
      </c>
      <c r="AL452" s="218"/>
      <c r="AM452" s="353"/>
      <c r="AN452" s="295"/>
      <c r="AO452" s="296"/>
      <c r="AP452" s="353"/>
      <c r="AQ452" s="290"/>
      <c r="AR452" s="290"/>
      <c r="AS452" s="290"/>
    </row>
    <row r="453" spans="1:45" x14ac:dyDescent="0.25">
      <c r="AL453" s="290"/>
      <c r="AM453" s="290"/>
      <c r="AN453" s="290"/>
      <c r="AO453" s="290"/>
    </row>
    <row r="454" spans="1:45" ht="14.25" thickBot="1" x14ac:dyDescent="0.3">
      <c r="B454" s="338" t="s">
        <v>18</v>
      </c>
      <c r="C454" s="339">
        <v>45775</v>
      </c>
      <c r="AA454" s="290">
        <v>0</v>
      </c>
      <c r="AL454" s="290"/>
      <c r="AM454" s="290"/>
      <c r="AN454" s="290"/>
      <c r="AO454" s="290"/>
      <c r="AP454" s="290"/>
    </row>
    <row r="455" spans="1:45" ht="41.25" thickBot="1" x14ac:dyDescent="0.3">
      <c r="B455" s="283" t="s">
        <v>0</v>
      </c>
      <c r="C455" s="284" t="s">
        <v>1</v>
      </c>
      <c r="D455" s="284" t="s">
        <v>2</v>
      </c>
      <c r="E455" s="284" t="s">
        <v>3</v>
      </c>
      <c r="F455" s="4" t="s">
        <v>318</v>
      </c>
      <c r="G455" s="351" t="s">
        <v>545</v>
      </c>
      <c r="H455" s="382" t="s">
        <v>460</v>
      </c>
      <c r="I455" s="234" t="s">
        <v>546</v>
      </c>
      <c r="J455" s="234"/>
      <c r="K455" s="258" t="s">
        <v>538</v>
      </c>
      <c r="L455" s="258" t="s">
        <v>328</v>
      </c>
      <c r="M455" s="258" t="s">
        <v>327</v>
      </c>
      <c r="N455" s="234" t="s">
        <v>389</v>
      </c>
      <c r="O455" s="240" t="s">
        <v>130</v>
      </c>
      <c r="P455" s="243" t="s">
        <v>303</v>
      </c>
      <c r="Q455" s="244" t="s">
        <v>304</v>
      </c>
      <c r="R455" s="244" t="s">
        <v>314</v>
      </c>
      <c r="S455" s="245" t="s">
        <v>338</v>
      </c>
      <c r="T455" s="245" t="s">
        <v>345</v>
      </c>
      <c r="U455" s="245" t="s">
        <v>361</v>
      </c>
      <c r="V455" s="245" t="s">
        <v>387</v>
      </c>
      <c r="W455" s="245" t="s">
        <v>421</v>
      </c>
      <c r="X455" s="245" t="s">
        <v>452</v>
      </c>
      <c r="Y455" s="245" t="s">
        <v>463</v>
      </c>
      <c r="Z455" s="245" t="s">
        <v>481</v>
      </c>
      <c r="AA455" s="245" t="s">
        <v>498</v>
      </c>
      <c r="AB455" s="245" t="s">
        <v>303</v>
      </c>
      <c r="AC455" s="245" t="s">
        <v>304</v>
      </c>
      <c r="AD455" s="245" t="s">
        <v>314</v>
      </c>
      <c r="AE455" s="245" t="s">
        <v>338</v>
      </c>
      <c r="AF455" s="245"/>
      <c r="AG455" s="245"/>
      <c r="AH455" s="245"/>
      <c r="AI455" s="245"/>
      <c r="AJ455" s="245" t="s">
        <v>360</v>
      </c>
      <c r="AK455" s="246" t="s">
        <v>268</v>
      </c>
      <c r="AL455" s="247" t="s">
        <v>269</v>
      </c>
      <c r="AM455" s="291" t="s">
        <v>288</v>
      </c>
      <c r="AN455" s="292" t="s">
        <v>289</v>
      </c>
      <c r="AO455" s="292" t="s">
        <v>287</v>
      </c>
      <c r="AP455" s="293" t="s">
        <v>290</v>
      </c>
      <c r="AQ455" s="290" t="s">
        <v>306</v>
      </c>
      <c r="AR455" s="290" t="s">
        <v>310</v>
      </c>
      <c r="AS455" s="290" t="s">
        <v>311</v>
      </c>
    </row>
    <row r="456" spans="1:45" ht="17.25" thickBot="1" x14ac:dyDescent="0.3">
      <c r="A456" s="463" t="s">
        <v>416</v>
      </c>
      <c r="B456" s="285">
        <v>273664</v>
      </c>
      <c r="C456" s="286">
        <v>1135749</v>
      </c>
      <c r="D456" s="286" t="s">
        <v>7</v>
      </c>
      <c r="E456" s="286">
        <v>6060050026</v>
      </c>
      <c r="F456" s="253">
        <f>G491-AK456+AL456</f>
        <v>9</v>
      </c>
      <c r="G456" s="235">
        <v>9</v>
      </c>
      <c r="H456" s="394">
        <v>5</v>
      </c>
      <c r="I456" s="232">
        <v>9</v>
      </c>
      <c r="J456" s="232"/>
      <c r="K456" s="232">
        <v>3</v>
      </c>
      <c r="L456" s="232">
        <f>IF(K490=K455,L491+AK456,K456)</f>
        <v>3</v>
      </c>
      <c r="M456" s="232">
        <f>IF(K490=K455,0,L491+AK456-K456)</f>
        <v>0</v>
      </c>
      <c r="N456" s="267">
        <v>5</v>
      </c>
      <c r="O456" s="241">
        <f>N456-G456</f>
        <v>-4</v>
      </c>
      <c r="P456" s="277">
        <v>4</v>
      </c>
      <c r="Q456" s="278">
        <v>4</v>
      </c>
      <c r="R456" s="279"/>
      <c r="S456" s="279">
        <v>3</v>
      </c>
      <c r="T456" s="279">
        <v>4</v>
      </c>
      <c r="U456" s="279">
        <v>2</v>
      </c>
      <c r="V456" s="279"/>
      <c r="W456" s="279">
        <f>2+3</f>
        <v>5</v>
      </c>
      <c r="X456" s="241"/>
      <c r="Y456" s="241"/>
      <c r="Z456" s="241"/>
      <c r="AA456" s="241">
        <v>4</v>
      </c>
      <c r="AB456" s="241">
        <v>5</v>
      </c>
      <c r="AC456" s="241"/>
      <c r="AD456" s="241">
        <v>6</v>
      </c>
      <c r="AE456" s="241"/>
      <c r="AF456" s="241"/>
      <c r="AG456" s="241"/>
      <c r="AH456" s="241"/>
      <c r="AI456" s="241"/>
      <c r="AJ456" s="241">
        <f>N456-V456</f>
        <v>5</v>
      </c>
      <c r="AK456" s="235">
        <f>G491+AL456-G456</f>
        <v>0</v>
      </c>
      <c r="AL456" s="350"/>
      <c r="AM456" s="294">
        <v>1.5</v>
      </c>
      <c r="AN456" s="295">
        <v>4</v>
      </c>
      <c r="AO456" s="296">
        <f>G456/(AN456)</f>
        <v>2.25</v>
      </c>
      <c r="AP456" s="297">
        <f>AN456*6</f>
        <v>24</v>
      </c>
      <c r="AQ456" s="290">
        <f>G456+K456</f>
        <v>12</v>
      </c>
      <c r="AR456" s="290">
        <f>IF(G456&lt;G491,(G491-G456+K491-K456),K491-K456)</f>
        <v>0</v>
      </c>
      <c r="AS456" s="290">
        <f>21-8</f>
        <v>13</v>
      </c>
    </row>
    <row r="457" spans="1:45" ht="17.25" thickBot="1" x14ac:dyDescent="0.3">
      <c r="A457" s="464"/>
      <c r="B457" s="285">
        <v>273672</v>
      </c>
      <c r="C457" s="286">
        <v>1135750</v>
      </c>
      <c r="D457" s="286" t="s">
        <v>9</v>
      </c>
      <c r="E457" s="287">
        <v>204000000000</v>
      </c>
      <c r="F457" s="253">
        <f>G492-AK457+AL457</f>
        <v>13</v>
      </c>
      <c r="G457" s="235">
        <v>13</v>
      </c>
      <c r="H457" s="394">
        <v>16</v>
      </c>
      <c r="I457" s="232">
        <v>13</v>
      </c>
      <c r="J457" s="232"/>
      <c r="K457" s="232">
        <v>6</v>
      </c>
      <c r="L457" s="232">
        <f>IF(K490=K455,L492+AK457,K457)</f>
        <v>7</v>
      </c>
      <c r="M457" s="232">
        <f>IF(K490=K455,0,L492+AK457-K457)</f>
        <v>0</v>
      </c>
      <c r="N457" s="267">
        <v>10</v>
      </c>
      <c r="O457" s="241">
        <f>N457-G457</f>
        <v>-3</v>
      </c>
      <c r="P457" s="277">
        <v>13</v>
      </c>
      <c r="Q457" s="278">
        <v>2</v>
      </c>
      <c r="R457" s="279">
        <v>6</v>
      </c>
      <c r="S457" s="279">
        <v>6</v>
      </c>
      <c r="T457" s="279">
        <v>10</v>
      </c>
      <c r="U457" s="279">
        <v>4</v>
      </c>
      <c r="V457" s="279">
        <v>6</v>
      </c>
      <c r="W457" s="279">
        <v>16</v>
      </c>
      <c r="X457" s="241"/>
      <c r="Y457" s="241">
        <v>6</v>
      </c>
      <c r="Z457" s="241">
        <v>4</v>
      </c>
      <c r="AA457" s="241">
        <v>6</v>
      </c>
      <c r="AB457" s="241">
        <v>14</v>
      </c>
      <c r="AC457" s="241"/>
      <c r="AD457" s="241">
        <v>12</v>
      </c>
      <c r="AE457" s="241">
        <v>6</v>
      </c>
      <c r="AF457" s="241"/>
      <c r="AG457" s="241"/>
      <c r="AH457" s="241"/>
      <c r="AI457" s="241"/>
      <c r="AJ457" s="241">
        <f>N457-V457</f>
        <v>4</v>
      </c>
      <c r="AK457" s="235">
        <f>G492+AL457-G457</f>
        <v>0</v>
      </c>
      <c r="AL457" s="236"/>
      <c r="AM457" s="298">
        <v>4.2</v>
      </c>
      <c r="AN457" s="295">
        <v>9</v>
      </c>
      <c r="AO457" s="296">
        <f>G457/(AN457)</f>
        <v>1.4444444444444444</v>
      </c>
      <c r="AP457" s="297">
        <f>AN457*6</f>
        <v>54</v>
      </c>
      <c r="AQ457" s="290">
        <f>G457+K457</f>
        <v>19</v>
      </c>
      <c r="AR457" s="290">
        <f>IF(G457&lt;G492,(G492-G457+K492-K457),K492-K457)</f>
        <v>1</v>
      </c>
      <c r="AS457" s="290">
        <f>21-8</f>
        <v>13</v>
      </c>
    </row>
    <row r="458" spans="1:45" ht="17.25" thickBot="1" x14ac:dyDescent="0.3">
      <c r="A458" s="464"/>
      <c r="B458" s="285">
        <v>273702</v>
      </c>
      <c r="C458" s="286">
        <v>1135753</v>
      </c>
      <c r="D458" s="286" t="s">
        <v>10</v>
      </c>
      <c r="E458" s="287">
        <v>301000000000</v>
      </c>
      <c r="F458" s="253">
        <f>G493-AK458+AL458</f>
        <v>3</v>
      </c>
      <c r="G458" s="235">
        <v>3</v>
      </c>
      <c r="H458" s="394">
        <v>1</v>
      </c>
      <c r="I458" s="232">
        <v>3</v>
      </c>
      <c r="J458" s="232"/>
      <c r="K458" s="232">
        <v>2</v>
      </c>
      <c r="L458" s="232">
        <f>IF(K490=K455,L493+AK458,K458)</f>
        <v>2</v>
      </c>
      <c r="M458" s="232">
        <f>IF(K490=K455,0,L493+AK458-K458)</f>
        <v>0</v>
      </c>
      <c r="N458" s="232">
        <v>2</v>
      </c>
      <c r="O458" s="241">
        <f>N458-G458</f>
        <v>-1</v>
      </c>
      <c r="P458" s="277"/>
      <c r="Q458" s="278"/>
      <c r="R458" s="279"/>
      <c r="S458" s="279"/>
      <c r="T458" s="279"/>
      <c r="U458" s="279"/>
      <c r="V458" s="279"/>
      <c r="W458" s="279"/>
      <c r="X458" s="241"/>
      <c r="Y458" s="241"/>
      <c r="Z458" s="241"/>
      <c r="AA458" s="241"/>
      <c r="AB458" s="241">
        <v>2</v>
      </c>
      <c r="AC458" s="241"/>
      <c r="AD458" s="241"/>
      <c r="AE458" s="241"/>
      <c r="AF458" s="241"/>
      <c r="AG458" s="241"/>
      <c r="AH458" s="241"/>
      <c r="AI458" s="241"/>
      <c r="AJ458" s="241">
        <f>N458-V458</f>
        <v>2</v>
      </c>
      <c r="AK458" s="235">
        <f>G493+AL458-G458</f>
        <v>0</v>
      </c>
      <c r="AL458" s="236"/>
      <c r="AM458" s="294">
        <f>4/12</f>
        <v>0.33333333333333331</v>
      </c>
      <c r="AN458" s="295">
        <v>2</v>
      </c>
      <c r="AO458" s="296">
        <f>G458/(AN458)</f>
        <v>1.5</v>
      </c>
      <c r="AP458" s="297">
        <f>AN458*6</f>
        <v>12</v>
      </c>
      <c r="AQ458" s="290">
        <f>G458+K458</f>
        <v>5</v>
      </c>
      <c r="AR458" s="290">
        <f>IF(G458&lt;G493,(G493-G458+K493-K458),K493-K458)</f>
        <v>0</v>
      </c>
      <c r="AS458" s="290">
        <f>21-8</f>
        <v>13</v>
      </c>
    </row>
    <row r="459" spans="1:45" ht="17.25" thickBot="1" x14ac:dyDescent="0.3">
      <c r="A459" s="464"/>
      <c r="B459" s="285">
        <v>273698</v>
      </c>
      <c r="C459" s="286">
        <v>1135752</v>
      </c>
      <c r="D459" s="286" t="s">
        <v>11</v>
      </c>
      <c r="E459" s="287">
        <v>701000000000</v>
      </c>
      <c r="F459" s="253">
        <f>G494-AK459+AL459</f>
        <v>1</v>
      </c>
      <c r="G459" s="235">
        <v>1</v>
      </c>
      <c r="H459" s="394">
        <v>2</v>
      </c>
      <c r="I459" s="232">
        <v>1</v>
      </c>
      <c r="J459" s="232"/>
      <c r="K459" s="232">
        <v>0</v>
      </c>
      <c r="L459" s="232">
        <f>IF(K490=K455,L494+AK459,K459)</f>
        <v>0</v>
      </c>
      <c r="M459" s="232">
        <f>IF(K490=K455,0,L494+AK459-K459)</f>
        <v>0</v>
      </c>
      <c r="N459" s="232">
        <v>3</v>
      </c>
      <c r="O459" s="241">
        <f>N459-G459</f>
        <v>2</v>
      </c>
      <c r="P459" s="277">
        <v>2</v>
      </c>
      <c r="Q459" s="278"/>
      <c r="R459" s="279"/>
      <c r="S459" s="279"/>
      <c r="T459" s="279"/>
      <c r="U459" s="279"/>
      <c r="V459" s="279"/>
      <c r="W459" s="279">
        <v>1</v>
      </c>
      <c r="X459" s="241"/>
      <c r="Y459" s="241"/>
      <c r="Z459" s="241"/>
      <c r="AA459" s="241"/>
      <c r="AB459" s="241">
        <v>2</v>
      </c>
      <c r="AC459" s="241"/>
      <c r="AD459" s="241">
        <v>2</v>
      </c>
      <c r="AE459" s="241"/>
      <c r="AF459" s="241"/>
      <c r="AG459" s="241"/>
      <c r="AH459" s="241"/>
      <c r="AI459" s="241"/>
      <c r="AJ459" s="241">
        <f>N459-V459</f>
        <v>3</v>
      </c>
      <c r="AK459" s="235">
        <f>G494+AL459-G459</f>
        <v>0</v>
      </c>
      <c r="AL459" s="236"/>
      <c r="AM459" s="294">
        <f>4/12</f>
        <v>0.33333333333333331</v>
      </c>
      <c r="AN459" s="295">
        <v>2</v>
      </c>
      <c r="AO459" s="296">
        <f>G459/(AN459)</f>
        <v>0.5</v>
      </c>
      <c r="AP459" s="297">
        <f>AN459*6</f>
        <v>12</v>
      </c>
      <c r="AQ459" s="290">
        <f>G459+K459</f>
        <v>1</v>
      </c>
      <c r="AR459" s="290">
        <f>IF(G459&lt;G494,(G494-G459+K494-K459),K494-K459)</f>
        <v>0</v>
      </c>
      <c r="AS459" s="290">
        <f>21-8</f>
        <v>13</v>
      </c>
    </row>
    <row r="460" spans="1:45" ht="17.25" thickBot="1" x14ac:dyDescent="0.3">
      <c r="A460" s="465"/>
      <c r="B460" s="285">
        <v>273680</v>
      </c>
      <c r="C460" s="286">
        <v>1135751</v>
      </c>
      <c r="D460" s="286" t="s">
        <v>12</v>
      </c>
      <c r="E460" s="286" t="s">
        <v>13</v>
      </c>
      <c r="F460" s="254">
        <f>G495-AK460+AL460</f>
        <v>15</v>
      </c>
      <c r="G460" s="237">
        <v>15</v>
      </c>
      <c r="H460" s="395">
        <v>8</v>
      </c>
      <c r="I460" s="238">
        <v>15</v>
      </c>
      <c r="J460" s="238"/>
      <c r="K460" s="238">
        <v>0</v>
      </c>
      <c r="L460" s="238">
        <f>IF(K490=K455,L495+AK460,K460)</f>
        <v>0</v>
      </c>
      <c r="M460" s="238">
        <f>IF(K490=K455,0,L495+AK460-K460)</f>
        <v>0</v>
      </c>
      <c r="N460" s="238">
        <v>9</v>
      </c>
      <c r="O460" s="242">
        <f>N460-G460</f>
        <v>-6</v>
      </c>
      <c r="P460" s="280"/>
      <c r="Q460" s="281"/>
      <c r="R460" s="282"/>
      <c r="S460" s="282"/>
      <c r="T460" s="282">
        <v>11</v>
      </c>
      <c r="U460" s="282"/>
      <c r="V460" s="282"/>
      <c r="W460" s="282">
        <v>9</v>
      </c>
      <c r="X460" s="242"/>
      <c r="Y460" s="242">
        <v>9</v>
      </c>
      <c r="Z460" s="242"/>
      <c r="AA460" s="242"/>
      <c r="AB460" s="242">
        <v>5</v>
      </c>
      <c r="AC460" s="242"/>
      <c r="AD460" s="242">
        <v>5</v>
      </c>
      <c r="AE460" s="242"/>
      <c r="AF460" s="242"/>
      <c r="AG460" s="242"/>
      <c r="AH460" s="242"/>
      <c r="AI460" s="242"/>
      <c r="AJ460" s="242">
        <f>N460-V460</f>
        <v>9</v>
      </c>
      <c r="AK460" s="235">
        <f>G495+AL460-G460</f>
        <v>0</v>
      </c>
      <c r="AL460" s="239"/>
      <c r="AM460" s="299">
        <f>30/12</f>
        <v>2.5</v>
      </c>
      <c r="AN460" s="300">
        <f>AM460*2</f>
        <v>5</v>
      </c>
      <c r="AO460" s="301">
        <f>G460/(AN460)</f>
        <v>3</v>
      </c>
      <c r="AP460" s="302">
        <f>AN460*6</f>
        <v>30</v>
      </c>
      <c r="AQ460" s="290">
        <f>G460+K460</f>
        <v>15</v>
      </c>
      <c r="AR460" s="290">
        <f>IF(G460&lt;G495,(G495-G460+K495-K460),K495-K460)</f>
        <v>0</v>
      </c>
      <c r="AS460" s="290">
        <f>21-8</f>
        <v>13</v>
      </c>
    </row>
    <row r="461" spans="1:45" ht="17.25" thickBot="1" x14ac:dyDescent="0.3">
      <c r="A461" s="466" t="s">
        <v>417</v>
      </c>
      <c r="B461" s="355" t="s">
        <v>129</v>
      </c>
      <c r="C461" s="356"/>
      <c r="D461" s="356"/>
      <c r="E461" s="359"/>
      <c r="F461" s="359"/>
      <c r="G461" s="356"/>
      <c r="H461" s="396"/>
      <c r="I461" s="356"/>
      <c r="J461" s="356"/>
      <c r="K461" s="356"/>
      <c r="L461" s="356"/>
      <c r="M461" s="356"/>
      <c r="N461" s="356"/>
      <c r="O461" s="356"/>
      <c r="P461" s="356"/>
      <c r="Q461" s="356"/>
      <c r="R461" s="356"/>
      <c r="S461" s="356"/>
      <c r="T461" s="356"/>
      <c r="U461" s="356"/>
      <c r="V461" s="356"/>
      <c r="W461" s="356"/>
      <c r="X461" s="356"/>
      <c r="Y461" s="356"/>
      <c r="Z461" s="356"/>
      <c r="AA461" s="356"/>
      <c r="AB461" s="356"/>
      <c r="AC461" s="356"/>
      <c r="AD461" s="356"/>
      <c r="AE461" s="356"/>
      <c r="AF461" s="356"/>
      <c r="AG461" s="356"/>
      <c r="AH461" s="356"/>
      <c r="AI461" s="356"/>
      <c r="AJ461" s="356"/>
      <c r="AK461" s="356"/>
      <c r="AL461" s="367"/>
      <c r="AM461" s="356"/>
      <c r="AN461" s="356"/>
      <c r="AO461" s="356"/>
      <c r="AP461" s="356"/>
      <c r="AQ461" s="356"/>
      <c r="AR461" s="356"/>
      <c r="AS461" s="357"/>
    </row>
    <row r="462" spans="1:45" ht="17.25" thickBot="1" x14ac:dyDescent="0.3">
      <c r="A462" s="467"/>
      <c r="B462" s="354"/>
      <c r="C462" s="354">
        <v>1140327</v>
      </c>
      <c r="D462" s="358" t="s">
        <v>394</v>
      </c>
      <c r="E462" s="360"/>
      <c r="F462" s="361">
        <f>G497-AK462+AL462</f>
        <v>10</v>
      </c>
      <c r="G462" s="218">
        <v>10</v>
      </c>
      <c r="H462" s="397">
        <v>23</v>
      </c>
      <c r="I462" s="218">
        <v>10</v>
      </c>
      <c r="J462" s="218"/>
      <c r="K462" s="218">
        <v>8</v>
      </c>
      <c r="L462" s="218">
        <f>IF(K490=K455,L497+AK462,K462)</f>
        <v>11</v>
      </c>
      <c r="M462" s="218">
        <f>IF(K490=K455,0,L497+AK462-K462)</f>
        <v>0</v>
      </c>
      <c r="N462" s="218"/>
      <c r="O462" s="218"/>
      <c r="P462" s="352"/>
      <c r="Q462" s="352"/>
      <c r="R462" s="352"/>
      <c r="S462" s="352"/>
      <c r="T462" s="352"/>
      <c r="U462" s="352"/>
      <c r="V462" s="218"/>
      <c r="W462" s="218"/>
      <c r="X462" s="218">
        <v>4</v>
      </c>
      <c r="Y462" s="218">
        <v>9</v>
      </c>
      <c r="Z462" s="218">
        <v>14</v>
      </c>
      <c r="AA462" s="218">
        <v>8</v>
      </c>
      <c r="AB462" s="218">
        <f>14+6</f>
        <v>20</v>
      </c>
      <c r="AC462" s="218">
        <v>10</v>
      </c>
      <c r="AD462" s="218">
        <v>12</v>
      </c>
      <c r="AE462" s="218">
        <v>17</v>
      </c>
      <c r="AF462" s="218"/>
      <c r="AG462" s="218"/>
      <c r="AH462" s="218"/>
      <c r="AI462" s="218"/>
      <c r="AJ462" s="242">
        <f>N462-V462</f>
        <v>0</v>
      </c>
      <c r="AK462" s="274">
        <f>G497+AL462-G462</f>
        <v>6</v>
      </c>
      <c r="AL462" s="232"/>
      <c r="AM462" s="353"/>
      <c r="AN462" s="295"/>
      <c r="AO462" s="296"/>
      <c r="AP462" s="353"/>
      <c r="AQ462" s="290"/>
      <c r="AR462" s="290"/>
      <c r="AS462" s="290"/>
    </row>
    <row r="463" spans="1:45" ht="17.25" thickBot="1" x14ac:dyDescent="0.3">
      <c r="A463" s="467"/>
      <c r="B463" s="354"/>
      <c r="C463" s="285">
        <v>1151231</v>
      </c>
      <c r="D463" s="358" t="s">
        <v>395</v>
      </c>
      <c r="E463" s="360"/>
      <c r="F463" s="361">
        <f>G498-AK463+AL463</f>
        <v>11</v>
      </c>
      <c r="G463" s="369">
        <v>11</v>
      </c>
      <c r="H463" s="397">
        <v>13</v>
      </c>
      <c r="I463" s="218">
        <v>11</v>
      </c>
      <c r="J463" s="218"/>
      <c r="K463" s="218">
        <v>4</v>
      </c>
      <c r="L463" s="218">
        <f>IF(K490=K455,L498+AK463,K463)</f>
        <v>4</v>
      </c>
      <c r="M463" s="218">
        <f>IF(K490=K455,0,L498+AK463-K463)</f>
        <v>0</v>
      </c>
      <c r="N463" s="218"/>
      <c r="O463" s="218"/>
      <c r="P463" s="352"/>
      <c r="Q463" s="352"/>
      <c r="R463" s="352"/>
      <c r="S463" s="352"/>
      <c r="T463" s="352"/>
      <c r="U463" s="352"/>
      <c r="V463" s="218"/>
      <c r="W463" s="218"/>
      <c r="X463" s="218">
        <v>3</v>
      </c>
      <c r="Y463" s="218">
        <v>8</v>
      </c>
      <c r="Z463" s="218">
        <v>6</v>
      </c>
      <c r="AA463" s="218"/>
      <c r="AB463" s="218">
        <v>4</v>
      </c>
      <c r="AC463" s="218">
        <v>4</v>
      </c>
      <c r="AD463" s="218">
        <v>4</v>
      </c>
      <c r="AE463" s="218"/>
      <c r="AF463" s="218"/>
      <c r="AG463" s="218"/>
      <c r="AH463" s="218"/>
      <c r="AI463" s="218"/>
      <c r="AJ463" s="242">
        <f>N463-V463</f>
        <v>0</v>
      </c>
      <c r="AK463" s="274">
        <f>G498+AL463-G463</f>
        <v>0</v>
      </c>
      <c r="AL463" s="232"/>
      <c r="AM463" s="353"/>
      <c r="AN463" s="295"/>
      <c r="AO463" s="296"/>
      <c r="AP463" s="353"/>
      <c r="AQ463" s="290"/>
      <c r="AR463" s="290"/>
      <c r="AS463" s="290"/>
    </row>
    <row r="464" spans="1:45" ht="17.25" thickBot="1" x14ac:dyDescent="0.3">
      <c r="A464" s="467"/>
      <c r="B464" s="355" t="s">
        <v>420</v>
      </c>
      <c r="C464" s="356"/>
      <c r="D464" s="356" t="s">
        <v>523</v>
      </c>
      <c r="E464" s="359"/>
      <c r="F464" s="359"/>
      <c r="G464" s="356"/>
      <c r="H464" s="396"/>
      <c r="I464" s="356"/>
      <c r="J464" s="356"/>
      <c r="K464" s="356"/>
      <c r="L464" s="356"/>
      <c r="M464" s="356"/>
      <c r="N464" s="356"/>
      <c r="O464" s="356"/>
      <c r="P464" s="356"/>
      <c r="Q464" s="356"/>
      <c r="R464" s="356"/>
      <c r="S464" s="356"/>
      <c r="T464" s="356"/>
      <c r="U464" s="356"/>
      <c r="V464" s="356"/>
      <c r="W464" s="356"/>
      <c r="X464" s="356"/>
      <c r="Y464" s="356"/>
      <c r="Z464" s="356"/>
      <c r="AA464" s="356"/>
      <c r="AB464" s="356"/>
      <c r="AC464" s="356"/>
      <c r="AD464" s="356"/>
      <c r="AE464" s="356"/>
      <c r="AF464" s="356"/>
      <c r="AG464" s="356"/>
      <c r="AH464" s="356"/>
      <c r="AI464" s="356"/>
      <c r="AJ464" s="356"/>
      <c r="AK464" s="356"/>
      <c r="AL464" s="368"/>
      <c r="AM464" s="356"/>
      <c r="AN464" s="356"/>
      <c r="AO464" s="356"/>
      <c r="AP464" s="356"/>
      <c r="AQ464" s="356"/>
      <c r="AR464" s="356"/>
      <c r="AS464" s="357"/>
    </row>
    <row r="465" spans="1:45" ht="17.25" thickBot="1" x14ac:dyDescent="0.3">
      <c r="A465" s="467"/>
      <c r="B465" s="354"/>
      <c r="C465" s="285">
        <v>1146032</v>
      </c>
      <c r="D465" s="358" t="s">
        <v>396</v>
      </c>
      <c r="E465" s="360"/>
      <c r="F465" s="361">
        <f>G500-AK465+AL465</f>
        <v>1</v>
      </c>
      <c r="G465" s="364">
        <v>1</v>
      </c>
      <c r="H465" s="397">
        <v>1</v>
      </c>
      <c r="I465" s="364">
        <v>1</v>
      </c>
      <c r="J465" s="364"/>
      <c r="K465" s="364">
        <v>2</v>
      </c>
      <c r="L465" s="218"/>
      <c r="M465" s="218"/>
      <c r="N465" s="218"/>
      <c r="O465" s="218"/>
      <c r="P465" s="352"/>
      <c r="Q465" s="352"/>
      <c r="R465" s="352"/>
      <c r="S465" s="352"/>
      <c r="T465" s="352"/>
      <c r="U465" s="352"/>
      <c r="V465" s="218"/>
      <c r="W465" s="218"/>
      <c r="X465" s="218"/>
      <c r="Y465" s="218"/>
      <c r="Z465" s="218"/>
      <c r="AA465" s="218"/>
      <c r="AB465" s="218"/>
      <c r="AC465" s="218"/>
      <c r="AD465" s="218"/>
      <c r="AE465" s="218"/>
      <c r="AF465" s="218"/>
      <c r="AG465" s="218"/>
      <c r="AH465" s="218"/>
      <c r="AI465" s="218"/>
      <c r="AJ465" s="218"/>
      <c r="AK465" s="218">
        <f>G500+AL465-G465</f>
        <v>0</v>
      </c>
      <c r="AL465" s="218"/>
      <c r="AM465" s="353"/>
      <c r="AN465" s="295"/>
      <c r="AO465" s="296"/>
      <c r="AP465" s="353"/>
      <c r="AQ465" s="290"/>
      <c r="AR465" s="290"/>
      <c r="AS465" s="290"/>
    </row>
    <row r="466" spans="1:45" ht="17.25" thickBot="1" x14ac:dyDescent="0.3">
      <c r="A466" s="467"/>
      <c r="B466" s="354"/>
      <c r="C466" s="285">
        <v>1146021</v>
      </c>
      <c r="D466" s="358" t="s">
        <v>397</v>
      </c>
      <c r="E466" s="360"/>
      <c r="F466" s="361">
        <f>G501-AK466+AL466</f>
        <v>2</v>
      </c>
      <c r="G466" s="364">
        <v>2</v>
      </c>
      <c r="H466" s="397">
        <v>2</v>
      </c>
      <c r="I466" s="364">
        <v>2</v>
      </c>
      <c r="J466" s="364"/>
      <c r="K466" s="364">
        <v>0</v>
      </c>
      <c r="L466" s="218"/>
      <c r="M466" s="218"/>
      <c r="N466" s="218"/>
      <c r="O466" s="218"/>
      <c r="P466" s="352"/>
      <c r="Q466" s="352"/>
      <c r="R466" s="352"/>
      <c r="S466" s="352"/>
      <c r="T466" s="352"/>
      <c r="U466" s="352"/>
      <c r="V466" s="218"/>
      <c r="W466" s="218"/>
      <c r="X466" s="218"/>
      <c r="Y466" s="218"/>
      <c r="Z466" s="218"/>
      <c r="AA466" s="218"/>
      <c r="AB466" s="218"/>
      <c r="AC466" s="218"/>
      <c r="AD466" s="218"/>
      <c r="AE466" s="218"/>
      <c r="AF466" s="218"/>
      <c r="AG466" s="218"/>
      <c r="AH466" s="218"/>
      <c r="AI466" s="218"/>
      <c r="AJ466" s="218"/>
      <c r="AK466" s="218">
        <f>G501+AL466-G466</f>
        <v>0</v>
      </c>
      <c r="AL466" s="218">
        <v>2</v>
      </c>
      <c r="AM466" s="353"/>
      <c r="AN466" s="295"/>
      <c r="AO466" s="296"/>
      <c r="AP466" s="353"/>
      <c r="AQ466" s="290"/>
      <c r="AR466" s="290"/>
      <c r="AS466" s="290"/>
    </row>
    <row r="467" spans="1:45" ht="17.25" thickBot="1" x14ac:dyDescent="0.3">
      <c r="A467" s="467"/>
      <c r="B467" s="354"/>
      <c r="C467" s="285">
        <v>1146018</v>
      </c>
      <c r="D467" s="358" t="s">
        <v>398</v>
      </c>
      <c r="E467" s="360"/>
      <c r="F467" s="361">
        <f>G502-AK467+AL467</f>
        <v>4</v>
      </c>
      <c r="G467" s="369">
        <v>4</v>
      </c>
      <c r="H467" s="397">
        <v>1</v>
      </c>
      <c r="I467" s="364">
        <v>4</v>
      </c>
      <c r="J467" s="364"/>
      <c r="K467" s="364">
        <v>2</v>
      </c>
      <c r="L467" s="218"/>
      <c r="M467" s="218"/>
      <c r="N467" s="218"/>
      <c r="O467" s="218"/>
      <c r="P467" s="352"/>
      <c r="Q467" s="352"/>
      <c r="R467" s="352"/>
      <c r="S467" s="352"/>
      <c r="T467" s="352"/>
      <c r="U467" s="352"/>
      <c r="V467" s="218"/>
      <c r="W467" s="218"/>
      <c r="X467" s="218"/>
      <c r="Y467" s="218"/>
      <c r="Z467" s="218"/>
      <c r="AA467" s="218"/>
      <c r="AB467" s="218">
        <v>2</v>
      </c>
      <c r="AC467" s="218"/>
      <c r="AD467" s="218"/>
      <c r="AE467" s="218"/>
      <c r="AF467" s="218"/>
      <c r="AG467" s="218"/>
      <c r="AH467" s="218"/>
      <c r="AI467" s="218"/>
      <c r="AJ467" s="218"/>
      <c r="AK467" s="218">
        <f>G502+AL467-G467</f>
        <v>0</v>
      </c>
      <c r="AL467" s="218"/>
      <c r="AM467" s="353"/>
      <c r="AN467" s="295"/>
      <c r="AO467" s="296"/>
      <c r="AP467" s="353"/>
      <c r="AQ467" s="290"/>
      <c r="AR467" s="290"/>
      <c r="AS467" s="290"/>
    </row>
    <row r="468" spans="1:45" ht="17.25" thickBot="1" x14ac:dyDescent="0.3">
      <c r="A468" s="467"/>
      <c r="B468" s="354"/>
      <c r="C468" s="285">
        <v>1146024</v>
      </c>
      <c r="D468" s="358" t="s">
        <v>399</v>
      </c>
      <c r="E468" s="360"/>
      <c r="F468" s="361">
        <v>1</v>
      </c>
      <c r="G468" s="369">
        <v>4</v>
      </c>
      <c r="H468" s="369">
        <v>2</v>
      </c>
      <c r="I468" s="369">
        <v>4</v>
      </c>
      <c r="J468" s="369"/>
      <c r="K468" s="369">
        <v>0</v>
      </c>
      <c r="L468" s="218"/>
      <c r="M468" s="218"/>
      <c r="N468" s="218"/>
      <c r="O468" s="218"/>
      <c r="P468" s="352"/>
      <c r="Q468" s="352"/>
      <c r="R468" s="352"/>
      <c r="S468" s="352"/>
      <c r="T468" s="352"/>
      <c r="U468" s="352"/>
      <c r="V468" s="218"/>
      <c r="W468" s="218"/>
      <c r="X468" s="218"/>
      <c r="Y468" s="218"/>
      <c r="Z468" s="218"/>
      <c r="AA468" s="218">
        <v>1</v>
      </c>
      <c r="AB468" s="218">
        <v>1</v>
      </c>
      <c r="AC468" s="218"/>
      <c r="AD468" s="218"/>
      <c r="AE468" s="218"/>
      <c r="AF468" s="218"/>
      <c r="AG468" s="218"/>
      <c r="AH468" s="218"/>
      <c r="AI468" s="218"/>
      <c r="AJ468" s="218"/>
      <c r="AK468" s="218">
        <f>G503+AL468-G468</f>
        <v>0</v>
      </c>
      <c r="AL468" s="218"/>
      <c r="AM468" s="353"/>
      <c r="AN468" s="295"/>
      <c r="AO468" s="296"/>
      <c r="AP468" s="353"/>
      <c r="AQ468" s="290"/>
      <c r="AR468" s="290"/>
      <c r="AS468" s="290"/>
    </row>
    <row r="469" spans="1:45" ht="17.25" thickBot="1" x14ac:dyDescent="0.3">
      <c r="A469" s="467"/>
      <c r="B469" s="354"/>
      <c r="C469" s="285">
        <v>1146028</v>
      </c>
      <c r="D469" s="358" t="s">
        <v>400</v>
      </c>
      <c r="E469" s="360"/>
      <c r="F469" s="361">
        <f>G504-AK469+AL469</f>
        <v>3</v>
      </c>
      <c r="G469" s="364">
        <v>3</v>
      </c>
      <c r="H469" s="397">
        <v>2</v>
      </c>
      <c r="I469" s="364">
        <v>3</v>
      </c>
      <c r="J469" s="364"/>
      <c r="K469" s="364">
        <v>1</v>
      </c>
      <c r="L469" s="218"/>
      <c r="M469" s="218"/>
      <c r="N469" s="218"/>
      <c r="O469" s="218"/>
      <c r="P469" s="352"/>
      <c r="Q469" s="352"/>
      <c r="R469" s="352"/>
      <c r="S469" s="352"/>
      <c r="T469" s="352"/>
      <c r="U469" s="352"/>
      <c r="V469" s="218"/>
      <c r="W469" s="218"/>
      <c r="X469" s="218"/>
      <c r="Y469" s="218"/>
      <c r="Z469" s="218"/>
      <c r="AA469" s="218"/>
      <c r="AB469" s="218"/>
      <c r="AC469" s="218"/>
      <c r="AD469" s="218">
        <v>2</v>
      </c>
      <c r="AE469" s="218"/>
      <c r="AF469" s="218"/>
      <c r="AG469" s="218"/>
      <c r="AH469" s="218"/>
      <c r="AI469" s="218"/>
      <c r="AJ469" s="218"/>
      <c r="AK469" s="218">
        <f>G504+AL469-G469</f>
        <v>0</v>
      </c>
      <c r="AL469" s="218"/>
      <c r="AM469" s="353"/>
      <c r="AN469" s="295"/>
      <c r="AO469" s="296"/>
      <c r="AP469" s="353"/>
      <c r="AQ469" s="290"/>
      <c r="AR469" s="290"/>
      <c r="AS469" s="290"/>
    </row>
    <row r="470" spans="1:45" ht="17.25" thickBot="1" x14ac:dyDescent="0.3">
      <c r="A470" s="467"/>
      <c r="B470" s="355" t="s">
        <v>419</v>
      </c>
      <c r="C470" s="356"/>
      <c r="D470" s="356"/>
      <c r="E470" s="359"/>
      <c r="F470" s="359"/>
      <c r="G470" s="356"/>
      <c r="H470" s="396"/>
      <c r="I470" s="356"/>
      <c r="J470" s="356"/>
      <c r="K470" s="356"/>
      <c r="L470" s="356"/>
      <c r="M470" s="356"/>
      <c r="N470" s="356"/>
      <c r="O470" s="356"/>
      <c r="P470" s="356"/>
      <c r="Q470" s="356"/>
      <c r="R470" s="356"/>
      <c r="S470" s="356"/>
      <c r="T470" s="356"/>
      <c r="U470" s="356"/>
      <c r="V470" s="356"/>
      <c r="W470" s="356"/>
      <c r="X470" s="356"/>
      <c r="Y470" s="356"/>
      <c r="Z470" s="356"/>
      <c r="AA470" s="356"/>
      <c r="AB470" s="356"/>
      <c r="AC470" s="356"/>
      <c r="AD470" s="356"/>
      <c r="AE470" s="356"/>
      <c r="AF470" s="356"/>
      <c r="AG470" s="356"/>
      <c r="AH470" s="356"/>
      <c r="AI470" s="356"/>
      <c r="AJ470" s="356"/>
      <c r="AK470" s="356"/>
      <c r="AL470" s="356"/>
      <c r="AM470" s="356"/>
      <c r="AN470" s="356"/>
      <c r="AO470" s="356"/>
      <c r="AP470" s="356"/>
      <c r="AQ470" s="356"/>
      <c r="AR470" s="356"/>
      <c r="AS470" s="357"/>
    </row>
    <row r="471" spans="1:45" ht="17.25" thickBot="1" x14ac:dyDescent="0.3">
      <c r="A471" s="467"/>
      <c r="B471" s="372"/>
      <c r="C471" s="373">
        <v>1146031</v>
      </c>
      <c r="D471" s="374" t="s">
        <v>401</v>
      </c>
      <c r="E471" s="375"/>
      <c r="F471" s="376">
        <f>G506-AK471+AL471</f>
        <v>1</v>
      </c>
      <c r="G471" s="377">
        <v>1</v>
      </c>
      <c r="H471" s="397">
        <v>1</v>
      </c>
      <c r="I471" s="377">
        <v>1</v>
      </c>
      <c r="J471" s="377"/>
      <c r="K471" s="377">
        <v>2</v>
      </c>
      <c r="L471" s="377"/>
      <c r="M471" s="377"/>
      <c r="N471" s="377"/>
      <c r="O471" s="377"/>
      <c r="P471" s="377"/>
      <c r="Q471" s="377"/>
      <c r="R471" s="377"/>
      <c r="S471" s="377"/>
      <c r="T471" s="377"/>
      <c r="U471" s="377"/>
      <c r="V471" s="377"/>
      <c r="W471" s="377"/>
      <c r="X471" s="377"/>
      <c r="Y471" s="377"/>
      <c r="Z471" s="377"/>
      <c r="AA471" s="377"/>
      <c r="AB471" s="377"/>
      <c r="AC471" s="377"/>
      <c r="AD471" s="377"/>
      <c r="AE471" s="377"/>
      <c r="AF471" s="377"/>
      <c r="AG471" s="377"/>
      <c r="AH471" s="377"/>
      <c r="AI471" s="377"/>
      <c r="AJ471" s="377"/>
      <c r="AK471" s="377">
        <f>G506+AL471-G471</f>
        <v>-1</v>
      </c>
      <c r="AL471" s="377"/>
      <c r="AM471" s="378"/>
      <c r="AN471" s="379"/>
      <c r="AO471" s="380"/>
      <c r="AP471" s="378"/>
      <c r="AQ471" s="381"/>
      <c r="AR471" s="381"/>
      <c r="AS471" s="381"/>
    </row>
    <row r="472" spans="1:45" ht="17.25" thickBot="1" x14ac:dyDescent="0.3">
      <c r="A472" s="467"/>
      <c r="B472" s="372"/>
      <c r="C472" s="373">
        <v>1146020</v>
      </c>
      <c r="D472" s="374" t="s">
        <v>402</v>
      </c>
      <c r="E472" s="375"/>
      <c r="F472" s="376">
        <f>G507-AK472+AL472</f>
        <v>0</v>
      </c>
      <c r="G472" s="377">
        <v>0</v>
      </c>
      <c r="H472" s="397">
        <v>1</v>
      </c>
      <c r="I472" s="377">
        <v>0</v>
      </c>
      <c r="J472" s="377"/>
      <c r="K472" s="377">
        <v>1</v>
      </c>
      <c r="L472" s="377"/>
      <c r="M472" s="377"/>
      <c r="N472" s="377"/>
      <c r="O472" s="377"/>
      <c r="P472" s="377"/>
      <c r="Q472" s="377"/>
      <c r="R472" s="377"/>
      <c r="S472" s="377"/>
      <c r="T472" s="377"/>
      <c r="U472" s="377"/>
      <c r="V472" s="377"/>
      <c r="W472" s="377"/>
      <c r="X472" s="377"/>
      <c r="Y472" s="377"/>
      <c r="Z472" s="377"/>
      <c r="AA472" s="377"/>
      <c r="AB472" s="377"/>
      <c r="AC472" s="377"/>
      <c r="AD472" s="377"/>
      <c r="AE472" s="377"/>
      <c r="AF472" s="377"/>
      <c r="AG472" s="377"/>
      <c r="AH472" s="377"/>
      <c r="AI472" s="377"/>
      <c r="AJ472" s="377"/>
      <c r="AK472" s="377">
        <f>G507+AL472-G472</f>
        <v>0</v>
      </c>
      <c r="AL472" s="377"/>
      <c r="AM472" s="378"/>
      <c r="AN472" s="379"/>
      <c r="AO472" s="380"/>
      <c r="AP472" s="378"/>
      <c r="AQ472" s="381"/>
      <c r="AR472" s="381"/>
      <c r="AS472" s="381"/>
    </row>
    <row r="473" spans="1:45" ht="17.25" thickBot="1" x14ac:dyDescent="0.3">
      <c r="A473" s="467"/>
      <c r="B473" s="372"/>
      <c r="C473" s="373">
        <v>1146016</v>
      </c>
      <c r="D473" s="374" t="s">
        <v>398</v>
      </c>
      <c r="E473" s="375"/>
      <c r="F473" s="376">
        <f>G508-AK473+AL473</f>
        <v>0</v>
      </c>
      <c r="G473" s="377">
        <v>0</v>
      </c>
      <c r="H473" s="397">
        <v>1</v>
      </c>
      <c r="I473" s="377">
        <v>0</v>
      </c>
      <c r="J473" s="377"/>
      <c r="K473" s="377">
        <v>0</v>
      </c>
      <c r="L473" s="377"/>
      <c r="M473" s="377"/>
      <c r="N473" s="377"/>
      <c r="O473" s="377"/>
      <c r="P473" s="377"/>
      <c r="Q473" s="377"/>
      <c r="R473" s="377"/>
      <c r="S473" s="377"/>
      <c r="T473" s="377"/>
      <c r="U473" s="377"/>
      <c r="V473" s="377"/>
      <c r="W473" s="377"/>
      <c r="X473" s="377"/>
      <c r="Y473" s="377"/>
      <c r="Z473" s="377"/>
      <c r="AA473" s="377"/>
      <c r="AB473" s="377"/>
      <c r="AC473" s="377"/>
      <c r="AD473" s="377"/>
      <c r="AE473" s="377"/>
      <c r="AF473" s="377"/>
      <c r="AG473" s="377"/>
      <c r="AH473" s="377"/>
      <c r="AI473" s="377"/>
      <c r="AJ473" s="377"/>
      <c r="AK473" s="377">
        <f>G508+AL473-G473</f>
        <v>0</v>
      </c>
      <c r="AL473" s="377"/>
      <c r="AM473" s="378"/>
      <c r="AN473" s="379"/>
      <c r="AO473" s="380"/>
      <c r="AP473" s="378"/>
      <c r="AQ473" s="381"/>
      <c r="AR473" s="381"/>
      <c r="AS473" s="381"/>
    </row>
    <row r="474" spans="1:45" ht="17.25" thickBot="1" x14ac:dyDescent="0.3">
      <c r="A474" s="467"/>
      <c r="B474" s="372"/>
      <c r="C474" s="373">
        <v>1146022</v>
      </c>
      <c r="D474" s="374" t="s">
        <v>403</v>
      </c>
      <c r="E474" s="375"/>
      <c r="F474" s="376">
        <f>G509-AK474+AL474</f>
        <v>0</v>
      </c>
      <c r="G474" s="377">
        <v>0</v>
      </c>
      <c r="H474" s="397">
        <v>2</v>
      </c>
      <c r="I474" s="377">
        <v>0</v>
      </c>
      <c r="J474" s="377"/>
      <c r="K474" s="377">
        <v>0</v>
      </c>
      <c r="L474" s="377"/>
      <c r="M474" s="377"/>
      <c r="N474" s="377"/>
      <c r="O474" s="377"/>
      <c r="P474" s="377"/>
      <c r="Q474" s="377"/>
      <c r="R474" s="377"/>
      <c r="S474" s="377"/>
      <c r="T474" s="377"/>
      <c r="U474" s="377"/>
      <c r="V474" s="377"/>
      <c r="W474" s="377"/>
      <c r="X474" s="377"/>
      <c r="Y474" s="377"/>
      <c r="Z474" s="377"/>
      <c r="AA474" s="377"/>
      <c r="AB474" s="377"/>
      <c r="AC474" s="377"/>
      <c r="AD474" s="377"/>
      <c r="AE474" s="377"/>
      <c r="AF474" s="377"/>
      <c r="AG474" s="377"/>
      <c r="AH474" s="377"/>
      <c r="AI474" s="377"/>
      <c r="AJ474" s="377"/>
      <c r="AK474" s="377">
        <f>G509+AL474-G474</f>
        <v>0</v>
      </c>
      <c r="AL474" s="377"/>
      <c r="AM474" s="378"/>
      <c r="AN474" s="379"/>
      <c r="AO474" s="380"/>
      <c r="AP474" s="378"/>
      <c r="AQ474" s="381"/>
      <c r="AR474" s="381"/>
      <c r="AS474" s="381"/>
    </row>
    <row r="475" spans="1:45" ht="17.25" thickBot="1" x14ac:dyDescent="0.3">
      <c r="A475" s="467"/>
      <c r="B475" s="372"/>
      <c r="C475" s="373">
        <v>1146027</v>
      </c>
      <c r="D475" s="374" t="s">
        <v>404</v>
      </c>
      <c r="E475" s="375"/>
      <c r="F475" s="376">
        <f>G510-AK475+AL475</f>
        <v>1</v>
      </c>
      <c r="G475" s="377">
        <v>1</v>
      </c>
      <c r="H475" s="397">
        <v>2</v>
      </c>
      <c r="I475" s="377">
        <v>1</v>
      </c>
      <c r="J475" s="377"/>
      <c r="K475" s="377">
        <v>0</v>
      </c>
      <c r="L475" s="377"/>
      <c r="M475" s="377"/>
      <c r="N475" s="377"/>
      <c r="O475" s="377"/>
      <c r="P475" s="377"/>
      <c r="Q475" s="377"/>
      <c r="R475" s="377"/>
      <c r="S475" s="377"/>
      <c r="T475" s="377"/>
      <c r="U475" s="377"/>
      <c r="V475" s="377"/>
      <c r="W475" s="377"/>
      <c r="X475" s="377"/>
      <c r="Y475" s="377"/>
      <c r="Z475" s="377"/>
      <c r="AA475" s="377"/>
      <c r="AB475" s="377"/>
      <c r="AC475" s="377"/>
      <c r="AD475" s="377"/>
      <c r="AE475" s="377"/>
      <c r="AF475" s="377"/>
      <c r="AG475" s="377"/>
      <c r="AH475" s="377"/>
      <c r="AI475" s="377"/>
      <c r="AJ475" s="377"/>
      <c r="AK475" s="377">
        <f>G510+AL475-G475</f>
        <v>-1</v>
      </c>
      <c r="AL475" s="377"/>
      <c r="AM475" s="378"/>
      <c r="AN475" s="379"/>
      <c r="AO475" s="380"/>
      <c r="AP475" s="378"/>
      <c r="AQ475" s="381"/>
      <c r="AR475" s="381"/>
      <c r="AS475" s="381"/>
    </row>
    <row r="476" spans="1:45" ht="17.25" thickBot="1" x14ac:dyDescent="0.3">
      <c r="A476" s="467"/>
      <c r="B476" s="355" t="s">
        <v>418</v>
      </c>
      <c r="C476" s="356"/>
      <c r="D476" s="356"/>
      <c r="E476" s="359"/>
      <c r="F476" s="359"/>
      <c r="G476" s="356"/>
      <c r="H476" s="396"/>
      <c r="I476" s="356"/>
      <c r="J476" s="356"/>
      <c r="K476" s="356"/>
      <c r="L476" s="356"/>
      <c r="M476" s="356"/>
      <c r="N476" s="356"/>
      <c r="O476" s="356"/>
      <c r="P476" s="356"/>
      <c r="Q476" s="356"/>
      <c r="R476" s="356"/>
      <c r="S476" s="356"/>
      <c r="T476" s="356"/>
      <c r="U476" s="356"/>
      <c r="V476" s="356"/>
      <c r="W476" s="356"/>
      <c r="X476" s="356"/>
      <c r="Y476" s="356"/>
      <c r="Z476" s="356"/>
      <c r="AA476" s="356"/>
      <c r="AB476" s="356"/>
      <c r="AC476" s="356"/>
      <c r="AD476" s="356"/>
      <c r="AE476" s="356"/>
      <c r="AF476" s="356"/>
      <c r="AG476" s="356"/>
      <c r="AH476" s="356"/>
      <c r="AI476" s="356"/>
      <c r="AJ476" s="356"/>
      <c r="AK476" s="356"/>
      <c r="AL476" s="356"/>
      <c r="AM476" s="356"/>
      <c r="AN476" s="356"/>
      <c r="AO476" s="356"/>
      <c r="AP476" s="356"/>
      <c r="AQ476" s="356"/>
      <c r="AR476" s="356"/>
      <c r="AS476" s="357"/>
    </row>
    <row r="477" spans="1:45" ht="17.25" thickBot="1" x14ac:dyDescent="0.3">
      <c r="A477" s="467"/>
      <c r="B477" s="354"/>
      <c r="C477" s="285">
        <v>1151653</v>
      </c>
      <c r="D477" s="358" t="s">
        <v>405</v>
      </c>
      <c r="E477" s="360"/>
      <c r="F477" s="361">
        <f>G512-AK477+AL477</f>
        <v>3</v>
      </c>
      <c r="G477" s="364">
        <v>3</v>
      </c>
      <c r="H477" s="397">
        <v>1</v>
      </c>
      <c r="I477" s="364">
        <v>2</v>
      </c>
      <c r="J477" s="364"/>
      <c r="K477" s="364">
        <v>1</v>
      </c>
      <c r="L477" s="218"/>
      <c r="M477" s="218"/>
      <c r="N477" s="218"/>
      <c r="O477" s="218"/>
      <c r="P477" s="352"/>
      <c r="Q477" s="352"/>
      <c r="R477" s="352"/>
      <c r="S477" s="352"/>
      <c r="T477" s="352"/>
      <c r="U477" s="352"/>
      <c r="V477" s="218"/>
      <c r="W477" s="218"/>
      <c r="X477" s="218"/>
      <c r="Y477" s="218"/>
      <c r="Z477" s="218"/>
      <c r="AA477" s="218"/>
      <c r="AB477" s="218"/>
      <c r="AC477" s="218"/>
      <c r="AD477" s="218"/>
      <c r="AE477" s="218"/>
      <c r="AF477" s="218"/>
      <c r="AG477" s="218"/>
      <c r="AH477" s="218"/>
      <c r="AI477" s="218"/>
      <c r="AJ477" s="218"/>
      <c r="AK477" s="218">
        <f>G512+AL477-G477</f>
        <v>0</v>
      </c>
      <c r="AL477" s="218">
        <v>1</v>
      </c>
      <c r="AM477" s="353"/>
      <c r="AN477" s="295"/>
      <c r="AO477" s="296"/>
      <c r="AP477" s="353"/>
      <c r="AQ477" s="290"/>
      <c r="AR477" s="290"/>
      <c r="AS477" s="290"/>
    </row>
    <row r="478" spans="1:45" ht="17.25" thickBot="1" x14ac:dyDescent="0.3">
      <c r="A478" s="467"/>
      <c r="B478" s="354"/>
      <c r="C478" s="285">
        <v>1151650</v>
      </c>
      <c r="D478" s="358" t="s">
        <v>406</v>
      </c>
      <c r="E478" s="360"/>
      <c r="F478" s="361">
        <f>G513-AK478+AL478</f>
        <v>2</v>
      </c>
      <c r="G478" s="364">
        <v>2</v>
      </c>
      <c r="H478" s="397">
        <v>2</v>
      </c>
      <c r="I478" s="364">
        <v>2</v>
      </c>
      <c r="J478" s="364"/>
      <c r="K478" s="364">
        <v>5</v>
      </c>
      <c r="L478" s="218"/>
      <c r="M478" s="218"/>
      <c r="N478" s="218"/>
      <c r="O478" s="218"/>
      <c r="P478" s="352"/>
      <c r="Q478" s="352"/>
      <c r="R478" s="352"/>
      <c r="S478" s="352"/>
      <c r="T478" s="352"/>
      <c r="U478" s="352"/>
      <c r="V478" s="218"/>
      <c r="W478" s="218"/>
      <c r="X478" s="218"/>
      <c r="Y478" s="218"/>
      <c r="Z478" s="218"/>
      <c r="AA478" s="218"/>
      <c r="AB478" s="218"/>
      <c r="AC478" s="218"/>
      <c r="AD478" s="218"/>
      <c r="AE478" s="218"/>
      <c r="AF478" s="218"/>
      <c r="AG478" s="218"/>
      <c r="AH478" s="218"/>
      <c r="AI478" s="218"/>
      <c r="AJ478" s="218"/>
      <c r="AK478" s="218">
        <f>G513+AL478-G478</f>
        <v>0</v>
      </c>
      <c r="AL478" s="218">
        <v>2</v>
      </c>
      <c r="AM478" s="353"/>
      <c r="AN478" s="295"/>
      <c r="AO478" s="296"/>
      <c r="AP478" s="353"/>
      <c r="AQ478" s="290"/>
      <c r="AR478" s="290"/>
      <c r="AS478" s="290"/>
    </row>
    <row r="479" spans="1:45" ht="17.25" thickBot="1" x14ac:dyDescent="0.3">
      <c r="A479" s="467"/>
      <c r="B479" s="354"/>
      <c r="C479" s="285">
        <v>1151649</v>
      </c>
      <c r="D479" s="358" t="s">
        <v>407</v>
      </c>
      <c r="E479" s="360"/>
      <c r="F479" s="361">
        <f>G514-AK479+AL479</f>
        <v>0</v>
      </c>
      <c r="G479" s="369">
        <v>0</v>
      </c>
      <c r="H479" s="369">
        <v>4</v>
      </c>
      <c r="I479" s="369">
        <v>0</v>
      </c>
      <c r="J479" s="369"/>
      <c r="K479" s="369">
        <v>2</v>
      </c>
      <c r="L479" s="218"/>
      <c r="M479" s="218"/>
      <c r="N479" s="218"/>
      <c r="O479" s="218"/>
      <c r="P479" s="352"/>
      <c r="Q479" s="352"/>
      <c r="R479" s="352"/>
      <c r="S479" s="352"/>
      <c r="T479" s="352"/>
      <c r="U479" s="352"/>
      <c r="V479" s="218"/>
      <c r="W479" s="218"/>
      <c r="X479" s="218"/>
      <c r="Y479" s="218"/>
      <c r="Z479" s="218"/>
      <c r="AA479" s="218"/>
      <c r="AB479" s="218">
        <v>2</v>
      </c>
      <c r="AC479" s="218"/>
      <c r="AD479" s="218">
        <v>2</v>
      </c>
      <c r="AE479" s="218"/>
      <c r="AF479" s="218"/>
      <c r="AG479" s="218"/>
      <c r="AH479" s="218"/>
      <c r="AI479" s="218"/>
      <c r="AJ479" s="218"/>
      <c r="AK479" s="218">
        <f>G514+AL479-G479</f>
        <v>0</v>
      </c>
      <c r="AL479" s="218"/>
      <c r="AM479" s="353"/>
      <c r="AN479" s="295"/>
      <c r="AO479" s="296"/>
      <c r="AP479" s="353"/>
      <c r="AQ479" s="290"/>
      <c r="AR479" s="290"/>
      <c r="AS479" s="290"/>
    </row>
    <row r="480" spans="1:45" ht="17.25" thickBot="1" x14ac:dyDescent="0.3">
      <c r="A480" s="467"/>
      <c r="B480" s="354"/>
      <c r="C480" s="285">
        <v>1151651</v>
      </c>
      <c r="D480" s="358" t="s">
        <v>408</v>
      </c>
      <c r="E480" s="360"/>
      <c r="F480" s="361">
        <f>G515-AK480+AL480</f>
        <v>2</v>
      </c>
      <c r="G480" s="369">
        <v>2</v>
      </c>
      <c r="H480" s="369">
        <v>1</v>
      </c>
      <c r="I480" s="369">
        <v>2</v>
      </c>
      <c r="J480" s="369"/>
      <c r="K480" s="369">
        <v>3</v>
      </c>
      <c r="L480" s="218"/>
      <c r="M480" s="218"/>
      <c r="N480" s="218"/>
      <c r="O480" s="218"/>
      <c r="P480" s="352"/>
      <c r="Q480" s="352"/>
      <c r="R480" s="352"/>
      <c r="S480" s="352"/>
      <c r="T480" s="352"/>
      <c r="U480" s="352"/>
      <c r="V480" s="218"/>
      <c r="W480" s="218"/>
      <c r="X480" s="218"/>
      <c r="Y480" s="218"/>
      <c r="Z480" s="218">
        <v>2</v>
      </c>
      <c r="AA480" s="218"/>
      <c r="AB480" s="218">
        <v>2</v>
      </c>
      <c r="AC480" s="218"/>
      <c r="AD480" s="218">
        <v>3</v>
      </c>
      <c r="AE480" s="218"/>
      <c r="AF480" s="218"/>
      <c r="AG480" s="218"/>
      <c r="AH480" s="218"/>
      <c r="AI480" s="218"/>
      <c r="AJ480" s="218"/>
      <c r="AK480" s="218">
        <f>G515+AL480-G480</f>
        <v>0</v>
      </c>
      <c r="AL480" s="218"/>
      <c r="AM480" s="353"/>
      <c r="AN480" s="295"/>
      <c r="AO480" s="296"/>
      <c r="AP480" s="353"/>
      <c r="AQ480" s="290"/>
      <c r="AR480" s="290"/>
      <c r="AS480" s="290"/>
    </row>
    <row r="481" spans="1:45" ht="17.25" thickBot="1" x14ac:dyDescent="0.3">
      <c r="A481" s="467"/>
      <c r="B481" s="354"/>
      <c r="C481" s="285">
        <v>1146029</v>
      </c>
      <c r="D481" s="358" t="s">
        <v>409</v>
      </c>
      <c r="E481" s="360"/>
      <c r="F481" s="361">
        <f>G516-AK481+AL481</f>
        <v>4</v>
      </c>
      <c r="G481" s="369">
        <v>4</v>
      </c>
      <c r="H481" s="369">
        <v>2</v>
      </c>
      <c r="I481" s="369">
        <v>4</v>
      </c>
      <c r="J481" s="369"/>
      <c r="K481" s="369">
        <v>1</v>
      </c>
      <c r="L481" s="218"/>
      <c r="M481" s="218"/>
      <c r="N481" s="218"/>
      <c r="O481" s="218"/>
      <c r="P481" s="352"/>
      <c r="Q481" s="352"/>
      <c r="R481" s="352"/>
      <c r="S481" s="352"/>
      <c r="T481" s="352"/>
      <c r="U481" s="352"/>
      <c r="V481" s="218"/>
      <c r="W481" s="218"/>
      <c r="X481" s="218"/>
      <c r="Y481" s="218"/>
      <c r="Z481" s="218"/>
      <c r="AA481" s="218"/>
      <c r="AB481" s="218"/>
      <c r="AC481" s="218">
        <v>2</v>
      </c>
      <c r="AD481" s="218"/>
      <c r="AE481" s="218"/>
      <c r="AF481" s="218"/>
      <c r="AG481" s="218"/>
      <c r="AH481" s="218"/>
      <c r="AI481" s="218"/>
      <c r="AJ481" s="218"/>
      <c r="AK481" s="218">
        <f>G516+AL481-G481</f>
        <v>0</v>
      </c>
      <c r="AL481" s="218"/>
      <c r="AM481" s="353"/>
      <c r="AN481" s="295"/>
      <c r="AO481" s="296"/>
      <c r="AP481" s="353"/>
      <c r="AQ481" s="290"/>
      <c r="AR481" s="290"/>
      <c r="AS481" s="290"/>
    </row>
    <row r="482" spans="1:45" ht="17.25" thickBot="1" x14ac:dyDescent="0.3">
      <c r="A482" s="467"/>
      <c r="B482" s="355" t="s">
        <v>410</v>
      </c>
      <c r="C482" s="356"/>
      <c r="D482" s="356"/>
      <c r="E482" s="359"/>
      <c r="F482" s="359"/>
      <c r="G482" s="356"/>
      <c r="H482" s="396"/>
      <c r="I482" s="356"/>
      <c r="J482" s="356"/>
      <c r="K482" s="356"/>
      <c r="L482" s="356"/>
      <c r="M482" s="356"/>
      <c r="N482" s="356"/>
      <c r="O482" s="356"/>
      <c r="P482" s="356"/>
      <c r="Q482" s="356"/>
      <c r="R482" s="356"/>
      <c r="S482" s="356"/>
      <c r="T482" s="356"/>
      <c r="U482" s="356"/>
      <c r="V482" s="356"/>
      <c r="W482" s="356"/>
      <c r="X482" s="356"/>
      <c r="Y482" s="356"/>
      <c r="Z482" s="356"/>
      <c r="AA482" s="356"/>
      <c r="AB482" s="356"/>
      <c r="AC482" s="356"/>
      <c r="AD482" s="356"/>
      <c r="AE482" s="356"/>
      <c r="AF482" s="356"/>
      <c r="AG482" s="356"/>
      <c r="AH482" s="356"/>
      <c r="AI482" s="356"/>
      <c r="AJ482" s="356"/>
      <c r="AK482" s="356"/>
      <c r="AL482" s="356"/>
      <c r="AM482" s="356"/>
      <c r="AN482" s="356"/>
      <c r="AO482" s="356"/>
      <c r="AP482" s="356"/>
      <c r="AQ482" s="356"/>
      <c r="AR482" s="356"/>
      <c r="AS482" s="357"/>
    </row>
    <row r="483" spans="1:45" ht="17.25" thickBot="1" x14ac:dyDescent="0.3">
      <c r="A483" s="467"/>
      <c r="B483" s="354"/>
      <c r="C483" s="285">
        <v>1699118</v>
      </c>
      <c r="D483" s="358" t="s">
        <v>411</v>
      </c>
      <c r="E483" s="360"/>
      <c r="F483" s="361">
        <f>G518-AK483+AL483</f>
        <v>1</v>
      </c>
      <c r="G483" s="369">
        <v>1</v>
      </c>
      <c r="H483" s="369">
        <v>1</v>
      </c>
      <c r="I483" s="369">
        <v>1</v>
      </c>
      <c r="J483" s="369"/>
      <c r="K483" s="369">
        <v>0</v>
      </c>
      <c r="L483" s="218"/>
      <c r="M483" s="218"/>
      <c r="N483" s="218"/>
      <c r="O483" s="218"/>
      <c r="P483" s="352"/>
      <c r="Q483" s="352"/>
      <c r="R483" s="352"/>
      <c r="S483" s="352"/>
      <c r="T483" s="352"/>
      <c r="U483" s="352"/>
      <c r="V483" s="218"/>
      <c r="W483" s="218"/>
      <c r="X483" s="218"/>
      <c r="Y483" s="218"/>
      <c r="Z483" s="218"/>
      <c r="AA483" s="218"/>
      <c r="AB483" s="218">
        <v>1</v>
      </c>
      <c r="AC483" s="218"/>
      <c r="AD483" s="218"/>
      <c r="AE483" s="218"/>
      <c r="AF483" s="218"/>
      <c r="AG483" s="218"/>
      <c r="AH483" s="218"/>
      <c r="AI483" s="218"/>
      <c r="AJ483" s="218"/>
      <c r="AK483" s="218">
        <f>G518+AL483-G483</f>
        <v>0</v>
      </c>
      <c r="AL483" s="218"/>
      <c r="AM483" s="353"/>
      <c r="AN483" s="295"/>
      <c r="AO483" s="296"/>
      <c r="AP483" s="353"/>
      <c r="AQ483" s="290"/>
      <c r="AR483" s="290"/>
      <c r="AS483" s="290"/>
    </row>
    <row r="484" spans="1:45" ht="17.25" thickBot="1" x14ac:dyDescent="0.3">
      <c r="A484" s="467"/>
      <c r="B484" s="354"/>
      <c r="C484" s="285">
        <v>1699119</v>
      </c>
      <c r="D484" s="358" t="s">
        <v>412</v>
      </c>
      <c r="E484" s="360"/>
      <c r="F484" s="361">
        <f>G519-AK484+AL484</f>
        <v>5</v>
      </c>
      <c r="G484" s="369">
        <v>5</v>
      </c>
      <c r="H484" s="369">
        <v>1</v>
      </c>
      <c r="I484" s="369">
        <v>5</v>
      </c>
      <c r="J484" s="369"/>
      <c r="K484" s="369">
        <v>1</v>
      </c>
      <c r="L484" s="218"/>
      <c r="M484" s="218"/>
      <c r="N484" s="218"/>
      <c r="O484" s="218"/>
      <c r="P484" s="352"/>
      <c r="Q484" s="352"/>
      <c r="R484" s="352"/>
      <c r="S484" s="352"/>
      <c r="T484" s="352"/>
      <c r="U484" s="352"/>
      <c r="V484" s="218"/>
      <c r="W484" s="218"/>
      <c r="X484" s="218"/>
      <c r="Y484" s="218"/>
      <c r="Z484" s="218"/>
      <c r="AA484" s="218"/>
      <c r="AB484" s="218">
        <v>2</v>
      </c>
      <c r="AC484" s="218"/>
      <c r="AD484" s="218"/>
      <c r="AE484" s="218"/>
      <c r="AF484" s="218"/>
      <c r="AG484" s="218"/>
      <c r="AH484" s="218"/>
      <c r="AI484" s="218"/>
      <c r="AJ484" s="218"/>
      <c r="AK484" s="218">
        <f>G519+AL484-G484</f>
        <v>0</v>
      </c>
      <c r="AL484" s="218"/>
      <c r="AM484" s="353"/>
      <c r="AN484" s="295"/>
      <c r="AO484" s="296"/>
      <c r="AP484" s="353"/>
      <c r="AQ484" s="290"/>
      <c r="AR484" s="290"/>
      <c r="AS484" s="290"/>
    </row>
    <row r="485" spans="1:45" ht="17.25" thickBot="1" x14ac:dyDescent="0.3">
      <c r="A485" s="467"/>
      <c r="B485" s="354"/>
      <c r="C485" s="285">
        <v>1699130</v>
      </c>
      <c r="D485" s="358" t="s">
        <v>413</v>
      </c>
      <c r="E485" s="360"/>
      <c r="F485" s="361">
        <f>G520-AK485+AL485</f>
        <v>0</v>
      </c>
      <c r="G485" s="369">
        <v>0</v>
      </c>
      <c r="H485" s="369">
        <v>4</v>
      </c>
      <c r="I485" s="369">
        <v>0</v>
      </c>
      <c r="J485" s="369"/>
      <c r="K485" s="369">
        <v>0</v>
      </c>
      <c r="L485" s="218"/>
      <c r="M485" s="218"/>
      <c r="N485" s="218"/>
      <c r="O485" s="218"/>
      <c r="P485" s="352"/>
      <c r="Q485" s="352"/>
      <c r="R485" s="352"/>
      <c r="S485" s="352"/>
      <c r="T485" s="352"/>
      <c r="U485" s="352"/>
      <c r="V485" s="218"/>
      <c r="W485" s="218"/>
      <c r="X485" s="218"/>
      <c r="Y485" s="218"/>
      <c r="Z485" s="218"/>
      <c r="AA485" s="218">
        <v>2</v>
      </c>
      <c r="AB485" s="218"/>
      <c r="AC485" s="218"/>
      <c r="AD485" s="218">
        <v>4</v>
      </c>
      <c r="AE485" s="218"/>
      <c r="AF485" s="218"/>
      <c r="AG485" s="218"/>
      <c r="AH485" s="218"/>
      <c r="AI485" s="218"/>
      <c r="AJ485" s="218"/>
      <c r="AK485" s="218">
        <f>G520+AL485-G485</f>
        <v>0</v>
      </c>
      <c r="AL485" s="218"/>
      <c r="AM485" s="353"/>
      <c r="AN485" s="295"/>
      <c r="AO485" s="296"/>
      <c r="AP485" s="353"/>
      <c r="AQ485" s="290"/>
      <c r="AR485" s="290"/>
      <c r="AS485" s="290"/>
    </row>
    <row r="486" spans="1:45" ht="17.25" thickBot="1" x14ac:dyDescent="0.3">
      <c r="A486" s="467"/>
      <c r="B486" s="354"/>
      <c r="C486" s="285">
        <v>1699131</v>
      </c>
      <c r="D486" s="358" t="s">
        <v>414</v>
      </c>
      <c r="E486" s="360"/>
      <c r="F486" s="361">
        <f>G521-AK486+AL486</f>
        <v>5</v>
      </c>
      <c r="G486" s="369">
        <v>5</v>
      </c>
      <c r="H486" s="397">
        <v>3</v>
      </c>
      <c r="I486" s="369">
        <v>5</v>
      </c>
      <c r="J486" s="369"/>
      <c r="K486" s="364">
        <v>0</v>
      </c>
      <c r="L486" s="218"/>
      <c r="M486" s="218"/>
      <c r="N486" s="218"/>
      <c r="O486" s="218"/>
      <c r="P486" s="352"/>
      <c r="Q486" s="352"/>
      <c r="R486" s="352"/>
      <c r="S486" s="352"/>
      <c r="T486" s="352"/>
      <c r="U486" s="352"/>
      <c r="V486" s="218"/>
      <c r="W486" s="218"/>
      <c r="X486" s="218"/>
      <c r="Y486" s="218"/>
      <c r="Z486" s="218"/>
      <c r="AA486" s="218"/>
      <c r="AB486" s="218">
        <v>1</v>
      </c>
      <c r="AC486" s="218"/>
      <c r="AD486" s="218"/>
      <c r="AE486" s="218"/>
      <c r="AF486" s="218"/>
      <c r="AG486" s="218"/>
      <c r="AH486" s="218"/>
      <c r="AI486" s="218"/>
      <c r="AJ486" s="218"/>
      <c r="AK486" s="218">
        <f>G521+AL486-G486</f>
        <v>0</v>
      </c>
      <c r="AL486" s="218"/>
      <c r="AM486" s="353"/>
      <c r="AN486" s="295"/>
      <c r="AO486" s="296"/>
      <c r="AP486" s="353"/>
      <c r="AQ486" s="290"/>
      <c r="AR486" s="290"/>
      <c r="AS486" s="290"/>
    </row>
    <row r="487" spans="1:45" ht="17.25" thickBot="1" x14ac:dyDescent="0.3">
      <c r="A487" s="468"/>
      <c r="B487" s="354"/>
      <c r="C487" s="285">
        <v>1699132</v>
      </c>
      <c r="D487" s="358" t="s">
        <v>415</v>
      </c>
      <c r="E487" s="285"/>
      <c r="F487" s="362">
        <f>G522-AK487+AL487</f>
        <v>3</v>
      </c>
      <c r="G487" s="364">
        <v>3</v>
      </c>
      <c r="H487" s="397">
        <v>3</v>
      </c>
      <c r="I487" s="364">
        <v>3</v>
      </c>
      <c r="J487" s="364"/>
      <c r="K487" s="364">
        <v>0</v>
      </c>
      <c r="L487" s="218"/>
      <c r="M487" s="218"/>
      <c r="N487" s="218"/>
      <c r="O487" s="218"/>
      <c r="P487" s="352"/>
      <c r="Q487" s="352"/>
      <c r="R487" s="352"/>
      <c r="S487" s="352"/>
      <c r="T487" s="352"/>
      <c r="U487" s="352"/>
      <c r="V487" s="218"/>
      <c r="W487" s="218"/>
      <c r="X487" s="218"/>
      <c r="Y487" s="218"/>
      <c r="Z487" s="218"/>
      <c r="AA487" s="218"/>
      <c r="AB487" s="218"/>
      <c r="AC487" s="218"/>
      <c r="AD487" s="218"/>
      <c r="AE487" s="218"/>
      <c r="AF487" s="218"/>
      <c r="AG487" s="218"/>
      <c r="AH487" s="218"/>
      <c r="AI487" s="218"/>
      <c r="AJ487" s="218"/>
      <c r="AK487" s="218">
        <f>G522+AL487-G487</f>
        <v>0</v>
      </c>
      <c r="AL487" s="218"/>
      <c r="AM487" s="353"/>
      <c r="AN487" s="295"/>
      <c r="AO487" s="296"/>
      <c r="AP487" s="353"/>
      <c r="AQ487" s="290"/>
      <c r="AR487" s="290"/>
      <c r="AS487" s="290"/>
    </row>
    <row r="488" spans="1:45" x14ac:dyDescent="0.25">
      <c r="AL488" s="290"/>
      <c r="AM488" s="290"/>
      <c r="AN488" s="290"/>
      <c r="AO488" s="290"/>
    </row>
    <row r="489" spans="1:45" ht="14.25" thickBot="1" x14ac:dyDescent="0.3">
      <c r="B489" s="338" t="s">
        <v>18</v>
      </c>
      <c r="C489" s="339">
        <v>45768</v>
      </c>
      <c r="AA489" s="290">
        <v>0</v>
      </c>
      <c r="AL489" s="290"/>
      <c r="AM489" s="290"/>
      <c r="AN489" s="290"/>
      <c r="AO489" s="290"/>
      <c r="AP489" s="290"/>
    </row>
    <row r="490" spans="1:45" ht="41.25" thickBot="1" x14ac:dyDescent="0.3">
      <c r="B490" s="283" t="s">
        <v>0</v>
      </c>
      <c r="C490" s="284" t="s">
        <v>1</v>
      </c>
      <c r="D490" s="284" t="s">
        <v>2</v>
      </c>
      <c r="E490" s="284" t="s">
        <v>3</v>
      </c>
      <c r="F490" s="4" t="s">
        <v>318</v>
      </c>
      <c r="G490" s="351" t="s">
        <v>543</v>
      </c>
      <c r="H490" s="382" t="s">
        <v>460</v>
      </c>
      <c r="I490" s="234" t="s">
        <v>537</v>
      </c>
      <c r="J490" s="234"/>
      <c r="K490" s="258" t="s">
        <v>538</v>
      </c>
      <c r="L490" s="258" t="s">
        <v>328</v>
      </c>
      <c r="M490" s="258" t="s">
        <v>327</v>
      </c>
      <c r="N490" s="234" t="s">
        <v>389</v>
      </c>
      <c r="O490" s="240" t="s">
        <v>130</v>
      </c>
      <c r="P490" s="243" t="s">
        <v>303</v>
      </c>
      <c r="Q490" s="244" t="s">
        <v>304</v>
      </c>
      <c r="R490" s="244" t="s">
        <v>314</v>
      </c>
      <c r="S490" s="245" t="s">
        <v>338</v>
      </c>
      <c r="T490" s="245" t="s">
        <v>345</v>
      </c>
      <c r="U490" s="245" t="s">
        <v>361</v>
      </c>
      <c r="V490" s="245" t="s">
        <v>387</v>
      </c>
      <c r="W490" s="245" t="s">
        <v>421</v>
      </c>
      <c r="X490" s="245" t="s">
        <v>452</v>
      </c>
      <c r="Y490" s="245" t="s">
        <v>463</v>
      </c>
      <c r="Z490" s="245" t="s">
        <v>481</v>
      </c>
      <c r="AA490" s="245" t="s">
        <v>498</v>
      </c>
      <c r="AB490" s="245" t="s">
        <v>303</v>
      </c>
      <c r="AC490" s="245" t="s">
        <v>304</v>
      </c>
      <c r="AD490" s="245" t="s">
        <v>314</v>
      </c>
      <c r="AE490" s="245" t="s">
        <v>338</v>
      </c>
      <c r="AF490" s="245"/>
      <c r="AG490" s="245"/>
      <c r="AH490" s="245"/>
      <c r="AI490" s="245"/>
      <c r="AJ490" s="245" t="s">
        <v>360</v>
      </c>
      <c r="AK490" s="246" t="s">
        <v>268</v>
      </c>
      <c r="AL490" s="247" t="s">
        <v>269</v>
      </c>
      <c r="AM490" s="291" t="s">
        <v>288</v>
      </c>
      <c r="AN490" s="292" t="s">
        <v>289</v>
      </c>
      <c r="AO490" s="292" t="s">
        <v>287</v>
      </c>
      <c r="AP490" s="293" t="s">
        <v>290</v>
      </c>
      <c r="AQ490" s="290" t="s">
        <v>306</v>
      </c>
      <c r="AR490" s="290" t="s">
        <v>310</v>
      </c>
      <c r="AS490" s="290" t="s">
        <v>311</v>
      </c>
    </row>
    <row r="491" spans="1:45" ht="17.25" thickBot="1" x14ac:dyDescent="0.3">
      <c r="A491" s="463" t="s">
        <v>416</v>
      </c>
      <c r="B491" s="285">
        <v>273664</v>
      </c>
      <c r="C491" s="286">
        <v>1135749</v>
      </c>
      <c r="D491" s="286" t="s">
        <v>7</v>
      </c>
      <c r="E491" s="286">
        <v>6060050026</v>
      </c>
      <c r="F491" s="253">
        <f>G526-AK491+AL491</f>
        <v>9</v>
      </c>
      <c r="G491" s="235">
        <v>9</v>
      </c>
      <c r="H491" s="394">
        <v>5</v>
      </c>
      <c r="I491" s="232">
        <v>9</v>
      </c>
      <c r="J491" s="232"/>
      <c r="K491" s="232">
        <v>3</v>
      </c>
      <c r="L491" s="232">
        <f>IF(K525=K490,L526+AK491,K491)</f>
        <v>3</v>
      </c>
      <c r="M491" s="232">
        <f>IF(K525=K490,0,L526+AK491-K491)</f>
        <v>1</v>
      </c>
      <c r="N491" s="267">
        <v>5</v>
      </c>
      <c r="O491" s="241">
        <f>N491-G491</f>
        <v>-4</v>
      </c>
      <c r="P491" s="277">
        <v>4</v>
      </c>
      <c r="Q491" s="278">
        <v>4</v>
      </c>
      <c r="R491" s="279"/>
      <c r="S491" s="279">
        <v>3</v>
      </c>
      <c r="T491" s="279">
        <v>4</v>
      </c>
      <c r="U491" s="279">
        <v>2</v>
      </c>
      <c r="V491" s="279"/>
      <c r="W491" s="279">
        <f>2+3</f>
        <v>5</v>
      </c>
      <c r="X491" s="241"/>
      <c r="Y491" s="241"/>
      <c r="Z491" s="241"/>
      <c r="AA491" s="241">
        <v>4</v>
      </c>
      <c r="AB491" s="241">
        <v>5</v>
      </c>
      <c r="AC491" s="241"/>
      <c r="AD491" s="241">
        <v>6</v>
      </c>
      <c r="AE491" s="241"/>
      <c r="AF491" s="241"/>
      <c r="AG491" s="241"/>
      <c r="AH491" s="241"/>
      <c r="AI491" s="241"/>
      <c r="AJ491" s="241">
        <f>N491-V491</f>
        <v>5</v>
      </c>
      <c r="AK491" s="235">
        <f>G526+AL491-G491</f>
        <v>0</v>
      </c>
      <c r="AL491" s="350"/>
      <c r="AM491" s="294">
        <v>1.5</v>
      </c>
      <c r="AN491" s="295">
        <v>4</v>
      </c>
      <c r="AO491" s="296">
        <f>G491/(AN491)</f>
        <v>2.25</v>
      </c>
      <c r="AP491" s="297">
        <f>AN491*6</f>
        <v>24</v>
      </c>
      <c r="AQ491" s="290">
        <f>G491+K491</f>
        <v>12</v>
      </c>
      <c r="AR491" s="290">
        <f>IF(G491&lt;G526,(G526-G491+K526-K491),K526-K491)</f>
        <v>1</v>
      </c>
      <c r="AS491" s="290">
        <f>21-8</f>
        <v>13</v>
      </c>
    </row>
    <row r="492" spans="1:45" ht="17.25" thickBot="1" x14ac:dyDescent="0.3">
      <c r="A492" s="464"/>
      <c r="B492" s="285">
        <v>273672</v>
      </c>
      <c r="C492" s="286">
        <v>1135750</v>
      </c>
      <c r="D492" s="286" t="s">
        <v>9</v>
      </c>
      <c r="E492" s="287">
        <v>204000000000</v>
      </c>
      <c r="F492" s="253">
        <f>G527-AK492+AL492</f>
        <v>13</v>
      </c>
      <c r="G492" s="235">
        <v>13</v>
      </c>
      <c r="H492" s="394">
        <v>16</v>
      </c>
      <c r="I492" s="232">
        <v>13</v>
      </c>
      <c r="J492" s="232"/>
      <c r="K492" s="232">
        <v>7</v>
      </c>
      <c r="L492" s="232">
        <f>IF(K525=K490,L527+AK492,K492)</f>
        <v>7</v>
      </c>
      <c r="M492" s="232">
        <f>IF(K525=K490,0,L527+AK492-K492)</f>
        <v>3</v>
      </c>
      <c r="N492" s="267">
        <v>10</v>
      </c>
      <c r="O492" s="241">
        <f>N492-G492</f>
        <v>-3</v>
      </c>
      <c r="P492" s="277">
        <v>13</v>
      </c>
      <c r="Q492" s="278">
        <v>2</v>
      </c>
      <c r="R492" s="279">
        <v>6</v>
      </c>
      <c r="S492" s="279">
        <v>6</v>
      </c>
      <c r="T492" s="279">
        <v>10</v>
      </c>
      <c r="U492" s="279">
        <v>4</v>
      </c>
      <c r="V492" s="279">
        <v>6</v>
      </c>
      <c r="W492" s="279">
        <v>16</v>
      </c>
      <c r="X492" s="241"/>
      <c r="Y492" s="241">
        <v>6</v>
      </c>
      <c r="Z492" s="241">
        <v>4</v>
      </c>
      <c r="AA492" s="241">
        <v>6</v>
      </c>
      <c r="AB492" s="241">
        <v>14</v>
      </c>
      <c r="AC492" s="241"/>
      <c r="AD492" s="241">
        <v>12</v>
      </c>
      <c r="AE492" s="241">
        <v>6</v>
      </c>
      <c r="AF492" s="241"/>
      <c r="AG492" s="241"/>
      <c r="AH492" s="241"/>
      <c r="AI492" s="241"/>
      <c r="AJ492" s="241">
        <f>N492-V492</f>
        <v>4</v>
      </c>
      <c r="AK492" s="235">
        <f>G527+AL492-G492</f>
        <v>0</v>
      </c>
      <c r="AL492" s="236"/>
      <c r="AM492" s="298">
        <v>4.2</v>
      </c>
      <c r="AN492" s="295">
        <v>9</v>
      </c>
      <c r="AO492" s="296">
        <f>G492/(AN492)</f>
        <v>1.4444444444444444</v>
      </c>
      <c r="AP492" s="297">
        <f>AN492*6</f>
        <v>54</v>
      </c>
      <c r="AQ492" s="290">
        <f>G492+K492</f>
        <v>20</v>
      </c>
      <c r="AR492" s="290">
        <f>IF(G492&lt;G527,(G527-G492+K527-K492),K527-K492)</f>
        <v>3</v>
      </c>
      <c r="AS492" s="290">
        <f>21-8</f>
        <v>13</v>
      </c>
    </row>
    <row r="493" spans="1:45" ht="17.25" thickBot="1" x14ac:dyDescent="0.3">
      <c r="A493" s="464"/>
      <c r="B493" s="285">
        <v>273702</v>
      </c>
      <c r="C493" s="286">
        <v>1135753</v>
      </c>
      <c r="D493" s="286" t="s">
        <v>10</v>
      </c>
      <c r="E493" s="287">
        <v>301000000000</v>
      </c>
      <c r="F493" s="253">
        <f>G528-AK493+AL493</f>
        <v>3</v>
      </c>
      <c r="G493" s="235">
        <v>3</v>
      </c>
      <c r="H493" s="394">
        <v>1</v>
      </c>
      <c r="I493" s="232">
        <v>3</v>
      </c>
      <c r="J493" s="232"/>
      <c r="K493" s="232">
        <v>2</v>
      </c>
      <c r="L493" s="232">
        <f>IF(K525=K490,L528+AK493,K493)</f>
        <v>2</v>
      </c>
      <c r="M493" s="232">
        <f>IF(K525=K490,0,L528+AK493-K493)</f>
        <v>0</v>
      </c>
      <c r="N493" s="232">
        <v>2</v>
      </c>
      <c r="O493" s="241">
        <f>N493-G493</f>
        <v>-1</v>
      </c>
      <c r="P493" s="277"/>
      <c r="Q493" s="278"/>
      <c r="R493" s="279"/>
      <c r="S493" s="279"/>
      <c r="T493" s="279"/>
      <c r="U493" s="279"/>
      <c r="V493" s="279"/>
      <c r="W493" s="279"/>
      <c r="X493" s="241"/>
      <c r="Y493" s="241"/>
      <c r="Z493" s="241"/>
      <c r="AA493" s="241"/>
      <c r="AB493" s="241">
        <v>2</v>
      </c>
      <c r="AC493" s="241"/>
      <c r="AD493" s="241"/>
      <c r="AE493" s="241"/>
      <c r="AF493" s="241"/>
      <c r="AG493" s="241"/>
      <c r="AH493" s="241"/>
      <c r="AI493" s="241"/>
      <c r="AJ493" s="241">
        <f>N493-V493</f>
        <v>2</v>
      </c>
      <c r="AK493" s="235">
        <f>G528+AL493-G493</f>
        <v>0</v>
      </c>
      <c r="AL493" s="236"/>
      <c r="AM493" s="294">
        <f>4/12</f>
        <v>0.33333333333333331</v>
      </c>
      <c r="AN493" s="295">
        <v>2</v>
      </c>
      <c r="AO493" s="296">
        <f>G493/(AN493)</f>
        <v>1.5</v>
      </c>
      <c r="AP493" s="297">
        <f>AN493*6</f>
        <v>12</v>
      </c>
      <c r="AQ493" s="290">
        <f>G493+K493</f>
        <v>5</v>
      </c>
      <c r="AR493" s="290">
        <f>IF(G493&lt;G528,(G528-G493+K528-K493),K528-K493)</f>
        <v>0</v>
      </c>
      <c r="AS493" s="290">
        <f>21-8</f>
        <v>13</v>
      </c>
    </row>
    <row r="494" spans="1:45" ht="17.25" thickBot="1" x14ac:dyDescent="0.3">
      <c r="A494" s="464"/>
      <c r="B494" s="285">
        <v>273698</v>
      </c>
      <c r="C494" s="286">
        <v>1135752</v>
      </c>
      <c r="D494" s="286" t="s">
        <v>11</v>
      </c>
      <c r="E494" s="287">
        <v>701000000000</v>
      </c>
      <c r="F494" s="253">
        <f>G529-AK494+AL494</f>
        <v>1</v>
      </c>
      <c r="G494" s="235">
        <v>1</v>
      </c>
      <c r="H494" s="394">
        <v>2</v>
      </c>
      <c r="I494" s="232">
        <v>1</v>
      </c>
      <c r="J494" s="232"/>
      <c r="K494" s="232">
        <v>0</v>
      </c>
      <c r="L494" s="232">
        <f>IF(K525=K490,L529+AK494,K494)</f>
        <v>0</v>
      </c>
      <c r="M494" s="232">
        <f>IF(K525=K490,0,L529+AK494-K494)</f>
        <v>2</v>
      </c>
      <c r="N494" s="232">
        <v>3</v>
      </c>
      <c r="O494" s="241">
        <f>N494-G494</f>
        <v>2</v>
      </c>
      <c r="P494" s="277">
        <v>2</v>
      </c>
      <c r="Q494" s="278"/>
      <c r="R494" s="279"/>
      <c r="S494" s="279"/>
      <c r="T494" s="279"/>
      <c r="U494" s="279"/>
      <c r="V494" s="279"/>
      <c r="W494" s="279">
        <v>1</v>
      </c>
      <c r="X494" s="241"/>
      <c r="Y494" s="241"/>
      <c r="Z494" s="241"/>
      <c r="AA494" s="241"/>
      <c r="AB494" s="241">
        <v>2</v>
      </c>
      <c r="AC494" s="241"/>
      <c r="AD494" s="241">
        <v>2</v>
      </c>
      <c r="AE494" s="241"/>
      <c r="AF494" s="241"/>
      <c r="AG494" s="241"/>
      <c r="AH494" s="241"/>
      <c r="AI494" s="241"/>
      <c r="AJ494" s="241">
        <f>N494-V494</f>
        <v>3</v>
      </c>
      <c r="AK494" s="235">
        <f>G529+AL494-G494</f>
        <v>0</v>
      </c>
      <c r="AL494" s="236"/>
      <c r="AM494" s="294">
        <f>4/12</f>
        <v>0.33333333333333331</v>
      </c>
      <c r="AN494" s="295">
        <v>2</v>
      </c>
      <c r="AO494" s="296">
        <f>G494/(AN494)</f>
        <v>0.5</v>
      </c>
      <c r="AP494" s="297">
        <f>AN494*6</f>
        <v>12</v>
      </c>
      <c r="AQ494" s="290">
        <f>G494+K494</f>
        <v>1</v>
      </c>
      <c r="AR494" s="290">
        <f>IF(G494&lt;G529,(G529-G494+K529-K494),K529-K494)</f>
        <v>2</v>
      </c>
      <c r="AS494" s="290">
        <f>21-8</f>
        <v>13</v>
      </c>
    </row>
    <row r="495" spans="1:45" ht="17.25" thickBot="1" x14ac:dyDescent="0.3">
      <c r="A495" s="465"/>
      <c r="B495" s="285">
        <v>273680</v>
      </c>
      <c r="C495" s="286">
        <v>1135751</v>
      </c>
      <c r="D495" s="286" t="s">
        <v>12</v>
      </c>
      <c r="E495" s="286" t="s">
        <v>13</v>
      </c>
      <c r="F495" s="254">
        <f>G530-AK495+AL495</f>
        <v>15</v>
      </c>
      <c r="G495" s="237">
        <v>15</v>
      </c>
      <c r="H495" s="395">
        <v>8</v>
      </c>
      <c r="I495" s="238">
        <v>15</v>
      </c>
      <c r="J495" s="238"/>
      <c r="K495" s="238">
        <v>0</v>
      </c>
      <c r="L495" s="238">
        <f>IF(K525=K490,L530+AK495,K495)</f>
        <v>0</v>
      </c>
      <c r="M495" s="238">
        <f>IF(K525=K490,0,L530+AK495-K495)</f>
        <v>8</v>
      </c>
      <c r="N495" s="238">
        <v>9</v>
      </c>
      <c r="O495" s="242">
        <f>N495-G495</f>
        <v>-6</v>
      </c>
      <c r="P495" s="280"/>
      <c r="Q495" s="281"/>
      <c r="R495" s="282"/>
      <c r="S495" s="282"/>
      <c r="T495" s="282">
        <v>11</v>
      </c>
      <c r="U495" s="282"/>
      <c r="V495" s="282"/>
      <c r="W495" s="282">
        <v>9</v>
      </c>
      <c r="X495" s="242"/>
      <c r="Y495" s="242">
        <v>9</v>
      </c>
      <c r="Z495" s="242"/>
      <c r="AA495" s="242"/>
      <c r="AB495" s="242">
        <v>5</v>
      </c>
      <c r="AC495" s="242"/>
      <c r="AD495" s="242">
        <v>5</v>
      </c>
      <c r="AE495" s="242"/>
      <c r="AF495" s="242"/>
      <c r="AG495" s="242"/>
      <c r="AH495" s="242"/>
      <c r="AI495" s="242"/>
      <c r="AJ495" s="242">
        <f>N495-V495</f>
        <v>9</v>
      </c>
      <c r="AK495" s="235">
        <f>G530+AL495-G495</f>
        <v>0</v>
      </c>
      <c r="AL495" s="239"/>
      <c r="AM495" s="299">
        <f>30/12</f>
        <v>2.5</v>
      </c>
      <c r="AN495" s="300">
        <f>AM495*2</f>
        <v>5</v>
      </c>
      <c r="AO495" s="301">
        <f>G495/(AN495)</f>
        <v>3</v>
      </c>
      <c r="AP495" s="302">
        <f>AN495*6</f>
        <v>30</v>
      </c>
      <c r="AQ495" s="290">
        <f>G495+K495</f>
        <v>15</v>
      </c>
      <c r="AR495" s="290">
        <f>IF(G495&lt;G530,(G530-G495+K530-K495),K530-K495)</f>
        <v>8</v>
      </c>
      <c r="AS495" s="290">
        <f>21-8</f>
        <v>13</v>
      </c>
    </row>
    <row r="496" spans="1:45" ht="17.25" thickBot="1" x14ac:dyDescent="0.3">
      <c r="A496" s="466" t="s">
        <v>417</v>
      </c>
      <c r="B496" s="355" t="s">
        <v>129</v>
      </c>
      <c r="C496" s="356"/>
      <c r="D496" s="356"/>
      <c r="E496" s="359"/>
      <c r="F496" s="359"/>
      <c r="G496" s="356"/>
      <c r="H496" s="396"/>
      <c r="I496" s="356"/>
      <c r="J496" s="356"/>
      <c r="K496" s="356"/>
      <c r="L496" s="356"/>
      <c r="M496" s="356"/>
      <c r="N496" s="356"/>
      <c r="O496" s="356"/>
      <c r="P496" s="356"/>
      <c r="Q496" s="356"/>
      <c r="R496" s="356"/>
      <c r="S496" s="356"/>
      <c r="T496" s="356"/>
      <c r="U496" s="356"/>
      <c r="V496" s="356"/>
      <c r="W496" s="356"/>
      <c r="X496" s="356"/>
      <c r="Y496" s="356"/>
      <c r="Z496" s="356"/>
      <c r="AA496" s="356"/>
      <c r="AB496" s="356"/>
      <c r="AC496" s="356"/>
      <c r="AD496" s="356"/>
      <c r="AE496" s="356"/>
      <c r="AF496" s="356"/>
      <c r="AG496" s="356"/>
      <c r="AH496" s="356"/>
      <c r="AI496" s="356"/>
      <c r="AJ496" s="356"/>
      <c r="AK496" s="356"/>
      <c r="AL496" s="367"/>
      <c r="AM496" s="356"/>
      <c r="AN496" s="356"/>
      <c r="AO496" s="356"/>
      <c r="AP496" s="356"/>
      <c r="AQ496" s="356"/>
      <c r="AR496" s="356"/>
      <c r="AS496" s="357"/>
    </row>
    <row r="497" spans="1:45" ht="17.25" thickBot="1" x14ac:dyDescent="0.3">
      <c r="A497" s="467"/>
      <c r="B497" s="354"/>
      <c r="C497" s="354">
        <v>1140327</v>
      </c>
      <c r="D497" s="358" t="s">
        <v>394</v>
      </c>
      <c r="E497" s="360"/>
      <c r="F497" s="361">
        <f>G532-AK497+AL497</f>
        <v>16</v>
      </c>
      <c r="G497" s="218">
        <v>16</v>
      </c>
      <c r="H497" s="397">
        <v>23</v>
      </c>
      <c r="I497" s="218">
        <v>16</v>
      </c>
      <c r="J497" s="218"/>
      <c r="K497" s="218">
        <v>5</v>
      </c>
      <c r="L497" s="218">
        <f>IF(K525=K490,L532+AK497,K497)</f>
        <v>5</v>
      </c>
      <c r="M497" s="218">
        <f>IF(K525=K490,0,L532+AK497-K497)</f>
        <v>2</v>
      </c>
      <c r="N497" s="218"/>
      <c r="O497" s="218"/>
      <c r="P497" s="352"/>
      <c r="Q497" s="352"/>
      <c r="R497" s="352"/>
      <c r="S497" s="352"/>
      <c r="T497" s="352"/>
      <c r="U497" s="352"/>
      <c r="V497" s="218"/>
      <c r="W497" s="218"/>
      <c r="X497" s="218">
        <v>4</v>
      </c>
      <c r="Y497" s="218">
        <v>9</v>
      </c>
      <c r="Z497" s="218">
        <v>14</v>
      </c>
      <c r="AA497" s="218">
        <v>8</v>
      </c>
      <c r="AB497" s="218">
        <f>14+6</f>
        <v>20</v>
      </c>
      <c r="AC497" s="218">
        <v>10</v>
      </c>
      <c r="AD497" s="218">
        <v>12</v>
      </c>
      <c r="AE497" s="218">
        <v>11</v>
      </c>
      <c r="AF497" s="218"/>
      <c r="AG497" s="218"/>
      <c r="AH497" s="218"/>
      <c r="AI497" s="218"/>
      <c r="AJ497" s="242">
        <f>N497-V497</f>
        <v>0</v>
      </c>
      <c r="AK497" s="274">
        <f>G532+AL497-G497</f>
        <v>0</v>
      </c>
      <c r="AL497" s="232"/>
      <c r="AM497" s="353"/>
      <c r="AN497" s="295"/>
      <c r="AO497" s="296"/>
      <c r="AP497" s="353"/>
      <c r="AQ497" s="290"/>
      <c r="AR497" s="290"/>
      <c r="AS497" s="290"/>
    </row>
    <row r="498" spans="1:45" ht="17.25" thickBot="1" x14ac:dyDescent="0.3">
      <c r="A498" s="467"/>
      <c r="B498" s="354"/>
      <c r="C498" s="285">
        <v>1151231</v>
      </c>
      <c r="D498" s="358" t="s">
        <v>395</v>
      </c>
      <c r="E498" s="360"/>
      <c r="F498" s="361">
        <f>G533-AK498+AL498</f>
        <v>11</v>
      </c>
      <c r="G498" s="369">
        <v>11</v>
      </c>
      <c r="H498" s="397">
        <v>13</v>
      </c>
      <c r="I498" s="218">
        <v>11</v>
      </c>
      <c r="J498" s="218"/>
      <c r="K498" s="218">
        <v>4</v>
      </c>
      <c r="L498" s="218">
        <f>IF(K525=K490,L533+AK498,K498)</f>
        <v>4</v>
      </c>
      <c r="M498" s="218">
        <f>IF(K525=K490,0,L533+AK498-K498)</f>
        <v>2</v>
      </c>
      <c r="N498" s="218"/>
      <c r="O498" s="218"/>
      <c r="P498" s="352"/>
      <c r="Q498" s="352"/>
      <c r="R498" s="352"/>
      <c r="S498" s="352"/>
      <c r="T498" s="352"/>
      <c r="U498" s="352"/>
      <c r="V498" s="218"/>
      <c r="W498" s="218"/>
      <c r="X498" s="218">
        <v>3</v>
      </c>
      <c r="Y498" s="218">
        <v>8</v>
      </c>
      <c r="Z498" s="218">
        <v>6</v>
      </c>
      <c r="AA498" s="218"/>
      <c r="AB498" s="218">
        <v>4</v>
      </c>
      <c r="AC498" s="218">
        <v>4</v>
      </c>
      <c r="AD498" s="218">
        <v>4</v>
      </c>
      <c r="AE498" s="218"/>
      <c r="AF498" s="218"/>
      <c r="AG498" s="218"/>
      <c r="AH498" s="218"/>
      <c r="AI498" s="218"/>
      <c r="AJ498" s="242">
        <f>N498-V498</f>
        <v>0</v>
      </c>
      <c r="AK498" s="274">
        <f>G533+AL498-G498</f>
        <v>0</v>
      </c>
      <c r="AL498" s="232"/>
      <c r="AM498" s="353"/>
      <c r="AN498" s="295"/>
      <c r="AO498" s="296"/>
      <c r="AP498" s="353"/>
      <c r="AQ498" s="290"/>
      <c r="AR498" s="290"/>
      <c r="AS498" s="290"/>
    </row>
    <row r="499" spans="1:45" ht="17.25" thickBot="1" x14ac:dyDescent="0.3">
      <c r="A499" s="467"/>
      <c r="B499" s="355" t="s">
        <v>420</v>
      </c>
      <c r="C499" s="356"/>
      <c r="D499" s="356" t="s">
        <v>523</v>
      </c>
      <c r="E499" s="359"/>
      <c r="F499" s="359"/>
      <c r="G499" s="356"/>
      <c r="H499" s="396"/>
      <c r="I499" s="356"/>
      <c r="J499" s="356"/>
      <c r="K499" s="356"/>
      <c r="L499" s="356"/>
      <c r="M499" s="356"/>
      <c r="N499" s="356"/>
      <c r="O499" s="356"/>
      <c r="P499" s="356"/>
      <c r="Q499" s="356"/>
      <c r="R499" s="356"/>
      <c r="S499" s="356"/>
      <c r="T499" s="356"/>
      <c r="U499" s="356"/>
      <c r="V499" s="356"/>
      <c r="W499" s="356"/>
      <c r="X499" s="356"/>
      <c r="Y499" s="356"/>
      <c r="Z499" s="356"/>
      <c r="AA499" s="356"/>
      <c r="AB499" s="356"/>
      <c r="AC499" s="356"/>
      <c r="AD499" s="356"/>
      <c r="AE499" s="356"/>
      <c r="AF499" s="356"/>
      <c r="AG499" s="356"/>
      <c r="AH499" s="356"/>
      <c r="AI499" s="356"/>
      <c r="AJ499" s="356"/>
      <c r="AK499" s="356"/>
      <c r="AL499" s="368"/>
      <c r="AM499" s="356"/>
      <c r="AN499" s="356"/>
      <c r="AO499" s="356"/>
      <c r="AP499" s="356"/>
      <c r="AQ499" s="356"/>
      <c r="AR499" s="356"/>
      <c r="AS499" s="357"/>
    </row>
    <row r="500" spans="1:45" ht="17.25" thickBot="1" x14ac:dyDescent="0.3">
      <c r="A500" s="467"/>
      <c r="B500" s="354"/>
      <c r="C500" s="285">
        <v>1146032</v>
      </c>
      <c r="D500" s="358" t="s">
        <v>396</v>
      </c>
      <c r="E500" s="360"/>
      <c r="F500" s="361">
        <f>G535-AK500+AL500</f>
        <v>1</v>
      </c>
      <c r="G500" s="364">
        <v>1</v>
      </c>
      <c r="H500" s="397">
        <v>1</v>
      </c>
      <c r="I500" s="364">
        <v>1</v>
      </c>
      <c r="J500" s="364"/>
      <c r="K500" s="364">
        <v>2</v>
      </c>
      <c r="L500" s="218"/>
      <c r="M500" s="218"/>
      <c r="N500" s="218"/>
      <c r="O500" s="218"/>
      <c r="P500" s="352"/>
      <c r="Q500" s="352"/>
      <c r="R500" s="352"/>
      <c r="S500" s="352"/>
      <c r="T500" s="352"/>
      <c r="U500" s="352"/>
      <c r="V500" s="218"/>
      <c r="W500" s="218"/>
      <c r="X500" s="218"/>
      <c r="Y500" s="218"/>
      <c r="Z500" s="218"/>
      <c r="AA500" s="218"/>
      <c r="AB500" s="218"/>
      <c r="AC500" s="218"/>
      <c r="AD500" s="218"/>
      <c r="AE500" s="218"/>
      <c r="AF500" s="218"/>
      <c r="AG500" s="218"/>
      <c r="AH500" s="218"/>
      <c r="AI500" s="218"/>
      <c r="AJ500" s="218"/>
      <c r="AK500" s="218">
        <f>G535+AL500-G500</f>
        <v>0</v>
      </c>
      <c r="AL500" s="218"/>
      <c r="AM500" s="353"/>
      <c r="AN500" s="295"/>
      <c r="AO500" s="296"/>
      <c r="AP500" s="353"/>
      <c r="AQ500" s="290"/>
      <c r="AR500" s="290"/>
      <c r="AS500" s="290"/>
    </row>
    <row r="501" spans="1:45" ht="17.25" thickBot="1" x14ac:dyDescent="0.3">
      <c r="A501" s="467"/>
      <c r="B501" s="354"/>
      <c r="C501" s="285">
        <v>1146021</v>
      </c>
      <c r="D501" s="358" t="s">
        <v>397</v>
      </c>
      <c r="E501" s="360"/>
      <c r="F501" s="361">
        <f>G536-AK501+AL501</f>
        <v>0</v>
      </c>
      <c r="G501" s="364">
        <v>0</v>
      </c>
      <c r="H501" s="397">
        <v>2</v>
      </c>
      <c r="I501" s="364">
        <v>0</v>
      </c>
      <c r="J501" s="364"/>
      <c r="K501" s="364">
        <v>0</v>
      </c>
      <c r="L501" s="218"/>
      <c r="M501" s="218"/>
      <c r="N501" s="218"/>
      <c r="O501" s="218"/>
      <c r="P501" s="352"/>
      <c r="Q501" s="352"/>
      <c r="R501" s="352"/>
      <c r="S501" s="352"/>
      <c r="T501" s="352"/>
      <c r="U501" s="352"/>
      <c r="V501" s="218"/>
      <c r="W501" s="218"/>
      <c r="X501" s="218"/>
      <c r="Y501" s="218"/>
      <c r="Z501" s="218"/>
      <c r="AA501" s="218"/>
      <c r="AB501" s="218"/>
      <c r="AC501" s="218"/>
      <c r="AD501" s="218"/>
      <c r="AE501" s="218"/>
      <c r="AF501" s="218"/>
      <c r="AG501" s="218"/>
      <c r="AH501" s="218"/>
      <c r="AI501" s="218"/>
      <c r="AJ501" s="218"/>
      <c r="AK501" s="218">
        <f>G536+AL501-G501</f>
        <v>0</v>
      </c>
      <c r="AL501" s="218"/>
      <c r="AM501" s="353"/>
      <c r="AN501" s="295"/>
      <c r="AO501" s="296"/>
      <c r="AP501" s="353"/>
      <c r="AQ501" s="290"/>
      <c r="AR501" s="290"/>
      <c r="AS501" s="290"/>
    </row>
    <row r="502" spans="1:45" ht="17.25" thickBot="1" x14ac:dyDescent="0.3">
      <c r="A502" s="467"/>
      <c r="B502" s="354"/>
      <c r="C502" s="285">
        <v>1146018</v>
      </c>
      <c r="D502" s="358" t="s">
        <v>398</v>
      </c>
      <c r="E502" s="360"/>
      <c r="F502" s="361">
        <f>G537-AK502+AL502</f>
        <v>4</v>
      </c>
      <c r="G502" s="369">
        <v>4</v>
      </c>
      <c r="H502" s="397">
        <v>1</v>
      </c>
      <c r="I502" s="364">
        <v>4</v>
      </c>
      <c r="J502" s="364"/>
      <c r="K502" s="364">
        <v>2</v>
      </c>
      <c r="L502" s="218"/>
      <c r="M502" s="218"/>
      <c r="N502" s="218"/>
      <c r="O502" s="218"/>
      <c r="P502" s="352"/>
      <c r="Q502" s="352"/>
      <c r="R502" s="352"/>
      <c r="S502" s="352"/>
      <c r="T502" s="352"/>
      <c r="U502" s="352"/>
      <c r="V502" s="218"/>
      <c r="W502" s="218"/>
      <c r="X502" s="218"/>
      <c r="Y502" s="218"/>
      <c r="Z502" s="218"/>
      <c r="AA502" s="218"/>
      <c r="AB502" s="218">
        <v>2</v>
      </c>
      <c r="AC502" s="218"/>
      <c r="AD502" s="218"/>
      <c r="AE502" s="218"/>
      <c r="AF502" s="218"/>
      <c r="AG502" s="218"/>
      <c r="AH502" s="218"/>
      <c r="AI502" s="218"/>
      <c r="AJ502" s="218"/>
      <c r="AK502" s="218">
        <f>G537+AL502-G502</f>
        <v>0</v>
      </c>
      <c r="AL502" s="218"/>
      <c r="AM502" s="353"/>
      <c r="AN502" s="295"/>
      <c r="AO502" s="296"/>
      <c r="AP502" s="353"/>
      <c r="AQ502" s="290"/>
      <c r="AR502" s="290"/>
      <c r="AS502" s="290"/>
    </row>
    <row r="503" spans="1:45" ht="17.25" thickBot="1" x14ac:dyDescent="0.3">
      <c r="A503" s="467"/>
      <c r="B503" s="354"/>
      <c r="C503" s="285">
        <v>1146024</v>
      </c>
      <c r="D503" s="358" t="s">
        <v>399</v>
      </c>
      <c r="E503" s="360"/>
      <c r="F503" s="361">
        <v>1</v>
      </c>
      <c r="G503" s="369">
        <v>4</v>
      </c>
      <c r="H503" s="369">
        <v>2</v>
      </c>
      <c r="I503" s="369">
        <v>4</v>
      </c>
      <c r="J503" s="369"/>
      <c r="K503" s="369">
        <v>0</v>
      </c>
      <c r="L503" s="218"/>
      <c r="M503" s="218"/>
      <c r="N503" s="218"/>
      <c r="O503" s="218"/>
      <c r="P503" s="352"/>
      <c r="Q503" s="352"/>
      <c r="R503" s="352"/>
      <c r="S503" s="352"/>
      <c r="T503" s="352"/>
      <c r="U503" s="352"/>
      <c r="V503" s="218"/>
      <c r="W503" s="218"/>
      <c r="X503" s="218"/>
      <c r="Y503" s="218"/>
      <c r="Z503" s="218"/>
      <c r="AA503" s="218">
        <v>1</v>
      </c>
      <c r="AB503" s="218">
        <v>1</v>
      </c>
      <c r="AC503" s="218"/>
      <c r="AD503" s="218"/>
      <c r="AE503" s="218"/>
      <c r="AF503" s="218"/>
      <c r="AG503" s="218"/>
      <c r="AH503" s="218"/>
      <c r="AI503" s="218"/>
      <c r="AJ503" s="218"/>
      <c r="AK503" s="218">
        <f>G538+AL503-G503</f>
        <v>0</v>
      </c>
      <c r="AL503" s="218"/>
      <c r="AM503" s="353"/>
      <c r="AN503" s="295"/>
      <c r="AO503" s="296"/>
      <c r="AP503" s="353"/>
      <c r="AQ503" s="290"/>
      <c r="AR503" s="290"/>
      <c r="AS503" s="290"/>
    </row>
    <row r="504" spans="1:45" ht="17.25" thickBot="1" x14ac:dyDescent="0.3">
      <c r="A504" s="467"/>
      <c r="B504" s="354"/>
      <c r="C504" s="285">
        <v>1146028</v>
      </c>
      <c r="D504" s="358" t="s">
        <v>400</v>
      </c>
      <c r="E504" s="360"/>
      <c r="F504" s="361">
        <f>G539-AK504+AL504</f>
        <v>3</v>
      </c>
      <c r="G504" s="364">
        <v>3</v>
      </c>
      <c r="H504" s="397">
        <v>2</v>
      </c>
      <c r="I504" s="364">
        <v>3</v>
      </c>
      <c r="J504" s="364"/>
      <c r="K504" s="364">
        <v>1</v>
      </c>
      <c r="L504" s="218"/>
      <c r="M504" s="218"/>
      <c r="N504" s="218"/>
      <c r="O504" s="218"/>
      <c r="P504" s="352"/>
      <c r="Q504" s="352"/>
      <c r="R504" s="352"/>
      <c r="S504" s="352"/>
      <c r="T504" s="352"/>
      <c r="U504" s="352"/>
      <c r="V504" s="218"/>
      <c r="W504" s="218"/>
      <c r="X504" s="218"/>
      <c r="Y504" s="218"/>
      <c r="Z504" s="218"/>
      <c r="AA504" s="218"/>
      <c r="AB504" s="218"/>
      <c r="AC504" s="218"/>
      <c r="AD504" s="218">
        <v>2</v>
      </c>
      <c r="AE504" s="218"/>
      <c r="AF504" s="218"/>
      <c r="AG504" s="218"/>
      <c r="AH504" s="218"/>
      <c r="AI504" s="218"/>
      <c r="AJ504" s="218"/>
      <c r="AK504" s="218">
        <f>G539+AL504-G504</f>
        <v>0</v>
      </c>
      <c r="AL504" s="218"/>
      <c r="AM504" s="353"/>
      <c r="AN504" s="295"/>
      <c r="AO504" s="296"/>
      <c r="AP504" s="353"/>
      <c r="AQ504" s="290"/>
      <c r="AR504" s="290"/>
      <c r="AS504" s="290"/>
    </row>
    <row r="505" spans="1:45" ht="17.25" thickBot="1" x14ac:dyDescent="0.3">
      <c r="A505" s="467"/>
      <c r="B505" s="355" t="s">
        <v>419</v>
      </c>
      <c r="C505" s="356"/>
      <c r="D505" s="356"/>
      <c r="E505" s="359"/>
      <c r="F505" s="359"/>
      <c r="G505" s="356"/>
      <c r="H505" s="396"/>
      <c r="I505" s="356"/>
      <c r="J505" s="356"/>
      <c r="K505" s="356"/>
      <c r="L505" s="356"/>
      <c r="M505" s="356"/>
      <c r="N505" s="356"/>
      <c r="O505" s="356"/>
      <c r="P505" s="356"/>
      <c r="Q505" s="356"/>
      <c r="R505" s="356"/>
      <c r="S505" s="356"/>
      <c r="T505" s="356"/>
      <c r="U505" s="356"/>
      <c r="V505" s="356"/>
      <c r="W505" s="356"/>
      <c r="X505" s="356"/>
      <c r="Y505" s="356"/>
      <c r="Z505" s="356"/>
      <c r="AA505" s="356"/>
      <c r="AB505" s="356"/>
      <c r="AC505" s="356"/>
      <c r="AD505" s="356"/>
      <c r="AE505" s="356"/>
      <c r="AF505" s="356"/>
      <c r="AG505" s="356"/>
      <c r="AH505" s="356"/>
      <c r="AI505" s="356"/>
      <c r="AJ505" s="356"/>
      <c r="AK505" s="356"/>
      <c r="AL505" s="356"/>
      <c r="AM505" s="356"/>
      <c r="AN505" s="356"/>
      <c r="AO505" s="356"/>
      <c r="AP505" s="356"/>
      <c r="AQ505" s="356"/>
      <c r="AR505" s="356"/>
      <c r="AS505" s="357"/>
    </row>
    <row r="506" spans="1:45" ht="17.25" thickBot="1" x14ac:dyDescent="0.3">
      <c r="A506" s="467"/>
      <c r="B506" s="372"/>
      <c r="C506" s="373">
        <v>1146031</v>
      </c>
      <c r="D506" s="374" t="s">
        <v>401</v>
      </c>
      <c r="E506" s="375"/>
      <c r="F506" s="376">
        <f>G541-AK506+AL506</f>
        <v>0</v>
      </c>
      <c r="G506" s="377">
        <v>0</v>
      </c>
      <c r="H506" s="397">
        <v>1</v>
      </c>
      <c r="I506" s="377">
        <v>1</v>
      </c>
      <c r="J506" s="377"/>
      <c r="K506" s="377">
        <v>2</v>
      </c>
      <c r="L506" s="377"/>
      <c r="M506" s="377"/>
      <c r="N506" s="377"/>
      <c r="O506" s="377"/>
      <c r="P506" s="377"/>
      <c r="Q506" s="377"/>
      <c r="R506" s="377"/>
      <c r="S506" s="377"/>
      <c r="T506" s="377"/>
      <c r="U506" s="377"/>
      <c r="V506" s="377"/>
      <c r="W506" s="377"/>
      <c r="X506" s="377"/>
      <c r="Y506" s="377"/>
      <c r="Z506" s="377"/>
      <c r="AA506" s="377"/>
      <c r="AB506" s="377"/>
      <c r="AC506" s="377"/>
      <c r="AD506" s="377"/>
      <c r="AE506" s="377"/>
      <c r="AF506" s="377"/>
      <c r="AG506" s="377"/>
      <c r="AH506" s="377"/>
      <c r="AI506" s="377"/>
      <c r="AJ506" s="377"/>
      <c r="AK506" s="377">
        <f>G541+AL506-G506</f>
        <v>0</v>
      </c>
      <c r="AL506" s="377"/>
      <c r="AM506" s="378"/>
      <c r="AN506" s="379"/>
      <c r="AO506" s="380"/>
      <c r="AP506" s="378"/>
      <c r="AQ506" s="381"/>
      <c r="AR506" s="381"/>
      <c r="AS506" s="381"/>
    </row>
    <row r="507" spans="1:45" ht="17.25" thickBot="1" x14ac:dyDescent="0.3">
      <c r="A507" s="467"/>
      <c r="B507" s="372"/>
      <c r="C507" s="373">
        <v>1146020</v>
      </c>
      <c r="D507" s="374" t="s">
        <v>402</v>
      </c>
      <c r="E507" s="375"/>
      <c r="F507" s="376">
        <f>G542-AK507+AL507</f>
        <v>0</v>
      </c>
      <c r="G507" s="377">
        <v>0</v>
      </c>
      <c r="H507" s="397">
        <v>1</v>
      </c>
      <c r="I507" s="377">
        <v>0</v>
      </c>
      <c r="J507" s="377"/>
      <c r="K507" s="377">
        <v>1</v>
      </c>
      <c r="L507" s="377"/>
      <c r="M507" s="377"/>
      <c r="N507" s="377"/>
      <c r="O507" s="377"/>
      <c r="P507" s="377"/>
      <c r="Q507" s="377"/>
      <c r="R507" s="377"/>
      <c r="S507" s="377"/>
      <c r="T507" s="377"/>
      <c r="U507" s="377"/>
      <c r="V507" s="377"/>
      <c r="W507" s="377"/>
      <c r="X507" s="377"/>
      <c r="Y507" s="377"/>
      <c r="Z507" s="377"/>
      <c r="AA507" s="377"/>
      <c r="AB507" s="377"/>
      <c r="AC507" s="377"/>
      <c r="AD507" s="377"/>
      <c r="AE507" s="377"/>
      <c r="AF507" s="377"/>
      <c r="AG507" s="377"/>
      <c r="AH507" s="377"/>
      <c r="AI507" s="377"/>
      <c r="AJ507" s="377"/>
      <c r="AK507" s="377">
        <f>G542+AL507-G507</f>
        <v>0</v>
      </c>
      <c r="AL507" s="377"/>
      <c r="AM507" s="378"/>
      <c r="AN507" s="379"/>
      <c r="AO507" s="380"/>
      <c r="AP507" s="378"/>
      <c r="AQ507" s="381"/>
      <c r="AR507" s="381"/>
      <c r="AS507" s="381"/>
    </row>
    <row r="508" spans="1:45" ht="17.25" thickBot="1" x14ac:dyDescent="0.3">
      <c r="A508" s="467"/>
      <c r="B508" s="372"/>
      <c r="C508" s="373">
        <v>1146016</v>
      </c>
      <c r="D508" s="374" t="s">
        <v>398</v>
      </c>
      <c r="E508" s="375"/>
      <c r="F508" s="376">
        <f>G543-AK508+AL508</f>
        <v>0</v>
      </c>
      <c r="G508" s="377">
        <v>0</v>
      </c>
      <c r="H508" s="397">
        <v>1</v>
      </c>
      <c r="I508" s="377">
        <v>0</v>
      </c>
      <c r="J508" s="377"/>
      <c r="K508" s="377">
        <v>0</v>
      </c>
      <c r="L508" s="377"/>
      <c r="M508" s="377"/>
      <c r="N508" s="377"/>
      <c r="O508" s="377"/>
      <c r="P508" s="377"/>
      <c r="Q508" s="377"/>
      <c r="R508" s="377"/>
      <c r="S508" s="377"/>
      <c r="T508" s="377"/>
      <c r="U508" s="377"/>
      <c r="V508" s="377"/>
      <c r="W508" s="377"/>
      <c r="X508" s="377"/>
      <c r="Y508" s="377"/>
      <c r="Z508" s="377"/>
      <c r="AA508" s="377"/>
      <c r="AB508" s="377"/>
      <c r="AC508" s="377"/>
      <c r="AD508" s="377"/>
      <c r="AE508" s="377"/>
      <c r="AF508" s="377"/>
      <c r="AG508" s="377"/>
      <c r="AH508" s="377"/>
      <c r="AI508" s="377"/>
      <c r="AJ508" s="377"/>
      <c r="AK508" s="377">
        <f>G543+AL508-G508</f>
        <v>0</v>
      </c>
      <c r="AL508" s="377"/>
      <c r="AM508" s="378"/>
      <c r="AN508" s="379"/>
      <c r="AO508" s="380"/>
      <c r="AP508" s="378"/>
      <c r="AQ508" s="381"/>
      <c r="AR508" s="381"/>
      <c r="AS508" s="381"/>
    </row>
    <row r="509" spans="1:45" ht="17.25" thickBot="1" x14ac:dyDescent="0.3">
      <c r="A509" s="467"/>
      <c r="B509" s="372"/>
      <c r="C509" s="373">
        <v>1146022</v>
      </c>
      <c r="D509" s="374" t="s">
        <v>403</v>
      </c>
      <c r="E509" s="375"/>
      <c r="F509" s="376">
        <f>G544-AK509+AL509</f>
        <v>0</v>
      </c>
      <c r="G509" s="377">
        <v>0</v>
      </c>
      <c r="H509" s="397">
        <v>2</v>
      </c>
      <c r="I509" s="377">
        <v>0</v>
      </c>
      <c r="J509" s="377"/>
      <c r="K509" s="377">
        <v>0</v>
      </c>
      <c r="L509" s="377"/>
      <c r="M509" s="377"/>
      <c r="N509" s="377"/>
      <c r="O509" s="377"/>
      <c r="P509" s="377"/>
      <c r="Q509" s="377"/>
      <c r="R509" s="377"/>
      <c r="S509" s="377"/>
      <c r="T509" s="377"/>
      <c r="U509" s="377"/>
      <c r="V509" s="377"/>
      <c r="W509" s="377"/>
      <c r="X509" s="377"/>
      <c r="Y509" s="377"/>
      <c r="Z509" s="377"/>
      <c r="AA509" s="377"/>
      <c r="AB509" s="377"/>
      <c r="AC509" s="377"/>
      <c r="AD509" s="377"/>
      <c r="AE509" s="377"/>
      <c r="AF509" s="377"/>
      <c r="AG509" s="377"/>
      <c r="AH509" s="377"/>
      <c r="AI509" s="377"/>
      <c r="AJ509" s="377"/>
      <c r="AK509" s="377">
        <f>G544+AL509-G509</f>
        <v>0</v>
      </c>
      <c r="AL509" s="377"/>
      <c r="AM509" s="378"/>
      <c r="AN509" s="379"/>
      <c r="AO509" s="380"/>
      <c r="AP509" s="378"/>
      <c r="AQ509" s="381"/>
      <c r="AR509" s="381"/>
      <c r="AS509" s="381"/>
    </row>
    <row r="510" spans="1:45" ht="17.25" thickBot="1" x14ac:dyDescent="0.3">
      <c r="A510" s="467"/>
      <c r="B510" s="372"/>
      <c r="C510" s="373">
        <v>1146027</v>
      </c>
      <c r="D510" s="374" t="s">
        <v>404</v>
      </c>
      <c r="E510" s="375"/>
      <c r="F510" s="376">
        <f>G545-AK510+AL510</f>
        <v>0</v>
      </c>
      <c r="G510" s="377">
        <v>0</v>
      </c>
      <c r="H510" s="397">
        <v>2</v>
      </c>
      <c r="I510" s="377">
        <v>1</v>
      </c>
      <c r="J510" s="377"/>
      <c r="K510" s="377">
        <v>1</v>
      </c>
      <c r="L510" s="377"/>
      <c r="M510" s="377"/>
      <c r="N510" s="377"/>
      <c r="O510" s="377"/>
      <c r="P510" s="377"/>
      <c r="Q510" s="377"/>
      <c r="R510" s="377"/>
      <c r="S510" s="377"/>
      <c r="T510" s="377"/>
      <c r="U510" s="377"/>
      <c r="V510" s="377"/>
      <c r="W510" s="377"/>
      <c r="X510" s="377"/>
      <c r="Y510" s="377"/>
      <c r="Z510" s="377"/>
      <c r="AA510" s="377"/>
      <c r="AB510" s="377"/>
      <c r="AC510" s="377"/>
      <c r="AD510" s="377"/>
      <c r="AE510" s="377"/>
      <c r="AF510" s="377"/>
      <c r="AG510" s="377"/>
      <c r="AH510" s="377"/>
      <c r="AI510" s="377"/>
      <c r="AJ510" s="377"/>
      <c r="AK510" s="377">
        <f>G545+AL510-G510</f>
        <v>0</v>
      </c>
      <c r="AL510" s="377"/>
      <c r="AM510" s="378"/>
      <c r="AN510" s="379"/>
      <c r="AO510" s="380"/>
      <c r="AP510" s="378"/>
      <c r="AQ510" s="381"/>
      <c r="AR510" s="381"/>
      <c r="AS510" s="381"/>
    </row>
    <row r="511" spans="1:45" ht="17.25" thickBot="1" x14ac:dyDescent="0.3">
      <c r="A511" s="467"/>
      <c r="B511" s="355" t="s">
        <v>418</v>
      </c>
      <c r="C511" s="356"/>
      <c r="D511" s="356"/>
      <c r="E511" s="359"/>
      <c r="F511" s="359"/>
      <c r="G511" s="356"/>
      <c r="H511" s="396"/>
      <c r="I511" s="356"/>
      <c r="J511" s="356"/>
      <c r="K511" s="356"/>
      <c r="L511" s="356"/>
      <c r="M511" s="356"/>
      <c r="N511" s="356"/>
      <c r="O511" s="356"/>
      <c r="P511" s="356"/>
      <c r="Q511" s="356"/>
      <c r="R511" s="356"/>
      <c r="S511" s="356"/>
      <c r="T511" s="356"/>
      <c r="U511" s="356"/>
      <c r="V511" s="356"/>
      <c r="W511" s="356"/>
      <c r="X511" s="356"/>
      <c r="Y511" s="356"/>
      <c r="Z511" s="356"/>
      <c r="AA511" s="356"/>
      <c r="AB511" s="356"/>
      <c r="AC511" s="356"/>
      <c r="AD511" s="356"/>
      <c r="AE511" s="356"/>
      <c r="AF511" s="356"/>
      <c r="AG511" s="356"/>
      <c r="AH511" s="356"/>
      <c r="AI511" s="356"/>
      <c r="AJ511" s="356"/>
      <c r="AK511" s="356"/>
      <c r="AL511" s="356"/>
      <c r="AM511" s="356"/>
      <c r="AN511" s="356"/>
      <c r="AO511" s="356"/>
      <c r="AP511" s="356"/>
      <c r="AQ511" s="356"/>
      <c r="AR511" s="356"/>
      <c r="AS511" s="357"/>
    </row>
    <row r="512" spans="1:45" ht="17.25" thickBot="1" x14ac:dyDescent="0.3">
      <c r="A512" s="467"/>
      <c r="B512" s="354"/>
      <c r="C512" s="285">
        <v>1151653</v>
      </c>
      <c r="D512" s="358" t="s">
        <v>405</v>
      </c>
      <c r="E512" s="360"/>
      <c r="F512" s="361">
        <f>G547-AK512+AL512</f>
        <v>2</v>
      </c>
      <c r="G512" s="364">
        <v>2</v>
      </c>
      <c r="H512" s="397">
        <v>1</v>
      </c>
      <c r="I512" s="364">
        <v>2</v>
      </c>
      <c r="J512" s="364"/>
      <c r="K512" s="364">
        <v>1</v>
      </c>
      <c r="L512" s="218"/>
      <c r="M512" s="218"/>
      <c r="N512" s="218"/>
      <c r="O512" s="218"/>
      <c r="P512" s="352"/>
      <c r="Q512" s="352"/>
      <c r="R512" s="352"/>
      <c r="S512" s="352"/>
      <c r="T512" s="352"/>
      <c r="U512" s="352"/>
      <c r="V512" s="218"/>
      <c r="W512" s="218"/>
      <c r="X512" s="218"/>
      <c r="Y512" s="218"/>
      <c r="Z512" s="218"/>
      <c r="AA512" s="218"/>
      <c r="AB512" s="218"/>
      <c r="AC512" s="218"/>
      <c r="AD512" s="218"/>
      <c r="AE512" s="218"/>
      <c r="AF512" s="218"/>
      <c r="AG512" s="218"/>
      <c r="AH512" s="218"/>
      <c r="AI512" s="218"/>
      <c r="AJ512" s="218"/>
      <c r="AK512" s="218">
        <f>G547+AL512-G512</f>
        <v>0</v>
      </c>
      <c r="AL512" s="218"/>
      <c r="AM512" s="353"/>
      <c r="AN512" s="295"/>
      <c r="AO512" s="296"/>
      <c r="AP512" s="353"/>
      <c r="AQ512" s="290"/>
      <c r="AR512" s="290"/>
      <c r="AS512" s="290"/>
    </row>
    <row r="513" spans="1:45" ht="17.25" thickBot="1" x14ac:dyDescent="0.3">
      <c r="A513" s="467"/>
      <c r="B513" s="354"/>
      <c r="C513" s="285">
        <v>1151650</v>
      </c>
      <c r="D513" s="358" t="s">
        <v>406</v>
      </c>
      <c r="E513" s="360"/>
      <c r="F513" s="361">
        <f>G548-AK513+AL513</f>
        <v>0</v>
      </c>
      <c r="G513" s="364">
        <v>0</v>
      </c>
      <c r="H513" s="397">
        <v>2</v>
      </c>
      <c r="I513" s="364">
        <v>0</v>
      </c>
      <c r="J513" s="364"/>
      <c r="K513" s="364">
        <v>5</v>
      </c>
      <c r="L513" s="218"/>
      <c r="M513" s="218"/>
      <c r="N513" s="218"/>
      <c r="O513" s="218"/>
      <c r="P513" s="352"/>
      <c r="Q513" s="352"/>
      <c r="R513" s="352"/>
      <c r="S513" s="352"/>
      <c r="T513" s="352"/>
      <c r="U513" s="352"/>
      <c r="V513" s="218"/>
      <c r="W513" s="218"/>
      <c r="X513" s="218"/>
      <c r="Y513" s="218"/>
      <c r="Z513" s="218"/>
      <c r="AA513" s="218"/>
      <c r="AB513" s="218"/>
      <c r="AC513" s="218"/>
      <c r="AD513" s="218"/>
      <c r="AE513" s="218"/>
      <c r="AF513" s="218"/>
      <c r="AG513" s="218"/>
      <c r="AH513" s="218"/>
      <c r="AI513" s="218"/>
      <c r="AJ513" s="218"/>
      <c r="AK513" s="218">
        <f>G548+AL513-G513</f>
        <v>0</v>
      </c>
      <c r="AL513" s="218"/>
      <c r="AM513" s="353"/>
      <c r="AN513" s="295"/>
      <c r="AO513" s="296"/>
      <c r="AP513" s="353"/>
      <c r="AQ513" s="290"/>
      <c r="AR513" s="290"/>
      <c r="AS513" s="290"/>
    </row>
    <row r="514" spans="1:45" ht="17.25" thickBot="1" x14ac:dyDescent="0.3">
      <c r="A514" s="467"/>
      <c r="B514" s="354"/>
      <c r="C514" s="285">
        <v>1151649</v>
      </c>
      <c r="D514" s="358" t="s">
        <v>407</v>
      </c>
      <c r="E514" s="360"/>
      <c r="F514" s="361">
        <f>G549-AK514+AL514</f>
        <v>0</v>
      </c>
      <c r="G514" s="369">
        <v>0</v>
      </c>
      <c r="H514" s="369">
        <v>4</v>
      </c>
      <c r="I514" s="369">
        <v>0</v>
      </c>
      <c r="J514" s="369"/>
      <c r="K514" s="369">
        <v>2</v>
      </c>
      <c r="L514" s="218"/>
      <c r="M514" s="218"/>
      <c r="N514" s="218"/>
      <c r="O514" s="218"/>
      <c r="P514" s="352"/>
      <c r="Q514" s="352"/>
      <c r="R514" s="352"/>
      <c r="S514" s="352"/>
      <c r="T514" s="352"/>
      <c r="U514" s="352"/>
      <c r="V514" s="218"/>
      <c r="W514" s="218"/>
      <c r="X514" s="218"/>
      <c r="Y514" s="218"/>
      <c r="Z514" s="218"/>
      <c r="AA514" s="218"/>
      <c r="AB514" s="218">
        <v>2</v>
      </c>
      <c r="AC514" s="218"/>
      <c r="AD514" s="218">
        <v>2</v>
      </c>
      <c r="AE514" s="218"/>
      <c r="AF514" s="218"/>
      <c r="AG514" s="218"/>
      <c r="AH514" s="218"/>
      <c r="AI514" s="218"/>
      <c r="AJ514" s="218"/>
      <c r="AK514" s="218">
        <f>G549+AL514-G514</f>
        <v>0</v>
      </c>
      <c r="AL514" s="218"/>
      <c r="AM514" s="353"/>
      <c r="AN514" s="295"/>
      <c r="AO514" s="296"/>
      <c r="AP514" s="353"/>
      <c r="AQ514" s="290"/>
      <c r="AR514" s="290"/>
      <c r="AS514" s="290"/>
    </row>
    <row r="515" spans="1:45" ht="17.25" thickBot="1" x14ac:dyDescent="0.3">
      <c r="A515" s="467"/>
      <c r="B515" s="354"/>
      <c r="C515" s="285">
        <v>1151651</v>
      </c>
      <c r="D515" s="358" t="s">
        <v>408</v>
      </c>
      <c r="E515" s="360"/>
      <c r="F515" s="361">
        <f>G550-AK515+AL515</f>
        <v>2</v>
      </c>
      <c r="G515" s="369">
        <v>2</v>
      </c>
      <c r="H515" s="369">
        <v>1</v>
      </c>
      <c r="I515" s="369">
        <v>2</v>
      </c>
      <c r="J515" s="369"/>
      <c r="K515" s="369">
        <v>3</v>
      </c>
      <c r="L515" s="218"/>
      <c r="M515" s="218"/>
      <c r="N515" s="218"/>
      <c r="O515" s="218"/>
      <c r="P515" s="352"/>
      <c r="Q515" s="352"/>
      <c r="R515" s="352"/>
      <c r="S515" s="352"/>
      <c r="T515" s="352"/>
      <c r="U515" s="352"/>
      <c r="V515" s="218"/>
      <c r="W515" s="218"/>
      <c r="X515" s="218"/>
      <c r="Y515" s="218"/>
      <c r="Z515" s="218">
        <v>2</v>
      </c>
      <c r="AA515" s="218"/>
      <c r="AB515" s="218">
        <v>2</v>
      </c>
      <c r="AC515" s="218"/>
      <c r="AD515" s="218">
        <v>3</v>
      </c>
      <c r="AE515" s="218"/>
      <c r="AF515" s="218"/>
      <c r="AG515" s="218"/>
      <c r="AH515" s="218"/>
      <c r="AI515" s="218"/>
      <c r="AJ515" s="218"/>
      <c r="AK515" s="218">
        <f>G550+AL515-G515</f>
        <v>0</v>
      </c>
      <c r="AL515" s="218"/>
      <c r="AM515" s="353"/>
      <c r="AN515" s="295"/>
      <c r="AO515" s="296"/>
      <c r="AP515" s="353"/>
      <c r="AQ515" s="290"/>
      <c r="AR515" s="290"/>
      <c r="AS515" s="290"/>
    </row>
    <row r="516" spans="1:45" ht="17.25" thickBot="1" x14ac:dyDescent="0.3">
      <c r="A516" s="467"/>
      <c r="B516" s="354"/>
      <c r="C516" s="285">
        <v>1146029</v>
      </c>
      <c r="D516" s="358" t="s">
        <v>409</v>
      </c>
      <c r="E516" s="360"/>
      <c r="F516" s="361">
        <f>G551-AK516+AL516</f>
        <v>4</v>
      </c>
      <c r="G516" s="369">
        <v>4</v>
      </c>
      <c r="H516" s="369">
        <v>2</v>
      </c>
      <c r="I516" s="369">
        <v>4</v>
      </c>
      <c r="J516" s="369"/>
      <c r="K516" s="369">
        <v>2</v>
      </c>
      <c r="L516" s="218"/>
      <c r="M516" s="218"/>
      <c r="N516" s="218"/>
      <c r="O516" s="218"/>
      <c r="P516" s="352"/>
      <c r="Q516" s="352"/>
      <c r="R516" s="352"/>
      <c r="S516" s="352"/>
      <c r="T516" s="352"/>
      <c r="U516" s="352"/>
      <c r="V516" s="218"/>
      <c r="W516" s="218"/>
      <c r="X516" s="218"/>
      <c r="Y516" s="218"/>
      <c r="Z516" s="218"/>
      <c r="AA516" s="218"/>
      <c r="AB516" s="218"/>
      <c r="AC516" s="218">
        <v>2</v>
      </c>
      <c r="AD516" s="218"/>
      <c r="AE516" s="218"/>
      <c r="AF516" s="218"/>
      <c r="AG516" s="218"/>
      <c r="AH516" s="218"/>
      <c r="AI516" s="218"/>
      <c r="AJ516" s="218"/>
      <c r="AK516" s="218">
        <f>G551+AL516-G516</f>
        <v>0</v>
      </c>
      <c r="AL516" s="218"/>
      <c r="AM516" s="353"/>
      <c r="AN516" s="295"/>
      <c r="AO516" s="296"/>
      <c r="AP516" s="353"/>
      <c r="AQ516" s="290"/>
      <c r="AR516" s="290"/>
      <c r="AS516" s="290"/>
    </row>
    <row r="517" spans="1:45" ht="17.25" thickBot="1" x14ac:dyDescent="0.3">
      <c r="A517" s="467"/>
      <c r="B517" s="355" t="s">
        <v>410</v>
      </c>
      <c r="C517" s="356"/>
      <c r="D517" s="356"/>
      <c r="E517" s="359"/>
      <c r="F517" s="359"/>
      <c r="G517" s="356"/>
      <c r="H517" s="396"/>
      <c r="I517" s="356"/>
      <c r="J517" s="356"/>
      <c r="K517" s="356"/>
      <c r="L517" s="356"/>
      <c r="M517" s="356"/>
      <c r="N517" s="356"/>
      <c r="O517" s="356"/>
      <c r="P517" s="356"/>
      <c r="Q517" s="356"/>
      <c r="R517" s="356"/>
      <c r="S517" s="356"/>
      <c r="T517" s="356"/>
      <c r="U517" s="356"/>
      <c r="V517" s="356"/>
      <c r="W517" s="356"/>
      <c r="X517" s="356"/>
      <c r="Y517" s="356"/>
      <c r="Z517" s="356"/>
      <c r="AA517" s="356"/>
      <c r="AB517" s="356"/>
      <c r="AC517" s="356"/>
      <c r="AD517" s="356"/>
      <c r="AE517" s="356"/>
      <c r="AF517" s="356"/>
      <c r="AG517" s="356"/>
      <c r="AH517" s="356"/>
      <c r="AI517" s="356"/>
      <c r="AJ517" s="356"/>
      <c r="AK517" s="356"/>
      <c r="AL517" s="356"/>
      <c r="AM517" s="356"/>
      <c r="AN517" s="356"/>
      <c r="AO517" s="356"/>
      <c r="AP517" s="356"/>
      <c r="AQ517" s="356"/>
      <c r="AR517" s="356"/>
      <c r="AS517" s="357"/>
    </row>
    <row r="518" spans="1:45" ht="17.25" thickBot="1" x14ac:dyDescent="0.3">
      <c r="A518" s="467"/>
      <c r="B518" s="354"/>
      <c r="C518" s="285">
        <v>1699118</v>
      </c>
      <c r="D518" s="358" t="s">
        <v>411</v>
      </c>
      <c r="E518" s="360"/>
      <c r="F518" s="361">
        <f>G553-AK518+AL518</f>
        <v>1</v>
      </c>
      <c r="G518" s="369">
        <v>1</v>
      </c>
      <c r="H518" s="369">
        <v>1</v>
      </c>
      <c r="I518" s="369">
        <v>1</v>
      </c>
      <c r="J518" s="369"/>
      <c r="K518" s="369">
        <v>0</v>
      </c>
      <c r="L518" s="218"/>
      <c r="M518" s="218"/>
      <c r="N518" s="218"/>
      <c r="O518" s="218"/>
      <c r="P518" s="352"/>
      <c r="Q518" s="352"/>
      <c r="R518" s="352"/>
      <c r="S518" s="352"/>
      <c r="T518" s="352"/>
      <c r="U518" s="352"/>
      <c r="V518" s="218"/>
      <c r="W518" s="218"/>
      <c r="X518" s="218"/>
      <c r="Y518" s="218"/>
      <c r="Z518" s="218"/>
      <c r="AA518" s="218"/>
      <c r="AB518" s="218">
        <v>1</v>
      </c>
      <c r="AC518" s="218"/>
      <c r="AD518" s="218"/>
      <c r="AE518" s="218"/>
      <c r="AF518" s="218"/>
      <c r="AG518" s="218"/>
      <c r="AH518" s="218"/>
      <c r="AI518" s="218"/>
      <c r="AJ518" s="218"/>
      <c r="AK518" s="218">
        <f>G553+AL518-G518</f>
        <v>0</v>
      </c>
      <c r="AL518" s="218"/>
      <c r="AM518" s="353"/>
      <c r="AN518" s="295"/>
      <c r="AO518" s="296"/>
      <c r="AP518" s="353"/>
      <c r="AQ518" s="290"/>
      <c r="AR518" s="290"/>
      <c r="AS518" s="290"/>
    </row>
    <row r="519" spans="1:45" ht="17.25" thickBot="1" x14ac:dyDescent="0.3">
      <c r="A519" s="467"/>
      <c r="B519" s="354"/>
      <c r="C519" s="285">
        <v>1699119</v>
      </c>
      <c r="D519" s="358" t="s">
        <v>412</v>
      </c>
      <c r="E519" s="360"/>
      <c r="F519" s="361">
        <f>G554-AK519+AL519</f>
        <v>5</v>
      </c>
      <c r="G519" s="369">
        <v>5</v>
      </c>
      <c r="H519" s="369">
        <v>1</v>
      </c>
      <c r="I519" s="369">
        <v>5</v>
      </c>
      <c r="J519" s="369"/>
      <c r="K519" s="369">
        <v>1</v>
      </c>
      <c r="L519" s="218"/>
      <c r="M519" s="218"/>
      <c r="N519" s="218"/>
      <c r="O519" s="218"/>
      <c r="P519" s="352"/>
      <c r="Q519" s="352"/>
      <c r="R519" s="352"/>
      <c r="S519" s="352"/>
      <c r="T519" s="352"/>
      <c r="U519" s="352"/>
      <c r="V519" s="218"/>
      <c r="W519" s="218"/>
      <c r="X519" s="218"/>
      <c r="Y519" s="218"/>
      <c r="Z519" s="218"/>
      <c r="AA519" s="218"/>
      <c r="AB519" s="218">
        <v>2</v>
      </c>
      <c r="AC519" s="218"/>
      <c r="AD519" s="218"/>
      <c r="AE519" s="218"/>
      <c r="AF519" s="218"/>
      <c r="AG519" s="218"/>
      <c r="AH519" s="218"/>
      <c r="AI519" s="218"/>
      <c r="AJ519" s="218"/>
      <c r="AK519" s="218">
        <f>G554+AL519-G519</f>
        <v>0</v>
      </c>
      <c r="AL519" s="218"/>
      <c r="AM519" s="353"/>
      <c r="AN519" s="295"/>
      <c r="AO519" s="296"/>
      <c r="AP519" s="353"/>
      <c r="AQ519" s="290"/>
      <c r="AR519" s="290"/>
      <c r="AS519" s="290"/>
    </row>
    <row r="520" spans="1:45" ht="17.25" thickBot="1" x14ac:dyDescent="0.3">
      <c r="A520" s="467"/>
      <c r="B520" s="354"/>
      <c r="C520" s="285">
        <v>1699130</v>
      </c>
      <c r="D520" s="358" t="s">
        <v>413</v>
      </c>
      <c r="E520" s="360"/>
      <c r="F520" s="361">
        <f>G555-AK520+AL520</f>
        <v>0</v>
      </c>
      <c r="G520" s="369">
        <v>0</v>
      </c>
      <c r="H520" s="369">
        <v>4</v>
      </c>
      <c r="I520" s="369">
        <v>0</v>
      </c>
      <c r="J520" s="369"/>
      <c r="K520" s="369">
        <v>0</v>
      </c>
      <c r="L520" s="218"/>
      <c r="M520" s="218"/>
      <c r="N520" s="218"/>
      <c r="O520" s="218"/>
      <c r="P520" s="352"/>
      <c r="Q520" s="352"/>
      <c r="R520" s="352"/>
      <c r="S520" s="352"/>
      <c r="T520" s="352"/>
      <c r="U520" s="352"/>
      <c r="V520" s="218"/>
      <c r="W520" s="218"/>
      <c r="X520" s="218"/>
      <c r="Y520" s="218"/>
      <c r="Z520" s="218"/>
      <c r="AA520" s="218">
        <v>2</v>
      </c>
      <c r="AB520" s="218"/>
      <c r="AC520" s="218"/>
      <c r="AD520" s="218">
        <v>4</v>
      </c>
      <c r="AE520" s="218"/>
      <c r="AF520" s="218"/>
      <c r="AG520" s="218"/>
      <c r="AH520" s="218"/>
      <c r="AI520" s="218"/>
      <c r="AJ520" s="218"/>
      <c r="AK520" s="218">
        <f>G555+AL520-G520</f>
        <v>0</v>
      </c>
      <c r="AL520" s="218"/>
      <c r="AM520" s="353"/>
      <c r="AN520" s="295"/>
      <c r="AO520" s="296"/>
      <c r="AP520" s="353"/>
      <c r="AQ520" s="290"/>
      <c r="AR520" s="290"/>
      <c r="AS520" s="290"/>
    </row>
    <row r="521" spans="1:45" ht="17.25" thickBot="1" x14ac:dyDescent="0.3">
      <c r="A521" s="467"/>
      <c r="B521" s="354"/>
      <c r="C521" s="285">
        <v>1699131</v>
      </c>
      <c r="D521" s="358" t="s">
        <v>414</v>
      </c>
      <c r="E521" s="360"/>
      <c r="F521" s="361">
        <f>G556-AK521+AL521</f>
        <v>5</v>
      </c>
      <c r="G521" s="369">
        <v>5</v>
      </c>
      <c r="H521" s="397">
        <v>3</v>
      </c>
      <c r="I521" s="369">
        <v>5</v>
      </c>
      <c r="J521" s="369"/>
      <c r="K521" s="364">
        <v>0</v>
      </c>
      <c r="L521" s="218"/>
      <c r="M521" s="218"/>
      <c r="N521" s="218"/>
      <c r="O521" s="218"/>
      <c r="P521" s="352"/>
      <c r="Q521" s="352"/>
      <c r="R521" s="352"/>
      <c r="S521" s="352"/>
      <c r="T521" s="352"/>
      <c r="U521" s="352"/>
      <c r="V521" s="218"/>
      <c r="W521" s="218"/>
      <c r="X521" s="218"/>
      <c r="Y521" s="218"/>
      <c r="Z521" s="218"/>
      <c r="AA521" s="218"/>
      <c r="AB521" s="218">
        <v>1</v>
      </c>
      <c r="AC521" s="218"/>
      <c r="AD521" s="218"/>
      <c r="AE521" s="218"/>
      <c r="AF521" s="218"/>
      <c r="AG521" s="218"/>
      <c r="AH521" s="218"/>
      <c r="AI521" s="218"/>
      <c r="AJ521" s="218"/>
      <c r="AK521" s="218">
        <f>G556+AL521-G521</f>
        <v>0</v>
      </c>
      <c r="AL521" s="218"/>
      <c r="AM521" s="353"/>
      <c r="AN521" s="295"/>
      <c r="AO521" s="296"/>
      <c r="AP521" s="353"/>
      <c r="AQ521" s="290"/>
      <c r="AR521" s="290"/>
      <c r="AS521" s="290"/>
    </row>
    <row r="522" spans="1:45" ht="17.25" thickBot="1" x14ac:dyDescent="0.3">
      <c r="A522" s="468"/>
      <c r="B522" s="354"/>
      <c r="C522" s="285">
        <v>1699132</v>
      </c>
      <c r="D522" s="358" t="s">
        <v>415</v>
      </c>
      <c r="E522" s="285"/>
      <c r="F522" s="362">
        <f>G557-AK522+AL522</f>
        <v>3</v>
      </c>
      <c r="G522" s="364">
        <v>3</v>
      </c>
      <c r="H522" s="397">
        <v>3</v>
      </c>
      <c r="I522" s="364">
        <v>3</v>
      </c>
      <c r="J522" s="364"/>
      <c r="K522" s="364">
        <v>0</v>
      </c>
      <c r="L522" s="218"/>
      <c r="M522" s="218"/>
      <c r="N522" s="218"/>
      <c r="O522" s="218"/>
      <c r="P522" s="352"/>
      <c r="Q522" s="352"/>
      <c r="R522" s="352"/>
      <c r="S522" s="352"/>
      <c r="T522" s="352"/>
      <c r="U522" s="352"/>
      <c r="V522" s="218"/>
      <c r="W522" s="218"/>
      <c r="X522" s="218"/>
      <c r="Y522" s="218"/>
      <c r="Z522" s="218"/>
      <c r="AA522" s="218"/>
      <c r="AB522" s="218"/>
      <c r="AC522" s="218"/>
      <c r="AD522" s="218"/>
      <c r="AE522" s="218"/>
      <c r="AF522" s="218"/>
      <c r="AG522" s="218"/>
      <c r="AH522" s="218"/>
      <c r="AI522" s="218"/>
      <c r="AJ522" s="218"/>
      <c r="AK522" s="218">
        <f>G557+AL522-G522</f>
        <v>0</v>
      </c>
      <c r="AL522" s="218"/>
      <c r="AM522" s="353"/>
      <c r="AN522" s="295"/>
      <c r="AO522" s="296"/>
      <c r="AP522" s="353"/>
      <c r="AQ522" s="290"/>
      <c r="AR522" s="290"/>
      <c r="AS522" s="290"/>
    </row>
    <row r="523" spans="1:45" x14ac:dyDescent="0.25">
      <c r="AL523" s="290"/>
      <c r="AM523" s="290"/>
      <c r="AN523" s="290"/>
      <c r="AO523" s="290"/>
    </row>
    <row r="524" spans="1:45" ht="14.25" thickBot="1" x14ac:dyDescent="0.3">
      <c r="B524" s="338" t="s">
        <v>18</v>
      </c>
      <c r="C524" s="339">
        <v>45761</v>
      </c>
      <c r="AA524" s="290">
        <v>0</v>
      </c>
      <c r="AL524" s="290"/>
      <c r="AM524" s="290"/>
      <c r="AN524" s="290"/>
      <c r="AO524" s="290"/>
      <c r="AP524" s="290"/>
    </row>
    <row r="525" spans="1:45" ht="41.25" thickBot="1" x14ac:dyDescent="0.3">
      <c r="B525" s="283" t="s">
        <v>0</v>
      </c>
      <c r="C525" s="284" t="s">
        <v>1</v>
      </c>
      <c r="D525" s="284" t="s">
        <v>2</v>
      </c>
      <c r="E525" s="284" t="s">
        <v>3</v>
      </c>
      <c r="F525" s="4" t="s">
        <v>318</v>
      </c>
      <c r="G525" s="351" t="s">
        <v>542</v>
      </c>
      <c r="H525" s="382" t="s">
        <v>460</v>
      </c>
      <c r="I525" s="234" t="s">
        <v>535</v>
      </c>
      <c r="J525" s="234"/>
      <c r="K525" s="258" t="s">
        <v>536</v>
      </c>
      <c r="L525" s="258" t="s">
        <v>328</v>
      </c>
      <c r="M525" s="258" t="s">
        <v>327</v>
      </c>
      <c r="N525" s="234" t="s">
        <v>389</v>
      </c>
      <c r="O525" s="240" t="s">
        <v>130</v>
      </c>
      <c r="P525" s="243" t="s">
        <v>303</v>
      </c>
      <c r="Q525" s="244" t="s">
        <v>304</v>
      </c>
      <c r="R525" s="244" t="s">
        <v>314</v>
      </c>
      <c r="S525" s="245" t="s">
        <v>338</v>
      </c>
      <c r="T525" s="245" t="s">
        <v>345</v>
      </c>
      <c r="U525" s="245" t="s">
        <v>361</v>
      </c>
      <c r="V525" s="245" t="s">
        <v>387</v>
      </c>
      <c r="W525" s="245" t="s">
        <v>421</v>
      </c>
      <c r="X525" s="245" t="s">
        <v>452</v>
      </c>
      <c r="Y525" s="245" t="s">
        <v>463</v>
      </c>
      <c r="Z525" s="245" t="s">
        <v>481</v>
      </c>
      <c r="AA525" s="245" t="s">
        <v>498</v>
      </c>
      <c r="AB525" s="245" t="s">
        <v>303</v>
      </c>
      <c r="AC525" s="245" t="s">
        <v>304</v>
      </c>
      <c r="AD525" s="245" t="s">
        <v>314</v>
      </c>
      <c r="AE525" s="245" t="s">
        <v>338</v>
      </c>
      <c r="AF525" s="245"/>
      <c r="AG525" s="245"/>
      <c r="AH525" s="245"/>
      <c r="AI525" s="245"/>
      <c r="AJ525" s="245" t="s">
        <v>360</v>
      </c>
      <c r="AK525" s="246" t="s">
        <v>268</v>
      </c>
      <c r="AL525" s="247" t="s">
        <v>269</v>
      </c>
      <c r="AM525" s="291" t="s">
        <v>288</v>
      </c>
      <c r="AN525" s="292" t="s">
        <v>289</v>
      </c>
      <c r="AO525" s="292" t="s">
        <v>287</v>
      </c>
      <c r="AP525" s="293" t="s">
        <v>290</v>
      </c>
      <c r="AQ525" s="290" t="s">
        <v>306</v>
      </c>
      <c r="AR525" s="290" t="s">
        <v>310</v>
      </c>
      <c r="AS525" s="290" t="s">
        <v>311</v>
      </c>
    </row>
    <row r="526" spans="1:45" ht="17.25" thickBot="1" x14ac:dyDescent="0.3">
      <c r="A526" s="463" t="s">
        <v>416</v>
      </c>
      <c r="B526" s="285">
        <v>273664</v>
      </c>
      <c r="C526" s="286">
        <v>1135749</v>
      </c>
      <c r="D526" s="286" t="s">
        <v>7</v>
      </c>
      <c r="E526" s="286">
        <v>6060050026</v>
      </c>
      <c r="F526" s="253">
        <f>G561-AK526+AL526</f>
        <v>9</v>
      </c>
      <c r="G526" s="235">
        <v>9</v>
      </c>
      <c r="H526" s="394">
        <v>5</v>
      </c>
      <c r="I526" s="232">
        <v>9</v>
      </c>
      <c r="J526" s="232"/>
      <c r="K526" s="232">
        <v>4</v>
      </c>
      <c r="L526" s="232">
        <f>IF(K560=K525,L561+AK526,K526)</f>
        <v>4</v>
      </c>
      <c r="M526" s="232">
        <f>IF(K560=K525,0,L561+AK526-K526)</f>
        <v>-2</v>
      </c>
      <c r="N526" s="267">
        <v>5</v>
      </c>
      <c r="O526" s="241">
        <f>N526-G526</f>
        <v>-4</v>
      </c>
      <c r="P526" s="277">
        <v>4</v>
      </c>
      <c r="Q526" s="278">
        <v>4</v>
      </c>
      <c r="R526" s="279"/>
      <c r="S526" s="279">
        <v>3</v>
      </c>
      <c r="T526" s="279">
        <v>4</v>
      </c>
      <c r="U526" s="279">
        <v>2</v>
      </c>
      <c r="V526" s="279"/>
      <c r="W526" s="279">
        <f>2+3</f>
        <v>5</v>
      </c>
      <c r="X526" s="241"/>
      <c r="Y526" s="241"/>
      <c r="Z526" s="241"/>
      <c r="AA526" s="241">
        <v>4</v>
      </c>
      <c r="AB526" s="241">
        <v>5</v>
      </c>
      <c r="AC526" s="241"/>
      <c r="AD526" s="241">
        <v>6</v>
      </c>
      <c r="AE526" s="241"/>
      <c r="AF526" s="241"/>
      <c r="AG526" s="241"/>
      <c r="AH526" s="241"/>
      <c r="AI526" s="241"/>
      <c r="AJ526" s="241">
        <f>N526-V526</f>
        <v>5</v>
      </c>
      <c r="AK526" s="235">
        <f>G561+AL526-G526</f>
        <v>0</v>
      </c>
      <c r="AL526" s="350"/>
      <c r="AM526" s="294">
        <v>1.5</v>
      </c>
      <c r="AN526" s="295">
        <v>4</v>
      </c>
      <c r="AO526" s="296">
        <f>G526/(AN526)</f>
        <v>2.25</v>
      </c>
      <c r="AP526" s="297">
        <f>AN526*6</f>
        <v>24</v>
      </c>
      <c r="AQ526" s="290">
        <f>G526+K526</f>
        <v>13</v>
      </c>
      <c r="AR526" s="290">
        <f>IF(G526&lt;G561,(G561-G526+K561-K526),K561-K526)</f>
        <v>-2</v>
      </c>
      <c r="AS526" s="290">
        <f>21-8</f>
        <v>13</v>
      </c>
    </row>
    <row r="527" spans="1:45" ht="17.25" thickBot="1" x14ac:dyDescent="0.3">
      <c r="A527" s="464"/>
      <c r="B527" s="285">
        <v>273672</v>
      </c>
      <c r="C527" s="286">
        <v>1135750</v>
      </c>
      <c r="D527" s="286" t="s">
        <v>9</v>
      </c>
      <c r="E527" s="287">
        <v>204000000000</v>
      </c>
      <c r="F527" s="253">
        <f>G562-AK527+AL527</f>
        <v>13</v>
      </c>
      <c r="G527" s="235">
        <v>13</v>
      </c>
      <c r="H527" s="394">
        <v>16</v>
      </c>
      <c r="I527" s="232">
        <v>13</v>
      </c>
      <c r="J527" s="232"/>
      <c r="K527" s="232">
        <v>10</v>
      </c>
      <c r="L527" s="232">
        <f>IF(K560=K525,L562+AK527,K527)</f>
        <v>10</v>
      </c>
      <c r="M527" s="232">
        <f>IF(K560=K525,0,L562+AK527-K527)</f>
        <v>-1</v>
      </c>
      <c r="N527" s="267">
        <v>10</v>
      </c>
      <c r="O527" s="241">
        <f>N527-G527</f>
        <v>-3</v>
      </c>
      <c r="P527" s="277">
        <v>13</v>
      </c>
      <c r="Q527" s="278">
        <v>2</v>
      </c>
      <c r="R527" s="279">
        <v>6</v>
      </c>
      <c r="S527" s="279">
        <v>6</v>
      </c>
      <c r="T527" s="279">
        <v>10</v>
      </c>
      <c r="U527" s="279">
        <v>4</v>
      </c>
      <c r="V527" s="279">
        <v>6</v>
      </c>
      <c r="W527" s="279">
        <v>16</v>
      </c>
      <c r="X527" s="241"/>
      <c r="Y527" s="241">
        <v>6</v>
      </c>
      <c r="Z527" s="241">
        <v>4</v>
      </c>
      <c r="AA527" s="241">
        <v>6</v>
      </c>
      <c r="AB527" s="241">
        <v>14</v>
      </c>
      <c r="AC527" s="241"/>
      <c r="AD527" s="241">
        <v>12</v>
      </c>
      <c r="AE527" s="241">
        <v>6</v>
      </c>
      <c r="AF527" s="241"/>
      <c r="AG527" s="241"/>
      <c r="AH527" s="241"/>
      <c r="AI527" s="241"/>
      <c r="AJ527" s="241">
        <f>N527-V527</f>
        <v>4</v>
      </c>
      <c r="AK527" s="235">
        <f>G562+AL527-G527</f>
        <v>6</v>
      </c>
      <c r="AL527" s="236"/>
      <c r="AM527" s="298">
        <v>4.2</v>
      </c>
      <c r="AN527" s="295">
        <v>9</v>
      </c>
      <c r="AO527" s="296">
        <f>G527/(AN527)</f>
        <v>1.4444444444444444</v>
      </c>
      <c r="AP527" s="297">
        <f>AN527*6</f>
        <v>54</v>
      </c>
      <c r="AQ527" s="290">
        <f>G527+K527</f>
        <v>23</v>
      </c>
      <c r="AR527" s="290">
        <f>IF(G527&lt;G562,(G562-G527+K562-K527),K562-K527)</f>
        <v>-1</v>
      </c>
      <c r="AS527" s="290">
        <f>21-8</f>
        <v>13</v>
      </c>
    </row>
    <row r="528" spans="1:45" ht="17.25" thickBot="1" x14ac:dyDescent="0.3">
      <c r="A528" s="464"/>
      <c r="B528" s="285">
        <v>273702</v>
      </c>
      <c r="C528" s="286">
        <v>1135753</v>
      </c>
      <c r="D528" s="286" t="s">
        <v>10</v>
      </c>
      <c r="E528" s="287">
        <v>301000000000</v>
      </c>
      <c r="F528" s="253">
        <f>G563-AK528+AL528</f>
        <v>3</v>
      </c>
      <c r="G528" s="235">
        <v>3</v>
      </c>
      <c r="H528" s="394">
        <v>1</v>
      </c>
      <c r="I528" s="232">
        <v>3</v>
      </c>
      <c r="J528" s="232"/>
      <c r="K528" s="232">
        <v>2</v>
      </c>
      <c r="L528" s="232">
        <f>IF(K560=K525,L563+AK528,K528)</f>
        <v>2</v>
      </c>
      <c r="M528" s="232">
        <f>IF(K560=K525,0,L563+AK528-K528)</f>
        <v>0</v>
      </c>
      <c r="N528" s="232">
        <v>2</v>
      </c>
      <c r="O528" s="241">
        <f>N528-G528</f>
        <v>-1</v>
      </c>
      <c r="P528" s="277"/>
      <c r="Q528" s="278"/>
      <c r="R528" s="279"/>
      <c r="S528" s="279"/>
      <c r="T528" s="279"/>
      <c r="U528" s="279"/>
      <c r="V528" s="279"/>
      <c r="W528" s="279"/>
      <c r="X528" s="241"/>
      <c r="Y528" s="241"/>
      <c r="Z528" s="241"/>
      <c r="AA528" s="241"/>
      <c r="AB528" s="241">
        <v>2</v>
      </c>
      <c r="AC528" s="241"/>
      <c r="AD528" s="241"/>
      <c r="AE528" s="241"/>
      <c r="AF528" s="241"/>
      <c r="AG528" s="241"/>
      <c r="AH528" s="241"/>
      <c r="AI528" s="241"/>
      <c r="AJ528" s="241">
        <f>N528-V528</f>
        <v>2</v>
      </c>
      <c r="AK528" s="235">
        <f>G563+AL528-G528</f>
        <v>0</v>
      </c>
      <c r="AL528" s="236"/>
      <c r="AM528" s="294">
        <f>4/12</f>
        <v>0.33333333333333331</v>
      </c>
      <c r="AN528" s="295">
        <v>2</v>
      </c>
      <c r="AO528" s="296">
        <f>G528/(AN528)</f>
        <v>1.5</v>
      </c>
      <c r="AP528" s="297">
        <f>AN528*6</f>
        <v>12</v>
      </c>
      <c r="AQ528" s="290">
        <f>G528+K528</f>
        <v>5</v>
      </c>
      <c r="AR528" s="290">
        <f>IF(G528&lt;G563,(G563-G528+K563-K528),K563-K528)</f>
        <v>0</v>
      </c>
      <c r="AS528" s="290">
        <f>21-8</f>
        <v>13</v>
      </c>
    </row>
    <row r="529" spans="1:45" ht="17.25" thickBot="1" x14ac:dyDescent="0.3">
      <c r="A529" s="464"/>
      <c r="B529" s="285">
        <v>273698</v>
      </c>
      <c r="C529" s="286">
        <v>1135752</v>
      </c>
      <c r="D529" s="286" t="s">
        <v>11</v>
      </c>
      <c r="E529" s="287">
        <v>701000000000</v>
      </c>
      <c r="F529" s="253">
        <f>G564-AK529+AL529</f>
        <v>1</v>
      </c>
      <c r="G529" s="235">
        <v>1</v>
      </c>
      <c r="H529" s="394">
        <v>2</v>
      </c>
      <c r="I529" s="232">
        <v>1</v>
      </c>
      <c r="J529" s="232"/>
      <c r="K529" s="232">
        <v>2</v>
      </c>
      <c r="L529" s="232">
        <f>IF(K560=K525,L564+AK529,K529)</f>
        <v>2</v>
      </c>
      <c r="M529" s="232">
        <f>IF(K560=K525,0,L564+AK529-K529)</f>
        <v>0</v>
      </c>
      <c r="N529" s="232">
        <v>3</v>
      </c>
      <c r="O529" s="241">
        <f>N529-G529</f>
        <v>2</v>
      </c>
      <c r="P529" s="277">
        <v>2</v>
      </c>
      <c r="Q529" s="278"/>
      <c r="R529" s="279"/>
      <c r="S529" s="279"/>
      <c r="T529" s="279"/>
      <c r="U529" s="279"/>
      <c r="V529" s="279"/>
      <c r="W529" s="279">
        <v>1</v>
      </c>
      <c r="X529" s="241"/>
      <c r="Y529" s="241"/>
      <c r="Z529" s="241"/>
      <c r="AA529" s="241"/>
      <c r="AB529" s="241">
        <v>2</v>
      </c>
      <c r="AC529" s="241"/>
      <c r="AD529" s="241">
        <v>2</v>
      </c>
      <c r="AE529" s="241"/>
      <c r="AF529" s="241"/>
      <c r="AG529" s="241"/>
      <c r="AH529" s="241"/>
      <c r="AI529" s="241"/>
      <c r="AJ529" s="241">
        <f>N529-V529</f>
        <v>3</v>
      </c>
      <c r="AK529" s="235">
        <f>G564+AL529-G529</f>
        <v>0</v>
      </c>
      <c r="AL529" s="236"/>
      <c r="AM529" s="294">
        <f>4/12</f>
        <v>0.33333333333333331</v>
      </c>
      <c r="AN529" s="295">
        <v>2</v>
      </c>
      <c r="AO529" s="296">
        <f>G529/(AN529)</f>
        <v>0.5</v>
      </c>
      <c r="AP529" s="297">
        <f>AN529*6</f>
        <v>12</v>
      </c>
      <c r="AQ529" s="290">
        <f>G529+K529</f>
        <v>3</v>
      </c>
      <c r="AR529" s="290">
        <f>IF(G529&lt;G564,(G564-G529+K564-K529),K564-K529)</f>
        <v>0</v>
      </c>
      <c r="AS529" s="290">
        <f>21-8</f>
        <v>13</v>
      </c>
    </row>
    <row r="530" spans="1:45" ht="17.25" thickBot="1" x14ac:dyDescent="0.3">
      <c r="A530" s="465"/>
      <c r="B530" s="285">
        <v>273680</v>
      </c>
      <c r="C530" s="286">
        <v>1135751</v>
      </c>
      <c r="D530" s="286" t="s">
        <v>12</v>
      </c>
      <c r="E530" s="286" t="s">
        <v>13</v>
      </c>
      <c r="F530" s="254">
        <f>G565-AK530+AL530</f>
        <v>15</v>
      </c>
      <c r="G530" s="237">
        <v>15</v>
      </c>
      <c r="H530" s="395">
        <v>8</v>
      </c>
      <c r="I530" s="238">
        <v>15</v>
      </c>
      <c r="J530" s="238"/>
      <c r="K530" s="238">
        <v>8</v>
      </c>
      <c r="L530" s="238">
        <f>IF(K560=K525,L565+AK530,K530)</f>
        <v>8</v>
      </c>
      <c r="M530" s="238">
        <f>IF(K560=K525,0,L565+AK530-K530)</f>
        <v>0</v>
      </c>
      <c r="N530" s="238">
        <v>9</v>
      </c>
      <c r="O530" s="242">
        <f>N530-G530</f>
        <v>-6</v>
      </c>
      <c r="P530" s="280"/>
      <c r="Q530" s="281"/>
      <c r="R530" s="282"/>
      <c r="S530" s="282"/>
      <c r="T530" s="282">
        <v>11</v>
      </c>
      <c r="U530" s="282"/>
      <c r="V530" s="282"/>
      <c r="W530" s="282">
        <v>9</v>
      </c>
      <c r="X530" s="242"/>
      <c r="Y530" s="242">
        <v>9</v>
      </c>
      <c r="Z530" s="242"/>
      <c r="AA530" s="242"/>
      <c r="AB530" s="242">
        <v>5</v>
      </c>
      <c r="AC530" s="242"/>
      <c r="AD530" s="242">
        <v>5</v>
      </c>
      <c r="AE530" s="242"/>
      <c r="AF530" s="242"/>
      <c r="AG530" s="242"/>
      <c r="AH530" s="242"/>
      <c r="AI530" s="242"/>
      <c r="AJ530" s="242">
        <f>N530-V530</f>
        <v>9</v>
      </c>
      <c r="AK530" s="235">
        <f>G565+AL530-G530</f>
        <v>0</v>
      </c>
      <c r="AL530" s="239"/>
      <c r="AM530" s="299">
        <f>30/12</f>
        <v>2.5</v>
      </c>
      <c r="AN530" s="300">
        <f>AM530*2</f>
        <v>5</v>
      </c>
      <c r="AO530" s="301">
        <f>G530/(AN530)</f>
        <v>3</v>
      </c>
      <c r="AP530" s="302">
        <f>AN530*6</f>
        <v>30</v>
      </c>
      <c r="AQ530" s="290">
        <f>G530+K530</f>
        <v>23</v>
      </c>
      <c r="AR530" s="290">
        <f>IF(G530&lt;G565,(G565-G530+K565-K530),K565-K530)</f>
        <v>0</v>
      </c>
      <c r="AS530" s="290">
        <f>21-8</f>
        <v>13</v>
      </c>
    </row>
    <row r="531" spans="1:45" ht="17.25" thickBot="1" x14ac:dyDescent="0.3">
      <c r="A531" s="466" t="s">
        <v>417</v>
      </c>
      <c r="B531" s="355" t="s">
        <v>129</v>
      </c>
      <c r="C531" s="356"/>
      <c r="D531" s="356"/>
      <c r="E531" s="359"/>
      <c r="F531" s="359"/>
      <c r="G531" s="356"/>
      <c r="H531" s="396"/>
      <c r="I531" s="356"/>
      <c r="J531" s="356"/>
      <c r="K531" s="356"/>
      <c r="L531" s="356"/>
      <c r="M531" s="356"/>
      <c r="N531" s="356"/>
      <c r="O531" s="356"/>
      <c r="P531" s="356"/>
      <c r="Q531" s="356"/>
      <c r="R531" s="356"/>
      <c r="S531" s="356"/>
      <c r="T531" s="356"/>
      <c r="U531" s="356"/>
      <c r="V531" s="356"/>
      <c r="W531" s="356"/>
      <c r="X531" s="356"/>
      <c r="Y531" s="356"/>
      <c r="Z531" s="356"/>
      <c r="AA531" s="356"/>
      <c r="AB531" s="356"/>
      <c r="AC531" s="356"/>
      <c r="AD531" s="356"/>
      <c r="AE531" s="356"/>
      <c r="AF531" s="356"/>
      <c r="AG531" s="356"/>
      <c r="AH531" s="356"/>
      <c r="AI531" s="356"/>
      <c r="AJ531" s="356"/>
      <c r="AK531" s="356"/>
      <c r="AL531" s="367"/>
      <c r="AM531" s="356"/>
      <c r="AN531" s="356"/>
      <c r="AO531" s="356"/>
      <c r="AP531" s="356"/>
      <c r="AQ531" s="356"/>
      <c r="AR531" s="356"/>
      <c r="AS531" s="357"/>
    </row>
    <row r="532" spans="1:45" ht="17.25" thickBot="1" x14ac:dyDescent="0.3">
      <c r="A532" s="467"/>
      <c r="B532" s="354"/>
      <c r="C532" s="354">
        <v>1140327</v>
      </c>
      <c r="D532" s="358" t="s">
        <v>394</v>
      </c>
      <c r="E532" s="360"/>
      <c r="F532" s="361">
        <f>G567-AK532+AL532</f>
        <v>16</v>
      </c>
      <c r="G532" s="218">
        <v>16</v>
      </c>
      <c r="H532" s="397">
        <v>23</v>
      </c>
      <c r="I532" s="218">
        <v>16</v>
      </c>
      <c r="J532" s="218"/>
      <c r="K532" s="218">
        <v>7</v>
      </c>
      <c r="L532" s="218">
        <f>IF(K560=K525,L567+AK532,K532)</f>
        <v>7</v>
      </c>
      <c r="M532" s="218">
        <f>IF(K560=K525,0,L567+AK532-K532)</f>
        <v>0</v>
      </c>
      <c r="N532" s="218"/>
      <c r="O532" s="218"/>
      <c r="P532" s="352"/>
      <c r="Q532" s="352"/>
      <c r="R532" s="352"/>
      <c r="S532" s="352"/>
      <c r="T532" s="352"/>
      <c r="U532" s="352"/>
      <c r="V532" s="218"/>
      <c r="W532" s="218"/>
      <c r="X532" s="218">
        <v>4</v>
      </c>
      <c r="Y532" s="218">
        <v>9</v>
      </c>
      <c r="Z532" s="218">
        <v>14</v>
      </c>
      <c r="AA532" s="218">
        <v>8</v>
      </c>
      <c r="AB532" s="218">
        <f>14+6</f>
        <v>20</v>
      </c>
      <c r="AC532" s="218">
        <v>10</v>
      </c>
      <c r="AD532" s="218">
        <v>12</v>
      </c>
      <c r="AE532" s="218">
        <v>11</v>
      </c>
      <c r="AF532" s="218"/>
      <c r="AG532" s="218"/>
      <c r="AH532" s="218"/>
      <c r="AI532" s="218"/>
      <c r="AJ532" s="242">
        <f>N532-V532</f>
        <v>0</v>
      </c>
      <c r="AK532" s="274">
        <f>G567+AL532-G532</f>
        <v>6</v>
      </c>
      <c r="AL532" s="232"/>
      <c r="AM532" s="353"/>
      <c r="AN532" s="295"/>
      <c r="AO532" s="296"/>
      <c r="AP532" s="353"/>
      <c r="AQ532" s="290"/>
      <c r="AR532" s="290"/>
      <c r="AS532" s="290"/>
    </row>
    <row r="533" spans="1:45" ht="17.25" thickBot="1" x14ac:dyDescent="0.3">
      <c r="A533" s="467"/>
      <c r="B533" s="354"/>
      <c r="C533" s="285">
        <v>1151231</v>
      </c>
      <c r="D533" s="358" t="s">
        <v>395</v>
      </c>
      <c r="E533" s="360"/>
      <c r="F533" s="361">
        <f>G568-AK533+AL533</f>
        <v>11</v>
      </c>
      <c r="G533" s="369">
        <v>11</v>
      </c>
      <c r="H533" s="397">
        <v>13</v>
      </c>
      <c r="I533" s="218">
        <v>11</v>
      </c>
      <c r="J533" s="218"/>
      <c r="K533" s="218">
        <v>6</v>
      </c>
      <c r="L533" s="218">
        <f>IF(K560=K525,L568+AK533,K533)</f>
        <v>6</v>
      </c>
      <c r="M533" s="218">
        <f>IF(K560=K525,0,L568+AK533-K533)</f>
        <v>2</v>
      </c>
      <c r="N533" s="218"/>
      <c r="O533" s="218"/>
      <c r="P533" s="352"/>
      <c r="Q533" s="352"/>
      <c r="R533" s="352"/>
      <c r="S533" s="352"/>
      <c r="T533" s="352"/>
      <c r="U533" s="352"/>
      <c r="V533" s="218"/>
      <c r="W533" s="218"/>
      <c r="X533" s="218">
        <v>3</v>
      </c>
      <c r="Y533" s="218">
        <v>8</v>
      </c>
      <c r="Z533" s="218">
        <v>6</v>
      </c>
      <c r="AA533" s="218"/>
      <c r="AB533" s="218">
        <v>4</v>
      </c>
      <c r="AC533" s="218">
        <v>4</v>
      </c>
      <c r="AD533" s="218">
        <v>4</v>
      </c>
      <c r="AE533" s="218"/>
      <c r="AF533" s="218"/>
      <c r="AG533" s="218"/>
      <c r="AH533" s="218"/>
      <c r="AI533" s="218"/>
      <c r="AJ533" s="242">
        <f>N533-V533</f>
        <v>0</v>
      </c>
      <c r="AK533" s="274">
        <f>G568+AL533-G533</f>
        <v>0</v>
      </c>
      <c r="AL533" s="232"/>
      <c r="AM533" s="353"/>
      <c r="AN533" s="295"/>
      <c r="AO533" s="296"/>
      <c r="AP533" s="353"/>
      <c r="AQ533" s="290"/>
      <c r="AR533" s="290"/>
      <c r="AS533" s="290"/>
    </row>
    <row r="534" spans="1:45" ht="17.25" thickBot="1" x14ac:dyDescent="0.3">
      <c r="A534" s="467"/>
      <c r="B534" s="355" t="s">
        <v>420</v>
      </c>
      <c r="C534" s="356"/>
      <c r="D534" s="356" t="s">
        <v>523</v>
      </c>
      <c r="E534" s="359"/>
      <c r="F534" s="359"/>
      <c r="G534" s="356"/>
      <c r="H534" s="396"/>
      <c r="I534" s="356"/>
      <c r="J534" s="356"/>
      <c r="K534" s="356"/>
      <c r="L534" s="356"/>
      <c r="M534" s="356"/>
      <c r="N534" s="356"/>
      <c r="O534" s="356"/>
      <c r="P534" s="356"/>
      <c r="Q534" s="356"/>
      <c r="R534" s="356"/>
      <c r="S534" s="356"/>
      <c r="T534" s="356"/>
      <c r="U534" s="356"/>
      <c r="V534" s="356"/>
      <c r="W534" s="356"/>
      <c r="X534" s="356"/>
      <c r="Y534" s="356"/>
      <c r="Z534" s="356"/>
      <c r="AA534" s="356"/>
      <c r="AB534" s="356"/>
      <c r="AC534" s="356"/>
      <c r="AD534" s="356"/>
      <c r="AE534" s="356"/>
      <c r="AF534" s="356"/>
      <c r="AG534" s="356"/>
      <c r="AH534" s="356"/>
      <c r="AI534" s="356"/>
      <c r="AJ534" s="356"/>
      <c r="AK534" s="356"/>
      <c r="AL534" s="368"/>
      <c r="AM534" s="356"/>
      <c r="AN534" s="356"/>
      <c r="AO534" s="356"/>
      <c r="AP534" s="356"/>
      <c r="AQ534" s="356"/>
      <c r="AR534" s="356"/>
      <c r="AS534" s="357"/>
    </row>
    <row r="535" spans="1:45" ht="17.25" thickBot="1" x14ac:dyDescent="0.3">
      <c r="A535" s="467"/>
      <c r="B535" s="354"/>
      <c r="C535" s="285">
        <v>1146032</v>
      </c>
      <c r="D535" s="358" t="s">
        <v>396</v>
      </c>
      <c r="E535" s="360"/>
      <c r="F535" s="361">
        <f>G570-AK535+AL535</f>
        <v>1</v>
      </c>
      <c r="G535" s="364">
        <v>1</v>
      </c>
      <c r="H535" s="397">
        <v>1</v>
      </c>
      <c r="I535" s="364">
        <v>1</v>
      </c>
      <c r="J535" s="364"/>
      <c r="K535" s="364">
        <v>2</v>
      </c>
      <c r="L535" s="218"/>
      <c r="M535" s="218"/>
      <c r="N535" s="218"/>
      <c r="O535" s="218"/>
      <c r="P535" s="352"/>
      <c r="Q535" s="352"/>
      <c r="R535" s="352"/>
      <c r="S535" s="352"/>
      <c r="T535" s="352"/>
      <c r="U535" s="352"/>
      <c r="V535" s="218"/>
      <c r="W535" s="218"/>
      <c r="X535" s="218"/>
      <c r="Y535" s="218"/>
      <c r="Z535" s="218"/>
      <c r="AA535" s="218"/>
      <c r="AB535" s="218"/>
      <c r="AC535" s="218"/>
      <c r="AD535" s="218"/>
      <c r="AE535" s="218"/>
      <c r="AF535" s="218"/>
      <c r="AG535" s="218"/>
      <c r="AH535" s="218"/>
      <c r="AI535" s="218"/>
      <c r="AJ535" s="218"/>
      <c r="AK535" s="218">
        <f>G570+AL535-G535</f>
        <v>0</v>
      </c>
      <c r="AL535" s="218"/>
      <c r="AM535" s="353"/>
      <c r="AN535" s="295"/>
      <c r="AO535" s="296"/>
      <c r="AP535" s="353"/>
      <c r="AQ535" s="290"/>
      <c r="AR535" s="290"/>
      <c r="AS535" s="290"/>
    </row>
    <row r="536" spans="1:45" ht="17.25" thickBot="1" x14ac:dyDescent="0.3">
      <c r="A536" s="467"/>
      <c r="B536" s="354"/>
      <c r="C536" s="285">
        <v>1146021</v>
      </c>
      <c r="D536" s="358" t="s">
        <v>397</v>
      </c>
      <c r="E536" s="360"/>
      <c r="F536" s="361">
        <f>G571-AK536+AL536</f>
        <v>0</v>
      </c>
      <c r="G536" s="364">
        <v>0</v>
      </c>
      <c r="H536" s="397">
        <v>2</v>
      </c>
      <c r="I536" s="364">
        <v>0</v>
      </c>
      <c r="J536" s="364"/>
      <c r="K536" s="364">
        <v>0</v>
      </c>
      <c r="L536" s="218"/>
      <c r="M536" s="218"/>
      <c r="N536" s="218"/>
      <c r="O536" s="218"/>
      <c r="P536" s="352"/>
      <c r="Q536" s="352"/>
      <c r="R536" s="352"/>
      <c r="S536" s="352"/>
      <c r="T536" s="352"/>
      <c r="U536" s="352"/>
      <c r="V536" s="218"/>
      <c r="W536" s="218"/>
      <c r="X536" s="218"/>
      <c r="Y536" s="218"/>
      <c r="Z536" s="218"/>
      <c r="AA536" s="218"/>
      <c r="AB536" s="218"/>
      <c r="AC536" s="218"/>
      <c r="AD536" s="218"/>
      <c r="AE536" s="218"/>
      <c r="AF536" s="218"/>
      <c r="AG536" s="218"/>
      <c r="AH536" s="218"/>
      <c r="AI536" s="218"/>
      <c r="AJ536" s="218"/>
      <c r="AK536" s="218">
        <f>G571+AL536-G536</f>
        <v>0</v>
      </c>
      <c r="AL536" s="218"/>
      <c r="AM536" s="353"/>
      <c r="AN536" s="295"/>
      <c r="AO536" s="296"/>
      <c r="AP536" s="353"/>
      <c r="AQ536" s="290"/>
      <c r="AR536" s="290"/>
      <c r="AS536" s="290"/>
    </row>
    <row r="537" spans="1:45" ht="17.25" thickBot="1" x14ac:dyDescent="0.3">
      <c r="A537" s="467"/>
      <c r="B537" s="354"/>
      <c r="C537" s="285">
        <v>1146018</v>
      </c>
      <c r="D537" s="358" t="s">
        <v>398</v>
      </c>
      <c r="E537" s="360"/>
      <c r="F537" s="361">
        <f>G572-AK537+AL537</f>
        <v>4</v>
      </c>
      <c r="G537" s="369">
        <v>4</v>
      </c>
      <c r="H537" s="397">
        <v>1</v>
      </c>
      <c r="I537" s="364">
        <v>4</v>
      </c>
      <c r="J537" s="364"/>
      <c r="K537" s="364">
        <v>2</v>
      </c>
      <c r="L537" s="218"/>
      <c r="M537" s="218"/>
      <c r="N537" s="218"/>
      <c r="O537" s="218"/>
      <c r="P537" s="352"/>
      <c r="Q537" s="352"/>
      <c r="R537" s="352"/>
      <c r="S537" s="352"/>
      <c r="T537" s="352"/>
      <c r="U537" s="352"/>
      <c r="V537" s="218"/>
      <c r="W537" s="218"/>
      <c r="X537" s="218"/>
      <c r="Y537" s="218"/>
      <c r="Z537" s="218"/>
      <c r="AA537" s="218"/>
      <c r="AB537" s="218">
        <v>2</v>
      </c>
      <c r="AC537" s="218"/>
      <c r="AD537" s="218"/>
      <c r="AE537" s="218"/>
      <c r="AF537" s="218"/>
      <c r="AG537" s="218"/>
      <c r="AH537" s="218"/>
      <c r="AI537" s="218"/>
      <c r="AJ537" s="218"/>
      <c r="AK537" s="218">
        <f>G572+AL537-G537</f>
        <v>0</v>
      </c>
      <c r="AL537" s="218"/>
      <c r="AM537" s="353"/>
      <c r="AN537" s="295"/>
      <c r="AO537" s="296"/>
      <c r="AP537" s="353"/>
      <c r="AQ537" s="290"/>
      <c r="AR537" s="290"/>
      <c r="AS537" s="290"/>
    </row>
    <row r="538" spans="1:45" ht="17.25" thickBot="1" x14ac:dyDescent="0.3">
      <c r="A538" s="467"/>
      <c r="B538" s="354"/>
      <c r="C538" s="285">
        <v>1146024</v>
      </c>
      <c r="D538" s="358" t="s">
        <v>399</v>
      </c>
      <c r="E538" s="360"/>
      <c r="F538" s="361">
        <v>1</v>
      </c>
      <c r="G538" s="369">
        <v>4</v>
      </c>
      <c r="H538" s="369">
        <v>2</v>
      </c>
      <c r="I538" s="369">
        <v>4</v>
      </c>
      <c r="J538" s="369"/>
      <c r="K538" s="369">
        <v>0</v>
      </c>
      <c r="L538" s="218"/>
      <c r="M538" s="218"/>
      <c r="N538" s="218"/>
      <c r="O538" s="218"/>
      <c r="P538" s="352"/>
      <c r="Q538" s="352"/>
      <c r="R538" s="352"/>
      <c r="S538" s="352"/>
      <c r="T538" s="352"/>
      <c r="U538" s="352"/>
      <c r="V538" s="218"/>
      <c r="W538" s="218"/>
      <c r="X538" s="218"/>
      <c r="Y538" s="218"/>
      <c r="Z538" s="218"/>
      <c r="AA538" s="218">
        <v>1</v>
      </c>
      <c r="AB538" s="218">
        <v>1</v>
      </c>
      <c r="AC538" s="218"/>
      <c r="AD538" s="218"/>
      <c r="AE538" s="218"/>
      <c r="AF538" s="218"/>
      <c r="AG538" s="218"/>
      <c r="AH538" s="218"/>
      <c r="AI538" s="218"/>
      <c r="AJ538" s="218"/>
      <c r="AK538" s="218">
        <f>G573+AL538-G538</f>
        <v>0</v>
      </c>
      <c r="AL538" s="218"/>
      <c r="AM538" s="353"/>
      <c r="AN538" s="295"/>
      <c r="AO538" s="296"/>
      <c r="AP538" s="353"/>
      <c r="AQ538" s="290"/>
      <c r="AR538" s="290"/>
      <c r="AS538" s="290"/>
    </row>
    <row r="539" spans="1:45" ht="17.25" thickBot="1" x14ac:dyDescent="0.3">
      <c r="A539" s="467"/>
      <c r="B539" s="354"/>
      <c r="C539" s="285">
        <v>1146028</v>
      </c>
      <c r="D539" s="358" t="s">
        <v>400</v>
      </c>
      <c r="E539" s="360"/>
      <c r="F539" s="361">
        <f>G574-AK539+AL539</f>
        <v>3</v>
      </c>
      <c r="G539" s="364">
        <v>3</v>
      </c>
      <c r="H539" s="397">
        <v>2</v>
      </c>
      <c r="I539" s="364">
        <v>3</v>
      </c>
      <c r="J539" s="364"/>
      <c r="K539" s="364">
        <v>1</v>
      </c>
      <c r="L539" s="218"/>
      <c r="M539" s="218"/>
      <c r="N539" s="218"/>
      <c r="O539" s="218"/>
      <c r="P539" s="352"/>
      <c r="Q539" s="352"/>
      <c r="R539" s="352"/>
      <c r="S539" s="352"/>
      <c r="T539" s="352"/>
      <c r="U539" s="352"/>
      <c r="V539" s="218"/>
      <c r="W539" s="218"/>
      <c r="X539" s="218"/>
      <c r="Y539" s="218"/>
      <c r="Z539" s="218"/>
      <c r="AA539" s="218"/>
      <c r="AB539" s="218"/>
      <c r="AC539" s="218"/>
      <c r="AD539" s="218">
        <v>2</v>
      </c>
      <c r="AE539" s="218"/>
      <c r="AF539" s="218"/>
      <c r="AG539" s="218"/>
      <c r="AH539" s="218"/>
      <c r="AI539" s="218"/>
      <c r="AJ539" s="218"/>
      <c r="AK539" s="218">
        <f>G574+AL539-G539</f>
        <v>0</v>
      </c>
      <c r="AL539" s="218"/>
      <c r="AM539" s="353"/>
      <c r="AN539" s="295"/>
      <c r="AO539" s="296"/>
      <c r="AP539" s="353"/>
      <c r="AQ539" s="290"/>
      <c r="AR539" s="290"/>
      <c r="AS539" s="290"/>
    </row>
    <row r="540" spans="1:45" ht="17.25" thickBot="1" x14ac:dyDescent="0.3">
      <c r="A540" s="467"/>
      <c r="B540" s="355" t="s">
        <v>419</v>
      </c>
      <c r="C540" s="356"/>
      <c r="D540" s="356"/>
      <c r="E540" s="359"/>
      <c r="F540" s="359"/>
      <c r="G540" s="356"/>
      <c r="H540" s="396"/>
      <c r="I540" s="356"/>
      <c r="J540" s="356"/>
      <c r="K540" s="356"/>
      <c r="L540" s="356"/>
      <c r="M540" s="356"/>
      <c r="N540" s="356"/>
      <c r="O540" s="356"/>
      <c r="P540" s="356"/>
      <c r="Q540" s="356"/>
      <c r="R540" s="356"/>
      <c r="S540" s="356"/>
      <c r="T540" s="356"/>
      <c r="U540" s="356"/>
      <c r="V540" s="356"/>
      <c r="W540" s="356"/>
      <c r="X540" s="356"/>
      <c r="Y540" s="356"/>
      <c r="Z540" s="356"/>
      <c r="AA540" s="356"/>
      <c r="AB540" s="356"/>
      <c r="AC540" s="356"/>
      <c r="AD540" s="356"/>
      <c r="AE540" s="356"/>
      <c r="AF540" s="356"/>
      <c r="AG540" s="356"/>
      <c r="AH540" s="356"/>
      <c r="AI540" s="356"/>
      <c r="AJ540" s="356"/>
      <c r="AK540" s="356"/>
      <c r="AL540" s="356"/>
      <c r="AM540" s="356"/>
      <c r="AN540" s="356"/>
      <c r="AO540" s="356"/>
      <c r="AP540" s="356"/>
      <c r="AQ540" s="356"/>
      <c r="AR540" s="356"/>
      <c r="AS540" s="357"/>
    </row>
    <row r="541" spans="1:45" ht="17.25" thickBot="1" x14ac:dyDescent="0.3">
      <c r="A541" s="467"/>
      <c r="B541" s="372"/>
      <c r="C541" s="373">
        <v>1146031</v>
      </c>
      <c r="D541" s="374" t="s">
        <v>401</v>
      </c>
      <c r="E541" s="375"/>
      <c r="F541" s="376">
        <f>G576-AK541+AL541</f>
        <v>0</v>
      </c>
      <c r="G541" s="377">
        <v>0</v>
      </c>
      <c r="H541" s="397">
        <v>1</v>
      </c>
      <c r="I541" s="377">
        <v>1</v>
      </c>
      <c r="J541" s="377"/>
      <c r="K541" s="377">
        <v>2</v>
      </c>
      <c r="L541" s="377"/>
      <c r="M541" s="377"/>
      <c r="N541" s="377"/>
      <c r="O541" s="377"/>
      <c r="P541" s="377"/>
      <c r="Q541" s="377"/>
      <c r="R541" s="377"/>
      <c r="S541" s="377"/>
      <c r="T541" s="377"/>
      <c r="U541" s="377"/>
      <c r="V541" s="377"/>
      <c r="W541" s="377"/>
      <c r="X541" s="377"/>
      <c r="Y541" s="377"/>
      <c r="Z541" s="377"/>
      <c r="AA541" s="377"/>
      <c r="AB541" s="377"/>
      <c r="AC541" s="377"/>
      <c r="AD541" s="377"/>
      <c r="AE541" s="377"/>
      <c r="AF541" s="377"/>
      <c r="AG541" s="377"/>
      <c r="AH541" s="377"/>
      <c r="AI541" s="377"/>
      <c r="AJ541" s="377"/>
      <c r="AK541" s="377">
        <f>G576+AL541-G541</f>
        <v>0</v>
      </c>
      <c r="AL541" s="377"/>
      <c r="AM541" s="378"/>
      <c r="AN541" s="379"/>
      <c r="AO541" s="380"/>
      <c r="AP541" s="378"/>
      <c r="AQ541" s="381"/>
      <c r="AR541" s="381"/>
      <c r="AS541" s="381"/>
    </row>
    <row r="542" spans="1:45" ht="17.25" thickBot="1" x14ac:dyDescent="0.3">
      <c r="A542" s="467"/>
      <c r="B542" s="372"/>
      <c r="C542" s="373">
        <v>1146020</v>
      </c>
      <c r="D542" s="374" t="s">
        <v>402</v>
      </c>
      <c r="E542" s="375"/>
      <c r="F542" s="376">
        <f>G577-AK542+AL542</f>
        <v>0</v>
      </c>
      <c r="G542" s="377">
        <v>0</v>
      </c>
      <c r="H542" s="397">
        <v>1</v>
      </c>
      <c r="I542" s="377">
        <v>0</v>
      </c>
      <c r="J542" s="377"/>
      <c r="K542" s="377">
        <v>1</v>
      </c>
      <c r="L542" s="377"/>
      <c r="M542" s="377"/>
      <c r="N542" s="377"/>
      <c r="O542" s="377"/>
      <c r="P542" s="377"/>
      <c r="Q542" s="377"/>
      <c r="R542" s="377"/>
      <c r="S542" s="377"/>
      <c r="T542" s="377"/>
      <c r="U542" s="377"/>
      <c r="V542" s="377"/>
      <c r="W542" s="377"/>
      <c r="X542" s="377"/>
      <c r="Y542" s="377"/>
      <c r="Z542" s="377"/>
      <c r="AA542" s="377"/>
      <c r="AB542" s="377"/>
      <c r="AC542" s="377"/>
      <c r="AD542" s="377"/>
      <c r="AE542" s="377"/>
      <c r="AF542" s="377"/>
      <c r="AG542" s="377"/>
      <c r="AH542" s="377"/>
      <c r="AI542" s="377"/>
      <c r="AJ542" s="377"/>
      <c r="AK542" s="377">
        <f>G577+AL542-G542</f>
        <v>0</v>
      </c>
      <c r="AL542" s="377"/>
      <c r="AM542" s="378"/>
      <c r="AN542" s="379"/>
      <c r="AO542" s="380"/>
      <c r="AP542" s="378"/>
      <c r="AQ542" s="381"/>
      <c r="AR542" s="381"/>
      <c r="AS542" s="381"/>
    </row>
    <row r="543" spans="1:45" ht="17.25" thickBot="1" x14ac:dyDescent="0.3">
      <c r="A543" s="467"/>
      <c r="B543" s="372"/>
      <c r="C543" s="373">
        <v>1146016</v>
      </c>
      <c r="D543" s="374" t="s">
        <v>398</v>
      </c>
      <c r="E543" s="375"/>
      <c r="F543" s="376">
        <f>G578-AK543+AL543</f>
        <v>0</v>
      </c>
      <c r="G543" s="377">
        <v>0</v>
      </c>
      <c r="H543" s="397">
        <v>1</v>
      </c>
      <c r="I543" s="377">
        <v>0</v>
      </c>
      <c r="J543" s="377"/>
      <c r="K543" s="377">
        <v>0</v>
      </c>
      <c r="L543" s="377"/>
      <c r="M543" s="377"/>
      <c r="N543" s="377"/>
      <c r="O543" s="377"/>
      <c r="P543" s="377"/>
      <c r="Q543" s="377"/>
      <c r="R543" s="377"/>
      <c r="S543" s="377"/>
      <c r="T543" s="377"/>
      <c r="U543" s="377"/>
      <c r="V543" s="377"/>
      <c r="W543" s="377"/>
      <c r="X543" s="377"/>
      <c r="Y543" s="377"/>
      <c r="Z543" s="377"/>
      <c r="AA543" s="377"/>
      <c r="AB543" s="377"/>
      <c r="AC543" s="377"/>
      <c r="AD543" s="377"/>
      <c r="AE543" s="377"/>
      <c r="AF543" s="377"/>
      <c r="AG543" s="377"/>
      <c r="AH543" s="377"/>
      <c r="AI543" s="377"/>
      <c r="AJ543" s="377"/>
      <c r="AK543" s="377">
        <f>G578+AL543-G543</f>
        <v>0</v>
      </c>
      <c r="AL543" s="377"/>
      <c r="AM543" s="378"/>
      <c r="AN543" s="379"/>
      <c r="AO543" s="380"/>
      <c r="AP543" s="378"/>
      <c r="AQ543" s="381"/>
      <c r="AR543" s="381"/>
      <c r="AS543" s="381"/>
    </row>
    <row r="544" spans="1:45" ht="17.25" thickBot="1" x14ac:dyDescent="0.3">
      <c r="A544" s="467"/>
      <c r="B544" s="372"/>
      <c r="C544" s="373">
        <v>1146022</v>
      </c>
      <c r="D544" s="374" t="s">
        <v>403</v>
      </c>
      <c r="E544" s="375"/>
      <c r="F544" s="376">
        <f>G579-AK544+AL544</f>
        <v>0</v>
      </c>
      <c r="G544" s="377">
        <v>0</v>
      </c>
      <c r="H544" s="397">
        <v>2</v>
      </c>
      <c r="I544" s="377">
        <v>0</v>
      </c>
      <c r="J544" s="377"/>
      <c r="K544" s="377">
        <v>0</v>
      </c>
      <c r="L544" s="377"/>
      <c r="M544" s="377"/>
      <c r="N544" s="377"/>
      <c r="O544" s="377"/>
      <c r="P544" s="377"/>
      <c r="Q544" s="377"/>
      <c r="R544" s="377"/>
      <c r="S544" s="377"/>
      <c r="T544" s="377"/>
      <c r="U544" s="377"/>
      <c r="V544" s="377"/>
      <c r="W544" s="377"/>
      <c r="X544" s="377"/>
      <c r="Y544" s="377"/>
      <c r="Z544" s="377"/>
      <c r="AA544" s="377"/>
      <c r="AB544" s="377"/>
      <c r="AC544" s="377"/>
      <c r="AD544" s="377"/>
      <c r="AE544" s="377"/>
      <c r="AF544" s="377"/>
      <c r="AG544" s="377"/>
      <c r="AH544" s="377"/>
      <c r="AI544" s="377"/>
      <c r="AJ544" s="377"/>
      <c r="AK544" s="377">
        <f>G579+AL544-G544</f>
        <v>0</v>
      </c>
      <c r="AL544" s="377"/>
      <c r="AM544" s="378"/>
      <c r="AN544" s="379"/>
      <c r="AO544" s="380"/>
      <c r="AP544" s="378"/>
      <c r="AQ544" s="381"/>
      <c r="AR544" s="381"/>
      <c r="AS544" s="381"/>
    </row>
    <row r="545" spans="1:45" ht="17.25" thickBot="1" x14ac:dyDescent="0.3">
      <c r="A545" s="467"/>
      <c r="B545" s="372"/>
      <c r="C545" s="373">
        <v>1146027</v>
      </c>
      <c r="D545" s="374" t="s">
        <v>404</v>
      </c>
      <c r="E545" s="375"/>
      <c r="F545" s="376">
        <f>G580-AK545+AL545</f>
        <v>0</v>
      </c>
      <c r="G545" s="377">
        <v>0</v>
      </c>
      <c r="H545" s="397">
        <v>2</v>
      </c>
      <c r="I545" s="377">
        <v>1</v>
      </c>
      <c r="J545" s="377"/>
      <c r="K545" s="377">
        <v>1</v>
      </c>
      <c r="L545" s="377"/>
      <c r="M545" s="377"/>
      <c r="N545" s="377"/>
      <c r="O545" s="377"/>
      <c r="P545" s="377"/>
      <c r="Q545" s="377"/>
      <c r="R545" s="377"/>
      <c r="S545" s="377"/>
      <c r="T545" s="377"/>
      <c r="U545" s="377"/>
      <c r="V545" s="377"/>
      <c r="W545" s="377"/>
      <c r="X545" s="377"/>
      <c r="Y545" s="377"/>
      <c r="Z545" s="377"/>
      <c r="AA545" s="377"/>
      <c r="AB545" s="377"/>
      <c r="AC545" s="377"/>
      <c r="AD545" s="377"/>
      <c r="AE545" s="377"/>
      <c r="AF545" s="377"/>
      <c r="AG545" s="377"/>
      <c r="AH545" s="377"/>
      <c r="AI545" s="377"/>
      <c r="AJ545" s="377"/>
      <c r="AK545" s="377">
        <f>G580+AL545-G545</f>
        <v>0</v>
      </c>
      <c r="AL545" s="377"/>
      <c r="AM545" s="378"/>
      <c r="AN545" s="379"/>
      <c r="AO545" s="380"/>
      <c r="AP545" s="378"/>
      <c r="AQ545" s="381"/>
      <c r="AR545" s="381"/>
      <c r="AS545" s="381"/>
    </row>
    <row r="546" spans="1:45" ht="17.25" thickBot="1" x14ac:dyDescent="0.3">
      <c r="A546" s="467"/>
      <c r="B546" s="355" t="s">
        <v>418</v>
      </c>
      <c r="C546" s="356"/>
      <c r="D546" s="356"/>
      <c r="E546" s="359"/>
      <c r="F546" s="359"/>
      <c r="G546" s="356"/>
      <c r="H546" s="396"/>
      <c r="I546" s="356"/>
      <c r="J546" s="356"/>
      <c r="K546" s="356"/>
      <c r="L546" s="356"/>
      <c r="M546" s="356"/>
      <c r="N546" s="356"/>
      <c r="O546" s="356"/>
      <c r="P546" s="356"/>
      <c r="Q546" s="356"/>
      <c r="R546" s="356"/>
      <c r="S546" s="356"/>
      <c r="T546" s="356"/>
      <c r="U546" s="356"/>
      <c r="V546" s="356"/>
      <c r="W546" s="356"/>
      <c r="X546" s="356"/>
      <c r="Y546" s="356"/>
      <c r="Z546" s="356"/>
      <c r="AA546" s="356"/>
      <c r="AB546" s="356"/>
      <c r="AC546" s="356"/>
      <c r="AD546" s="356"/>
      <c r="AE546" s="356"/>
      <c r="AF546" s="356"/>
      <c r="AG546" s="356"/>
      <c r="AH546" s="356"/>
      <c r="AI546" s="356"/>
      <c r="AJ546" s="356"/>
      <c r="AK546" s="356"/>
      <c r="AL546" s="356"/>
      <c r="AM546" s="356"/>
      <c r="AN546" s="356"/>
      <c r="AO546" s="356"/>
      <c r="AP546" s="356"/>
      <c r="AQ546" s="356"/>
      <c r="AR546" s="356"/>
      <c r="AS546" s="357"/>
    </row>
    <row r="547" spans="1:45" ht="17.25" thickBot="1" x14ac:dyDescent="0.3">
      <c r="A547" s="467"/>
      <c r="B547" s="354"/>
      <c r="C547" s="285">
        <v>1151653</v>
      </c>
      <c r="D547" s="358" t="s">
        <v>405</v>
      </c>
      <c r="E547" s="360"/>
      <c r="F547" s="361">
        <f>G582-AK547+AL547</f>
        <v>2</v>
      </c>
      <c r="G547" s="364">
        <v>2</v>
      </c>
      <c r="H547" s="397">
        <v>1</v>
      </c>
      <c r="I547" s="364">
        <v>2</v>
      </c>
      <c r="J547" s="364"/>
      <c r="K547" s="364">
        <v>1</v>
      </c>
      <c r="L547" s="218"/>
      <c r="M547" s="218"/>
      <c r="N547" s="218"/>
      <c r="O547" s="218"/>
      <c r="P547" s="352"/>
      <c r="Q547" s="352"/>
      <c r="R547" s="352"/>
      <c r="S547" s="352"/>
      <c r="T547" s="352"/>
      <c r="U547" s="352"/>
      <c r="V547" s="218"/>
      <c r="W547" s="218"/>
      <c r="X547" s="218"/>
      <c r="Y547" s="218"/>
      <c r="Z547" s="218"/>
      <c r="AA547" s="218"/>
      <c r="AB547" s="218"/>
      <c r="AC547" s="218"/>
      <c r="AD547" s="218"/>
      <c r="AE547" s="218"/>
      <c r="AF547" s="218"/>
      <c r="AG547" s="218"/>
      <c r="AH547" s="218"/>
      <c r="AI547" s="218"/>
      <c r="AJ547" s="218"/>
      <c r="AK547" s="218">
        <f>G582+AL547-G547</f>
        <v>0</v>
      </c>
      <c r="AL547" s="218"/>
      <c r="AM547" s="353"/>
      <c r="AN547" s="295"/>
      <c r="AO547" s="296"/>
      <c r="AP547" s="353"/>
      <c r="AQ547" s="290"/>
      <c r="AR547" s="290"/>
      <c r="AS547" s="290"/>
    </row>
    <row r="548" spans="1:45" ht="17.25" thickBot="1" x14ac:dyDescent="0.3">
      <c r="A548" s="467"/>
      <c r="B548" s="354"/>
      <c r="C548" s="285">
        <v>1151650</v>
      </c>
      <c r="D548" s="358" t="s">
        <v>406</v>
      </c>
      <c r="E548" s="360"/>
      <c r="F548" s="361">
        <f>G583-AK548+AL548</f>
        <v>0</v>
      </c>
      <c r="G548" s="364">
        <v>0</v>
      </c>
      <c r="H548" s="397">
        <v>2</v>
      </c>
      <c r="I548" s="364">
        <v>0</v>
      </c>
      <c r="J548" s="364"/>
      <c r="K548" s="364">
        <v>5</v>
      </c>
      <c r="L548" s="218"/>
      <c r="M548" s="218"/>
      <c r="N548" s="218"/>
      <c r="O548" s="218"/>
      <c r="P548" s="352"/>
      <c r="Q548" s="352"/>
      <c r="R548" s="352"/>
      <c r="S548" s="352"/>
      <c r="T548" s="352"/>
      <c r="U548" s="352"/>
      <c r="V548" s="218"/>
      <c r="W548" s="218"/>
      <c r="X548" s="218"/>
      <c r="Y548" s="218"/>
      <c r="Z548" s="218"/>
      <c r="AA548" s="218"/>
      <c r="AB548" s="218"/>
      <c r="AC548" s="218"/>
      <c r="AD548" s="218"/>
      <c r="AE548" s="218"/>
      <c r="AF548" s="218"/>
      <c r="AG548" s="218"/>
      <c r="AH548" s="218"/>
      <c r="AI548" s="218"/>
      <c r="AJ548" s="218"/>
      <c r="AK548" s="218">
        <f>G583+AL548-G548</f>
        <v>0</v>
      </c>
      <c r="AL548" s="218"/>
      <c r="AM548" s="353"/>
      <c r="AN548" s="295"/>
      <c r="AO548" s="296"/>
      <c r="AP548" s="353"/>
      <c r="AQ548" s="290"/>
      <c r="AR548" s="290"/>
      <c r="AS548" s="290"/>
    </row>
    <row r="549" spans="1:45" ht="17.25" thickBot="1" x14ac:dyDescent="0.3">
      <c r="A549" s="467"/>
      <c r="B549" s="354"/>
      <c r="C549" s="285">
        <v>1151649</v>
      </c>
      <c r="D549" s="358" t="s">
        <v>407</v>
      </c>
      <c r="E549" s="360"/>
      <c r="F549" s="361">
        <f>G584-AK549+AL549</f>
        <v>0</v>
      </c>
      <c r="G549" s="369">
        <v>0</v>
      </c>
      <c r="H549" s="369">
        <v>4</v>
      </c>
      <c r="I549" s="369">
        <v>0</v>
      </c>
      <c r="J549" s="369"/>
      <c r="K549" s="369">
        <v>2</v>
      </c>
      <c r="L549" s="218"/>
      <c r="M549" s="218"/>
      <c r="N549" s="218"/>
      <c r="O549" s="218"/>
      <c r="P549" s="352"/>
      <c r="Q549" s="352"/>
      <c r="R549" s="352"/>
      <c r="S549" s="352"/>
      <c r="T549" s="352"/>
      <c r="U549" s="352"/>
      <c r="V549" s="218"/>
      <c r="W549" s="218"/>
      <c r="X549" s="218"/>
      <c r="Y549" s="218"/>
      <c r="Z549" s="218"/>
      <c r="AA549" s="218"/>
      <c r="AB549" s="218">
        <v>2</v>
      </c>
      <c r="AC549" s="218"/>
      <c r="AD549" s="218">
        <v>2</v>
      </c>
      <c r="AE549" s="218"/>
      <c r="AF549" s="218"/>
      <c r="AG549" s="218"/>
      <c r="AH549" s="218"/>
      <c r="AI549" s="218"/>
      <c r="AJ549" s="218"/>
      <c r="AK549" s="218">
        <f>G584+AL549-G549</f>
        <v>0</v>
      </c>
      <c r="AL549" s="218"/>
      <c r="AM549" s="353"/>
      <c r="AN549" s="295"/>
      <c r="AO549" s="296"/>
      <c r="AP549" s="353"/>
      <c r="AQ549" s="290"/>
      <c r="AR549" s="290"/>
      <c r="AS549" s="290"/>
    </row>
    <row r="550" spans="1:45" ht="17.25" thickBot="1" x14ac:dyDescent="0.3">
      <c r="A550" s="467"/>
      <c r="B550" s="354"/>
      <c r="C550" s="285">
        <v>1151651</v>
      </c>
      <c r="D550" s="358" t="s">
        <v>408</v>
      </c>
      <c r="E550" s="360"/>
      <c r="F550" s="361">
        <f>G585-AK550+AL550</f>
        <v>2</v>
      </c>
      <c r="G550" s="369">
        <v>2</v>
      </c>
      <c r="H550" s="369">
        <v>1</v>
      </c>
      <c r="I550" s="369">
        <v>2</v>
      </c>
      <c r="J550" s="369"/>
      <c r="K550" s="369">
        <v>3</v>
      </c>
      <c r="L550" s="218"/>
      <c r="M550" s="218"/>
      <c r="N550" s="218"/>
      <c r="O550" s="218"/>
      <c r="P550" s="352"/>
      <c r="Q550" s="352"/>
      <c r="R550" s="352"/>
      <c r="S550" s="352"/>
      <c r="T550" s="352"/>
      <c r="U550" s="352"/>
      <c r="V550" s="218"/>
      <c r="W550" s="218"/>
      <c r="X550" s="218"/>
      <c r="Y550" s="218"/>
      <c r="Z550" s="218">
        <v>2</v>
      </c>
      <c r="AA550" s="218"/>
      <c r="AB550" s="218">
        <v>2</v>
      </c>
      <c r="AC550" s="218"/>
      <c r="AD550" s="218">
        <v>3</v>
      </c>
      <c r="AE550" s="218"/>
      <c r="AF550" s="218"/>
      <c r="AG550" s="218"/>
      <c r="AH550" s="218"/>
      <c r="AI550" s="218"/>
      <c r="AJ550" s="218"/>
      <c r="AK550" s="218">
        <f>G585+AL550-G550</f>
        <v>0</v>
      </c>
      <c r="AL550" s="218"/>
      <c r="AM550" s="353"/>
      <c r="AN550" s="295"/>
      <c r="AO550" s="296"/>
      <c r="AP550" s="353"/>
      <c r="AQ550" s="290"/>
      <c r="AR550" s="290"/>
      <c r="AS550" s="290"/>
    </row>
    <row r="551" spans="1:45" ht="17.25" thickBot="1" x14ac:dyDescent="0.3">
      <c r="A551" s="467"/>
      <c r="B551" s="354"/>
      <c r="C551" s="285">
        <v>1146029</v>
      </c>
      <c r="D551" s="358" t="s">
        <v>409</v>
      </c>
      <c r="E551" s="360"/>
      <c r="F551" s="361">
        <f>G586-AK551+AL551</f>
        <v>4</v>
      </c>
      <c r="G551" s="369">
        <v>4</v>
      </c>
      <c r="H551" s="369">
        <v>2</v>
      </c>
      <c r="I551" s="369">
        <v>4</v>
      </c>
      <c r="J551" s="369"/>
      <c r="K551" s="369">
        <v>2</v>
      </c>
      <c r="L551" s="218"/>
      <c r="M551" s="218"/>
      <c r="N551" s="218"/>
      <c r="O551" s="218"/>
      <c r="P551" s="352"/>
      <c r="Q551" s="352"/>
      <c r="R551" s="352"/>
      <c r="S551" s="352"/>
      <c r="T551" s="352"/>
      <c r="U551" s="352"/>
      <c r="V551" s="218"/>
      <c r="W551" s="218"/>
      <c r="X551" s="218"/>
      <c r="Y551" s="218"/>
      <c r="Z551" s="218"/>
      <c r="AA551" s="218"/>
      <c r="AB551" s="218"/>
      <c r="AC551" s="218">
        <v>2</v>
      </c>
      <c r="AD551" s="218"/>
      <c r="AE551" s="218"/>
      <c r="AF551" s="218"/>
      <c r="AG551" s="218"/>
      <c r="AH551" s="218"/>
      <c r="AI551" s="218"/>
      <c r="AJ551" s="218"/>
      <c r="AK551" s="218">
        <f>G586+AL551-G551</f>
        <v>0</v>
      </c>
      <c r="AL551" s="218"/>
      <c r="AM551" s="353"/>
      <c r="AN551" s="295"/>
      <c r="AO551" s="296"/>
      <c r="AP551" s="353"/>
      <c r="AQ551" s="290"/>
      <c r="AR551" s="290"/>
      <c r="AS551" s="290"/>
    </row>
    <row r="552" spans="1:45" ht="17.25" thickBot="1" x14ac:dyDescent="0.3">
      <c r="A552" s="467"/>
      <c r="B552" s="355" t="s">
        <v>410</v>
      </c>
      <c r="C552" s="356"/>
      <c r="D552" s="356"/>
      <c r="E552" s="359"/>
      <c r="F552" s="359"/>
      <c r="G552" s="356"/>
      <c r="H552" s="396"/>
      <c r="I552" s="356"/>
      <c r="J552" s="356"/>
      <c r="K552" s="356"/>
      <c r="L552" s="356"/>
      <c r="M552" s="356"/>
      <c r="N552" s="356"/>
      <c r="O552" s="356"/>
      <c r="P552" s="356"/>
      <c r="Q552" s="356"/>
      <c r="R552" s="356"/>
      <c r="S552" s="356"/>
      <c r="T552" s="356"/>
      <c r="U552" s="356"/>
      <c r="V552" s="356"/>
      <c r="W552" s="356"/>
      <c r="X552" s="356"/>
      <c r="Y552" s="356"/>
      <c r="Z552" s="356"/>
      <c r="AA552" s="356"/>
      <c r="AB552" s="356"/>
      <c r="AC552" s="356"/>
      <c r="AD552" s="356"/>
      <c r="AE552" s="356"/>
      <c r="AF552" s="356"/>
      <c r="AG552" s="356"/>
      <c r="AH552" s="356"/>
      <c r="AI552" s="356"/>
      <c r="AJ552" s="356"/>
      <c r="AK552" s="356"/>
      <c r="AL552" s="356"/>
      <c r="AM552" s="356"/>
      <c r="AN552" s="356"/>
      <c r="AO552" s="356"/>
      <c r="AP552" s="356"/>
      <c r="AQ552" s="356"/>
      <c r="AR552" s="356"/>
      <c r="AS552" s="357"/>
    </row>
    <row r="553" spans="1:45" ht="17.25" thickBot="1" x14ac:dyDescent="0.3">
      <c r="A553" s="467"/>
      <c r="B553" s="354"/>
      <c r="C553" s="285">
        <v>1699118</v>
      </c>
      <c r="D553" s="358" t="s">
        <v>411</v>
      </c>
      <c r="E553" s="360"/>
      <c r="F553" s="361">
        <f>G588-AK553+AL553</f>
        <v>1</v>
      </c>
      <c r="G553" s="369">
        <v>1</v>
      </c>
      <c r="H553" s="369">
        <v>1</v>
      </c>
      <c r="I553" s="369">
        <v>1</v>
      </c>
      <c r="J553" s="369"/>
      <c r="K553" s="369">
        <v>0</v>
      </c>
      <c r="L553" s="218"/>
      <c r="M553" s="218"/>
      <c r="N553" s="218"/>
      <c r="O553" s="218"/>
      <c r="P553" s="352"/>
      <c r="Q553" s="352"/>
      <c r="R553" s="352"/>
      <c r="S553" s="352"/>
      <c r="T553" s="352"/>
      <c r="U553" s="352"/>
      <c r="V553" s="218"/>
      <c r="W553" s="218"/>
      <c r="X553" s="218"/>
      <c r="Y553" s="218"/>
      <c r="Z553" s="218"/>
      <c r="AA553" s="218"/>
      <c r="AB553" s="218">
        <v>1</v>
      </c>
      <c r="AC553" s="218"/>
      <c r="AD553" s="218"/>
      <c r="AE553" s="218"/>
      <c r="AF553" s="218"/>
      <c r="AG553" s="218"/>
      <c r="AH553" s="218"/>
      <c r="AI553" s="218"/>
      <c r="AJ553" s="218"/>
      <c r="AK553" s="218">
        <f>G588+AL553-G553</f>
        <v>0</v>
      </c>
      <c r="AL553" s="218"/>
      <c r="AM553" s="353"/>
      <c r="AN553" s="295"/>
      <c r="AO553" s="296"/>
      <c r="AP553" s="353"/>
      <c r="AQ553" s="290"/>
      <c r="AR553" s="290"/>
      <c r="AS553" s="290"/>
    </row>
    <row r="554" spans="1:45" ht="17.25" thickBot="1" x14ac:dyDescent="0.3">
      <c r="A554" s="467"/>
      <c r="B554" s="354"/>
      <c r="C554" s="285">
        <v>1699119</v>
      </c>
      <c r="D554" s="358" t="s">
        <v>412</v>
      </c>
      <c r="E554" s="360"/>
      <c r="F554" s="361">
        <f>G589-AK554+AL554</f>
        <v>5</v>
      </c>
      <c r="G554" s="369">
        <v>5</v>
      </c>
      <c r="H554" s="369">
        <v>1</v>
      </c>
      <c r="I554" s="369">
        <v>5</v>
      </c>
      <c r="J554" s="369"/>
      <c r="K554" s="369">
        <v>1</v>
      </c>
      <c r="L554" s="218"/>
      <c r="M554" s="218"/>
      <c r="N554" s="218"/>
      <c r="O554" s="218"/>
      <c r="P554" s="352"/>
      <c r="Q554" s="352"/>
      <c r="R554" s="352"/>
      <c r="S554" s="352"/>
      <c r="T554" s="352"/>
      <c r="U554" s="352"/>
      <c r="V554" s="218"/>
      <c r="W554" s="218"/>
      <c r="X554" s="218"/>
      <c r="Y554" s="218"/>
      <c r="Z554" s="218"/>
      <c r="AA554" s="218"/>
      <c r="AB554" s="218">
        <v>2</v>
      </c>
      <c r="AC554" s="218"/>
      <c r="AD554" s="218"/>
      <c r="AE554" s="218"/>
      <c r="AF554" s="218"/>
      <c r="AG554" s="218"/>
      <c r="AH554" s="218"/>
      <c r="AI554" s="218"/>
      <c r="AJ554" s="218"/>
      <c r="AK554" s="369">
        <f>G589+AL554-G554</f>
        <v>0</v>
      </c>
      <c r="AL554" s="218"/>
      <c r="AM554" s="353"/>
      <c r="AN554" s="295"/>
      <c r="AO554" s="296"/>
      <c r="AP554" s="353"/>
      <c r="AQ554" s="290"/>
      <c r="AR554" s="290"/>
      <c r="AS554" s="290"/>
    </row>
    <row r="555" spans="1:45" ht="17.25" thickBot="1" x14ac:dyDescent="0.3">
      <c r="A555" s="467"/>
      <c r="B555" s="354"/>
      <c r="C555" s="285">
        <v>1699130</v>
      </c>
      <c r="D555" s="358" t="s">
        <v>413</v>
      </c>
      <c r="E555" s="360"/>
      <c r="F555" s="361">
        <f>G590-AK555+AL555</f>
        <v>0</v>
      </c>
      <c r="G555" s="369">
        <v>0</v>
      </c>
      <c r="H555" s="369">
        <v>4</v>
      </c>
      <c r="I555" s="369">
        <v>0</v>
      </c>
      <c r="J555" s="369"/>
      <c r="K555" s="369">
        <v>0</v>
      </c>
      <c r="L555" s="218"/>
      <c r="M555" s="218"/>
      <c r="N555" s="218"/>
      <c r="O555" s="218"/>
      <c r="P555" s="352"/>
      <c r="Q555" s="352"/>
      <c r="R555" s="352"/>
      <c r="S555" s="352"/>
      <c r="T555" s="352"/>
      <c r="U555" s="352"/>
      <c r="V555" s="218"/>
      <c r="W555" s="218"/>
      <c r="X555" s="218"/>
      <c r="Y555" s="218"/>
      <c r="Z555" s="218"/>
      <c r="AA555" s="218">
        <v>2</v>
      </c>
      <c r="AB555" s="218"/>
      <c r="AC555" s="218"/>
      <c r="AD555" s="218">
        <v>4</v>
      </c>
      <c r="AE555" s="218"/>
      <c r="AF555" s="218"/>
      <c r="AG555" s="218"/>
      <c r="AH555" s="218"/>
      <c r="AI555" s="218"/>
      <c r="AJ555" s="218"/>
      <c r="AK555" s="218">
        <f>G590+AL555-G555</f>
        <v>0</v>
      </c>
      <c r="AL555" s="218"/>
      <c r="AM555" s="353"/>
      <c r="AN555" s="295"/>
      <c r="AO555" s="296"/>
      <c r="AP555" s="353"/>
      <c r="AQ555" s="290"/>
      <c r="AR555" s="290"/>
      <c r="AS555" s="290"/>
    </row>
    <row r="556" spans="1:45" ht="17.25" thickBot="1" x14ac:dyDescent="0.3">
      <c r="A556" s="467"/>
      <c r="B556" s="354"/>
      <c r="C556" s="285">
        <v>1699131</v>
      </c>
      <c r="D556" s="358" t="s">
        <v>414</v>
      </c>
      <c r="E556" s="360"/>
      <c r="F556" s="361">
        <f>G591-AK556+AL556</f>
        <v>5</v>
      </c>
      <c r="G556" s="369">
        <v>5</v>
      </c>
      <c r="H556" s="397">
        <v>3</v>
      </c>
      <c r="I556" s="369">
        <v>5</v>
      </c>
      <c r="J556" s="369"/>
      <c r="K556" s="364">
        <v>0</v>
      </c>
      <c r="L556" s="218"/>
      <c r="M556" s="218"/>
      <c r="N556" s="218"/>
      <c r="O556" s="218"/>
      <c r="P556" s="352"/>
      <c r="Q556" s="352"/>
      <c r="R556" s="352"/>
      <c r="S556" s="352"/>
      <c r="T556" s="352"/>
      <c r="U556" s="352"/>
      <c r="V556" s="218"/>
      <c r="W556" s="218"/>
      <c r="X556" s="218"/>
      <c r="Y556" s="218"/>
      <c r="Z556" s="218"/>
      <c r="AA556" s="218"/>
      <c r="AB556" s="218">
        <v>1</v>
      </c>
      <c r="AC556" s="218"/>
      <c r="AD556" s="218"/>
      <c r="AE556" s="218"/>
      <c r="AF556" s="218"/>
      <c r="AG556" s="218"/>
      <c r="AH556" s="218"/>
      <c r="AI556" s="218"/>
      <c r="AJ556" s="218"/>
      <c r="AK556" s="218">
        <f>G591+AL556-G556</f>
        <v>0</v>
      </c>
      <c r="AL556" s="218"/>
      <c r="AM556" s="353"/>
      <c r="AN556" s="295"/>
      <c r="AO556" s="296"/>
      <c r="AP556" s="353"/>
      <c r="AQ556" s="290"/>
      <c r="AR556" s="290"/>
      <c r="AS556" s="290"/>
    </row>
    <row r="557" spans="1:45" ht="17.25" thickBot="1" x14ac:dyDescent="0.3">
      <c r="A557" s="468"/>
      <c r="B557" s="354"/>
      <c r="C557" s="285">
        <v>1699132</v>
      </c>
      <c r="D557" s="358" t="s">
        <v>415</v>
      </c>
      <c r="E557" s="285"/>
      <c r="F557" s="362">
        <f>G592-AK557+AL557</f>
        <v>3</v>
      </c>
      <c r="G557" s="364">
        <v>3</v>
      </c>
      <c r="H557" s="397">
        <v>3</v>
      </c>
      <c r="I557" s="364">
        <v>3</v>
      </c>
      <c r="J557" s="364"/>
      <c r="K557" s="364">
        <v>0</v>
      </c>
      <c r="L557" s="218"/>
      <c r="M557" s="218"/>
      <c r="N557" s="218"/>
      <c r="O557" s="218"/>
      <c r="P557" s="352"/>
      <c r="Q557" s="352"/>
      <c r="R557" s="352"/>
      <c r="S557" s="352"/>
      <c r="T557" s="352"/>
      <c r="U557" s="352"/>
      <c r="V557" s="218"/>
      <c r="W557" s="218"/>
      <c r="X557" s="218"/>
      <c r="Y557" s="218"/>
      <c r="Z557" s="218"/>
      <c r="AA557" s="218"/>
      <c r="AB557" s="218"/>
      <c r="AC557" s="218"/>
      <c r="AD557" s="218"/>
      <c r="AE557" s="218"/>
      <c r="AF557" s="218"/>
      <c r="AG557" s="218"/>
      <c r="AH557" s="218"/>
      <c r="AI557" s="218"/>
      <c r="AJ557" s="218"/>
      <c r="AK557" s="218">
        <f>G592+AL557-G557</f>
        <v>0</v>
      </c>
      <c r="AL557" s="218"/>
      <c r="AM557" s="353"/>
      <c r="AN557" s="295"/>
      <c r="AO557" s="296"/>
      <c r="AP557" s="353"/>
      <c r="AQ557" s="290"/>
      <c r="AR557" s="290"/>
      <c r="AS557" s="290"/>
    </row>
    <row r="558" spans="1:45" x14ac:dyDescent="0.25">
      <c r="AL558" s="290"/>
      <c r="AM558" s="290"/>
      <c r="AN558" s="290"/>
      <c r="AO558" s="290"/>
    </row>
    <row r="559" spans="1:45" ht="14.25" thickBot="1" x14ac:dyDescent="0.3">
      <c r="B559" s="338" t="s">
        <v>18</v>
      </c>
      <c r="C559" s="339">
        <v>45754</v>
      </c>
      <c r="AA559" s="290">
        <v>0</v>
      </c>
      <c r="AL559" s="290"/>
      <c r="AM559" s="290"/>
      <c r="AN559" s="290"/>
      <c r="AO559" s="290"/>
      <c r="AP559" s="290"/>
    </row>
    <row r="560" spans="1:45" ht="41.25" thickBot="1" x14ac:dyDescent="0.3">
      <c r="B560" s="283" t="s">
        <v>0</v>
      </c>
      <c r="C560" s="284" t="s">
        <v>1</v>
      </c>
      <c r="D560" s="284" t="s">
        <v>2</v>
      </c>
      <c r="E560" s="284" t="s">
        <v>3</v>
      </c>
      <c r="F560" s="4" t="s">
        <v>318</v>
      </c>
      <c r="G560" s="351" t="s">
        <v>544</v>
      </c>
      <c r="H560" s="382" t="s">
        <v>460</v>
      </c>
      <c r="I560" s="234" t="s">
        <v>533</v>
      </c>
      <c r="J560" s="234"/>
      <c r="K560" s="258" t="s">
        <v>534</v>
      </c>
      <c r="L560" s="258" t="s">
        <v>328</v>
      </c>
      <c r="M560" s="258" t="s">
        <v>327</v>
      </c>
      <c r="N560" s="234" t="s">
        <v>389</v>
      </c>
      <c r="O560" s="240" t="s">
        <v>130</v>
      </c>
      <c r="P560" s="243" t="s">
        <v>303</v>
      </c>
      <c r="Q560" s="244" t="s">
        <v>304</v>
      </c>
      <c r="R560" s="244" t="s">
        <v>314</v>
      </c>
      <c r="S560" s="245" t="s">
        <v>338</v>
      </c>
      <c r="T560" s="245" t="s">
        <v>345</v>
      </c>
      <c r="U560" s="245" t="s">
        <v>361</v>
      </c>
      <c r="V560" s="245" t="s">
        <v>387</v>
      </c>
      <c r="W560" s="245" t="s">
        <v>421</v>
      </c>
      <c r="X560" s="245" t="s">
        <v>452</v>
      </c>
      <c r="Y560" s="245" t="s">
        <v>463</v>
      </c>
      <c r="Z560" s="245" t="s">
        <v>481</v>
      </c>
      <c r="AA560" s="245" t="s">
        <v>498</v>
      </c>
      <c r="AB560" s="245" t="s">
        <v>303</v>
      </c>
      <c r="AC560" s="245" t="s">
        <v>304</v>
      </c>
      <c r="AD560" s="245" t="s">
        <v>314</v>
      </c>
      <c r="AE560" s="245" t="s">
        <v>338</v>
      </c>
      <c r="AF560" s="245"/>
      <c r="AG560" s="245"/>
      <c r="AH560" s="245"/>
      <c r="AI560" s="245"/>
      <c r="AJ560" s="245" t="s">
        <v>360</v>
      </c>
      <c r="AK560" s="246" t="s">
        <v>268</v>
      </c>
      <c r="AL560" s="247" t="s">
        <v>269</v>
      </c>
      <c r="AM560" s="291" t="s">
        <v>288</v>
      </c>
      <c r="AN560" s="292" t="s">
        <v>289</v>
      </c>
      <c r="AO560" s="292" t="s">
        <v>287</v>
      </c>
      <c r="AP560" s="293" t="s">
        <v>290</v>
      </c>
      <c r="AQ560" s="290" t="s">
        <v>306</v>
      </c>
      <c r="AR560" s="290" t="s">
        <v>310</v>
      </c>
      <c r="AS560" s="290" t="s">
        <v>311</v>
      </c>
    </row>
    <row r="561" spans="1:45" ht="17.25" thickBot="1" x14ac:dyDescent="0.3">
      <c r="A561" s="463" t="s">
        <v>416</v>
      </c>
      <c r="B561" s="285">
        <v>273664</v>
      </c>
      <c r="C561" s="286">
        <v>1135749</v>
      </c>
      <c r="D561" s="286" t="s">
        <v>7</v>
      </c>
      <c r="E561" s="286">
        <v>6060050026</v>
      </c>
      <c r="F561" s="253">
        <f>G596-AK561+AL561</f>
        <v>9</v>
      </c>
      <c r="G561" s="235">
        <v>9</v>
      </c>
      <c r="H561" s="394">
        <v>5</v>
      </c>
      <c r="I561" s="232">
        <v>9</v>
      </c>
      <c r="J561" s="232"/>
      <c r="K561" s="232">
        <v>2</v>
      </c>
      <c r="L561" s="232">
        <f>IF(K595=K560,L596+AK561,K561)</f>
        <v>2</v>
      </c>
      <c r="M561" s="232">
        <f>IF(K595=K560,0,L596+AK561-K561)</f>
        <v>0</v>
      </c>
      <c r="N561" s="267">
        <v>5</v>
      </c>
      <c r="O561" s="241">
        <f>N561-G561</f>
        <v>-4</v>
      </c>
      <c r="P561" s="277">
        <v>4</v>
      </c>
      <c r="Q561" s="278">
        <v>4</v>
      </c>
      <c r="R561" s="279"/>
      <c r="S561" s="279">
        <v>3</v>
      </c>
      <c r="T561" s="279">
        <v>4</v>
      </c>
      <c r="U561" s="279">
        <v>2</v>
      </c>
      <c r="V561" s="279"/>
      <c r="W561" s="279">
        <f>2+3</f>
        <v>5</v>
      </c>
      <c r="X561" s="241"/>
      <c r="Y561" s="241"/>
      <c r="Z561" s="241"/>
      <c r="AA561" s="241">
        <v>4</v>
      </c>
      <c r="AB561" s="241">
        <v>5</v>
      </c>
      <c r="AC561" s="241"/>
      <c r="AD561" s="241">
        <v>6</v>
      </c>
      <c r="AE561" s="241"/>
      <c r="AF561" s="241"/>
      <c r="AG561" s="241"/>
      <c r="AH561" s="241"/>
      <c r="AI561" s="241"/>
      <c r="AJ561" s="241">
        <f>N561-V561</f>
        <v>5</v>
      </c>
      <c r="AK561" s="235">
        <f>G596+AL561-G561</f>
        <v>2</v>
      </c>
      <c r="AL561" s="350">
        <v>6</v>
      </c>
      <c r="AM561" s="294">
        <v>1.5</v>
      </c>
      <c r="AN561" s="295">
        <v>4</v>
      </c>
      <c r="AO561" s="296">
        <f>G561/(AN561)</f>
        <v>2.25</v>
      </c>
      <c r="AP561" s="297">
        <f>AN561*6</f>
        <v>24</v>
      </c>
      <c r="AQ561" s="290">
        <f>G561+K561</f>
        <v>11</v>
      </c>
      <c r="AR561" s="290">
        <f>IF(G561&lt;G596,(G596-G561+K596-K561),K596-K561)</f>
        <v>-2</v>
      </c>
      <c r="AS561" s="290">
        <f>21-8</f>
        <v>13</v>
      </c>
    </row>
    <row r="562" spans="1:45" ht="17.25" thickBot="1" x14ac:dyDescent="0.3">
      <c r="A562" s="464"/>
      <c r="B562" s="285">
        <v>273672</v>
      </c>
      <c r="C562" s="286">
        <v>1135750</v>
      </c>
      <c r="D562" s="286" t="s">
        <v>9</v>
      </c>
      <c r="E562" s="287">
        <v>204000000000</v>
      </c>
      <c r="F562" s="253">
        <f>G597-AK562+AL562</f>
        <v>19</v>
      </c>
      <c r="G562" s="235">
        <v>19</v>
      </c>
      <c r="H562" s="394">
        <v>16</v>
      </c>
      <c r="I562" s="232">
        <v>19</v>
      </c>
      <c r="J562" s="232"/>
      <c r="K562" s="232">
        <v>3</v>
      </c>
      <c r="L562" s="232">
        <f>IF(K595=K560,L597+AK562,K562)</f>
        <v>3</v>
      </c>
      <c r="M562" s="232">
        <f>IF(K595=K560,0,L597+AK562-K562)</f>
        <v>8</v>
      </c>
      <c r="N562" s="267">
        <v>10</v>
      </c>
      <c r="O562" s="241">
        <f>N562-G562</f>
        <v>-9</v>
      </c>
      <c r="P562" s="277">
        <v>13</v>
      </c>
      <c r="Q562" s="278">
        <v>2</v>
      </c>
      <c r="R562" s="279">
        <v>6</v>
      </c>
      <c r="S562" s="279">
        <v>6</v>
      </c>
      <c r="T562" s="279">
        <v>10</v>
      </c>
      <c r="U562" s="279">
        <v>4</v>
      </c>
      <c r="V562" s="279">
        <v>6</v>
      </c>
      <c r="W562" s="279">
        <v>16</v>
      </c>
      <c r="X562" s="241"/>
      <c r="Y562" s="241">
        <v>6</v>
      </c>
      <c r="Z562" s="241">
        <v>4</v>
      </c>
      <c r="AA562" s="241">
        <v>6</v>
      </c>
      <c r="AB562" s="241">
        <v>14</v>
      </c>
      <c r="AC562" s="241"/>
      <c r="AD562" s="241">
        <v>12</v>
      </c>
      <c r="AE562" s="241"/>
      <c r="AF562" s="241"/>
      <c r="AG562" s="241"/>
      <c r="AH562" s="241"/>
      <c r="AI562" s="241"/>
      <c r="AJ562" s="241">
        <f>N562-V562</f>
        <v>4</v>
      </c>
      <c r="AK562" s="235">
        <f>G597+AL562-G562</f>
        <v>6</v>
      </c>
      <c r="AL562" s="236"/>
      <c r="AM562" s="298">
        <v>4.2</v>
      </c>
      <c r="AN562" s="295">
        <v>9</v>
      </c>
      <c r="AO562" s="296">
        <f>G562/(AN562)</f>
        <v>2.1111111111111112</v>
      </c>
      <c r="AP562" s="297">
        <f>AN562*6</f>
        <v>54</v>
      </c>
      <c r="AQ562" s="290">
        <f>G562+K562</f>
        <v>22</v>
      </c>
      <c r="AR562" s="290">
        <f>IF(G562&lt;G597,(G597-G562+K597-K562),K597-K562)</f>
        <v>8</v>
      </c>
      <c r="AS562" s="290">
        <f>21-8</f>
        <v>13</v>
      </c>
    </row>
    <row r="563" spans="1:45" ht="17.25" thickBot="1" x14ac:dyDescent="0.3">
      <c r="A563" s="464"/>
      <c r="B563" s="285">
        <v>273702</v>
      </c>
      <c r="C563" s="286">
        <v>1135753</v>
      </c>
      <c r="D563" s="286" t="s">
        <v>10</v>
      </c>
      <c r="E563" s="287">
        <v>301000000000</v>
      </c>
      <c r="F563" s="253">
        <f>G598-AK563+AL563</f>
        <v>3</v>
      </c>
      <c r="G563" s="235">
        <v>3</v>
      </c>
      <c r="H563" s="394">
        <v>1</v>
      </c>
      <c r="I563" s="232">
        <v>3</v>
      </c>
      <c r="J563" s="232"/>
      <c r="K563" s="232">
        <v>2</v>
      </c>
      <c r="L563" s="232">
        <f>IF(K595=K560,L598+AK563,K563)</f>
        <v>2</v>
      </c>
      <c r="M563" s="232">
        <f>IF(K595=K560,0,L598+AK563-K563)</f>
        <v>0</v>
      </c>
      <c r="N563" s="232">
        <v>2</v>
      </c>
      <c r="O563" s="241">
        <f>N563-G563</f>
        <v>-1</v>
      </c>
      <c r="P563" s="277"/>
      <c r="Q563" s="278"/>
      <c r="R563" s="279"/>
      <c r="S563" s="279"/>
      <c r="T563" s="279"/>
      <c r="U563" s="279"/>
      <c r="V563" s="279"/>
      <c r="W563" s="279"/>
      <c r="X563" s="241"/>
      <c r="Y563" s="241"/>
      <c r="Z563" s="241"/>
      <c r="AA563" s="241"/>
      <c r="AB563" s="241">
        <v>2</v>
      </c>
      <c r="AC563" s="241"/>
      <c r="AD563" s="241"/>
      <c r="AE563" s="241"/>
      <c r="AF563" s="241"/>
      <c r="AG563" s="241"/>
      <c r="AH563" s="241"/>
      <c r="AI563" s="241"/>
      <c r="AJ563" s="241">
        <f>N563-V563</f>
        <v>2</v>
      </c>
      <c r="AK563" s="235">
        <f>G598+AL563-G563</f>
        <v>0</v>
      </c>
      <c r="AL563" s="236">
        <v>2</v>
      </c>
      <c r="AM563" s="294">
        <f>4/12</f>
        <v>0.33333333333333331</v>
      </c>
      <c r="AN563" s="295">
        <v>2</v>
      </c>
      <c r="AO563" s="296">
        <f>G563/(AN563)</f>
        <v>1.5</v>
      </c>
      <c r="AP563" s="297">
        <f>AN563*6</f>
        <v>12</v>
      </c>
      <c r="AQ563" s="290">
        <f>G563+K563</f>
        <v>5</v>
      </c>
      <c r="AR563" s="290">
        <f>IF(G563&lt;G598,(G598-G563+K598-K563),K598-K563)</f>
        <v>0</v>
      </c>
      <c r="AS563" s="290">
        <f>21-8</f>
        <v>13</v>
      </c>
    </row>
    <row r="564" spans="1:45" ht="17.25" thickBot="1" x14ac:dyDescent="0.3">
      <c r="A564" s="464"/>
      <c r="B564" s="285">
        <v>273698</v>
      </c>
      <c r="C564" s="286">
        <v>1135752</v>
      </c>
      <c r="D564" s="286" t="s">
        <v>11</v>
      </c>
      <c r="E564" s="287">
        <v>701000000000</v>
      </c>
      <c r="F564" s="253">
        <f>G599-AK564+AL564</f>
        <v>1</v>
      </c>
      <c r="G564" s="235">
        <v>1</v>
      </c>
      <c r="H564" s="394">
        <v>2</v>
      </c>
      <c r="I564" s="232">
        <v>1</v>
      </c>
      <c r="J564" s="232"/>
      <c r="K564" s="232">
        <v>2</v>
      </c>
      <c r="L564" s="232">
        <f>IF(K595=K560,L599+AK564,K564)</f>
        <v>2</v>
      </c>
      <c r="M564" s="232">
        <f>IF(K595=K560,0,L599+AK564-K564)</f>
        <v>0</v>
      </c>
      <c r="N564" s="232">
        <v>3</v>
      </c>
      <c r="O564" s="241">
        <f>N564-G564</f>
        <v>2</v>
      </c>
      <c r="P564" s="277">
        <v>2</v>
      </c>
      <c r="Q564" s="278"/>
      <c r="R564" s="279"/>
      <c r="S564" s="279"/>
      <c r="T564" s="279"/>
      <c r="U564" s="279"/>
      <c r="V564" s="279"/>
      <c r="W564" s="279">
        <v>1</v>
      </c>
      <c r="X564" s="241"/>
      <c r="Y564" s="241"/>
      <c r="Z564" s="241"/>
      <c r="AA564" s="241"/>
      <c r="AB564" s="241">
        <v>2</v>
      </c>
      <c r="AC564" s="241"/>
      <c r="AD564" s="241">
        <v>2</v>
      </c>
      <c r="AE564" s="241"/>
      <c r="AF564" s="241"/>
      <c r="AG564" s="241"/>
      <c r="AH564" s="241"/>
      <c r="AI564" s="241"/>
      <c r="AJ564" s="241">
        <f>N564-V564</f>
        <v>3</v>
      </c>
      <c r="AK564" s="235">
        <f>G599+AL564-G564</f>
        <v>2</v>
      </c>
      <c r="AL564" s="236"/>
      <c r="AM564" s="294">
        <f>4/12</f>
        <v>0.33333333333333331</v>
      </c>
      <c r="AN564" s="295">
        <v>2</v>
      </c>
      <c r="AO564" s="296">
        <f>G564/(AN564)</f>
        <v>0.5</v>
      </c>
      <c r="AP564" s="297">
        <f>AN564*6</f>
        <v>12</v>
      </c>
      <c r="AQ564" s="290">
        <f>G564+K564</f>
        <v>3</v>
      </c>
      <c r="AR564" s="290">
        <f>IF(G564&lt;G599,(G599-G564+K599-K564),K599-K564)</f>
        <v>0</v>
      </c>
      <c r="AS564" s="290">
        <f>21-8</f>
        <v>13</v>
      </c>
    </row>
    <row r="565" spans="1:45" ht="17.25" thickBot="1" x14ac:dyDescent="0.3">
      <c r="A565" s="465"/>
      <c r="B565" s="285">
        <v>273680</v>
      </c>
      <c r="C565" s="286">
        <v>1135751</v>
      </c>
      <c r="D565" s="286" t="s">
        <v>12</v>
      </c>
      <c r="E565" s="286" t="s">
        <v>13</v>
      </c>
      <c r="F565" s="254">
        <f>G600-AK565+AL565</f>
        <v>15</v>
      </c>
      <c r="G565" s="237">
        <v>15</v>
      </c>
      <c r="H565" s="395">
        <v>8</v>
      </c>
      <c r="I565" s="238">
        <v>15</v>
      </c>
      <c r="J565" s="238"/>
      <c r="K565" s="238">
        <v>8</v>
      </c>
      <c r="L565" s="238">
        <f>IF(K595=K560,L600+AK565,K565)</f>
        <v>8</v>
      </c>
      <c r="M565" s="238">
        <f>IF(K595=K560,0,L600+AK565-K565)</f>
        <v>0</v>
      </c>
      <c r="N565" s="238">
        <v>9</v>
      </c>
      <c r="O565" s="242">
        <f>N565-G565</f>
        <v>-6</v>
      </c>
      <c r="P565" s="280"/>
      <c r="Q565" s="281"/>
      <c r="R565" s="282"/>
      <c r="S565" s="282"/>
      <c r="T565" s="282">
        <v>11</v>
      </c>
      <c r="U565" s="282"/>
      <c r="V565" s="282"/>
      <c r="W565" s="282">
        <v>9</v>
      </c>
      <c r="X565" s="242"/>
      <c r="Y565" s="242">
        <v>9</v>
      </c>
      <c r="Z565" s="242"/>
      <c r="AA565" s="242"/>
      <c r="AB565" s="242">
        <v>5</v>
      </c>
      <c r="AC565" s="242"/>
      <c r="AD565" s="242">
        <v>5</v>
      </c>
      <c r="AE565" s="242"/>
      <c r="AF565" s="242"/>
      <c r="AG565" s="242"/>
      <c r="AH565" s="242"/>
      <c r="AI565" s="242"/>
      <c r="AJ565" s="242">
        <f>N565-V565</f>
        <v>9</v>
      </c>
      <c r="AK565" s="235">
        <f>G600+AL565-G565</f>
        <v>0</v>
      </c>
      <c r="AL565" s="239"/>
      <c r="AM565" s="299">
        <f>30/12</f>
        <v>2.5</v>
      </c>
      <c r="AN565" s="300">
        <f>AM565*2</f>
        <v>5</v>
      </c>
      <c r="AO565" s="301">
        <f>G565/(AN565)</f>
        <v>3</v>
      </c>
      <c r="AP565" s="302">
        <f>AN565*6</f>
        <v>30</v>
      </c>
      <c r="AQ565" s="290">
        <f>G565+K565</f>
        <v>23</v>
      </c>
      <c r="AR565" s="290">
        <f>IF(G565&lt;G600,(G600-G565+K600-K565),K600-K565)</f>
        <v>0</v>
      </c>
      <c r="AS565" s="290">
        <f>21-8</f>
        <v>13</v>
      </c>
    </row>
    <row r="566" spans="1:45" ht="17.25" thickBot="1" x14ac:dyDescent="0.3">
      <c r="A566" s="466" t="s">
        <v>417</v>
      </c>
      <c r="B566" s="355" t="s">
        <v>129</v>
      </c>
      <c r="C566" s="356"/>
      <c r="D566" s="356"/>
      <c r="E566" s="359"/>
      <c r="F566" s="359"/>
      <c r="G566" s="356"/>
      <c r="H566" s="396"/>
      <c r="I566" s="356"/>
      <c r="J566" s="356"/>
      <c r="K566" s="356"/>
      <c r="L566" s="356"/>
      <c r="M566" s="356"/>
      <c r="N566" s="356"/>
      <c r="O566" s="356"/>
      <c r="P566" s="356"/>
      <c r="Q566" s="356"/>
      <c r="R566" s="356"/>
      <c r="S566" s="356"/>
      <c r="T566" s="356"/>
      <c r="U566" s="356"/>
      <c r="V566" s="356"/>
      <c r="W566" s="356"/>
      <c r="X566" s="356"/>
      <c r="Y566" s="356"/>
      <c r="Z566" s="356"/>
      <c r="AA566" s="356"/>
      <c r="AB566" s="356"/>
      <c r="AC566" s="356"/>
      <c r="AD566" s="356"/>
      <c r="AE566" s="356"/>
      <c r="AF566" s="356"/>
      <c r="AG566" s="356"/>
      <c r="AH566" s="356"/>
      <c r="AI566" s="356"/>
      <c r="AJ566" s="356"/>
      <c r="AK566" s="356"/>
      <c r="AL566" s="367"/>
      <c r="AM566" s="356"/>
      <c r="AN566" s="356"/>
      <c r="AO566" s="356"/>
      <c r="AP566" s="356"/>
      <c r="AQ566" s="356"/>
      <c r="AR566" s="356"/>
      <c r="AS566" s="357"/>
    </row>
    <row r="567" spans="1:45" ht="17.25" thickBot="1" x14ac:dyDescent="0.3">
      <c r="A567" s="467"/>
      <c r="B567" s="354"/>
      <c r="C567" s="354">
        <v>1140327</v>
      </c>
      <c r="D567" s="358" t="s">
        <v>394</v>
      </c>
      <c r="E567" s="360"/>
      <c r="F567" s="361">
        <f>G602-AK567+AL567</f>
        <v>22</v>
      </c>
      <c r="G567" s="218">
        <v>22</v>
      </c>
      <c r="H567" s="397">
        <v>23</v>
      </c>
      <c r="I567" s="218">
        <v>22</v>
      </c>
      <c r="J567" s="218"/>
      <c r="K567" s="218">
        <v>1</v>
      </c>
      <c r="L567" s="218">
        <f>IF(K595=K560,L602+AK567,K567)</f>
        <v>1</v>
      </c>
      <c r="M567" s="218">
        <f>IF(K595=K560,0,L602+AK567-K567)</f>
        <v>12</v>
      </c>
      <c r="N567" s="218"/>
      <c r="O567" s="218"/>
      <c r="P567" s="352"/>
      <c r="Q567" s="352"/>
      <c r="R567" s="352"/>
      <c r="S567" s="352"/>
      <c r="T567" s="352"/>
      <c r="U567" s="352"/>
      <c r="V567" s="218"/>
      <c r="W567" s="218"/>
      <c r="X567" s="218">
        <v>4</v>
      </c>
      <c r="Y567" s="218">
        <v>9</v>
      </c>
      <c r="Z567" s="218">
        <v>14</v>
      </c>
      <c r="AA567" s="218">
        <v>8</v>
      </c>
      <c r="AB567" s="218">
        <f>14+6</f>
        <v>20</v>
      </c>
      <c r="AC567" s="218">
        <v>10</v>
      </c>
      <c r="AD567" s="218">
        <v>12</v>
      </c>
      <c r="AE567" s="218">
        <v>5</v>
      </c>
      <c r="AF567" s="218"/>
      <c r="AG567" s="218"/>
      <c r="AH567" s="218"/>
      <c r="AI567" s="218"/>
      <c r="AJ567" s="242">
        <f>N567-V567</f>
        <v>0</v>
      </c>
      <c r="AK567" s="274">
        <f>G602+AL567-G567</f>
        <v>11</v>
      </c>
      <c r="AL567" s="232">
        <f>15+1+6</f>
        <v>22</v>
      </c>
      <c r="AM567" s="353"/>
      <c r="AN567" s="295"/>
      <c r="AO567" s="296"/>
      <c r="AP567" s="353"/>
      <c r="AQ567" s="290"/>
      <c r="AR567" s="290"/>
      <c r="AS567" s="290"/>
    </row>
    <row r="568" spans="1:45" ht="17.25" thickBot="1" x14ac:dyDescent="0.3">
      <c r="A568" s="467"/>
      <c r="B568" s="354"/>
      <c r="C568" s="285">
        <v>1151231</v>
      </c>
      <c r="D568" s="358" t="s">
        <v>395</v>
      </c>
      <c r="E568" s="360"/>
      <c r="F568" s="361">
        <f>G603-AK568+AL568</f>
        <v>11</v>
      </c>
      <c r="G568" s="369">
        <v>11</v>
      </c>
      <c r="H568" s="397">
        <v>13</v>
      </c>
      <c r="I568" s="218">
        <v>11</v>
      </c>
      <c r="J568" s="218"/>
      <c r="K568" s="218">
        <v>8</v>
      </c>
      <c r="L568" s="218">
        <f>IF(K595=K560,L603+AK568,K568)</f>
        <v>8</v>
      </c>
      <c r="M568" s="218">
        <f>IF(K595=K560,0,L603+AK568-K568)</f>
        <v>0</v>
      </c>
      <c r="N568" s="218"/>
      <c r="O568" s="218"/>
      <c r="P568" s="352"/>
      <c r="Q568" s="352"/>
      <c r="R568" s="352"/>
      <c r="S568" s="352"/>
      <c r="T568" s="352"/>
      <c r="U568" s="352"/>
      <c r="V568" s="218"/>
      <c r="W568" s="218"/>
      <c r="X568" s="218">
        <v>3</v>
      </c>
      <c r="Y568" s="218">
        <v>8</v>
      </c>
      <c r="Z568" s="218">
        <v>6</v>
      </c>
      <c r="AA568" s="218"/>
      <c r="AB568" s="218">
        <v>4</v>
      </c>
      <c r="AC568" s="218">
        <v>4</v>
      </c>
      <c r="AD568" s="218">
        <v>4</v>
      </c>
      <c r="AE568" s="218"/>
      <c r="AF568" s="218"/>
      <c r="AG568" s="218"/>
      <c r="AH568" s="218"/>
      <c r="AI568" s="218"/>
      <c r="AJ568" s="242">
        <f>N568-V568</f>
        <v>0</v>
      </c>
      <c r="AK568" s="274">
        <f>G603+AL568-G568</f>
        <v>4</v>
      </c>
      <c r="AL568" s="232">
        <v>5</v>
      </c>
      <c r="AM568" s="353"/>
      <c r="AN568" s="295"/>
      <c r="AO568" s="296"/>
      <c r="AP568" s="353"/>
      <c r="AQ568" s="290"/>
      <c r="AR568" s="290"/>
      <c r="AS568" s="290"/>
    </row>
    <row r="569" spans="1:45" ht="17.25" thickBot="1" x14ac:dyDescent="0.3">
      <c r="A569" s="467"/>
      <c r="B569" s="355" t="s">
        <v>420</v>
      </c>
      <c r="C569" s="356"/>
      <c r="D569" s="356" t="s">
        <v>523</v>
      </c>
      <c r="E569" s="359"/>
      <c r="F569" s="359"/>
      <c r="G569" s="356"/>
      <c r="H569" s="396"/>
      <c r="I569" s="356"/>
      <c r="J569" s="356"/>
      <c r="K569" s="356"/>
      <c r="L569" s="356"/>
      <c r="M569" s="356"/>
      <c r="N569" s="356"/>
      <c r="O569" s="356"/>
      <c r="P569" s="356"/>
      <c r="Q569" s="356"/>
      <c r="R569" s="356"/>
      <c r="S569" s="356"/>
      <c r="T569" s="356"/>
      <c r="U569" s="356"/>
      <c r="V569" s="356"/>
      <c r="W569" s="356"/>
      <c r="X569" s="356"/>
      <c r="Y569" s="356"/>
      <c r="Z569" s="356"/>
      <c r="AA569" s="356"/>
      <c r="AB569" s="356"/>
      <c r="AC569" s="356"/>
      <c r="AD569" s="356"/>
      <c r="AE569" s="356"/>
      <c r="AF569" s="356"/>
      <c r="AG569" s="356"/>
      <c r="AH569" s="356"/>
      <c r="AI569" s="356"/>
      <c r="AJ569" s="356"/>
      <c r="AK569" s="356"/>
      <c r="AL569" s="368"/>
      <c r="AM569" s="356"/>
      <c r="AN569" s="356"/>
      <c r="AO569" s="356"/>
      <c r="AP569" s="356"/>
      <c r="AQ569" s="356"/>
      <c r="AR569" s="356"/>
      <c r="AS569" s="357"/>
    </row>
    <row r="570" spans="1:45" ht="17.25" thickBot="1" x14ac:dyDescent="0.3">
      <c r="A570" s="467"/>
      <c r="B570" s="354"/>
      <c r="C570" s="285">
        <v>1146032</v>
      </c>
      <c r="D570" s="358" t="s">
        <v>396</v>
      </c>
      <c r="E570" s="360"/>
      <c r="F570" s="361">
        <f>G605-AK570+AL570</f>
        <v>1</v>
      </c>
      <c r="G570" s="364">
        <v>1</v>
      </c>
      <c r="H570" s="397">
        <v>1</v>
      </c>
      <c r="I570" s="364">
        <v>1</v>
      </c>
      <c r="J570" s="364"/>
      <c r="K570" s="364">
        <v>2</v>
      </c>
      <c r="L570" s="218"/>
      <c r="M570" s="218"/>
      <c r="N570" s="218"/>
      <c r="O570" s="218"/>
      <c r="P570" s="352"/>
      <c r="Q570" s="352"/>
      <c r="R570" s="352"/>
      <c r="S570" s="352"/>
      <c r="T570" s="352"/>
      <c r="U570" s="352"/>
      <c r="V570" s="218"/>
      <c r="W570" s="218"/>
      <c r="X570" s="218"/>
      <c r="Y570" s="218"/>
      <c r="Z570" s="218"/>
      <c r="AA570" s="218"/>
      <c r="AB570" s="218"/>
      <c r="AC570" s="218"/>
      <c r="AD570" s="218"/>
      <c r="AE570" s="218"/>
      <c r="AF570" s="218"/>
      <c r="AG570" s="218"/>
      <c r="AH570" s="218"/>
      <c r="AI570" s="218"/>
      <c r="AJ570" s="218"/>
      <c r="AK570" s="218">
        <f>G605+AL570-G570</f>
        <v>0</v>
      </c>
      <c r="AL570" s="218">
        <v>1</v>
      </c>
      <c r="AM570" s="353"/>
      <c r="AN570" s="295"/>
      <c r="AO570" s="296"/>
      <c r="AP570" s="353"/>
      <c r="AQ570" s="290"/>
      <c r="AR570" s="290"/>
      <c r="AS570" s="290"/>
    </row>
    <row r="571" spans="1:45" ht="17.25" thickBot="1" x14ac:dyDescent="0.3">
      <c r="A571" s="467"/>
      <c r="B571" s="354"/>
      <c r="C571" s="285">
        <v>1146021</v>
      </c>
      <c r="D571" s="358" t="s">
        <v>397</v>
      </c>
      <c r="E571" s="360"/>
      <c r="F571" s="361">
        <f>G606-AK571+AL571</f>
        <v>0</v>
      </c>
      <c r="G571" s="364">
        <v>0</v>
      </c>
      <c r="H571" s="397">
        <v>2</v>
      </c>
      <c r="I571" s="364">
        <v>0</v>
      </c>
      <c r="J571" s="364"/>
      <c r="K571" s="364">
        <v>0</v>
      </c>
      <c r="L571" s="218"/>
      <c r="M571" s="218"/>
      <c r="N571" s="218"/>
      <c r="O571" s="218"/>
      <c r="P571" s="352"/>
      <c r="Q571" s="352"/>
      <c r="R571" s="352"/>
      <c r="S571" s="352"/>
      <c r="T571" s="352"/>
      <c r="U571" s="352"/>
      <c r="V571" s="218"/>
      <c r="W571" s="218"/>
      <c r="X571" s="218"/>
      <c r="Y571" s="218"/>
      <c r="Z571" s="218"/>
      <c r="AA571" s="218"/>
      <c r="AB571" s="218"/>
      <c r="AC571" s="218"/>
      <c r="AD571" s="218"/>
      <c r="AE571" s="218"/>
      <c r="AF571" s="218"/>
      <c r="AG571" s="218"/>
      <c r="AH571" s="218"/>
      <c r="AI571" s="218"/>
      <c r="AJ571" s="218"/>
      <c r="AK571" s="218">
        <f>G606+AL571-G571</f>
        <v>0</v>
      </c>
      <c r="AL571" s="218"/>
      <c r="AM571" s="353"/>
      <c r="AN571" s="295"/>
      <c r="AO571" s="296"/>
      <c r="AP571" s="353"/>
      <c r="AQ571" s="290"/>
      <c r="AR571" s="290"/>
      <c r="AS571" s="290"/>
    </row>
    <row r="572" spans="1:45" ht="17.25" thickBot="1" x14ac:dyDescent="0.3">
      <c r="A572" s="467"/>
      <c r="B572" s="354"/>
      <c r="C572" s="285">
        <v>1146018</v>
      </c>
      <c r="D572" s="358" t="s">
        <v>398</v>
      </c>
      <c r="E572" s="360"/>
      <c r="F572" s="361">
        <f>G607-AK572+AL572</f>
        <v>4</v>
      </c>
      <c r="G572" s="369">
        <v>4</v>
      </c>
      <c r="H572" s="397">
        <v>1</v>
      </c>
      <c r="I572" s="364">
        <v>4</v>
      </c>
      <c r="J572" s="364"/>
      <c r="K572" s="364">
        <v>2</v>
      </c>
      <c r="L572" s="218"/>
      <c r="M572" s="218"/>
      <c r="N572" s="218"/>
      <c r="O572" s="218"/>
      <c r="P572" s="352"/>
      <c r="Q572" s="352"/>
      <c r="R572" s="352"/>
      <c r="S572" s="352"/>
      <c r="T572" s="352"/>
      <c r="U572" s="352"/>
      <c r="V572" s="218"/>
      <c r="W572" s="218"/>
      <c r="X572" s="218"/>
      <c r="Y572" s="218"/>
      <c r="Z572" s="218"/>
      <c r="AA572" s="218"/>
      <c r="AB572" s="218">
        <v>2</v>
      </c>
      <c r="AC572" s="218"/>
      <c r="AD572" s="218"/>
      <c r="AE572" s="218"/>
      <c r="AF572" s="218"/>
      <c r="AG572" s="218"/>
      <c r="AH572" s="218"/>
      <c r="AI572" s="218"/>
      <c r="AJ572" s="218"/>
      <c r="AK572" s="218">
        <f>G607+AL572-G572</f>
        <v>0</v>
      </c>
      <c r="AL572" s="218">
        <v>4</v>
      </c>
      <c r="AM572" s="353"/>
      <c r="AN572" s="295"/>
      <c r="AO572" s="296"/>
      <c r="AP572" s="353"/>
      <c r="AQ572" s="290"/>
      <c r="AR572" s="290"/>
      <c r="AS572" s="290"/>
    </row>
    <row r="573" spans="1:45" ht="17.25" thickBot="1" x14ac:dyDescent="0.3">
      <c r="A573" s="467"/>
      <c r="B573" s="354"/>
      <c r="C573" s="285">
        <v>1146024</v>
      </c>
      <c r="D573" s="358" t="s">
        <v>399</v>
      </c>
      <c r="E573" s="360"/>
      <c r="F573" s="361">
        <v>1</v>
      </c>
      <c r="G573" s="369">
        <v>4</v>
      </c>
      <c r="H573" s="369">
        <v>2</v>
      </c>
      <c r="I573" s="369">
        <v>4</v>
      </c>
      <c r="J573" s="369"/>
      <c r="K573" s="369">
        <v>0</v>
      </c>
      <c r="L573" s="218"/>
      <c r="M573" s="218"/>
      <c r="N573" s="218"/>
      <c r="O573" s="218"/>
      <c r="P573" s="352"/>
      <c r="Q573" s="352"/>
      <c r="R573" s="352"/>
      <c r="S573" s="352"/>
      <c r="T573" s="352"/>
      <c r="U573" s="352"/>
      <c r="V573" s="218"/>
      <c r="W573" s="218"/>
      <c r="X573" s="218"/>
      <c r="Y573" s="218"/>
      <c r="Z573" s="218"/>
      <c r="AA573" s="218">
        <v>1</v>
      </c>
      <c r="AB573" s="218">
        <v>1</v>
      </c>
      <c r="AC573" s="218"/>
      <c r="AD573" s="218"/>
      <c r="AE573" s="218"/>
      <c r="AF573" s="218"/>
      <c r="AG573" s="218"/>
      <c r="AH573" s="218"/>
      <c r="AI573" s="218"/>
      <c r="AJ573" s="218"/>
      <c r="AK573" s="415">
        <f>G608+AL573-G573</f>
        <v>-1</v>
      </c>
      <c r="AL573" s="218">
        <v>2</v>
      </c>
      <c r="AM573" s="353"/>
      <c r="AN573" s="295"/>
      <c r="AO573" s="296"/>
      <c r="AP573" s="353"/>
      <c r="AQ573" s="290"/>
      <c r="AR573" s="290"/>
      <c r="AS573" s="290"/>
    </row>
    <row r="574" spans="1:45" ht="17.25" thickBot="1" x14ac:dyDescent="0.3">
      <c r="A574" s="467"/>
      <c r="B574" s="354"/>
      <c r="C574" s="285">
        <v>1146028</v>
      </c>
      <c r="D574" s="358" t="s">
        <v>400</v>
      </c>
      <c r="E574" s="360"/>
      <c r="F574" s="361">
        <f>G609-AK574+AL574</f>
        <v>3</v>
      </c>
      <c r="G574" s="364">
        <v>3</v>
      </c>
      <c r="H574" s="397">
        <v>2</v>
      </c>
      <c r="I574" s="364">
        <v>3</v>
      </c>
      <c r="J574" s="364"/>
      <c r="K574" s="364">
        <v>1</v>
      </c>
      <c r="L574" s="218"/>
      <c r="M574" s="218"/>
      <c r="N574" s="218"/>
      <c r="O574" s="218"/>
      <c r="P574" s="352"/>
      <c r="Q574" s="352"/>
      <c r="R574" s="352"/>
      <c r="S574" s="352"/>
      <c r="T574" s="352"/>
      <c r="U574" s="352"/>
      <c r="V574" s="218"/>
      <c r="W574" s="218"/>
      <c r="X574" s="218"/>
      <c r="Y574" s="218"/>
      <c r="Z574" s="218"/>
      <c r="AA574" s="218"/>
      <c r="AB574" s="218"/>
      <c r="AC574" s="218"/>
      <c r="AD574" s="218">
        <v>2</v>
      </c>
      <c r="AE574" s="218"/>
      <c r="AF574" s="218"/>
      <c r="AG574" s="218"/>
      <c r="AH574" s="218"/>
      <c r="AI574" s="218"/>
      <c r="AJ574" s="218"/>
      <c r="AK574" s="218">
        <f>G609+AL574-G574</f>
        <v>0</v>
      </c>
      <c r="AL574" s="218"/>
      <c r="AM574" s="353"/>
      <c r="AN574" s="295"/>
      <c r="AO574" s="296"/>
      <c r="AP574" s="353"/>
      <c r="AQ574" s="290"/>
      <c r="AR574" s="290"/>
      <c r="AS574" s="290"/>
    </row>
    <row r="575" spans="1:45" ht="17.25" thickBot="1" x14ac:dyDescent="0.3">
      <c r="A575" s="467"/>
      <c r="B575" s="355" t="s">
        <v>419</v>
      </c>
      <c r="C575" s="356"/>
      <c r="D575" s="356"/>
      <c r="E575" s="359"/>
      <c r="F575" s="359"/>
      <c r="G575" s="356"/>
      <c r="H575" s="396"/>
      <c r="I575" s="356"/>
      <c r="J575" s="356"/>
      <c r="K575" s="356"/>
      <c r="L575" s="356"/>
      <c r="M575" s="356"/>
      <c r="N575" s="356"/>
      <c r="O575" s="356"/>
      <c r="P575" s="356"/>
      <c r="Q575" s="356"/>
      <c r="R575" s="356"/>
      <c r="S575" s="356"/>
      <c r="T575" s="356"/>
      <c r="U575" s="356"/>
      <c r="V575" s="356"/>
      <c r="W575" s="356"/>
      <c r="X575" s="356"/>
      <c r="Y575" s="356"/>
      <c r="Z575" s="356"/>
      <c r="AA575" s="356"/>
      <c r="AB575" s="356"/>
      <c r="AC575" s="356"/>
      <c r="AD575" s="356"/>
      <c r="AE575" s="356"/>
      <c r="AF575" s="356"/>
      <c r="AG575" s="356"/>
      <c r="AH575" s="356"/>
      <c r="AI575" s="356"/>
      <c r="AJ575" s="356"/>
      <c r="AK575" s="356"/>
      <c r="AL575" s="356"/>
      <c r="AM575" s="356"/>
      <c r="AN575" s="356"/>
      <c r="AO575" s="356"/>
      <c r="AP575" s="356"/>
      <c r="AQ575" s="356"/>
      <c r="AR575" s="356"/>
      <c r="AS575" s="357"/>
    </row>
    <row r="576" spans="1:45" ht="17.25" thickBot="1" x14ac:dyDescent="0.3">
      <c r="A576" s="467"/>
      <c r="B576" s="372"/>
      <c r="C576" s="373">
        <v>1146031</v>
      </c>
      <c r="D576" s="374" t="s">
        <v>401</v>
      </c>
      <c r="E576" s="375"/>
      <c r="F576" s="376">
        <f>G611-AK576+AL576</f>
        <v>0</v>
      </c>
      <c r="G576" s="377">
        <v>0</v>
      </c>
      <c r="H576" s="397">
        <v>1</v>
      </c>
      <c r="I576" s="377">
        <v>1</v>
      </c>
      <c r="J576" s="377"/>
      <c r="K576" s="377">
        <v>2</v>
      </c>
      <c r="L576" s="377"/>
      <c r="M576" s="377"/>
      <c r="N576" s="377"/>
      <c r="O576" s="377"/>
      <c r="P576" s="377"/>
      <c r="Q576" s="377"/>
      <c r="R576" s="377"/>
      <c r="S576" s="377"/>
      <c r="T576" s="377"/>
      <c r="U576" s="377"/>
      <c r="V576" s="377"/>
      <c r="W576" s="377"/>
      <c r="X576" s="377"/>
      <c r="Y576" s="377"/>
      <c r="Z576" s="377"/>
      <c r="AA576" s="377"/>
      <c r="AB576" s="377"/>
      <c r="AC576" s="377"/>
      <c r="AD576" s="377"/>
      <c r="AE576" s="377"/>
      <c r="AF576" s="377"/>
      <c r="AG576" s="377"/>
      <c r="AH576" s="377"/>
      <c r="AI576" s="377"/>
      <c r="AJ576" s="377"/>
      <c r="AK576" s="377">
        <f>G611+AL576-G576</f>
        <v>0</v>
      </c>
      <c r="AL576" s="377"/>
      <c r="AM576" s="378"/>
      <c r="AN576" s="379"/>
      <c r="AO576" s="380"/>
      <c r="AP576" s="378"/>
      <c r="AQ576" s="381"/>
      <c r="AR576" s="381"/>
      <c r="AS576" s="381"/>
    </row>
    <row r="577" spans="1:45" ht="17.25" thickBot="1" x14ac:dyDescent="0.3">
      <c r="A577" s="467"/>
      <c r="B577" s="372"/>
      <c r="C577" s="373">
        <v>1146020</v>
      </c>
      <c r="D577" s="374" t="s">
        <v>402</v>
      </c>
      <c r="E577" s="375"/>
      <c r="F577" s="376">
        <f>G612-AK577+AL577</f>
        <v>0</v>
      </c>
      <c r="G577" s="377">
        <v>0</v>
      </c>
      <c r="H577" s="397">
        <v>1</v>
      </c>
      <c r="I577" s="377">
        <v>0</v>
      </c>
      <c r="J577" s="377"/>
      <c r="K577" s="377">
        <v>1</v>
      </c>
      <c r="L577" s="377"/>
      <c r="M577" s="377"/>
      <c r="N577" s="377"/>
      <c r="O577" s="377"/>
      <c r="P577" s="377"/>
      <c r="Q577" s="377"/>
      <c r="R577" s="377"/>
      <c r="S577" s="377"/>
      <c r="T577" s="377"/>
      <c r="U577" s="377"/>
      <c r="V577" s="377"/>
      <c r="W577" s="377"/>
      <c r="X577" s="377"/>
      <c r="Y577" s="377"/>
      <c r="Z577" s="377"/>
      <c r="AA577" s="377"/>
      <c r="AB577" s="377"/>
      <c r="AC577" s="377"/>
      <c r="AD577" s="377"/>
      <c r="AE577" s="377"/>
      <c r="AF577" s="377"/>
      <c r="AG577" s="377"/>
      <c r="AH577" s="377"/>
      <c r="AI577" s="377"/>
      <c r="AJ577" s="377"/>
      <c r="AK577" s="377">
        <f>G612+AL577-G577</f>
        <v>0</v>
      </c>
      <c r="AL577" s="377"/>
      <c r="AM577" s="378"/>
      <c r="AN577" s="379"/>
      <c r="AO577" s="380"/>
      <c r="AP577" s="378"/>
      <c r="AQ577" s="381"/>
      <c r="AR577" s="381"/>
      <c r="AS577" s="381"/>
    </row>
    <row r="578" spans="1:45" ht="17.25" thickBot="1" x14ac:dyDescent="0.3">
      <c r="A578" s="467"/>
      <c r="B578" s="372"/>
      <c r="C578" s="373">
        <v>1146016</v>
      </c>
      <c r="D578" s="374" t="s">
        <v>398</v>
      </c>
      <c r="E578" s="375"/>
      <c r="F578" s="376">
        <f>G613-AK578+AL578</f>
        <v>0</v>
      </c>
      <c r="G578" s="377">
        <v>0</v>
      </c>
      <c r="H578" s="397">
        <v>1</v>
      </c>
      <c r="I578" s="377">
        <v>0</v>
      </c>
      <c r="J578" s="377"/>
      <c r="K578" s="377">
        <v>0</v>
      </c>
      <c r="L578" s="377"/>
      <c r="M578" s="377"/>
      <c r="N578" s="377"/>
      <c r="O578" s="377"/>
      <c r="P578" s="377"/>
      <c r="Q578" s="377"/>
      <c r="R578" s="377"/>
      <c r="S578" s="377"/>
      <c r="T578" s="377"/>
      <c r="U578" s="377"/>
      <c r="V578" s="377"/>
      <c r="W578" s="377"/>
      <c r="X578" s="377"/>
      <c r="Y578" s="377"/>
      <c r="Z578" s="377"/>
      <c r="AA578" s="377"/>
      <c r="AB578" s="377"/>
      <c r="AC578" s="377"/>
      <c r="AD578" s="377"/>
      <c r="AE578" s="377"/>
      <c r="AF578" s="377"/>
      <c r="AG578" s="377"/>
      <c r="AH578" s="377"/>
      <c r="AI578" s="377"/>
      <c r="AJ578" s="377"/>
      <c r="AK578" s="377">
        <f>G613+AL578-G578</f>
        <v>0</v>
      </c>
      <c r="AL578" s="377"/>
      <c r="AM578" s="378"/>
      <c r="AN578" s="379"/>
      <c r="AO578" s="380"/>
      <c r="AP578" s="378"/>
      <c r="AQ578" s="381"/>
      <c r="AR578" s="381"/>
      <c r="AS578" s="381"/>
    </row>
    <row r="579" spans="1:45" ht="17.25" thickBot="1" x14ac:dyDescent="0.3">
      <c r="A579" s="467"/>
      <c r="B579" s="372"/>
      <c r="C579" s="373">
        <v>1146022</v>
      </c>
      <c r="D579" s="374" t="s">
        <v>403</v>
      </c>
      <c r="E579" s="375"/>
      <c r="F579" s="376">
        <f>G614-AK579+AL579</f>
        <v>0</v>
      </c>
      <c r="G579" s="377">
        <v>0</v>
      </c>
      <c r="H579" s="397">
        <v>2</v>
      </c>
      <c r="I579" s="377">
        <v>0</v>
      </c>
      <c r="J579" s="377"/>
      <c r="K579" s="377">
        <v>0</v>
      </c>
      <c r="L579" s="377"/>
      <c r="M579" s="377"/>
      <c r="N579" s="377"/>
      <c r="O579" s="377"/>
      <c r="P579" s="377"/>
      <c r="Q579" s="377"/>
      <c r="R579" s="377"/>
      <c r="S579" s="377"/>
      <c r="T579" s="377"/>
      <c r="U579" s="377"/>
      <c r="V579" s="377"/>
      <c r="W579" s="377"/>
      <c r="X579" s="377"/>
      <c r="Y579" s="377"/>
      <c r="Z579" s="377"/>
      <c r="AA579" s="377"/>
      <c r="AB579" s="377"/>
      <c r="AC579" s="377"/>
      <c r="AD579" s="377"/>
      <c r="AE579" s="377"/>
      <c r="AF579" s="377"/>
      <c r="AG579" s="377"/>
      <c r="AH579" s="377"/>
      <c r="AI579" s="377"/>
      <c r="AJ579" s="377"/>
      <c r="AK579" s="377">
        <f>G614+AL579-G579</f>
        <v>0</v>
      </c>
      <c r="AL579" s="377"/>
      <c r="AM579" s="378"/>
      <c r="AN579" s="379"/>
      <c r="AO579" s="380"/>
      <c r="AP579" s="378"/>
      <c r="AQ579" s="381"/>
      <c r="AR579" s="381"/>
      <c r="AS579" s="381"/>
    </row>
    <row r="580" spans="1:45" ht="17.25" thickBot="1" x14ac:dyDescent="0.3">
      <c r="A580" s="467"/>
      <c r="B580" s="372"/>
      <c r="C580" s="373">
        <v>1146027</v>
      </c>
      <c r="D580" s="374" t="s">
        <v>404</v>
      </c>
      <c r="E580" s="375"/>
      <c r="F580" s="376">
        <f>G615-AK580+AL580</f>
        <v>0</v>
      </c>
      <c r="G580" s="377">
        <v>0</v>
      </c>
      <c r="H580" s="397">
        <v>2</v>
      </c>
      <c r="I580" s="377">
        <v>1</v>
      </c>
      <c r="J580" s="377"/>
      <c r="K580" s="377">
        <v>1</v>
      </c>
      <c r="L580" s="377"/>
      <c r="M580" s="377"/>
      <c r="N580" s="377"/>
      <c r="O580" s="377"/>
      <c r="P580" s="377"/>
      <c r="Q580" s="377"/>
      <c r="R580" s="377"/>
      <c r="S580" s="377"/>
      <c r="T580" s="377"/>
      <c r="U580" s="377"/>
      <c r="V580" s="377"/>
      <c r="W580" s="377"/>
      <c r="X580" s="377"/>
      <c r="Y580" s="377"/>
      <c r="Z580" s="377"/>
      <c r="AA580" s="377"/>
      <c r="AB580" s="377"/>
      <c r="AC580" s="377"/>
      <c r="AD580" s="377"/>
      <c r="AE580" s="377"/>
      <c r="AF580" s="377"/>
      <c r="AG580" s="377"/>
      <c r="AH580" s="377"/>
      <c r="AI580" s="377"/>
      <c r="AJ580" s="377"/>
      <c r="AK580" s="377">
        <f>G615+AL580-G580</f>
        <v>0</v>
      </c>
      <c r="AL580" s="377"/>
      <c r="AM580" s="378"/>
      <c r="AN580" s="379"/>
      <c r="AO580" s="380"/>
      <c r="AP580" s="378"/>
      <c r="AQ580" s="381"/>
      <c r="AR580" s="381"/>
      <c r="AS580" s="381"/>
    </row>
    <row r="581" spans="1:45" ht="17.25" thickBot="1" x14ac:dyDescent="0.3">
      <c r="A581" s="467"/>
      <c r="B581" s="355" t="s">
        <v>418</v>
      </c>
      <c r="C581" s="356"/>
      <c r="D581" s="356"/>
      <c r="E581" s="359"/>
      <c r="F581" s="359"/>
      <c r="G581" s="356"/>
      <c r="H581" s="396"/>
      <c r="I581" s="356"/>
      <c r="J581" s="356"/>
      <c r="K581" s="356"/>
      <c r="L581" s="356"/>
      <c r="M581" s="356"/>
      <c r="N581" s="356"/>
      <c r="O581" s="356"/>
      <c r="P581" s="356"/>
      <c r="Q581" s="356"/>
      <c r="R581" s="356"/>
      <c r="S581" s="356"/>
      <c r="T581" s="356"/>
      <c r="U581" s="356"/>
      <c r="V581" s="356"/>
      <c r="W581" s="356"/>
      <c r="X581" s="356"/>
      <c r="Y581" s="356"/>
      <c r="Z581" s="356"/>
      <c r="AA581" s="356"/>
      <c r="AB581" s="356"/>
      <c r="AC581" s="356"/>
      <c r="AD581" s="356"/>
      <c r="AE581" s="356"/>
      <c r="AF581" s="356"/>
      <c r="AG581" s="356"/>
      <c r="AH581" s="356"/>
      <c r="AI581" s="356"/>
      <c r="AJ581" s="356"/>
      <c r="AK581" s="356"/>
      <c r="AL581" s="356"/>
      <c r="AM581" s="356"/>
      <c r="AN581" s="356"/>
      <c r="AO581" s="356"/>
      <c r="AP581" s="356"/>
      <c r="AQ581" s="356"/>
      <c r="AR581" s="356"/>
      <c r="AS581" s="357"/>
    </row>
    <row r="582" spans="1:45" ht="17.25" thickBot="1" x14ac:dyDescent="0.3">
      <c r="A582" s="467"/>
      <c r="B582" s="354"/>
      <c r="C582" s="285">
        <v>1151653</v>
      </c>
      <c r="D582" s="358" t="s">
        <v>405</v>
      </c>
      <c r="E582" s="360"/>
      <c r="F582" s="361">
        <f>G617-AK582+AL582</f>
        <v>2</v>
      </c>
      <c r="G582" s="364">
        <v>2</v>
      </c>
      <c r="H582" s="397">
        <v>1</v>
      </c>
      <c r="I582" s="364">
        <v>2</v>
      </c>
      <c r="J582" s="364"/>
      <c r="K582" s="364">
        <v>0</v>
      </c>
      <c r="L582" s="218"/>
      <c r="M582" s="218"/>
      <c r="N582" s="218"/>
      <c r="O582" s="218"/>
      <c r="P582" s="352"/>
      <c r="Q582" s="352"/>
      <c r="R582" s="352"/>
      <c r="S582" s="352"/>
      <c r="T582" s="352"/>
      <c r="U582" s="352"/>
      <c r="V582" s="218"/>
      <c r="W582" s="218"/>
      <c r="X582" s="218"/>
      <c r="Y582" s="218"/>
      <c r="Z582" s="218"/>
      <c r="AA582" s="218"/>
      <c r="AB582" s="218"/>
      <c r="AC582" s="218"/>
      <c r="AD582" s="218"/>
      <c r="AE582" s="218"/>
      <c r="AF582" s="218"/>
      <c r="AG582" s="218"/>
      <c r="AH582" s="218"/>
      <c r="AI582" s="218"/>
      <c r="AJ582" s="218"/>
      <c r="AK582" s="415">
        <f>G617+AL582-G582</f>
        <v>-1</v>
      </c>
      <c r="AL582" s="218">
        <v>1</v>
      </c>
      <c r="AM582" s="353"/>
      <c r="AN582" s="295"/>
      <c r="AO582" s="296"/>
      <c r="AP582" s="353"/>
      <c r="AQ582" s="290"/>
      <c r="AR582" s="290"/>
      <c r="AS582" s="290"/>
    </row>
    <row r="583" spans="1:45" ht="17.25" thickBot="1" x14ac:dyDescent="0.3">
      <c r="A583" s="467"/>
      <c r="B583" s="354"/>
      <c r="C583" s="285">
        <v>1151650</v>
      </c>
      <c r="D583" s="358" t="s">
        <v>406</v>
      </c>
      <c r="E583" s="360"/>
      <c r="F583" s="361">
        <f>G618-AK583+AL583</f>
        <v>0</v>
      </c>
      <c r="G583" s="364">
        <v>0</v>
      </c>
      <c r="H583" s="397">
        <v>2</v>
      </c>
      <c r="I583" s="364">
        <v>0</v>
      </c>
      <c r="J583" s="364"/>
      <c r="K583" s="364">
        <v>5</v>
      </c>
      <c r="L583" s="218"/>
      <c r="M583" s="218"/>
      <c r="N583" s="218"/>
      <c r="O583" s="218"/>
      <c r="P583" s="352"/>
      <c r="Q583" s="352"/>
      <c r="R583" s="352"/>
      <c r="S583" s="352"/>
      <c r="T583" s="352"/>
      <c r="U583" s="352"/>
      <c r="V583" s="218"/>
      <c r="W583" s="218"/>
      <c r="X583" s="218"/>
      <c r="Y583" s="218"/>
      <c r="Z583" s="218"/>
      <c r="AA583" s="218"/>
      <c r="AB583" s="218"/>
      <c r="AC583" s="218"/>
      <c r="AD583" s="218"/>
      <c r="AE583" s="218"/>
      <c r="AF583" s="218"/>
      <c r="AG583" s="218"/>
      <c r="AH583" s="218"/>
      <c r="AI583" s="218"/>
      <c r="AJ583" s="218"/>
      <c r="AK583" s="218">
        <f>G618+AL583-G583</f>
        <v>0</v>
      </c>
      <c r="AL583" s="218"/>
      <c r="AM583" s="353"/>
      <c r="AN583" s="295"/>
      <c r="AO583" s="296"/>
      <c r="AP583" s="353"/>
      <c r="AQ583" s="290"/>
      <c r="AR583" s="290"/>
      <c r="AS583" s="290"/>
    </row>
    <row r="584" spans="1:45" ht="17.25" thickBot="1" x14ac:dyDescent="0.3">
      <c r="A584" s="467"/>
      <c r="B584" s="354"/>
      <c r="C584" s="285">
        <v>1151649</v>
      </c>
      <c r="D584" s="358" t="s">
        <v>407</v>
      </c>
      <c r="E584" s="360"/>
      <c r="F584" s="361">
        <f>G619-AK584+AL584</f>
        <v>0</v>
      </c>
      <c r="G584" s="369">
        <v>0</v>
      </c>
      <c r="H584" s="369">
        <v>4</v>
      </c>
      <c r="I584" s="369">
        <v>0</v>
      </c>
      <c r="J584" s="369"/>
      <c r="K584" s="369">
        <v>2</v>
      </c>
      <c r="L584" s="218"/>
      <c r="M584" s="218"/>
      <c r="N584" s="218"/>
      <c r="O584" s="218"/>
      <c r="P584" s="352"/>
      <c r="Q584" s="352"/>
      <c r="R584" s="352"/>
      <c r="S584" s="352"/>
      <c r="T584" s="352"/>
      <c r="U584" s="352"/>
      <c r="V584" s="218"/>
      <c r="W584" s="218"/>
      <c r="X584" s="218"/>
      <c r="Y584" s="218"/>
      <c r="Z584" s="218"/>
      <c r="AA584" s="218"/>
      <c r="AB584" s="218">
        <v>2</v>
      </c>
      <c r="AC584" s="218"/>
      <c r="AD584" s="218">
        <v>2</v>
      </c>
      <c r="AE584" s="218"/>
      <c r="AF584" s="218"/>
      <c r="AG584" s="218"/>
      <c r="AH584" s="218"/>
      <c r="AI584" s="218"/>
      <c r="AJ584" s="218"/>
      <c r="AK584" s="218">
        <f>G619+AL584-G584</f>
        <v>2</v>
      </c>
      <c r="AL584" s="218"/>
      <c r="AM584" s="353"/>
      <c r="AN584" s="295"/>
      <c r="AO584" s="296"/>
      <c r="AP584" s="353"/>
      <c r="AQ584" s="290"/>
      <c r="AR584" s="290"/>
      <c r="AS584" s="290"/>
    </row>
    <row r="585" spans="1:45" ht="17.25" thickBot="1" x14ac:dyDescent="0.3">
      <c r="A585" s="467"/>
      <c r="B585" s="354"/>
      <c r="C585" s="285">
        <v>1151651</v>
      </c>
      <c r="D585" s="358" t="s">
        <v>408</v>
      </c>
      <c r="E585" s="360"/>
      <c r="F585" s="361">
        <f>G620-AK585+AL585</f>
        <v>2</v>
      </c>
      <c r="G585" s="369">
        <v>2</v>
      </c>
      <c r="H585" s="369">
        <v>1</v>
      </c>
      <c r="I585" s="369">
        <v>2</v>
      </c>
      <c r="J585" s="369"/>
      <c r="K585" s="369">
        <v>3</v>
      </c>
      <c r="L585" s="218"/>
      <c r="M585" s="218"/>
      <c r="N585" s="218"/>
      <c r="O585" s="218"/>
      <c r="P585" s="352"/>
      <c r="Q585" s="352"/>
      <c r="R585" s="352"/>
      <c r="S585" s="352"/>
      <c r="T585" s="352"/>
      <c r="U585" s="352"/>
      <c r="V585" s="218"/>
      <c r="W585" s="218"/>
      <c r="X585" s="218"/>
      <c r="Y585" s="218"/>
      <c r="Z585" s="218">
        <v>2</v>
      </c>
      <c r="AA585" s="218"/>
      <c r="AB585" s="218">
        <v>2</v>
      </c>
      <c r="AC585" s="218"/>
      <c r="AD585" s="218">
        <v>3</v>
      </c>
      <c r="AE585" s="218"/>
      <c r="AF585" s="218"/>
      <c r="AG585" s="218"/>
      <c r="AH585" s="218"/>
      <c r="AI585" s="218"/>
      <c r="AJ585" s="218"/>
      <c r="AK585" s="218">
        <f>G620+AL585-G585</f>
        <v>2</v>
      </c>
      <c r="AL585" s="218">
        <v>2</v>
      </c>
      <c r="AM585" s="353"/>
      <c r="AN585" s="295"/>
      <c r="AO585" s="296"/>
      <c r="AP585" s="353"/>
      <c r="AQ585" s="290"/>
      <c r="AR585" s="290"/>
      <c r="AS585" s="290"/>
    </row>
    <row r="586" spans="1:45" ht="17.25" thickBot="1" x14ac:dyDescent="0.3">
      <c r="A586" s="467"/>
      <c r="B586" s="354"/>
      <c r="C586" s="285">
        <v>1146029</v>
      </c>
      <c r="D586" s="358" t="s">
        <v>409</v>
      </c>
      <c r="E586" s="360"/>
      <c r="F586" s="361">
        <f>G621-AK586+AL586</f>
        <v>4</v>
      </c>
      <c r="G586" s="369">
        <v>4</v>
      </c>
      <c r="H586" s="369">
        <v>2</v>
      </c>
      <c r="I586" s="369">
        <v>4</v>
      </c>
      <c r="J586" s="369"/>
      <c r="K586" s="369">
        <v>2</v>
      </c>
      <c r="L586" s="218"/>
      <c r="M586" s="218"/>
      <c r="N586" s="218"/>
      <c r="O586" s="218"/>
      <c r="P586" s="352"/>
      <c r="Q586" s="352"/>
      <c r="R586" s="352"/>
      <c r="S586" s="352"/>
      <c r="T586" s="352"/>
      <c r="U586" s="352"/>
      <c r="V586" s="218"/>
      <c r="W586" s="218"/>
      <c r="X586" s="218"/>
      <c r="Y586" s="218"/>
      <c r="Z586" s="218"/>
      <c r="AA586" s="218"/>
      <c r="AB586" s="218"/>
      <c r="AC586" s="218">
        <v>2</v>
      </c>
      <c r="AD586" s="218"/>
      <c r="AE586" s="218"/>
      <c r="AF586" s="218"/>
      <c r="AG586" s="218"/>
      <c r="AH586" s="218"/>
      <c r="AI586" s="218"/>
      <c r="AJ586" s="218"/>
      <c r="AK586" s="218">
        <f>G621+AL586-G586</f>
        <v>0</v>
      </c>
      <c r="AL586" s="218">
        <v>2</v>
      </c>
      <c r="AM586" s="353"/>
      <c r="AN586" s="295"/>
      <c r="AO586" s="296"/>
      <c r="AP586" s="353"/>
      <c r="AQ586" s="290"/>
      <c r="AR586" s="290"/>
      <c r="AS586" s="290"/>
    </row>
    <row r="587" spans="1:45" ht="17.25" thickBot="1" x14ac:dyDescent="0.3">
      <c r="A587" s="467"/>
      <c r="B587" s="355" t="s">
        <v>410</v>
      </c>
      <c r="C587" s="356"/>
      <c r="D587" s="356"/>
      <c r="E587" s="359"/>
      <c r="F587" s="359"/>
      <c r="G587" s="356"/>
      <c r="H587" s="396"/>
      <c r="I587" s="356"/>
      <c r="J587" s="356"/>
      <c r="K587" s="356"/>
      <c r="L587" s="356"/>
      <c r="M587" s="356"/>
      <c r="N587" s="356"/>
      <c r="O587" s="356"/>
      <c r="P587" s="356"/>
      <c r="Q587" s="356"/>
      <c r="R587" s="356"/>
      <c r="S587" s="356"/>
      <c r="T587" s="356"/>
      <c r="U587" s="356"/>
      <c r="V587" s="356"/>
      <c r="W587" s="356"/>
      <c r="X587" s="356"/>
      <c r="Y587" s="356"/>
      <c r="Z587" s="356"/>
      <c r="AA587" s="356"/>
      <c r="AB587" s="356"/>
      <c r="AC587" s="356"/>
      <c r="AD587" s="356"/>
      <c r="AE587" s="356"/>
      <c r="AF587" s="356"/>
      <c r="AG587" s="356"/>
      <c r="AH587" s="356"/>
      <c r="AI587" s="356"/>
      <c r="AJ587" s="356"/>
      <c r="AK587" s="356"/>
      <c r="AL587" s="356"/>
      <c r="AM587" s="356"/>
      <c r="AN587" s="356"/>
      <c r="AO587" s="356"/>
      <c r="AP587" s="356"/>
      <c r="AQ587" s="356"/>
      <c r="AR587" s="356"/>
      <c r="AS587" s="357"/>
    </row>
    <row r="588" spans="1:45" ht="17.25" thickBot="1" x14ac:dyDescent="0.3">
      <c r="A588" s="467"/>
      <c r="B588" s="354"/>
      <c r="C588" s="285">
        <v>1699118</v>
      </c>
      <c r="D588" s="358" t="s">
        <v>411</v>
      </c>
      <c r="E588" s="360"/>
      <c r="F588" s="361">
        <f>G623-AK588+AL588</f>
        <v>1</v>
      </c>
      <c r="G588" s="369">
        <v>1</v>
      </c>
      <c r="H588" s="369">
        <v>1</v>
      </c>
      <c r="I588" s="369">
        <v>1</v>
      </c>
      <c r="J588" s="369"/>
      <c r="K588" s="369">
        <v>0</v>
      </c>
      <c r="L588" s="218"/>
      <c r="M588" s="218"/>
      <c r="N588" s="218"/>
      <c r="O588" s="218"/>
      <c r="P588" s="352"/>
      <c r="Q588" s="352"/>
      <c r="R588" s="352"/>
      <c r="S588" s="352"/>
      <c r="T588" s="352"/>
      <c r="U588" s="352"/>
      <c r="V588" s="218"/>
      <c r="W588" s="218"/>
      <c r="X588" s="218"/>
      <c r="Y588" s="218"/>
      <c r="Z588" s="218"/>
      <c r="AA588" s="218"/>
      <c r="AB588" s="218">
        <v>1</v>
      </c>
      <c r="AC588" s="218"/>
      <c r="AD588" s="218"/>
      <c r="AE588" s="218"/>
      <c r="AF588" s="218"/>
      <c r="AG588" s="218"/>
      <c r="AH588" s="218"/>
      <c r="AI588" s="218"/>
      <c r="AJ588" s="218"/>
      <c r="AK588" s="218">
        <f>G623+AL588-G588</f>
        <v>0</v>
      </c>
      <c r="AL588" s="218">
        <v>1</v>
      </c>
      <c r="AM588" s="353"/>
      <c r="AN588" s="295"/>
      <c r="AO588" s="296"/>
      <c r="AP588" s="353"/>
      <c r="AQ588" s="290"/>
      <c r="AR588" s="290"/>
      <c r="AS588" s="290"/>
    </row>
    <row r="589" spans="1:45" ht="17.25" thickBot="1" x14ac:dyDescent="0.3">
      <c r="A589" s="467"/>
      <c r="B589" s="354"/>
      <c r="C589" s="285">
        <v>1699119</v>
      </c>
      <c r="D589" s="358" t="s">
        <v>412</v>
      </c>
      <c r="E589" s="360"/>
      <c r="F589" s="361">
        <v>5</v>
      </c>
      <c r="G589" s="369">
        <v>5</v>
      </c>
      <c r="H589" s="369">
        <v>1</v>
      </c>
      <c r="I589" s="369">
        <v>3</v>
      </c>
      <c r="J589" s="369"/>
      <c r="K589" s="369">
        <v>1</v>
      </c>
      <c r="L589" s="218"/>
      <c r="M589" s="218"/>
      <c r="N589" s="218"/>
      <c r="O589" s="218"/>
      <c r="P589" s="352"/>
      <c r="Q589" s="352"/>
      <c r="R589" s="352"/>
      <c r="S589" s="352"/>
      <c r="T589" s="352"/>
      <c r="U589" s="352"/>
      <c r="V589" s="218"/>
      <c r="W589" s="218"/>
      <c r="X589" s="218"/>
      <c r="Y589" s="218"/>
      <c r="Z589" s="218"/>
      <c r="AA589" s="218"/>
      <c r="AB589" s="218">
        <v>2</v>
      </c>
      <c r="AC589" s="218"/>
      <c r="AD589" s="218"/>
      <c r="AE589" s="218"/>
      <c r="AF589" s="218"/>
      <c r="AG589" s="218"/>
      <c r="AH589" s="218"/>
      <c r="AI589" s="218"/>
      <c r="AJ589" s="218"/>
      <c r="AK589" s="218">
        <f>G624+AL589-G589</f>
        <v>0</v>
      </c>
      <c r="AL589" s="218">
        <v>4</v>
      </c>
      <c r="AM589" s="353"/>
      <c r="AN589" s="295"/>
      <c r="AO589" s="296"/>
      <c r="AP589" s="353"/>
      <c r="AQ589" s="290"/>
      <c r="AR589" s="290"/>
      <c r="AS589" s="290"/>
    </row>
    <row r="590" spans="1:45" ht="17.25" thickBot="1" x14ac:dyDescent="0.3">
      <c r="A590" s="467"/>
      <c r="B590" s="354"/>
      <c r="C590" s="285">
        <v>1699130</v>
      </c>
      <c r="D590" s="358" t="s">
        <v>413</v>
      </c>
      <c r="E590" s="360"/>
      <c r="F590" s="361">
        <f>G625-AK590+AL590</f>
        <v>0</v>
      </c>
      <c r="G590" s="369">
        <v>0</v>
      </c>
      <c r="H590" s="369">
        <v>4</v>
      </c>
      <c r="I590" s="369">
        <v>0</v>
      </c>
      <c r="J590" s="369"/>
      <c r="K590" s="369">
        <v>0</v>
      </c>
      <c r="L590" s="218"/>
      <c r="M590" s="218"/>
      <c r="N590" s="218"/>
      <c r="O590" s="218"/>
      <c r="P590" s="352"/>
      <c r="Q590" s="352"/>
      <c r="R590" s="352"/>
      <c r="S590" s="352"/>
      <c r="T590" s="352"/>
      <c r="U590" s="352"/>
      <c r="V590" s="218"/>
      <c r="W590" s="218"/>
      <c r="X590" s="218"/>
      <c r="Y590" s="218"/>
      <c r="Z590" s="218"/>
      <c r="AA590" s="218">
        <v>2</v>
      </c>
      <c r="AB590" s="218"/>
      <c r="AC590" s="218"/>
      <c r="AD590" s="218">
        <v>4</v>
      </c>
      <c r="AE590" s="218"/>
      <c r="AF590" s="218"/>
      <c r="AG590" s="218"/>
      <c r="AH590" s="218"/>
      <c r="AI590" s="218"/>
      <c r="AJ590" s="218"/>
      <c r="AK590" s="218">
        <f>G625+AL590-G590</f>
        <v>0</v>
      </c>
      <c r="AL590" s="218"/>
      <c r="AM590" s="353"/>
      <c r="AN590" s="295"/>
      <c r="AO590" s="296"/>
      <c r="AP590" s="353"/>
      <c r="AQ590" s="290"/>
      <c r="AR590" s="290"/>
      <c r="AS590" s="290"/>
    </row>
    <row r="591" spans="1:45" ht="17.25" thickBot="1" x14ac:dyDescent="0.3">
      <c r="A591" s="467"/>
      <c r="B591" s="354"/>
      <c r="C591" s="285">
        <v>1699131</v>
      </c>
      <c r="D591" s="358" t="s">
        <v>414</v>
      </c>
      <c r="E591" s="360"/>
      <c r="F591" s="361">
        <f>G626-AK591+AL591</f>
        <v>5</v>
      </c>
      <c r="G591" s="369">
        <v>5</v>
      </c>
      <c r="H591" s="397">
        <v>3</v>
      </c>
      <c r="I591" s="369">
        <v>5</v>
      </c>
      <c r="J591" s="369"/>
      <c r="K591" s="364">
        <v>0</v>
      </c>
      <c r="L591" s="218"/>
      <c r="M591" s="218"/>
      <c r="N591" s="218"/>
      <c r="O591" s="218"/>
      <c r="P591" s="352"/>
      <c r="Q591" s="352"/>
      <c r="R591" s="352"/>
      <c r="S591" s="352"/>
      <c r="T591" s="352"/>
      <c r="U591" s="352"/>
      <c r="V591" s="218"/>
      <c r="W591" s="218"/>
      <c r="X591" s="218"/>
      <c r="Y591" s="218"/>
      <c r="Z591" s="218"/>
      <c r="AA591" s="218"/>
      <c r="AB591" s="218">
        <v>1</v>
      </c>
      <c r="AC591" s="218"/>
      <c r="AD591" s="218"/>
      <c r="AE591" s="218"/>
      <c r="AF591" s="218"/>
      <c r="AG591" s="218"/>
      <c r="AH591" s="218"/>
      <c r="AI591" s="218"/>
      <c r="AJ591" s="218"/>
      <c r="AK591" s="218">
        <f>G626+AL591-G591</f>
        <v>0</v>
      </c>
      <c r="AL591" s="218">
        <v>2</v>
      </c>
      <c r="AM591" s="353"/>
      <c r="AN591" s="295"/>
      <c r="AO591" s="296"/>
      <c r="AP591" s="353"/>
      <c r="AQ591" s="290"/>
      <c r="AR591" s="290"/>
      <c r="AS591" s="290"/>
    </row>
    <row r="592" spans="1:45" ht="17.25" thickBot="1" x14ac:dyDescent="0.3">
      <c r="A592" s="468"/>
      <c r="B592" s="354"/>
      <c r="C592" s="285">
        <v>1699132</v>
      </c>
      <c r="D592" s="358" t="s">
        <v>415</v>
      </c>
      <c r="E592" s="285"/>
      <c r="F592" s="362">
        <f>G627-AK592+AL592</f>
        <v>3</v>
      </c>
      <c r="G592" s="364">
        <v>3</v>
      </c>
      <c r="H592" s="397">
        <v>3</v>
      </c>
      <c r="I592" s="364">
        <v>3</v>
      </c>
      <c r="J592" s="364"/>
      <c r="K592" s="364">
        <v>0</v>
      </c>
      <c r="L592" s="218"/>
      <c r="M592" s="218"/>
      <c r="N592" s="218"/>
      <c r="O592" s="218"/>
      <c r="P592" s="352"/>
      <c r="Q592" s="352"/>
      <c r="R592" s="352"/>
      <c r="S592" s="352"/>
      <c r="T592" s="352"/>
      <c r="U592" s="352"/>
      <c r="V592" s="218"/>
      <c r="W592" s="218"/>
      <c r="X592" s="218"/>
      <c r="Y592" s="218"/>
      <c r="Z592" s="218"/>
      <c r="AA592" s="218"/>
      <c r="AB592" s="218"/>
      <c r="AC592" s="218"/>
      <c r="AD592" s="218"/>
      <c r="AE592" s="218"/>
      <c r="AF592" s="218"/>
      <c r="AG592" s="218"/>
      <c r="AH592" s="218"/>
      <c r="AI592" s="218"/>
      <c r="AJ592" s="218"/>
      <c r="AK592" s="218">
        <f>G627+AL592-G592</f>
        <v>0</v>
      </c>
      <c r="AL592" s="218">
        <v>3</v>
      </c>
      <c r="AM592" s="353"/>
      <c r="AN592" s="295"/>
      <c r="AO592" s="296"/>
      <c r="AP592" s="353"/>
      <c r="AQ592" s="290"/>
      <c r="AR592" s="290"/>
      <c r="AS592" s="290"/>
    </row>
    <row r="593" spans="1:45" x14ac:dyDescent="0.25">
      <c r="AL593" s="290"/>
      <c r="AM593" s="290"/>
      <c r="AN593" s="290"/>
      <c r="AO593" s="290"/>
    </row>
    <row r="594" spans="1:45" ht="14.25" thickBot="1" x14ac:dyDescent="0.3">
      <c r="B594" s="338" t="s">
        <v>18</v>
      </c>
      <c r="C594" s="339">
        <v>45733</v>
      </c>
      <c r="AA594" s="290">
        <v>0</v>
      </c>
      <c r="AL594" s="290"/>
      <c r="AM594" s="290"/>
      <c r="AN594" s="290"/>
      <c r="AO594" s="290"/>
      <c r="AP594" s="290"/>
    </row>
    <row r="595" spans="1:45" ht="41.25" thickBot="1" x14ac:dyDescent="0.3">
      <c r="B595" s="283" t="s">
        <v>0</v>
      </c>
      <c r="C595" s="284" t="s">
        <v>1</v>
      </c>
      <c r="D595" s="284" t="s">
        <v>2</v>
      </c>
      <c r="E595" s="284" t="s">
        <v>3</v>
      </c>
      <c r="F595" s="4" t="s">
        <v>318</v>
      </c>
      <c r="G595" s="351" t="s">
        <v>539</v>
      </c>
      <c r="H595" s="382" t="s">
        <v>460</v>
      </c>
      <c r="I595" s="234" t="s">
        <v>532</v>
      </c>
      <c r="J595" s="234"/>
      <c r="K595" s="258" t="s">
        <v>531</v>
      </c>
      <c r="L595" s="258" t="s">
        <v>328</v>
      </c>
      <c r="M595" s="258" t="s">
        <v>327</v>
      </c>
      <c r="N595" s="234" t="s">
        <v>389</v>
      </c>
      <c r="O595" s="240" t="s">
        <v>130</v>
      </c>
      <c r="P595" s="243" t="s">
        <v>303</v>
      </c>
      <c r="Q595" s="244" t="s">
        <v>304</v>
      </c>
      <c r="R595" s="244" t="s">
        <v>314</v>
      </c>
      <c r="S595" s="245" t="s">
        <v>338</v>
      </c>
      <c r="T595" s="245" t="s">
        <v>345</v>
      </c>
      <c r="U595" s="245" t="s">
        <v>361</v>
      </c>
      <c r="V595" s="245" t="s">
        <v>387</v>
      </c>
      <c r="W595" s="245" t="s">
        <v>421</v>
      </c>
      <c r="X595" s="245" t="s">
        <v>452</v>
      </c>
      <c r="Y595" s="245" t="s">
        <v>463</v>
      </c>
      <c r="Z595" s="245" t="s">
        <v>481</v>
      </c>
      <c r="AA595" s="245" t="s">
        <v>498</v>
      </c>
      <c r="AB595" s="245" t="s">
        <v>303</v>
      </c>
      <c r="AC595" s="245" t="s">
        <v>304</v>
      </c>
      <c r="AD595" s="245" t="s">
        <v>314</v>
      </c>
      <c r="AE595" s="245"/>
      <c r="AF595" s="245"/>
      <c r="AG595" s="245"/>
      <c r="AH595" s="245"/>
      <c r="AI595" s="245"/>
      <c r="AJ595" s="245" t="s">
        <v>360</v>
      </c>
      <c r="AK595" s="246" t="s">
        <v>268</v>
      </c>
      <c r="AL595" s="247" t="s">
        <v>269</v>
      </c>
      <c r="AM595" s="291" t="s">
        <v>288</v>
      </c>
      <c r="AN595" s="292" t="s">
        <v>289</v>
      </c>
      <c r="AO595" s="292" t="s">
        <v>287</v>
      </c>
      <c r="AP595" s="293" t="s">
        <v>290</v>
      </c>
      <c r="AQ595" s="290" t="s">
        <v>306</v>
      </c>
      <c r="AR595" s="290" t="s">
        <v>310</v>
      </c>
      <c r="AS595" s="290" t="s">
        <v>311</v>
      </c>
    </row>
    <row r="596" spans="1:45" ht="17.25" thickBot="1" x14ac:dyDescent="0.3">
      <c r="A596" s="463" t="s">
        <v>416</v>
      </c>
      <c r="B596" s="285">
        <v>273664</v>
      </c>
      <c r="C596" s="286">
        <v>1135749</v>
      </c>
      <c r="D596" s="286" t="s">
        <v>7</v>
      </c>
      <c r="E596" s="286">
        <v>6060050026</v>
      </c>
      <c r="F596" s="253">
        <f>G631-AK596+AL596</f>
        <v>5</v>
      </c>
      <c r="G596" s="235">
        <v>5</v>
      </c>
      <c r="H596" s="394">
        <v>5</v>
      </c>
      <c r="I596" s="232">
        <v>5</v>
      </c>
      <c r="J596" s="232"/>
      <c r="K596" s="232">
        <v>0</v>
      </c>
      <c r="L596" s="232">
        <f>IF(K630=K595,L631+AK596,K596)</f>
        <v>0</v>
      </c>
      <c r="M596" s="232">
        <f>IF(K630=K595,0,L631+AK596-K596)</f>
        <v>4</v>
      </c>
      <c r="N596" s="267">
        <v>5</v>
      </c>
      <c r="O596" s="241">
        <f>N596-G596</f>
        <v>0</v>
      </c>
      <c r="P596" s="277">
        <v>4</v>
      </c>
      <c r="Q596" s="278">
        <v>4</v>
      </c>
      <c r="R596" s="279"/>
      <c r="S596" s="279">
        <v>3</v>
      </c>
      <c r="T596" s="279">
        <v>4</v>
      </c>
      <c r="U596" s="279">
        <v>2</v>
      </c>
      <c r="V596" s="279"/>
      <c r="W596" s="279">
        <f>2+3</f>
        <v>5</v>
      </c>
      <c r="X596" s="241"/>
      <c r="Y596" s="241"/>
      <c r="Z596" s="241"/>
      <c r="AA596" s="241">
        <v>4</v>
      </c>
      <c r="AB596" s="241">
        <v>5</v>
      </c>
      <c r="AC596" s="241"/>
      <c r="AD596" s="241">
        <v>4</v>
      </c>
      <c r="AE596" s="241"/>
      <c r="AF596" s="241"/>
      <c r="AG596" s="241"/>
      <c r="AH596" s="241"/>
      <c r="AI596" s="241"/>
      <c r="AJ596" s="241">
        <f>N596-V596</f>
        <v>5</v>
      </c>
      <c r="AK596" s="235">
        <f>G631+AL596-G596</f>
        <v>4</v>
      </c>
      <c r="AL596" s="350">
        <v>3</v>
      </c>
      <c r="AM596" s="294">
        <v>1.5</v>
      </c>
      <c r="AN596" s="295">
        <v>4</v>
      </c>
      <c r="AO596" s="296">
        <f>G596/(AN596)</f>
        <v>1.25</v>
      </c>
      <c r="AP596" s="297">
        <f>AN596*6</f>
        <v>24</v>
      </c>
      <c r="AQ596" s="290">
        <f>G596+K596</f>
        <v>5</v>
      </c>
      <c r="AR596" s="290">
        <f>IF(G596&lt;G631,(G631-G596+K631-K596),K631-K596)</f>
        <v>1</v>
      </c>
      <c r="AS596" s="290">
        <f>21-8</f>
        <v>13</v>
      </c>
    </row>
    <row r="597" spans="1:45" ht="17.25" thickBot="1" x14ac:dyDescent="0.3">
      <c r="A597" s="464"/>
      <c r="B597" s="285">
        <v>273672</v>
      </c>
      <c r="C597" s="286">
        <v>1135750</v>
      </c>
      <c r="D597" s="286" t="s">
        <v>9</v>
      </c>
      <c r="E597" s="287">
        <v>204000000000</v>
      </c>
      <c r="F597" s="253">
        <f>G632-AK597+AL597</f>
        <v>25</v>
      </c>
      <c r="G597" s="235">
        <v>25</v>
      </c>
      <c r="H597" s="394">
        <v>16</v>
      </c>
      <c r="I597" s="232">
        <f>14+11</f>
        <v>25</v>
      </c>
      <c r="J597" s="232"/>
      <c r="K597" s="232">
        <v>5</v>
      </c>
      <c r="L597" s="232">
        <f>IF(K630=K595,L632+AK597,K597)</f>
        <v>5</v>
      </c>
      <c r="M597" s="232">
        <f>IF(K630=K595,0,L632+AK597-K597)</f>
        <v>1</v>
      </c>
      <c r="N597" s="267">
        <v>10</v>
      </c>
      <c r="O597" s="241">
        <f>N597-G597</f>
        <v>-15</v>
      </c>
      <c r="P597" s="277">
        <v>13</v>
      </c>
      <c r="Q597" s="278">
        <v>2</v>
      </c>
      <c r="R597" s="279">
        <v>6</v>
      </c>
      <c r="S597" s="279">
        <v>6</v>
      </c>
      <c r="T597" s="279">
        <v>10</v>
      </c>
      <c r="U597" s="279">
        <v>4</v>
      </c>
      <c r="V597" s="279">
        <v>6</v>
      </c>
      <c r="W597" s="279">
        <v>16</v>
      </c>
      <c r="X597" s="241"/>
      <c r="Y597" s="241">
        <v>6</v>
      </c>
      <c r="Z597" s="241">
        <v>4</v>
      </c>
      <c r="AA597" s="241">
        <v>6</v>
      </c>
      <c r="AB597" s="241">
        <v>14</v>
      </c>
      <c r="AC597" s="241"/>
      <c r="AD597" s="241">
        <v>6</v>
      </c>
      <c r="AE597" s="241"/>
      <c r="AF597" s="241"/>
      <c r="AG597" s="241"/>
      <c r="AH597" s="241"/>
      <c r="AI597" s="241"/>
      <c r="AJ597" s="241">
        <f>N597-V597</f>
        <v>4</v>
      </c>
      <c r="AK597" s="235">
        <f>G632+AL597-G597</f>
        <v>0</v>
      </c>
      <c r="AL597" s="236">
        <v>10</v>
      </c>
      <c r="AM597" s="298">
        <v>4.2</v>
      </c>
      <c r="AN597" s="295">
        <v>9</v>
      </c>
      <c r="AO597" s="296">
        <f>G597/(AN597)</f>
        <v>2.7777777777777777</v>
      </c>
      <c r="AP597" s="297">
        <f>AN597*6</f>
        <v>54</v>
      </c>
      <c r="AQ597" s="290">
        <f>G597+K597</f>
        <v>30</v>
      </c>
      <c r="AR597" s="290">
        <f>IF(G597&lt;G632,(G632-G597+K632-K597),K632-K597)</f>
        <v>1</v>
      </c>
      <c r="AS597" s="290">
        <f>21-8</f>
        <v>13</v>
      </c>
    </row>
    <row r="598" spans="1:45" ht="17.25" thickBot="1" x14ac:dyDescent="0.3">
      <c r="A598" s="464"/>
      <c r="B598" s="285">
        <v>273702</v>
      </c>
      <c r="C598" s="286">
        <v>1135753</v>
      </c>
      <c r="D598" s="286" t="s">
        <v>10</v>
      </c>
      <c r="E598" s="287">
        <v>301000000000</v>
      </c>
      <c r="F598" s="253">
        <f>G633-AK598+AL598</f>
        <v>1</v>
      </c>
      <c r="G598" s="235">
        <v>1</v>
      </c>
      <c r="H598" s="394">
        <v>1</v>
      </c>
      <c r="I598" s="232">
        <v>1</v>
      </c>
      <c r="J598" s="232"/>
      <c r="K598" s="232">
        <v>2</v>
      </c>
      <c r="L598" s="232">
        <f>IF(K630=K595,L633+AK598,K598)</f>
        <v>2</v>
      </c>
      <c r="M598" s="232">
        <f>IF(K630=K595,0,L633+AK598-K598)</f>
        <v>0</v>
      </c>
      <c r="N598" s="232">
        <v>2</v>
      </c>
      <c r="O598" s="241">
        <f>N598-G598</f>
        <v>1</v>
      </c>
      <c r="P598" s="277"/>
      <c r="Q598" s="278"/>
      <c r="R598" s="279"/>
      <c r="S598" s="279"/>
      <c r="T598" s="279"/>
      <c r="U598" s="279"/>
      <c r="V598" s="279"/>
      <c r="W598" s="279"/>
      <c r="X598" s="241"/>
      <c r="Y598" s="241"/>
      <c r="Z598" s="241"/>
      <c r="AA598" s="241"/>
      <c r="AB598" s="241">
        <v>2</v>
      </c>
      <c r="AC598" s="241"/>
      <c r="AD598" s="241"/>
      <c r="AE598" s="241"/>
      <c r="AF598" s="241"/>
      <c r="AG598" s="241"/>
      <c r="AH598" s="241"/>
      <c r="AI598" s="241"/>
      <c r="AJ598" s="241">
        <f>N598-V598</f>
        <v>2</v>
      </c>
      <c r="AK598" s="235">
        <f>G633+AL598-G598</f>
        <v>0</v>
      </c>
      <c r="AL598" s="236"/>
      <c r="AM598" s="294">
        <f>4/12</f>
        <v>0.33333333333333331</v>
      </c>
      <c r="AN598" s="295">
        <v>2</v>
      </c>
      <c r="AO598" s="296">
        <f>G598/(AN598)</f>
        <v>0.5</v>
      </c>
      <c r="AP598" s="297">
        <f>AN598*6</f>
        <v>12</v>
      </c>
      <c r="AQ598" s="290">
        <f>G598+K598</f>
        <v>3</v>
      </c>
      <c r="AR598" s="290">
        <f>IF(G598&lt;G633,(G633-G598+K633-K598),K633-K598)</f>
        <v>0</v>
      </c>
      <c r="AS598" s="290">
        <f>21-8</f>
        <v>13</v>
      </c>
    </row>
    <row r="599" spans="1:45" ht="17.25" thickBot="1" x14ac:dyDescent="0.3">
      <c r="A599" s="464"/>
      <c r="B599" s="285">
        <v>273698</v>
      </c>
      <c r="C599" s="286">
        <v>1135752</v>
      </c>
      <c r="D599" s="286" t="s">
        <v>11</v>
      </c>
      <c r="E599" s="287">
        <v>701000000000</v>
      </c>
      <c r="F599" s="253">
        <f>G634-AK599+AL599</f>
        <v>3</v>
      </c>
      <c r="G599" s="235">
        <v>3</v>
      </c>
      <c r="H599" s="394">
        <v>2</v>
      </c>
      <c r="I599" s="232">
        <v>3</v>
      </c>
      <c r="J599" s="232"/>
      <c r="K599" s="232">
        <v>0</v>
      </c>
      <c r="L599" s="232">
        <f>IF(K630=K595,L634+AK599,K599)</f>
        <v>0</v>
      </c>
      <c r="M599" s="232">
        <f>IF(K630=K595,0,L634+AK599-K599)</f>
        <v>0</v>
      </c>
      <c r="N599" s="232">
        <v>3</v>
      </c>
      <c r="O599" s="241">
        <f>N599-G599</f>
        <v>0</v>
      </c>
      <c r="P599" s="277">
        <v>2</v>
      </c>
      <c r="Q599" s="278"/>
      <c r="R599" s="279"/>
      <c r="S599" s="279"/>
      <c r="T599" s="279"/>
      <c r="U599" s="279"/>
      <c r="V599" s="279"/>
      <c r="W599" s="279">
        <v>1</v>
      </c>
      <c r="X599" s="241"/>
      <c r="Y599" s="241"/>
      <c r="Z599" s="241"/>
      <c r="AA599" s="241"/>
      <c r="AB599" s="241">
        <v>2</v>
      </c>
      <c r="AC599" s="241"/>
      <c r="AD599" s="241"/>
      <c r="AE599" s="241"/>
      <c r="AF599" s="241"/>
      <c r="AG599" s="241"/>
      <c r="AH599" s="241"/>
      <c r="AI599" s="241"/>
      <c r="AJ599" s="241">
        <f>N599-V599</f>
        <v>3</v>
      </c>
      <c r="AK599" s="235">
        <f>G634+AL599-G599</f>
        <v>0</v>
      </c>
      <c r="AL599" s="236"/>
      <c r="AM599" s="294">
        <f>4/12</f>
        <v>0.33333333333333331</v>
      </c>
      <c r="AN599" s="295">
        <v>2</v>
      </c>
      <c r="AO599" s="296">
        <f>G599/(AN599)</f>
        <v>1.5</v>
      </c>
      <c r="AP599" s="297">
        <f>AN599*6</f>
        <v>12</v>
      </c>
      <c r="AQ599" s="290">
        <f>G599+K599</f>
        <v>3</v>
      </c>
      <c r="AR599" s="290">
        <f>IF(G599&lt;G634,(G634-G599+K634-K599),K634-K599)</f>
        <v>0</v>
      </c>
      <c r="AS599" s="290">
        <f>21-8</f>
        <v>13</v>
      </c>
    </row>
    <row r="600" spans="1:45" ht="17.25" thickBot="1" x14ac:dyDescent="0.3">
      <c r="A600" s="465"/>
      <c r="B600" s="285">
        <v>273680</v>
      </c>
      <c r="C600" s="286">
        <v>1135751</v>
      </c>
      <c r="D600" s="286" t="s">
        <v>12</v>
      </c>
      <c r="E600" s="286" t="s">
        <v>13</v>
      </c>
      <c r="F600" s="254">
        <f>G635-AK600+AL600</f>
        <v>15</v>
      </c>
      <c r="G600" s="237">
        <v>15</v>
      </c>
      <c r="H600" s="395">
        <v>8</v>
      </c>
      <c r="I600" s="238">
        <f>9+6</f>
        <v>15</v>
      </c>
      <c r="J600" s="238"/>
      <c r="K600" s="238">
        <v>8</v>
      </c>
      <c r="L600" s="238">
        <f>IF(K630=K595,L635+AK600,K600)</f>
        <v>8</v>
      </c>
      <c r="M600" s="238">
        <f>IF(K630=K595,0,L635+AK600-K600)</f>
        <v>0</v>
      </c>
      <c r="N600" s="238">
        <v>9</v>
      </c>
      <c r="O600" s="242">
        <f>N600-G600</f>
        <v>-6</v>
      </c>
      <c r="P600" s="280"/>
      <c r="Q600" s="281"/>
      <c r="R600" s="282"/>
      <c r="S600" s="282"/>
      <c r="T600" s="282">
        <v>11</v>
      </c>
      <c r="U600" s="282"/>
      <c r="V600" s="282"/>
      <c r="W600" s="282">
        <v>9</v>
      </c>
      <c r="X600" s="242"/>
      <c r="Y600" s="242">
        <v>9</v>
      </c>
      <c r="Z600" s="242"/>
      <c r="AA600" s="242"/>
      <c r="AB600" s="242">
        <v>5</v>
      </c>
      <c r="AC600" s="242"/>
      <c r="AD600" s="242">
        <v>5</v>
      </c>
      <c r="AE600" s="242"/>
      <c r="AF600" s="242"/>
      <c r="AG600" s="242"/>
      <c r="AH600" s="242"/>
      <c r="AI600" s="242"/>
      <c r="AJ600" s="242">
        <f>N600-V600</f>
        <v>9</v>
      </c>
      <c r="AK600" s="235">
        <f>G635+AL600-G600</f>
        <v>5</v>
      </c>
      <c r="AL600" s="239">
        <v>5</v>
      </c>
      <c r="AM600" s="299">
        <f>30/12</f>
        <v>2.5</v>
      </c>
      <c r="AN600" s="300">
        <f>AM600*2</f>
        <v>5</v>
      </c>
      <c r="AO600" s="301">
        <f>G600/(AN600)</f>
        <v>3</v>
      </c>
      <c r="AP600" s="302">
        <f>AN600*6</f>
        <v>30</v>
      </c>
      <c r="AQ600" s="290">
        <f>G600+K600</f>
        <v>23</v>
      </c>
      <c r="AR600" s="290">
        <f>IF(G600&lt;G635,(G635-G600+K635-K600),K635-K600)</f>
        <v>-5</v>
      </c>
      <c r="AS600" s="290">
        <f>21-8</f>
        <v>13</v>
      </c>
    </row>
    <row r="601" spans="1:45" ht="17.25" thickBot="1" x14ac:dyDescent="0.3">
      <c r="A601" s="466" t="s">
        <v>417</v>
      </c>
      <c r="B601" s="355" t="s">
        <v>129</v>
      </c>
      <c r="C601" s="356"/>
      <c r="D601" s="356"/>
      <c r="E601" s="359"/>
      <c r="F601" s="359"/>
      <c r="G601" s="356"/>
      <c r="H601" s="396"/>
      <c r="I601" s="356"/>
      <c r="J601" s="356"/>
      <c r="K601" s="356"/>
      <c r="L601" s="356"/>
      <c r="M601" s="356"/>
      <c r="N601" s="356"/>
      <c r="O601" s="356"/>
      <c r="P601" s="356"/>
      <c r="Q601" s="356"/>
      <c r="R601" s="356"/>
      <c r="S601" s="356"/>
      <c r="T601" s="356"/>
      <c r="U601" s="356"/>
      <c r="V601" s="356"/>
      <c r="W601" s="356"/>
      <c r="X601" s="356"/>
      <c r="Y601" s="356"/>
      <c r="Z601" s="356"/>
      <c r="AA601" s="356"/>
      <c r="AB601" s="356"/>
      <c r="AC601" s="356"/>
      <c r="AD601" s="356"/>
      <c r="AE601" s="356"/>
      <c r="AF601" s="356"/>
      <c r="AG601" s="356"/>
      <c r="AH601" s="356"/>
      <c r="AI601" s="356"/>
      <c r="AJ601" s="356"/>
      <c r="AK601" s="356"/>
      <c r="AL601" s="367"/>
      <c r="AM601" s="356"/>
      <c r="AN601" s="356"/>
      <c r="AO601" s="356"/>
      <c r="AP601" s="356"/>
      <c r="AQ601" s="356"/>
      <c r="AR601" s="356"/>
      <c r="AS601" s="357"/>
    </row>
    <row r="602" spans="1:45" ht="17.25" thickBot="1" x14ac:dyDescent="0.3">
      <c r="A602" s="467"/>
      <c r="B602" s="354"/>
      <c r="C602" s="354">
        <v>1140327</v>
      </c>
      <c r="D602" s="358" t="s">
        <v>394</v>
      </c>
      <c r="E602" s="360"/>
      <c r="F602" s="361">
        <f>G637-AK602+AL602</f>
        <v>11</v>
      </c>
      <c r="G602" s="218">
        <v>11</v>
      </c>
      <c r="H602" s="397">
        <v>23</v>
      </c>
      <c r="I602" s="218">
        <v>11</v>
      </c>
      <c r="J602" s="218"/>
      <c r="K602" s="218">
        <v>2</v>
      </c>
      <c r="L602" s="218">
        <f>IF(K630=K595,L637+AK602,K602)</f>
        <v>2</v>
      </c>
      <c r="M602" s="218">
        <f>IF(K630=K595,0,L637+AK602-K602)</f>
        <v>5</v>
      </c>
      <c r="N602" s="218"/>
      <c r="O602" s="218"/>
      <c r="P602" s="352"/>
      <c r="Q602" s="352"/>
      <c r="R602" s="352"/>
      <c r="S602" s="352"/>
      <c r="T602" s="352"/>
      <c r="U602" s="352"/>
      <c r="V602" s="218"/>
      <c r="W602" s="218"/>
      <c r="X602" s="218">
        <v>4</v>
      </c>
      <c r="Y602" s="218">
        <v>9</v>
      </c>
      <c r="Z602" s="218">
        <v>14</v>
      </c>
      <c r="AA602" s="218">
        <v>8</v>
      </c>
      <c r="AB602" s="218">
        <f>14+6</f>
        <v>20</v>
      </c>
      <c r="AC602" s="218">
        <v>10</v>
      </c>
      <c r="AD602" s="218">
        <v>6</v>
      </c>
      <c r="AE602" s="218"/>
      <c r="AF602" s="218"/>
      <c r="AG602" s="218"/>
      <c r="AH602" s="218"/>
      <c r="AI602" s="218"/>
      <c r="AJ602" s="242">
        <f>N602-V602</f>
        <v>0</v>
      </c>
      <c r="AK602" s="274">
        <f>G637+AL602-G602</f>
        <v>0</v>
      </c>
      <c r="AL602" s="232"/>
      <c r="AM602" s="353"/>
      <c r="AN602" s="295"/>
      <c r="AO602" s="296"/>
      <c r="AP602" s="353"/>
      <c r="AQ602" s="290"/>
      <c r="AR602" s="290"/>
      <c r="AS602" s="290"/>
    </row>
    <row r="603" spans="1:45" ht="17.25" thickBot="1" x14ac:dyDescent="0.3">
      <c r="A603" s="467"/>
      <c r="B603" s="354"/>
      <c r="C603" s="285">
        <v>1151231</v>
      </c>
      <c r="D603" s="358" t="s">
        <v>395</v>
      </c>
      <c r="E603" s="360"/>
      <c r="F603" s="361">
        <f>G638-AK603+AL603</f>
        <v>10</v>
      </c>
      <c r="G603" s="369">
        <v>10</v>
      </c>
      <c r="H603" s="397">
        <v>13</v>
      </c>
      <c r="I603" s="218">
        <v>10</v>
      </c>
      <c r="J603" s="218"/>
      <c r="K603" s="218">
        <v>4</v>
      </c>
      <c r="L603" s="218">
        <f>IF(K630=K595,L638+AK603,K603)</f>
        <v>4</v>
      </c>
      <c r="M603" s="218">
        <f>IF(K630=K595,0,L638+AK603-K603)</f>
        <v>3</v>
      </c>
      <c r="N603" s="218"/>
      <c r="O603" s="218"/>
      <c r="P603" s="352"/>
      <c r="Q603" s="352"/>
      <c r="R603" s="352"/>
      <c r="S603" s="352"/>
      <c r="T603" s="352"/>
      <c r="U603" s="352"/>
      <c r="V603" s="218"/>
      <c r="W603" s="218"/>
      <c r="X603" s="218">
        <v>3</v>
      </c>
      <c r="Y603" s="218">
        <v>8</v>
      </c>
      <c r="Z603" s="218">
        <v>6</v>
      </c>
      <c r="AA603" s="218"/>
      <c r="AB603" s="218">
        <v>4</v>
      </c>
      <c r="AC603" s="218">
        <v>4</v>
      </c>
      <c r="AD603" s="218"/>
      <c r="AE603" s="218"/>
      <c r="AF603" s="218"/>
      <c r="AG603" s="218"/>
      <c r="AH603" s="218"/>
      <c r="AI603" s="218"/>
      <c r="AJ603" s="242">
        <f>N603-V603</f>
        <v>0</v>
      </c>
      <c r="AK603" s="274">
        <f>G638+AL603-G603</f>
        <v>0</v>
      </c>
      <c r="AL603" s="232"/>
      <c r="AM603" s="353"/>
      <c r="AN603" s="295"/>
      <c r="AO603" s="296"/>
      <c r="AP603" s="353"/>
      <c r="AQ603" s="290"/>
      <c r="AR603" s="290"/>
      <c r="AS603" s="290"/>
    </row>
    <row r="604" spans="1:45" ht="17.25" thickBot="1" x14ac:dyDescent="0.3">
      <c r="A604" s="467"/>
      <c r="B604" s="355" t="s">
        <v>420</v>
      </c>
      <c r="C604" s="356"/>
      <c r="D604" s="356" t="s">
        <v>523</v>
      </c>
      <c r="E604" s="359"/>
      <c r="F604" s="359"/>
      <c r="G604" s="356"/>
      <c r="H604" s="396"/>
      <c r="I604" s="356"/>
      <c r="J604" s="356"/>
      <c r="K604" s="356"/>
      <c r="L604" s="356"/>
      <c r="M604" s="356"/>
      <c r="N604" s="356"/>
      <c r="O604" s="356"/>
      <c r="P604" s="356"/>
      <c r="Q604" s="356"/>
      <c r="R604" s="356"/>
      <c r="S604" s="356"/>
      <c r="T604" s="356"/>
      <c r="U604" s="356"/>
      <c r="V604" s="356"/>
      <c r="W604" s="356"/>
      <c r="X604" s="356"/>
      <c r="Y604" s="356"/>
      <c r="Z604" s="356"/>
      <c r="AA604" s="356"/>
      <c r="AB604" s="356"/>
      <c r="AC604" s="356"/>
      <c r="AD604" s="356"/>
      <c r="AE604" s="356"/>
      <c r="AF604" s="356"/>
      <c r="AG604" s="356"/>
      <c r="AH604" s="356"/>
      <c r="AI604" s="356"/>
      <c r="AJ604" s="356"/>
      <c r="AK604" s="356"/>
      <c r="AL604" s="368"/>
      <c r="AM604" s="356"/>
      <c r="AN604" s="356"/>
      <c r="AO604" s="356"/>
      <c r="AP604" s="356"/>
      <c r="AQ604" s="356"/>
      <c r="AR604" s="356"/>
      <c r="AS604" s="357"/>
    </row>
    <row r="605" spans="1:45" ht="17.25" thickBot="1" x14ac:dyDescent="0.3">
      <c r="A605" s="467"/>
      <c r="B605" s="354"/>
      <c r="C605" s="285">
        <v>1146032</v>
      </c>
      <c r="D605" s="358" t="s">
        <v>396</v>
      </c>
      <c r="E605" s="360"/>
      <c r="F605" s="361">
        <f>G640-AK605+AL605</f>
        <v>0</v>
      </c>
      <c r="G605" s="364">
        <v>0</v>
      </c>
      <c r="H605" s="397">
        <v>1</v>
      </c>
      <c r="I605" s="364">
        <v>0</v>
      </c>
      <c r="J605" s="364"/>
      <c r="K605" s="364">
        <v>2</v>
      </c>
      <c r="L605" s="218"/>
      <c r="M605" s="218"/>
      <c r="N605" s="218"/>
      <c r="O605" s="218"/>
      <c r="P605" s="352"/>
      <c r="Q605" s="352"/>
      <c r="R605" s="352"/>
      <c r="S605" s="352"/>
      <c r="T605" s="352"/>
      <c r="U605" s="352"/>
      <c r="V605" s="218"/>
      <c r="W605" s="218"/>
      <c r="X605" s="218"/>
      <c r="Y605" s="218"/>
      <c r="Z605" s="218"/>
      <c r="AA605" s="218"/>
      <c r="AB605" s="218"/>
      <c r="AC605" s="218"/>
      <c r="AD605" s="218"/>
      <c r="AE605" s="218"/>
      <c r="AF605" s="218"/>
      <c r="AG605" s="218"/>
      <c r="AH605" s="218"/>
      <c r="AI605" s="218"/>
      <c r="AJ605" s="218"/>
      <c r="AK605" s="218">
        <f>G640+AL605-G605</f>
        <v>0</v>
      </c>
      <c r="AL605" s="218"/>
      <c r="AM605" s="353"/>
      <c r="AN605" s="295"/>
      <c r="AO605" s="296"/>
      <c r="AP605" s="353"/>
      <c r="AQ605" s="290"/>
      <c r="AR605" s="290"/>
      <c r="AS605" s="290"/>
    </row>
    <row r="606" spans="1:45" ht="17.25" thickBot="1" x14ac:dyDescent="0.3">
      <c r="A606" s="467"/>
      <c r="B606" s="354"/>
      <c r="C606" s="285">
        <v>1146021</v>
      </c>
      <c r="D606" s="358" t="s">
        <v>397</v>
      </c>
      <c r="E606" s="360"/>
      <c r="F606" s="361">
        <f>G641-AK606+AL606</f>
        <v>0</v>
      </c>
      <c r="G606" s="364">
        <v>0</v>
      </c>
      <c r="H606" s="397">
        <v>2</v>
      </c>
      <c r="I606" s="364">
        <v>0</v>
      </c>
      <c r="J606" s="364"/>
      <c r="K606" s="364">
        <v>0</v>
      </c>
      <c r="L606" s="218"/>
      <c r="M606" s="218"/>
      <c r="N606" s="218"/>
      <c r="O606" s="218"/>
      <c r="P606" s="352"/>
      <c r="Q606" s="352"/>
      <c r="R606" s="352"/>
      <c r="S606" s="352"/>
      <c r="T606" s="352"/>
      <c r="U606" s="352"/>
      <c r="V606" s="218"/>
      <c r="W606" s="218"/>
      <c r="X606" s="218"/>
      <c r="Y606" s="218"/>
      <c r="Z606" s="218"/>
      <c r="AA606" s="218"/>
      <c r="AB606" s="218"/>
      <c r="AC606" s="218"/>
      <c r="AD606" s="218"/>
      <c r="AE606" s="218"/>
      <c r="AF606" s="218"/>
      <c r="AG606" s="218"/>
      <c r="AH606" s="218"/>
      <c r="AI606" s="218"/>
      <c r="AJ606" s="218"/>
      <c r="AK606" s="218">
        <f>G641+AL606-G606</f>
        <v>0</v>
      </c>
      <c r="AL606" s="218"/>
      <c r="AM606" s="353"/>
      <c r="AN606" s="295"/>
      <c r="AO606" s="296"/>
      <c r="AP606" s="353"/>
      <c r="AQ606" s="290"/>
      <c r="AR606" s="290"/>
      <c r="AS606" s="290"/>
    </row>
    <row r="607" spans="1:45" ht="17.25" thickBot="1" x14ac:dyDescent="0.3">
      <c r="A607" s="467"/>
      <c r="B607" s="354"/>
      <c r="C607" s="285">
        <v>1146018</v>
      </c>
      <c r="D607" s="358" t="s">
        <v>398</v>
      </c>
      <c r="E607" s="360"/>
      <c r="F607" s="361">
        <f>G642-AK607+AL607</f>
        <v>0</v>
      </c>
      <c r="G607" s="369">
        <v>0</v>
      </c>
      <c r="H607" s="397">
        <v>1</v>
      </c>
      <c r="I607" s="364">
        <v>0</v>
      </c>
      <c r="J607" s="364"/>
      <c r="K607" s="364">
        <v>2</v>
      </c>
      <c r="L607" s="218"/>
      <c r="M607" s="218"/>
      <c r="N607" s="218"/>
      <c r="O607" s="218"/>
      <c r="P607" s="352"/>
      <c r="Q607" s="352"/>
      <c r="R607" s="352"/>
      <c r="S607" s="352"/>
      <c r="T607" s="352"/>
      <c r="U607" s="352"/>
      <c r="V607" s="218"/>
      <c r="W607" s="218"/>
      <c r="X607" s="218"/>
      <c r="Y607" s="218"/>
      <c r="Z607" s="218"/>
      <c r="AA607" s="218"/>
      <c r="AB607" s="218">
        <v>2</v>
      </c>
      <c r="AC607" s="218"/>
      <c r="AD607" s="218"/>
      <c r="AE607" s="218"/>
      <c r="AF607" s="218"/>
      <c r="AG607" s="218"/>
      <c r="AH607" s="218"/>
      <c r="AI607" s="218"/>
      <c r="AJ607" s="218"/>
      <c r="AK607" s="218">
        <f>G642+AL607-G607</f>
        <v>0</v>
      </c>
      <c r="AL607" s="218"/>
      <c r="AM607" s="353"/>
      <c r="AN607" s="295"/>
      <c r="AO607" s="296"/>
      <c r="AP607" s="353"/>
      <c r="AQ607" s="290"/>
      <c r="AR607" s="290"/>
      <c r="AS607" s="290"/>
    </row>
    <row r="608" spans="1:45" ht="17.25" thickBot="1" x14ac:dyDescent="0.3">
      <c r="A608" s="467"/>
      <c r="B608" s="354"/>
      <c r="C608" s="285">
        <v>1146024</v>
      </c>
      <c r="D608" s="358" t="s">
        <v>399</v>
      </c>
      <c r="E608" s="360"/>
      <c r="F608" s="361">
        <v>1</v>
      </c>
      <c r="G608" s="369">
        <v>1</v>
      </c>
      <c r="H608" s="369">
        <v>2</v>
      </c>
      <c r="I608" s="369">
        <v>2</v>
      </c>
      <c r="J608" s="369"/>
      <c r="K608" s="369">
        <v>0</v>
      </c>
      <c r="L608" s="218"/>
      <c r="M608" s="218"/>
      <c r="N608" s="218"/>
      <c r="O608" s="218"/>
      <c r="P608" s="352"/>
      <c r="Q608" s="352"/>
      <c r="R608" s="352"/>
      <c r="S608" s="352"/>
      <c r="T608" s="352"/>
      <c r="U608" s="352"/>
      <c r="V608" s="218"/>
      <c r="W608" s="218"/>
      <c r="X608" s="218"/>
      <c r="Y608" s="218"/>
      <c r="Z608" s="218"/>
      <c r="AA608" s="218">
        <v>1</v>
      </c>
      <c r="AB608" s="218">
        <v>1</v>
      </c>
      <c r="AC608" s="218"/>
      <c r="AD608" s="218"/>
      <c r="AE608" s="218"/>
      <c r="AF608" s="218"/>
      <c r="AG608" s="218"/>
      <c r="AH608" s="218"/>
      <c r="AI608" s="218"/>
      <c r="AJ608" s="218"/>
      <c r="AK608" s="218">
        <f>G643+AL608-G608</f>
        <v>0</v>
      </c>
      <c r="AL608" s="218"/>
      <c r="AM608" s="353"/>
      <c r="AN608" s="295"/>
      <c r="AO608" s="296"/>
      <c r="AP608" s="353"/>
      <c r="AQ608" s="290"/>
      <c r="AR608" s="290"/>
      <c r="AS608" s="290"/>
    </row>
    <row r="609" spans="1:45" ht="17.25" thickBot="1" x14ac:dyDescent="0.3">
      <c r="A609" s="467"/>
      <c r="B609" s="354"/>
      <c r="C609" s="285">
        <v>1146028</v>
      </c>
      <c r="D609" s="358" t="s">
        <v>400</v>
      </c>
      <c r="E609" s="360"/>
      <c r="F609" s="361">
        <f>G644-AK609+AL609</f>
        <v>3</v>
      </c>
      <c r="G609" s="364">
        <v>3</v>
      </c>
      <c r="H609" s="397">
        <v>2</v>
      </c>
      <c r="I609" s="364">
        <v>3</v>
      </c>
      <c r="J609" s="364"/>
      <c r="K609" s="364">
        <v>1</v>
      </c>
      <c r="L609" s="218"/>
      <c r="M609" s="218"/>
      <c r="N609" s="218"/>
      <c r="O609" s="218"/>
      <c r="P609" s="352"/>
      <c r="Q609" s="352"/>
      <c r="R609" s="352"/>
      <c r="S609" s="352"/>
      <c r="T609" s="352"/>
      <c r="U609" s="352"/>
      <c r="V609" s="218"/>
      <c r="W609" s="218"/>
      <c r="X609" s="218"/>
      <c r="Y609" s="218"/>
      <c r="Z609" s="218"/>
      <c r="AA609" s="218"/>
      <c r="AB609" s="218"/>
      <c r="AC609" s="218"/>
      <c r="AD609" s="218">
        <v>2</v>
      </c>
      <c r="AE609" s="218"/>
      <c r="AF609" s="218"/>
      <c r="AG609" s="218"/>
      <c r="AH609" s="218"/>
      <c r="AI609" s="218"/>
      <c r="AJ609" s="218"/>
      <c r="AK609" s="218">
        <f>G644+AL609-G609</f>
        <v>0</v>
      </c>
      <c r="AL609" s="218">
        <v>3</v>
      </c>
      <c r="AM609" s="353"/>
      <c r="AN609" s="295"/>
      <c r="AO609" s="296"/>
      <c r="AP609" s="353"/>
      <c r="AQ609" s="290"/>
      <c r="AR609" s="290"/>
      <c r="AS609" s="290"/>
    </row>
    <row r="610" spans="1:45" ht="17.25" thickBot="1" x14ac:dyDescent="0.3">
      <c r="A610" s="467"/>
      <c r="B610" s="355" t="s">
        <v>419</v>
      </c>
      <c r="C610" s="356"/>
      <c r="D610" s="356"/>
      <c r="E610" s="359"/>
      <c r="F610" s="359"/>
      <c r="G610" s="356"/>
      <c r="H610" s="396"/>
      <c r="I610" s="356"/>
      <c r="J610" s="356"/>
      <c r="K610" s="356"/>
      <c r="L610" s="356"/>
      <c r="M610" s="356"/>
      <c r="N610" s="356"/>
      <c r="O610" s="356"/>
      <c r="P610" s="356"/>
      <c r="Q610" s="356"/>
      <c r="R610" s="356"/>
      <c r="S610" s="356"/>
      <c r="T610" s="356"/>
      <c r="U610" s="356"/>
      <c r="V610" s="356"/>
      <c r="W610" s="356"/>
      <c r="X610" s="356"/>
      <c r="Y610" s="356"/>
      <c r="Z610" s="356"/>
      <c r="AA610" s="356"/>
      <c r="AB610" s="356"/>
      <c r="AC610" s="356"/>
      <c r="AD610" s="356"/>
      <c r="AE610" s="356"/>
      <c r="AF610" s="356"/>
      <c r="AG610" s="356"/>
      <c r="AH610" s="356"/>
      <c r="AI610" s="356"/>
      <c r="AJ610" s="356"/>
      <c r="AK610" s="356"/>
      <c r="AL610" s="356"/>
      <c r="AM610" s="356"/>
      <c r="AN610" s="356"/>
      <c r="AO610" s="356"/>
      <c r="AP610" s="356"/>
      <c r="AQ610" s="356"/>
      <c r="AR610" s="356"/>
      <c r="AS610" s="357"/>
    </row>
    <row r="611" spans="1:45" ht="17.25" thickBot="1" x14ac:dyDescent="0.3">
      <c r="A611" s="467"/>
      <c r="B611" s="372"/>
      <c r="C611" s="373">
        <v>1146031</v>
      </c>
      <c r="D611" s="374" t="s">
        <v>401</v>
      </c>
      <c r="E611" s="375"/>
      <c r="F611" s="376">
        <f>G646-AK611+AL611</f>
        <v>0</v>
      </c>
      <c r="G611" s="377">
        <v>0</v>
      </c>
      <c r="H611" s="397">
        <v>1</v>
      </c>
      <c r="I611" s="377">
        <v>1</v>
      </c>
      <c r="J611" s="377"/>
      <c r="K611" s="377">
        <v>2</v>
      </c>
      <c r="L611" s="377"/>
      <c r="M611" s="377"/>
      <c r="N611" s="377"/>
      <c r="O611" s="377"/>
      <c r="P611" s="377"/>
      <c r="Q611" s="377"/>
      <c r="R611" s="377"/>
      <c r="S611" s="377"/>
      <c r="T611" s="377"/>
      <c r="U611" s="377"/>
      <c r="V611" s="377"/>
      <c r="W611" s="377"/>
      <c r="X611" s="377"/>
      <c r="Y611" s="377"/>
      <c r="Z611" s="377"/>
      <c r="AA611" s="377"/>
      <c r="AB611" s="377"/>
      <c r="AC611" s="377"/>
      <c r="AD611" s="377"/>
      <c r="AE611" s="377"/>
      <c r="AF611" s="377"/>
      <c r="AG611" s="377"/>
      <c r="AH611" s="377"/>
      <c r="AI611" s="377"/>
      <c r="AJ611" s="377"/>
      <c r="AK611" s="377">
        <f>G646+AL611-G611</f>
        <v>0</v>
      </c>
      <c r="AL611" s="377"/>
      <c r="AM611" s="378"/>
      <c r="AN611" s="379"/>
      <c r="AO611" s="380"/>
      <c r="AP611" s="378"/>
      <c r="AQ611" s="381"/>
      <c r="AR611" s="381"/>
      <c r="AS611" s="381"/>
    </row>
    <row r="612" spans="1:45" ht="17.25" thickBot="1" x14ac:dyDescent="0.3">
      <c r="A612" s="467"/>
      <c r="B612" s="372"/>
      <c r="C612" s="373">
        <v>1146020</v>
      </c>
      <c r="D612" s="374" t="s">
        <v>402</v>
      </c>
      <c r="E612" s="375"/>
      <c r="F612" s="376">
        <f>G647-AK612+AL612</f>
        <v>0</v>
      </c>
      <c r="G612" s="377">
        <v>0</v>
      </c>
      <c r="H612" s="397">
        <v>1</v>
      </c>
      <c r="I612" s="377">
        <v>0</v>
      </c>
      <c r="J612" s="377"/>
      <c r="K612" s="377">
        <v>1</v>
      </c>
      <c r="L612" s="377"/>
      <c r="M612" s="377"/>
      <c r="N612" s="377"/>
      <c r="O612" s="377"/>
      <c r="P612" s="377"/>
      <c r="Q612" s="377"/>
      <c r="R612" s="377"/>
      <c r="S612" s="377"/>
      <c r="T612" s="377"/>
      <c r="U612" s="377"/>
      <c r="V612" s="377"/>
      <c r="W612" s="377"/>
      <c r="X612" s="377"/>
      <c r="Y612" s="377"/>
      <c r="Z612" s="377"/>
      <c r="AA612" s="377"/>
      <c r="AB612" s="377"/>
      <c r="AC612" s="377"/>
      <c r="AD612" s="377"/>
      <c r="AE612" s="377"/>
      <c r="AF612" s="377"/>
      <c r="AG612" s="377"/>
      <c r="AH612" s="377"/>
      <c r="AI612" s="377"/>
      <c r="AJ612" s="377"/>
      <c r="AK612" s="377">
        <f>G647+AL612-G612</f>
        <v>0</v>
      </c>
      <c r="AL612" s="377"/>
      <c r="AM612" s="378"/>
      <c r="AN612" s="379"/>
      <c r="AO612" s="380"/>
      <c r="AP612" s="378"/>
      <c r="AQ612" s="381"/>
      <c r="AR612" s="381"/>
      <c r="AS612" s="381"/>
    </row>
    <row r="613" spans="1:45" ht="17.25" thickBot="1" x14ac:dyDescent="0.3">
      <c r="A613" s="467"/>
      <c r="B613" s="372"/>
      <c r="C613" s="373">
        <v>1146016</v>
      </c>
      <c r="D613" s="374" t="s">
        <v>398</v>
      </c>
      <c r="E613" s="375"/>
      <c r="F613" s="376">
        <f>G648-AK613+AL613</f>
        <v>0</v>
      </c>
      <c r="G613" s="377">
        <v>0</v>
      </c>
      <c r="H613" s="397">
        <v>1</v>
      </c>
      <c r="I613" s="377">
        <v>0</v>
      </c>
      <c r="J613" s="377"/>
      <c r="K613" s="377">
        <v>0</v>
      </c>
      <c r="L613" s="377"/>
      <c r="M613" s="377"/>
      <c r="N613" s="377"/>
      <c r="O613" s="377"/>
      <c r="P613" s="377"/>
      <c r="Q613" s="377"/>
      <c r="R613" s="377"/>
      <c r="S613" s="377"/>
      <c r="T613" s="377"/>
      <c r="U613" s="377"/>
      <c r="V613" s="377"/>
      <c r="W613" s="377"/>
      <c r="X613" s="377"/>
      <c r="Y613" s="377"/>
      <c r="Z613" s="377"/>
      <c r="AA613" s="377"/>
      <c r="AB613" s="377"/>
      <c r="AC613" s="377"/>
      <c r="AD613" s="377"/>
      <c r="AE613" s="377"/>
      <c r="AF613" s="377"/>
      <c r="AG613" s="377"/>
      <c r="AH613" s="377"/>
      <c r="AI613" s="377"/>
      <c r="AJ613" s="377"/>
      <c r="AK613" s="377">
        <f>G648+AL613-G613</f>
        <v>0</v>
      </c>
      <c r="AL613" s="377"/>
      <c r="AM613" s="378"/>
      <c r="AN613" s="379"/>
      <c r="AO613" s="380"/>
      <c r="AP613" s="378"/>
      <c r="AQ613" s="381"/>
      <c r="AR613" s="381"/>
      <c r="AS613" s="381"/>
    </row>
    <row r="614" spans="1:45" ht="17.25" thickBot="1" x14ac:dyDescent="0.3">
      <c r="A614" s="467"/>
      <c r="B614" s="372"/>
      <c r="C614" s="373">
        <v>1146022</v>
      </c>
      <c r="D614" s="374" t="s">
        <v>403</v>
      </c>
      <c r="E614" s="375"/>
      <c r="F614" s="376">
        <f>G649-AK614+AL614</f>
        <v>0</v>
      </c>
      <c r="G614" s="377">
        <v>0</v>
      </c>
      <c r="H614" s="397">
        <v>2</v>
      </c>
      <c r="I614" s="377">
        <v>0</v>
      </c>
      <c r="J614" s="377"/>
      <c r="K614" s="377">
        <v>1</v>
      </c>
      <c r="L614" s="377"/>
      <c r="M614" s="377"/>
      <c r="N614" s="377"/>
      <c r="O614" s="377"/>
      <c r="P614" s="377"/>
      <c r="Q614" s="377"/>
      <c r="R614" s="377"/>
      <c r="S614" s="377"/>
      <c r="T614" s="377"/>
      <c r="U614" s="377"/>
      <c r="V614" s="377"/>
      <c r="W614" s="377"/>
      <c r="X614" s="377"/>
      <c r="Y614" s="377"/>
      <c r="Z614" s="377"/>
      <c r="AA614" s="377"/>
      <c r="AB614" s="377"/>
      <c r="AC614" s="377"/>
      <c r="AD614" s="377"/>
      <c r="AE614" s="377"/>
      <c r="AF614" s="377"/>
      <c r="AG614" s="377"/>
      <c r="AH614" s="377"/>
      <c r="AI614" s="377"/>
      <c r="AJ614" s="377"/>
      <c r="AK614" s="377">
        <f>G649+AL614-G614</f>
        <v>0</v>
      </c>
      <c r="AL614" s="377"/>
      <c r="AM614" s="378"/>
      <c r="AN614" s="379"/>
      <c r="AO614" s="380"/>
      <c r="AP614" s="378"/>
      <c r="AQ614" s="381"/>
      <c r="AR614" s="381"/>
      <c r="AS614" s="381"/>
    </row>
    <row r="615" spans="1:45" ht="17.25" thickBot="1" x14ac:dyDescent="0.3">
      <c r="A615" s="467"/>
      <c r="B615" s="372"/>
      <c r="C615" s="373">
        <v>1146027</v>
      </c>
      <c r="D615" s="374" t="s">
        <v>404</v>
      </c>
      <c r="E615" s="375"/>
      <c r="F615" s="376">
        <f>G650-AK615+AL615</f>
        <v>0</v>
      </c>
      <c r="G615" s="377">
        <v>0</v>
      </c>
      <c r="H615" s="397">
        <v>2</v>
      </c>
      <c r="I615" s="377">
        <v>1</v>
      </c>
      <c r="J615" s="377"/>
      <c r="K615" s="377">
        <v>1</v>
      </c>
      <c r="L615" s="377"/>
      <c r="M615" s="377"/>
      <c r="N615" s="377"/>
      <c r="O615" s="377"/>
      <c r="P615" s="377"/>
      <c r="Q615" s="377"/>
      <c r="R615" s="377"/>
      <c r="S615" s="377"/>
      <c r="T615" s="377"/>
      <c r="U615" s="377"/>
      <c r="V615" s="377"/>
      <c r="W615" s="377"/>
      <c r="X615" s="377"/>
      <c r="Y615" s="377"/>
      <c r="Z615" s="377"/>
      <c r="AA615" s="377"/>
      <c r="AB615" s="377"/>
      <c r="AC615" s="377"/>
      <c r="AD615" s="377"/>
      <c r="AE615" s="377"/>
      <c r="AF615" s="377"/>
      <c r="AG615" s="377"/>
      <c r="AH615" s="377"/>
      <c r="AI615" s="377"/>
      <c r="AJ615" s="377"/>
      <c r="AK615" s="377">
        <f>G650+AL615-G615</f>
        <v>0</v>
      </c>
      <c r="AL615" s="377"/>
      <c r="AM615" s="378"/>
      <c r="AN615" s="379"/>
      <c r="AO615" s="380"/>
      <c r="AP615" s="378"/>
      <c r="AQ615" s="381"/>
      <c r="AR615" s="381"/>
      <c r="AS615" s="381"/>
    </row>
    <row r="616" spans="1:45" ht="17.25" thickBot="1" x14ac:dyDescent="0.3">
      <c r="A616" s="467"/>
      <c r="B616" s="355" t="s">
        <v>418</v>
      </c>
      <c r="C616" s="356"/>
      <c r="D616" s="356"/>
      <c r="E616" s="359"/>
      <c r="F616" s="359"/>
      <c r="G616" s="356"/>
      <c r="H616" s="396"/>
      <c r="I616" s="356"/>
      <c r="J616" s="356"/>
      <c r="K616" s="356"/>
      <c r="L616" s="356"/>
      <c r="M616" s="356"/>
      <c r="N616" s="356"/>
      <c r="O616" s="356"/>
      <c r="P616" s="356"/>
      <c r="Q616" s="356"/>
      <c r="R616" s="356"/>
      <c r="S616" s="356"/>
      <c r="T616" s="356"/>
      <c r="U616" s="356"/>
      <c r="V616" s="356"/>
      <c r="W616" s="356"/>
      <c r="X616" s="356"/>
      <c r="Y616" s="356"/>
      <c r="Z616" s="356"/>
      <c r="AA616" s="356"/>
      <c r="AB616" s="356"/>
      <c r="AC616" s="356"/>
      <c r="AD616" s="356"/>
      <c r="AE616" s="356"/>
      <c r="AF616" s="356"/>
      <c r="AG616" s="356"/>
      <c r="AH616" s="356"/>
      <c r="AI616" s="356"/>
      <c r="AJ616" s="356"/>
      <c r="AK616" s="356"/>
      <c r="AL616" s="356"/>
      <c r="AM616" s="356"/>
      <c r="AN616" s="356"/>
      <c r="AO616" s="356"/>
      <c r="AP616" s="356"/>
      <c r="AQ616" s="356"/>
      <c r="AR616" s="356"/>
      <c r="AS616" s="357"/>
    </row>
    <row r="617" spans="1:45" ht="17.25" thickBot="1" x14ac:dyDescent="0.3">
      <c r="A617" s="467"/>
      <c r="B617" s="354"/>
      <c r="C617" s="285">
        <v>1151653</v>
      </c>
      <c r="D617" s="358" t="s">
        <v>405</v>
      </c>
      <c r="E617" s="360"/>
      <c r="F617" s="361">
        <f>G652-AK617+AL617</f>
        <v>0</v>
      </c>
      <c r="G617" s="364">
        <v>0</v>
      </c>
      <c r="H617" s="397">
        <v>1</v>
      </c>
      <c r="I617" s="364">
        <v>1</v>
      </c>
      <c r="J617" s="364"/>
      <c r="K617" s="364">
        <v>1</v>
      </c>
      <c r="L617" s="218"/>
      <c r="M617" s="218"/>
      <c r="N617" s="218"/>
      <c r="O617" s="218"/>
      <c r="P617" s="352"/>
      <c r="Q617" s="352"/>
      <c r="R617" s="352"/>
      <c r="S617" s="352"/>
      <c r="T617" s="352"/>
      <c r="U617" s="352"/>
      <c r="V617" s="218"/>
      <c r="W617" s="218"/>
      <c r="X617" s="218"/>
      <c r="Y617" s="218"/>
      <c r="Z617" s="218"/>
      <c r="AA617" s="218"/>
      <c r="AB617" s="218"/>
      <c r="AC617" s="218"/>
      <c r="AD617" s="218"/>
      <c r="AE617" s="218"/>
      <c r="AF617" s="218"/>
      <c r="AG617" s="218"/>
      <c r="AH617" s="218"/>
      <c r="AI617" s="218"/>
      <c r="AJ617" s="218"/>
      <c r="AK617" s="218">
        <f>G652+AL617-G617</f>
        <v>0</v>
      </c>
      <c r="AL617" s="218"/>
      <c r="AM617" s="353"/>
      <c r="AN617" s="295"/>
      <c r="AO617" s="296"/>
      <c r="AP617" s="353"/>
      <c r="AQ617" s="290"/>
      <c r="AR617" s="290"/>
      <c r="AS617" s="290"/>
    </row>
    <row r="618" spans="1:45" ht="17.25" thickBot="1" x14ac:dyDescent="0.3">
      <c r="A618" s="467"/>
      <c r="B618" s="354"/>
      <c r="C618" s="285">
        <v>1151650</v>
      </c>
      <c r="D618" s="358" t="s">
        <v>406</v>
      </c>
      <c r="E618" s="360"/>
      <c r="F618" s="361">
        <f>G653-AK618+AL618</f>
        <v>0</v>
      </c>
      <c r="G618" s="364">
        <v>0</v>
      </c>
      <c r="H618" s="397">
        <v>2</v>
      </c>
      <c r="I618" s="364">
        <v>0</v>
      </c>
      <c r="J618" s="364"/>
      <c r="K618" s="364">
        <v>5</v>
      </c>
      <c r="L618" s="218"/>
      <c r="M618" s="218"/>
      <c r="N618" s="218"/>
      <c r="O618" s="218"/>
      <c r="P618" s="352"/>
      <c r="Q618" s="352"/>
      <c r="R618" s="352"/>
      <c r="S618" s="352"/>
      <c r="T618" s="352"/>
      <c r="U618" s="352"/>
      <c r="V618" s="218"/>
      <c r="W618" s="218"/>
      <c r="X618" s="218"/>
      <c r="Y618" s="218"/>
      <c r="Z618" s="218"/>
      <c r="AA618" s="218"/>
      <c r="AB618" s="218"/>
      <c r="AC618" s="218"/>
      <c r="AD618" s="218"/>
      <c r="AE618" s="218"/>
      <c r="AF618" s="218"/>
      <c r="AG618" s="218"/>
      <c r="AH618" s="218"/>
      <c r="AI618" s="218"/>
      <c r="AJ618" s="218"/>
      <c r="AK618" s="218">
        <f>G653+AL618-G618</f>
        <v>0</v>
      </c>
      <c r="AL618" s="218"/>
      <c r="AM618" s="353"/>
      <c r="AN618" s="295"/>
      <c r="AO618" s="296"/>
      <c r="AP618" s="353"/>
      <c r="AQ618" s="290"/>
      <c r="AR618" s="290"/>
      <c r="AS618" s="290"/>
    </row>
    <row r="619" spans="1:45" ht="17.25" thickBot="1" x14ac:dyDescent="0.3">
      <c r="A619" s="467"/>
      <c r="B619" s="354"/>
      <c r="C619" s="285">
        <v>1151649</v>
      </c>
      <c r="D619" s="358" t="s">
        <v>407</v>
      </c>
      <c r="E619" s="360"/>
      <c r="F619" s="361">
        <f>G654-AK619+AL619</f>
        <v>2</v>
      </c>
      <c r="G619" s="369">
        <v>2</v>
      </c>
      <c r="H619" s="369">
        <v>4</v>
      </c>
      <c r="I619" s="369">
        <v>2</v>
      </c>
      <c r="J619" s="369"/>
      <c r="K619" s="369">
        <v>0</v>
      </c>
      <c r="L619" s="218"/>
      <c r="M619" s="218"/>
      <c r="N619" s="218"/>
      <c r="O619" s="218"/>
      <c r="P619" s="352"/>
      <c r="Q619" s="352"/>
      <c r="R619" s="352"/>
      <c r="S619" s="352"/>
      <c r="T619" s="352"/>
      <c r="U619" s="352"/>
      <c r="V619" s="218"/>
      <c r="W619" s="218"/>
      <c r="X619" s="218"/>
      <c r="Y619" s="218"/>
      <c r="Z619" s="218"/>
      <c r="AA619" s="218"/>
      <c r="AB619" s="218">
        <v>2</v>
      </c>
      <c r="AC619" s="218"/>
      <c r="AD619" s="218"/>
      <c r="AE619" s="218"/>
      <c r="AF619" s="218"/>
      <c r="AG619" s="218"/>
      <c r="AH619" s="218"/>
      <c r="AI619" s="218"/>
      <c r="AJ619" s="218"/>
      <c r="AK619" s="218">
        <f>G654+AL619-G619</f>
        <v>0</v>
      </c>
      <c r="AL619" s="218">
        <v>2</v>
      </c>
      <c r="AM619" s="353"/>
      <c r="AN619" s="295"/>
      <c r="AO619" s="296"/>
      <c r="AP619" s="353"/>
      <c r="AQ619" s="290"/>
      <c r="AR619" s="290"/>
      <c r="AS619" s="290"/>
    </row>
    <row r="620" spans="1:45" ht="17.25" thickBot="1" x14ac:dyDescent="0.3">
      <c r="A620" s="467"/>
      <c r="B620" s="354"/>
      <c r="C620" s="285">
        <v>1151651</v>
      </c>
      <c r="D620" s="358" t="s">
        <v>408</v>
      </c>
      <c r="E620" s="360"/>
      <c r="F620" s="361">
        <f>G655-AK620+AL620</f>
        <v>2</v>
      </c>
      <c r="G620" s="369">
        <v>2</v>
      </c>
      <c r="H620" s="369">
        <v>1</v>
      </c>
      <c r="I620" s="369">
        <v>2</v>
      </c>
      <c r="J620" s="369"/>
      <c r="K620" s="369">
        <v>1</v>
      </c>
      <c r="L620" s="218"/>
      <c r="M620" s="218"/>
      <c r="N620" s="218"/>
      <c r="O620" s="218"/>
      <c r="P620" s="352"/>
      <c r="Q620" s="352"/>
      <c r="R620" s="352"/>
      <c r="S620" s="352"/>
      <c r="T620" s="352"/>
      <c r="U620" s="352"/>
      <c r="V620" s="218"/>
      <c r="W620" s="218"/>
      <c r="X620" s="218"/>
      <c r="Y620" s="218"/>
      <c r="Z620" s="218">
        <v>2</v>
      </c>
      <c r="AA620" s="218"/>
      <c r="AB620" s="218">
        <v>2</v>
      </c>
      <c r="AC620" s="218"/>
      <c r="AD620" s="218">
        <v>1</v>
      </c>
      <c r="AE620" s="218"/>
      <c r="AF620" s="218"/>
      <c r="AG620" s="218"/>
      <c r="AH620" s="218"/>
      <c r="AI620" s="218"/>
      <c r="AJ620" s="218"/>
      <c r="AK620" s="218">
        <f>G655+AL620-G620</f>
        <v>1</v>
      </c>
      <c r="AL620" s="218">
        <v>2</v>
      </c>
      <c r="AM620" s="353"/>
      <c r="AN620" s="295"/>
      <c r="AO620" s="296"/>
      <c r="AP620" s="353"/>
      <c r="AQ620" s="290"/>
      <c r="AR620" s="290"/>
      <c r="AS620" s="290"/>
    </row>
    <row r="621" spans="1:45" ht="17.25" thickBot="1" x14ac:dyDescent="0.3">
      <c r="A621" s="467"/>
      <c r="B621" s="354"/>
      <c r="C621" s="285">
        <v>1146029</v>
      </c>
      <c r="D621" s="358" t="s">
        <v>409</v>
      </c>
      <c r="E621" s="360"/>
      <c r="F621" s="361">
        <f>G656-AK621+AL621</f>
        <v>2</v>
      </c>
      <c r="G621" s="369">
        <v>2</v>
      </c>
      <c r="H621" s="369">
        <v>2</v>
      </c>
      <c r="I621" s="369">
        <v>2</v>
      </c>
      <c r="J621" s="369"/>
      <c r="K621" s="369">
        <v>2</v>
      </c>
      <c r="L621" s="218"/>
      <c r="M621" s="218"/>
      <c r="N621" s="218"/>
      <c r="O621" s="218"/>
      <c r="P621" s="352"/>
      <c r="Q621" s="352"/>
      <c r="R621" s="352"/>
      <c r="S621" s="352"/>
      <c r="T621" s="352"/>
      <c r="U621" s="352"/>
      <c r="V621" s="218"/>
      <c r="W621" s="218"/>
      <c r="X621" s="218"/>
      <c r="Y621" s="218"/>
      <c r="Z621" s="218"/>
      <c r="AA621" s="218"/>
      <c r="AB621" s="218"/>
      <c r="AC621" s="218">
        <v>2</v>
      </c>
      <c r="AD621" s="218"/>
      <c r="AE621" s="218"/>
      <c r="AF621" s="218"/>
      <c r="AG621" s="218"/>
      <c r="AH621" s="218"/>
      <c r="AI621" s="218"/>
      <c r="AJ621" s="218"/>
      <c r="AK621" s="218">
        <f>G656+AL621-G621</f>
        <v>0</v>
      </c>
      <c r="AL621" s="218">
        <v>2</v>
      </c>
      <c r="AM621" s="353"/>
      <c r="AN621" s="295"/>
      <c r="AO621" s="296"/>
      <c r="AP621" s="353"/>
      <c r="AQ621" s="290"/>
      <c r="AR621" s="290"/>
      <c r="AS621" s="290"/>
    </row>
    <row r="622" spans="1:45" ht="17.25" thickBot="1" x14ac:dyDescent="0.3">
      <c r="A622" s="467"/>
      <c r="B622" s="355" t="s">
        <v>410</v>
      </c>
      <c r="C622" s="356"/>
      <c r="D622" s="356"/>
      <c r="E622" s="359"/>
      <c r="F622" s="359"/>
      <c r="G622" s="356"/>
      <c r="H622" s="396"/>
      <c r="I622" s="356"/>
      <c r="J622" s="356"/>
      <c r="K622" s="356"/>
      <c r="L622" s="356"/>
      <c r="M622" s="356"/>
      <c r="N622" s="356"/>
      <c r="O622" s="356"/>
      <c r="P622" s="356"/>
      <c r="Q622" s="356"/>
      <c r="R622" s="356"/>
      <c r="S622" s="356"/>
      <c r="T622" s="356"/>
      <c r="U622" s="356"/>
      <c r="V622" s="356"/>
      <c r="W622" s="356"/>
      <c r="X622" s="356"/>
      <c r="Y622" s="356"/>
      <c r="Z622" s="356"/>
      <c r="AA622" s="356"/>
      <c r="AB622" s="356"/>
      <c r="AC622" s="356"/>
      <c r="AD622" s="356"/>
      <c r="AE622" s="356"/>
      <c r="AF622" s="356"/>
      <c r="AG622" s="356"/>
      <c r="AH622" s="356"/>
      <c r="AI622" s="356"/>
      <c r="AJ622" s="356"/>
      <c r="AK622" s="356"/>
      <c r="AL622" s="356"/>
      <c r="AM622" s="356"/>
      <c r="AN622" s="356"/>
      <c r="AO622" s="356"/>
      <c r="AP622" s="356"/>
      <c r="AQ622" s="356"/>
      <c r="AR622" s="356"/>
      <c r="AS622" s="357"/>
    </row>
    <row r="623" spans="1:45" ht="17.25" thickBot="1" x14ac:dyDescent="0.3">
      <c r="A623" s="467"/>
      <c r="B623" s="354"/>
      <c r="C623" s="285">
        <v>1699118</v>
      </c>
      <c r="D623" s="358" t="s">
        <v>411</v>
      </c>
      <c r="E623" s="360"/>
      <c r="F623" s="361">
        <f>G658-AK623+AL623</f>
        <v>0</v>
      </c>
      <c r="G623" s="369">
        <v>0</v>
      </c>
      <c r="H623" s="369">
        <v>1</v>
      </c>
      <c r="I623" s="369">
        <v>0</v>
      </c>
      <c r="J623" s="369"/>
      <c r="K623" s="369">
        <v>1</v>
      </c>
      <c r="L623" s="218"/>
      <c r="M623" s="218"/>
      <c r="N623" s="218"/>
      <c r="O623" s="218"/>
      <c r="P623" s="352"/>
      <c r="Q623" s="352"/>
      <c r="R623" s="352"/>
      <c r="S623" s="352"/>
      <c r="T623" s="352"/>
      <c r="U623" s="352"/>
      <c r="V623" s="218"/>
      <c r="W623" s="218"/>
      <c r="X623" s="218"/>
      <c r="Y623" s="218"/>
      <c r="Z623" s="218"/>
      <c r="AA623" s="218"/>
      <c r="AB623" s="218">
        <v>1</v>
      </c>
      <c r="AC623" s="218"/>
      <c r="AD623" s="218"/>
      <c r="AE623" s="218"/>
      <c r="AF623" s="218"/>
      <c r="AG623" s="218"/>
      <c r="AH623" s="218"/>
      <c r="AI623" s="218"/>
      <c r="AJ623" s="218"/>
      <c r="AK623" s="218">
        <f>G658+AL623-G623</f>
        <v>0</v>
      </c>
      <c r="AL623" s="218"/>
      <c r="AM623" s="353"/>
      <c r="AN623" s="295"/>
      <c r="AO623" s="296"/>
      <c r="AP623" s="353"/>
      <c r="AQ623" s="290"/>
      <c r="AR623" s="290"/>
      <c r="AS623" s="290"/>
    </row>
    <row r="624" spans="1:45" ht="17.25" thickBot="1" x14ac:dyDescent="0.3">
      <c r="A624" s="467"/>
      <c r="B624" s="354"/>
      <c r="C624" s="285">
        <v>1699119</v>
      </c>
      <c r="D624" s="358" t="s">
        <v>412</v>
      </c>
      <c r="E624" s="360"/>
      <c r="F624" s="361">
        <f>G659-AK624+AL624</f>
        <v>1</v>
      </c>
      <c r="G624" s="369">
        <v>1</v>
      </c>
      <c r="H624" s="369">
        <v>1</v>
      </c>
      <c r="I624" s="369">
        <v>1</v>
      </c>
      <c r="J624" s="369"/>
      <c r="K624" s="369">
        <v>2</v>
      </c>
      <c r="L624" s="218"/>
      <c r="M624" s="218"/>
      <c r="N624" s="218"/>
      <c r="O624" s="218"/>
      <c r="P624" s="352"/>
      <c r="Q624" s="352"/>
      <c r="R624" s="352"/>
      <c r="S624" s="352"/>
      <c r="T624" s="352"/>
      <c r="U624" s="352"/>
      <c r="V624" s="218"/>
      <c r="W624" s="218"/>
      <c r="X624" s="218"/>
      <c r="Y624" s="218"/>
      <c r="Z624" s="218"/>
      <c r="AA624" s="218"/>
      <c r="AB624" s="218">
        <v>2</v>
      </c>
      <c r="AC624" s="218"/>
      <c r="AD624" s="218"/>
      <c r="AE624" s="218"/>
      <c r="AF624" s="218"/>
      <c r="AG624" s="218"/>
      <c r="AH624" s="218"/>
      <c r="AI624" s="218"/>
      <c r="AJ624" s="218"/>
      <c r="AK624" s="218">
        <f>G659+AL624-G624</f>
        <v>0</v>
      </c>
      <c r="AL624" s="218">
        <v>1</v>
      </c>
      <c r="AM624" s="353"/>
      <c r="AN624" s="295"/>
      <c r="AO624" s="296"/>
      <c r="AP624" s="353"/>
      <c r="AQ624" s="290"/>
      <c r="AR624" s="290"/>
      <c r="AS624" s="290"/>
    </row>
    <row r="625" spans="1:45" ht="17.25" thickBot="1" x14ac:dyDescent="0.3">
      <c r="A625" s="467"/>
      <c r="B625" s="354"/>
      <c r="C625" s="285">
        <v>1699130</v>
      </c>
      <c r="D625" s="358" t="s">
        <v>413</v>
      </c>
      <c r="E625" s="360"/>
      <c r="F625" s="361">
        <f>G660-AK625+AL625</f>
        <v>0</v>
      </c>
      <c r="G625" s="369">
        <v>0</v>
      </c>
      <c r="H625" s="369">
        <v>4</v>
      </c>
      <c r="I625" s="369">
        <v>0</v>
      </c>
      <c r="J625" s="369"/>
      <c r="K625" s="369">
        <v>4</v>
      </c>
      <c r="L625" s="218"/>
      <c r="M625" s="218"/>
      <c r="N625" s="218"/>
      <c r="O625" s="218"/>
      <c r="P625" s="352"/>
      <c r="Q625" s="352"/>
      <c r="R625" s="352"/>
      <c r="S625" s="352"/>
      <c r="T625" s="352"/>
      <c r="U625" s="352"/>
      <c r="V625" s="218"/>
      <c r="W625" s="218"/>
      <c r="X625" s="218"/>
      <c r="Y625" s="218"/>
      <c r="Z625" s="218"/>
      <c r="AA625" s="218">
        <v>2</v>
      </c>
      <c r="AB625" s="218"/>
      <c r="AC625" s="218"/>
      <c r="AD625" s="218">
        <v>4</v>
      </c>
      <c r="AE625" s="218"/>
      <c r="AF625" s="218"/>
      <c r="AG625" s="218"/>
      <c r="AH625" s="218"/>
      <c r="AI625" s="218"/>
      <c r="AJ625" s="218"/>
      <c r="AK625" s="218">
        <f>G660+AL625-G625</f>
        <v>4</v>
      </c>
      <c r="AL625" s="218"/>
      <c r="AM625" s="353"/>
      <c r="AN625" s="295"/>
      <c r="AO625" s="296"/>
      <c r="AP625" s="353"/>
      <c r="AQ625" s="290"/>
      <c r="AR625" s="290"/>
      <c r="AS625" s="290"/>
    </row>
    <row r="626" spans="1:45" ht="17.25" thickBot="1" x14ac:dyDescent="0.3">
      <c r="A626" s="467"/>
      <c r="B626" s="354"/>
      <c r="C626" s="285">
        <v>1699131</v>
      </c>
      <c r="D626" s="358" t="s">
        <v>414</v>
      </c>
      <c r="E626" s="360"/>
      <c r="F626" s="361">
        <f>G661-AK626+AL626</f>
        <v>3</v>
      </c>
      <c r="G626" s="369">
        <v>3</v>
      </c>
      <c r="H626" s="397">
        <v>3</v>
      </c>
      <c r="I626" s="369">
        <v>3</v>
      </c>
      <c r="J626" s="369"/>
      <c r="K626" s="364">
        <v>2</v>
      </c>
      <c r="L626" s="218"/>
      <c r="M626" s="218"/>
      <c r="N626" s="218"/>
      <c r="O626" s="218"/>
      <c r="P626" s="352"/>
      <c r="Q626" s="352"/>
      <c r="R626" s="352"/>
      <c r="S626" s="352"/>
      <c r="T626" s="352"/>
      <c r="U626" s="352"/>
      <c r="V626" s="218"/>
      <c r="W626" s="218"/>
      <c r="X626" s="218"/>
      <c r="Y626" s="218"/>
      <c r="Z626" s="218"/>
      <c r="AA626" s="218"/>
      <c r="AB626" s="218">
        <v>1</v>
      </c>
      <c r="AC626" s="218"/>
      <c r="AD626" s="218"/>
      <c r="AE626" s="218"/>
      <c r="AF626" s="218"/>
      <c r="AG626" s="218"/>
      <c r="AH626" s="218"/>
      <c r="AI626" s="218"/>
      <c r="AJ626" s="218"/>
      <c r="AK626" s="218">
        <f>G661+AL626-G626</f>
        <v>0</v>
      </c>
      <c r="AL626" s="218">
        <v>2</v>
      </c>
      <c r="AM626" s="353"/>
      <c r="AN626" s="295"/>
      <c r="AO626" s="296"/>
      <c r="AP626" s="353"/>
      <c r="AQ626" s="290"/>
      <c r="AR626" s="290"/>
      <c r="AS626" s="290"/>
    </row>
    <row r="627" spans="1:45" ht="17.25" thickBot="1" x14ac:dyDescent="0.3">
      <c r="A627" s="468"/>
      <c r="B627" s="354"/>
      <c r="C627" s="285">
        <v>1699132</v>
      </c>
      <c r="D627" s="358" t="s">
        <v>415</v>
      </c>
      <c r="E627" s="285"/>
      <c r="F627" s="362">
        <f>G662-AK627+AL627</f>
        <v>0</v>
      </c>
      <c r="G627" s="364">
        <v>0</v>
      </c>
      <c r="H627" s="397">
        <v>3</v>
      </c>
      <c r="I627" s="364">
        <v>0</v>
      </c>
      <c r="J627" s="364"/>
      <c r="K627" s="364">
        <v>2</v>
      </c>
      <c r="L627" s="218"/>
      <c r="M627" s="218"/>
      <c r="N627" s="218"/>
      <c r="O627" s="218"/>
      <c r="P627" s="352"/>
      <c r="Q627" s="352"/>
      <c r="R627" s="352"/>
      <c r="S627" s="352"/>
      <c r="T627" s="352"/>
      <c r="U627" s="352"/>
      <c r="V627" s="218"/>
      <c r="W627" s="218"/>
      <c r="X627" s="218"/>
      <c r="Y627" s="218"/>
      <c r="Z627" s="218"/>
      <c r="AA627" s="218"/>
      <c r="AB627" s="218"/>
      <c r="AC627" s="218"/>
      <c r="AD627" s="218"/>
      <c r="AE627" s="218"/>
      <c r="AF627" s="218"/>
      <c r="AG627" s="218"/>
      <c r="AH627" s="218"/>
      <c r="AI627" s="218"/>
      <c r="AJ627" s="218"/>
      <c r="AK627" s="218">
        <f>G662+AL627-G627</f>
        <v>0</v>
      </c>
      <c r="AL627" s="218"/>
      <c r="AM627" s="353"/>
      <c r="AN627" s="295"/>
      <c r="AO627" s="296"/>
      <c r="AP627" s="353"/>
      <c r="AQ627" s="290"/>
      <c r="AR627" s="290"/>
      <c r="AS627" s="290"/>
    </row>
    <row r="628" spans="1:45" x14ac:dyDescent="0.25">
      <c r="AL628" s="290"/>
      <c r="AM628" s="290"/>
      <c r="AN628" s="290"/>
      <c r="AO628" s="290"/>
    </row>
    <row r="629" spans="1:45" ht="14.25" thickBot="1" x14ac:dyDescent="0.3">
      <c r="B629" s="338" t="s">
        <v>18</v>
      </c>
      <c r="C629" s="339">
        <v>45726</v>
      </c>
      <c r="AA629" s="290">
        <v>0</v>
      </c>
      <c r="AL629" s="290"/>
      <c r="AM629" s="290"/>
      <c r="AN629" s="290"/>
      <c r="AO629" s="290"/>
      <c r="AP629" s="290"/>
    </row>
    <row r="630" spans="1:45" ht="41.25" thickBot="1" x14ac:dyDescent="0.3">
      <c r="B630" s="283" t="s">
        <v>0</v>
      </c>
      <c r="C630" s="284" t="s">
        <v>1</v>
      </c>
      <c r="D630" s="284" t="s">
        <v>2</v>
      </c>
      <c r="E630" s="284" t="s">
        <v>3</v>
      </c>
      <c r="F630" s="4" t="s">
        <v>318</v>
      </c>
      <c r="G630" s="351" t="s">
        <v>540</v>
      </c>
      <c r="H630" s="382" t="s">
        <v>460</v>
      </c>
      <c r="I630" s="234" t="s">
        <v>529</v>
      </c>
      <c r="J630" s="234"/>
      <c r="K630" s="258" t="s">
        <v>530</v>
      </c>
      <c r="L630" s="258" t="s">
        <v>328</v>
      </c>
      <c r="M630" s="258" t="s">
        <v>327</v>
      </c>
      <c r="N630" s="234" t="s">
        <v>389</v>
      </c>
      <c r="O630" s="240" t="s">
        <v>130</v>
      </c>
      <c r="P630" s="243" t="s">
        <v>303</v>
      </c>
      <c r="Q630" s="244" t="s">
        <v>304</v>
      </c>
      <c r="R630" s="244" t="s">
        <v>314</v>
      </c>
      <c r="S630" s="245" t="s">
        <v>338</v>
      </c>
      <c r="T630" s="245" t="s">
        <v>345</v>
      </c>
      <c r="U630" s="245" t="s">
        <v>361</v>
      </c>
      <c r="V630" s="245" t="s">
        <v>387</v>
      </c>
      <c r="W630" s="245" t="s">
        <v>421</v>
      </c>
      <c r="X630" s="245" t="s">
        <v>452</v>
      </c>
      <c r="Y630" s="245" t="s">
        <v>463</v>
      </c>
      <c r="Z630" s="245" t="s">
        <v>481</v>
      </c>
      <c r="AA630" s="245" t="s">
        <v>498</v>
      </c>
      <c r="AB630" s="245" t="s">
        <v>303</v>
      </c>
      <c r="AC630" s="245" t="s">
        <v>304</v>
      </c>
      <c r="AD630" s="245" t="s">
        <v>314</v>
      </c>
      <c r="AE630" s="245"/>
      <c r="AF630" s="245"/>
      <c r="AG630" s="245"/>
      <c r="AH630" s="245"/>
      <c r="AI630" s="245"/>
      <c r="AJ630" s="245" t="s">
        <v>360</v>
      </c>
      <c r="AK630" s="246" t="s">
        <v>268</v>
      </c>
      <c r="AL630" s="247" t="s">
        <v>269</v>
      </c>
      <c r="AM630" s="291" t="s">
        <v>288</v>
      </c>
      <c r="AN630" s="292" t="s">
        <v>289</v>
      </c>
      <c r="AO630" s="292" t="s">
        <v>287</v>
      </c>
      <c r="AP630" s="293" t="s">
        <v>290</v>
      </c>
      <c r="AQ630" s="290" t="s">
        <v>306</v>
      </c>
      <c r="AR630" s="290" t="s">
        <v>310</v>
      </c>
      <c r="AS630" s="290" t="s">
        <v>311</v>
      </c>
    </row>
    <row r="631" spans="1:45" ht="17.25" thickBot="1" x14ac:dyDescent="0.3">
      <c r="A631" s="463" t="s">
        <v>416</v>
      </c>
      <c r="B631" s="285">
        <v>273664</v>
      </c>
      <c r="C631" s="286">
        <v>1135749</v>
      </c>
      <c r="D631" s="286" t="s">
        <v>7</v>
      </c>
      <c r="E631" s="286">
        <v>6060050026</v>
      </c>
      <c r="F631" s="253">
        <f>G666-AK631+AL631</f>
        <v>6</v>
      </c>
      <c r="G631" s="235">
        <v>6</v>
      </c>
      <c r="H631" s="394">
        <v>5</v>
      </c>
      <c r="I631" s="232">
        <v>6</v>
      </c>
      <c r="J631" s="232"/>
      <c r="K631" s="232">
        <v>0</v>
      </c>
      <c r="L631" s="232">
        <f>IF(K665=K630,L666+AK631,K631)</f>
        <v>0</v>
      </c>
      <c r="M631" s="232">
        <f>IF(K665=K630,0,L666+AK631-K631)</f>
        <v>0</v>
      </c>
      <c r="N631" s="267">
        <v>5</v>
      </c>
      <c r="O631" s="241">
        <f>N631-G631</f>
        <v>-1</v>
      </c>
      <c r="P631" s="277">
        <v>4</v>
      </c>
      <c r="Q631" s="278">
        <v>4</v>
      </c>
      <c r="R631" s="279"/>
      <c r="S631" s="279">
        <v>3</v>
      </c>
      <c r="T631" s="279">
        <v>4</v>
      </c>
      <c r="U631" s="279">
        <v>2</v>
      </c>
      <c r="V631" s="279"/>
      <c r="W631" s="279">
        <f>2+3</f>
        <v>5</v>
      </c>
      <c r="X631" s="241"/>
      <c r="Y631" s="241"/>
      <c r="Z631" s="241"/>
      <c r="AA631" s="241">
        <v>4</v>
      </c>
      <c r="AB631" s="241">
        <v>5</v>
      </c>
      <c r="AC631" s="241"/>
      <c r="AD631" s="241"/>
      <c r="AE631" s="241"/>
      <c r="AF631" s="241"/>
      <c r="AG631" s="241"/>
      <c r="AH631" s="241"/>
      <c r="AI631" s="241"/>
      <c r="AJ631" s="241">
        <f>N631-V631</f>
        <v>5</v>
      </c>
      <c r="AK631" s="235">
        <f>G666+AL631-G631</f>
        <v>0</v>
      </c>
      <c r="AL631" s="350"/>
      <c r="AM631" s="294">
        <v>1.5</v>
      </c>
      <c r="AN631" s="295">
        <v>4</v>
      </c>
      <c r="AO631" s="296">
        <f>G631/(AN631)</f>
        <v>1.5</v>
      </c>
      <c r="AP631" s="297">
        <f>AN631*6</f>
        <v>24</v>
      </c>
      <c r="AQ631" s="290">
        <f>G631+K631</f>
        <v>6</v>
      </c>
      <c r="AR631" s="290">
        <f>IF(G631&lt;G666,(G666-G631+K666-K631),K666-K631)</f>
        <v>0</v>
      </c>
      <c r="AS631" s="290">
        <f>21-8</f>
        <v>13</v>
      </c>
    </row>
    <row r="632" spans="1:45" ht="17.25" thickBot="1" x14ac:dyDescent="0.3">
      <c r="A632" s="464"/>
      <c r="B632" s="285">
        <v>273672</v>
      </c>
      <c r="C632" s="286">
        <v>1135750</v>
      </c>
      <c r="D632" s="286" t="s">
        <v>9</v>
      </c>
      <c r="E632" s="287">
        <v>204000000000</v>
      </c>
      <c r="F632" s="253">
        <f>G667-AK632+AL632</f>
        <v>15</v>
      </c>
      <c r="G632" s="235">
        <v>15</v>
      </c>
      <c r="H632" s="394">
        <v>16</v>
      </c>
      <c r="I632" s="232">
        <v>15</v>
      </c>
      <c r="J632" s="232"/>
      <c r="K632" s="232">
        <v>6</v>
      </c>
      <c r="L632" s="232">
        <f>IF(K665=K630,L667+AK632,K632)</f>
        <v>6</v>
      </c>
      <c r="M632" s="232">
        <f>IF(K665=K630,0,L667+AK632-K632)</f>
        <v>2</v>
      </c>
      <c r="N632" s="267">
        <v>10</v>
      </c>
      <c r="O632" s="241">
        <f>N632-G632</f>
        <v>-5</v>
      </c>
      <c r="P632" s="277">
        <v>13</v>
      </c>
      <c r="Q632" s="278">
        <v>2</v>
      </c>
      <c r="R632" s="279">
        <v>6</v>
      </c>
      <c r="S632" s="279">
        <v>6</v>
      </c>
      <c r="T632" s="279">
        <v>10</v>
      </c>
      <c r="U632" s="279">
        <v>4</v>
      </c>
      <c r="V632" s="279">
        <v>6</v>
      </c>
      <c r="W632" s="279">
        <v>16</v>
      </c>
      <c r="X632" s="241"/>
      <c r="Y632" s="241">
        <v>6</v>
      </c>
      <c r="Z632" s="241">
        <v>4</v>
      </c>
      <c r="AA632" s="241">
        <v>6</v>
      </c>
      <c r="AB632" s="241">
        <v>14</v>
      </c>
      <c r="AC632" s="241"/>
      <c r="AD632" s="241">
        <v>6</v>
      </c>
      <c r="AE632" s="241"/>
      <c r="AF632" s="241"/>
      <c r="AG632" s="241"/>
      <c r="AH632" s="241"/>
      <c r="AI632" s="241"/>
      <c r="AJ632" s="241">
        <f>N632-V632</f>
        <v>4</v>
      </c>
      <c r="AK632" s="235">
        <f>G667+AL632-G632</f>
        <v>0</v>
      </c>
      <c r="AL632" s="236"/>
      <c r="AM632" s="298">
        <v>4.2</v>
      </c>
      <c r="AN632" s="295">
        <v>9</v>
      </c>
      <c r="AO632" s="296">
        <f>G632/(AN632)</f>
        <v>1.6666666666666667</v>
      </c>
      <c r="AP632" s="297">
        <f>AN632*6</f>
        <v>54</v>
      </c>
      <c r="AQ632" s="290">
        <f>G632+K632</f>
        <v>21</v>
      </c>
      <c r="AR632" s="290">
        <f>IF(G632&lt;G667,(G667-G632+K667-K632),K667-K632)</f>
        <v>2</v>
      </c>
      <c r="AS632" s="290">
        <f>21-8</f>
        <v>13</v>
      </c>
    </row>
    <row r="633" spans="1:45" ht="17.25" thickBot="1" x14ac:dyDescent="0.3">
      <c r="A633" s="464"/>
      <c r="B633" s="285">
        <v>273702</v>
      </c>
      <c r="C633" s="286">
        <v>1135753</v>
      </c>
      <c r="D633" s="286" t="s">
        <v>10</v>
      </c>
      <c r="E633" s="287">
        <v>301000000000</v>
      </c>
      <c r="F633" s="253">
        <f>G668-AK633+AL633</f>
        <v>1</v>
      </c>
      <c r="G633" s="235">
        <v>1</v>
      </c>
      <c r="H633" s="394">
        <v>1</v>
      </c>
      <c r="I633" s="232">
        <v>1</v>
      </c>
      <c r="J633" s="232"/>
      <c r="K633" s="232">
        <v>2</v>
      </c>
      <c r="L633" s="232">
        <f>IF(K665=K630,L668+AK633,K633)</f>
        <v>2</v>
      </c>
      <c r="M633" s="232">
        <f>IF(K665=K630,0,L668+AK633-K633)</f>
        <v>0</v>
      </c>
      <c r="N633" s="232">
        <v>2</v>
      </c>
      <c r="O633" s="241">
        <f>N633-G633</f>
        <v>1</v>
      </c>
      <c r="P633" s="277"/>
      <c r="Q633" s="278"/>
      <c r="R633" s="279"/>
      <c r="S633" s="279"/>
      <c r="T633" s="279"/>
      <c r="U633" s="279"/>
      <c r="V633" s="279"/>
      <c r="W633" s="279"/>
      <c r="X633" s="241"/>
      <c r="Y633" s="241"/>
      <c r="Z633" s="241"/>
      <c r="AA633" s="241"/>
      <c r="AB633" s="241">
        <v>2</v>
      </c>
      <c r="AC633" s="241"/>
      <c r="AD633" s="241"/>
      <c r="AE633" s="241"/>
      <c r="AF633" s="241"/>
      <c r="AG633" s="241"/>
      <c r="AH633" s="241"/>
      <c r="AI633" s="241"/>
      <c r="AJ633" s="241">
        <f>N633-V633</f>
        <v>2</v>
      </c>
      <c r="AK633" s="235">
        <f>G668+AL633-G633</f>
        <v>0</v>
      </c>
      <c r="AL633" s="236"/>
      <c r="AM633" s="294">
        <f>4/12</f>
        <v>0.33333333333333331</v>
      </c>
      <c r="AN633" s="295">
        <v>2</v>
      </c>
      <c r="AO633" s="296">
        <f>G633/(AN633)</f>
        <v>0.5</v>
      </c>
      <c r="AP633" s="297">
        <f>AN633*6</f>
        <v>12</v>
      </c>
      <c r="AQ633" s="290">
        <f>G633+K633</f>
        <v>3</v>
      </c>
      <c r="AR633" s="290">
        <f>IF(G633&lt;G668,(G668-G633+K668-K633),K668-K633)</f>
        <v>0</v>
      </c>
      <c r="AS633" s="290">
        <f>21-8</f>
        <v>13</v>
      </c>
    </row>
    <row r="634" spans="1:45" ht="17.25" thickBot="1" x14ac:dyDescent="0.3">
      <c r="A634" s="464"/>
      <c r="B634" s="285">
        <v>273698</v>
      </c>
      <c r="C634" s="286">
        <v>1135752</v>
      </c>
      <c r="D634" s="286" t="s">
        <v>11</v>
      </c>
      <c r="E634" s="287">
        <v>701000000000</v>
      </c>
      <c r="F634" s="253">
        <f>G669-AK634+AL634</f>
        <v>3</v>
      </c>
      <c r="G634" s="235">
        <v>3</v>
      </c>
      <c r="H634" s="394">
        <v>2</v>
      </c>
      <c r="I634" s="232">
        <v>3</v>
      </c>
      <c r="J634" s="232"/>
      <c r="K634" s="232">
        <v>0</v>
      </c>
      <c r="L634" s="232">
        <f>IF(K665=K630,L669+AK634,K634)</f>
        <v>0</v>
      </c>
      <c r="M634" s="232">
        <f>IF(K665=K630,0,L669+AK634-K634)</f>
        <v>0</v>
      </c>
      <c r="N634" s="232">
        <v>3</v>
      </c>
      <c r="O634" s="241">
        <f>N634-G634</f>
        <v>0</v>
      </c>
      <c r="P634" s="277">
        <v>2</v>
      </c>
      <c r="Q634" s="278"/>
      <c r="R634" s="279"/>
      <c r="S634" s="279"/>
      <c r="T634" s="279"/>
      <c r="U634" s="279"/>
      <c r="V634" s="279"/>
      <c r="W634" s="279">
        <v>1</v>
      </c>
      <c r="X634" s="241"/>
      <c r="Y634" s="241"/>
      <c r="Z634" s="241"/>
      <c r="AA634" s="241"/>
      <c r="AB634" s="241">
        <v>2</v>
      </c>
      <c r="AC634" s="241"/>
      <c r="AD634" s="241"/>
      <c r="AE634" s="241"/>
      <c r="AF634" s="241"/>
      <c r="AG634" s="241"/>
      <c r="AH634" s="241"/>
      <c r="AI634" s="241"/>
      <c r="AJ634" s="241">
        <f>N634-V634</f>
        <v>3</v>
      </c>
      <c r="AK634" s="235">
        <f>G669+AL634-G634</f>
        <v>0</v>
      </c>
      <c r="AL634" s="236"/>
      <c r="AM634" s="294">
        <f>4/12</f>
        <v>0.33333333333333331</v>
      </c>
      <c r="AN634" s="295">
        <v>2</v>
      </c>
      <c r="AO634" s="296">
        <f>G634/(AN634)</f>
        <v>1.5</v>
      </c>
      <c r="AP634" s="297">
        <f>AN634*6</f>
        <v>12</v>
      </c>
      <c r="AQ634" s="290">
        <f>G634+K634</f>
        <v>3</v>
      </c>
      <c r="AR634" s="290">
        <f>IF(G634&lt;G669,(G669-G634+K669-K634),K669-K634)</f>
        <v>0</v>
      </c>
      <c r="AS634" s="290">
        <f>21-8</f>
        <v>13</v>
      </c>
    </row>
    <row r="635" spans="1:45" ht="17.25" thickBot="1" x14ac:dyDescent="0.3">
      <c r="A635" s="465"/>
      <c r="B635" s="285">
        <v>273680</v>
      </c>
      <c r="C635" s="286">
        <v>1135751</v>
      </c>
      <c r="D635" s="286" t="s">
        <v>12</v>
      </c>
      <c r="E635" s="286" t="s">
        <v>13</v>
      </c>
      <c r="F635" s="254">
        <f>G670-AK635+AL635</f>
        <v>15</v>
      </c>
      <c r="G635" s="237">
        <v>15</v>
      </c>
      <c r="H635" s="395">
        <v>8</v>
      </c>
      <c r="I635" s="238">
        <v>15</v>
      </c>
      <c r="J635" s="238"/>
      <c r="K635" s="238">
        <v>3</v>
      </c>
      <c r="L635" s="238">
        <f>IF(K665=K630,L670+AK635,K635)</f>
        <v>3</v>
      </c>
      <c r="M635" s="238">
        <f>IF(K665=K630,0,L670+AK635-K635)</f>
        <v>0</v>
      </c>
      <c r="N635" s="238">
        <v>9</v>
      </c>
      <c r="O635" s="242">
        <f>N635-G635</f>
        <v>-6</v>
      </c>
      <c r="P635" s="280"/>
      <c r="Q635" s="281"/>
      <c r="R635" s="282"/>
      <c r="S635" s="282"/>
      <c r="T635" s="282">
        <v>11</v>
      </c>
      <c r="U635" s="282"/>
      <c r="V635" s="282"/>
      <c r="W635" s="282">
        <v>9</v>
      </c>
      <c r="X635" s="242"/>
      <c r="Y635" s="242">
        <v>9</v>
      </c>
      <c r="Z635" s="242"/>
      <c r="AA635" s="242"/>
      <c r="AB635" s="242">
        <v>5</v>
      </c>
      <c r="AC635" s="242"/>
      <c r="AD635" s="242"/>
      <c r="AE635" s="242"/>
      <c r="AF635" s="242"/>
      <c r="AG635" s="242"/>
      <c r="AH635" s="242"/>
      <c r="AI635" s="242"/>
      <c r="AJ635" s="242">
        <f>N635-V635</f>
        <v>9</v>
      </c>
      <c r="AK635" s="235">
        <f>G670+AL635-G635</f>
        <v>0</v>
      </c>
      <c r="AL635" s="239"/>
      <c r="AM635" s="299">
        <f>30/12</f>
        <v>2.5</v>
      </c>
      <c r="AN635" s="300">
        <f>AM635*2</f>
        <v>5</v>
      </c>
      <c r="AO635" s="301">
        <f>G635/(AN635)</f>
        <v>3</v>
      </c>
      <c r="AP635" s="302">
        <f>AN635*6</f>
        <v>30</v>
      </c>
      <c r="AQ635" s="290">
        <f>G635+K635</f>
        <v>18</v>
      </c>
      <c r="AR635" s="290">
        <f>IF(G635&lt;G670,(G670-G635+K670-K635),K670-K635)</f>
        <v>0</v>
      </c>
      <c r="AS635" s="290">
        <f>21-8</f>
        <v>13</v>
      </c>
    </row>
    <row r="636" spans="1:45" ht="17.25" thickBot="1" x14ac:dyDescent="0.3">
      <c r="A636" s="466" t="s">
        <v>417</v>
      </c>
      <c r="B636" s="355" t="s">
        <v>129</v>
      </c>
      <c r="C636" s="356"/>
      <c r="D636" s="356"/>
      <c r="E636" s="359"/>
      <c r="F636" s="359"/>
      <c r="G636" s="356"/>
      <c r="H636" s="396"/>
      <c r="I636" s="356"/>
      <c r="J636" s="356"/>
      <c r="K636" s="356"/>
      <c r="L636" s="356"/>
      <c r="M636" s="356"/>
      <c r="N636" s="356"/>
      <c r="O636" s="356"/>
      <c r="P636" s="356"/>
      <c r="Q636" s="356"/>
      <c r="R636" s="356"/>
      <c r="S636" s="356"/>
      <c r="T636" s="356"/>
      <c r="U636" s="356"/>
      <c r="V636" s="356"/>
      <c r="W636" s="356"/>
      <c r="X636" s="356"/>
      <c r="Y636" s="356"/>
      <c r="Z636" s="356"/>
      <c r="AA636" s="356"/>
      <c r="AB636" s="356"/>
      <c r="AC636" s="356"/>
      <c r="AD636" s="356"/>
      <c r="AE636" s="356"/>
      <c r="AF636" s="356"/>
      <c r="AG636" s="356"/>
      <c r="AH636" s="356"/>
      <c r="AI636" s="356"/>
      <c r="AJ636" s="356"/>
      <c r="AK636" s="356"/>
      <c r="AL636" s="367"/>
      <c r="AM636" s="356"/>
      <c r="AN636" s="356"/>
      <c r="AO636" s="356"/>
      <c r="AP636" s="356"/>
      <c r="AQ636" s="356"/>
      <c r="AR636" s="356"/>
      <c r="AS636" s="357"/>
    </row>
    <row r="637" spans="1:45" ht="17.25" thickBot="1" x14ac:dyDescent="0.3">
      <c r="A637" s="467"/>
      <c r="B637" s="354"/>
      <c r="C637" s="354">
        <v>1140327</v>
      </c>
      <c r="D637" s="358" t="s">
        <v>394</v>
      </c>
      <c r="E637" s="360"/>
      <c r="F637" s="361">
        <f>G672-AK637+AL637</f>
        <v>11</v>
      </c>
      <c r="G637" s="218">
        <v>11</v>
      </c>
      <c r="H637" s="397">
        <v>23</v>
      </c>
      <c r="I637" s="218">
        <v>11</v>
      </c>
      <c r="J637" s="218"/>
      <c r="K637" s="218">
        <v>7</v>
      </c>
      <c r="L637" s="218">
        <f>IF(K665=K630,L672+AK637,K637)</f>
        <v>7</v>
      </c>
      <c r="M637" s="218">
        <f>IF(K665=K630,0,L672+AK637-K637)</f>
        <v>2</v>
      </c>
      <c r="N637" s="218"/>
      <c r="O637" s="218"/>
      <c r="P637" s="352"/>
      <c r="Q637" s="352"/>
      <c r="R637" s="352"/>
      <c r="S637" s="352"/>
      <c r="T637" s="352"/>
      <c r="U637" s="352"/>
      <c r="V637" s="218"/>
      <c r="W637" s="218"/>
      <c r="X637" s="218">
        <v>4</v>
      </c>
      <c r="Y637" s="218">
        <v>9</v>
      </c>
      <c r="Z637" s="218">
        <v>14</v>
      </c>
      <c r="AA637" s="218">
        <v>8</v>
      </c>
      <c r="AB637" s="218">
        <f>14+6</f>
        <v>20</v>
      </c>
      <c r="AC637" s="218">
        <v>10</v>
      </c>
      <c r="AD637" s="218">
        <v>6</v>
      </c>
      <c r="AE637" s="218"/>
      <c r="AF637" s="218"/>
      <c r="AG637" s="218"/>
      <c r="AH637" s="218"/>
      <c r="AI637" s="218"/>
      <c r="AJ637" s="242">
        <f>N637-V637</f>
        <v>0</v>
      </c>
      <c r="AK637" s="274">
        <f>G672+AL637-G637</f>
        <v>0</v>
      </c>
      <c r="AL637" s="232"/>
      <c r="AM637" s="353"/>
      <c r="AN637" s="295"/>
      <c r="AO637" s="296"/>
      <c r="AP637" s="353"/>
      <c r="AQ637" s="290"/>
      <c r="AR637" s="290"/>
      <c r="AS637" s="290"/>
    </row>
    <row r="638" spans="1:45" ht="17.25" thickBot="1" x14ac:dyDescent="0.3">
      <c r="A638" s="467"/>
      <c r="B638" s="354"/>
      <c r="C638" s="285">
        <v>1151231</v>
      </c>
      <c r="D638" s="358" t="s">
        <v>395</v>
      </c>
      <c r="E638" s="360"/>
      <c r="F638" s="361">
        <f>G673-AK638+AL638</f>
        <v>10</v>
      </c>
      <c r="G638" s="369">
        <v>10</v>
      </c>
      <c r="H638" s="397">
        <v>13</v>
      </c>
      <c r="I638" s="218">
        <v>10</v>
      </c>
      <c r="J638" s="218"/>
      <c r="K638" s="218">
        <v>7</v>
      </c>
      <c r="L638" s="218">
        <f>IF(K665=K630,L673+AK638,K638)</f>
        <v>7</v>
      </c>
      <c r="M638" s="218">
        <f>IF(K665=K630,0,L673+AK638-K638)</f>
        <v>1</v>
      </c>
      <c r="N638" s="218"/>
      <c r="O638" s="218"/>
      <c r="P638" s="352"/>
      <c r="Q638" s="352"/>
      <c r="R638" s="352"/>
      <c r="S638" s="352"/>
      <c r="T638" s="352"/>
      <c r="U638" s="352"/>
      <c r="V638" s="218"/>
      <c r="W638" s="218"/>
      <c r="X638" s="218">
        <v>3</v>
      </c>
      <c r="Y638" s="218">
        <v>8</v>
      </c>
      <c r="Z638" s="218">
        <v>6</v>
      </c>
      <c r="AA638" s="218"/>
      <c r="AB638" s="218">
        <v>4</v>
      </c>
      <c r="AC638" s="218">
        <v>4</v>
      </c>
      <c r="AD638" s="218"/>
      <c r="AE638" s="218"/>
      <c r="AF638" s="218"/>
      <c r="AG638" s="218"/>
      <c r="AH638" s="218"/>
      <c r="AI638" s="218"/>
      <c r="AJ638" s="242">
        <f>N638-V638</f>
        <v>0</v>
      </c>
      <c r="AK638" s="274">
        <f>G673+AL638-G638</f>
        <v>0</v>
      </c>
      <c r="AL638" s="232"/>
      <c r="AM638" s="353"/>
      <c r="AN638" s="295"/>
      <c r="AO638" s="296"/>
      <c r="AP638" s="353"/>
      <c r="AQ638" s="290"/>
      <c r="AR638" s="290"/>
      <c r="AS638" s="290"/>
    </row>
    <row r="639" spans="1:45" ht="17.25" thickBot="1" x14ac:dyDescent="0.3">
      <c r="A639" s="467"/>
      <c r="B639" s="355" t="s">
        <v>420</v>
      </c>
      <c r="C639" s="356"/>
      <c r="D639" s="356" t="s">
        <v>523</v>
      </c>
      <c r="E639" s="359"/>
      <c r="F639" s="359"/>
      <c r="G639" s="356"/>
      <c r="H639" s="396"/>
      <c r="I639" s="356"/>
      <c r="J639" s="356"/>
      <c r="K639" s="356"/>
      <c r="L639" s="356"/>
      <c r="M639" s="356"/>
      <c r="N639" s="356"/>
      <c r="O639" s="356"/>
      <c r="P639" s="356"/>
      <c r="Q639" s="356"/>
      <c r="R639" s="356"/>
      <c r="S639" s="356"/>
      <c r="T639" s="356"/>
      <c r="U639" s="356"/>
      <c r="V639" s="356"/>
      <c r="W639" s="356"/>
      <c r="X639" s="356"/>
      <c r="Y639" s="356"/>
      <c r="Z639" s="356"/>
      <c r="AA639" s="356"/>
      <c r="AB639" s="356"/>
      <c r="AC639" s="356"/>
      <c r="AD639" s="356"/>
      <c r="AE639" s="356"/>
      <c r="AF639" s="356"/>
      <c r="AG639" s="356"/>
      <c r="AH639" s="356"/>
      <c r="AI639" s="356"/>
      <c r="AJ639" s="356"/>
      <c r="AK639" s="356"/>
      <c r="AL639" s="368"/>
      <c r="AM639" s="356"/>
      <c r="AN639" s="356"/>
      <c r="AO639" s="356"/>
      <c r="AP639" s="356"/>
      <c r="AQ639" s="356"/>
      <c r="AR639" s="356"/>
      <c r="AS639" s="357"/>
    </row>
    <row r="640" spans="1:45" ht="17.25" thickBot="1" x14ac:dyDescent="0.3">
      <c r="A640" s="467"/>
      <c r="B640" s="354"/>
      <c r="C640" s="285">
        <v>1146032</v>
      </c>
      <c r="D640" s="358" t="s">
        <v>396</v>
      </c>
      <c r="E640" s="360"/>
      <c r="F640" s="361">
        <f>G675-AK640+AL640</f>
        <v>0</v>
      </c>
      <c r="G640" s="364">
        <v>0</v>
      </c>
      <c r="H640" s="397">
        <v>1</v>
      </c>
      <c r="I640" s="364">
        <v>0</v>
      </c>
      <c r="J640" s="364"/>
      <c r="K640" s="364">
        <v>2</v>
      </c>
      <c r="L640" s="218"/>
      <c r="M640" s="218"/>
      <c r="N640" s="218"/>
      <c r="O640" s="218"/>
      <c r="P640" s="352"/>
      <c r="Q640" s="352"/>
      <c r="R640" s="352"/>
      <c r="S640" s="352"/>
      <c r="T640" s="352"/>
      <c r="U640" s="352"/>
      <c r="V640" s="218"/>
      <c r="W640" s="218"/>
      <c r="X640" s="218"/>
      <c r="Y640" s="218"/>
      <c r="Z640" s="218"/>
      <c r="AA640" s="218"/>
      <c r="AB640" s="218"/>
      <c r="AC640" s="218"/>
      <c r="AD640" s="218"/>
      <c r="AE640" s="218"/>
      <c r="AF640" s="218"/>
      <c r="AG640" s="218"/>
      <c r="AH640" s="218"/>
      <c r="AI640" s="218"/>
      <c r="AJ640" s="218"/>
      <c r="AK640" s="218">
        <f>G675+AL640-G640</f>
        <v>0</v>
      </c>
      <c r="AL640" s="218"/>
      <c r="AM640" s="353"/>
      <c r="AN640" s="295"/>
      <c r="AO640" s="296"/>
      <c r="AP640" s="353"/>
      <c r="AQ640" s="290"/>
      <c r="AR640" s="290"/>
      <c r="AS640" s="290"/>
    </row>
    <row r="641" spans="1:45" ht="17.25" thickBot="1" x14ac:dyDescent="0.3">
      <c r="A641" s="467"/>
      <c r="B641" s="354"/>
      <c r="C641" s="285">
        <v>1146021</v>
      </c>
      <c r="D641" s="358" t="s">
        <v>397</v>
      </c>
      <c r="E641" s="360"/>
      <c r="F641" s="361">
        <f>G676-AK641+AL641</f>
        <v>0</v>
      </c>
      <c r="G641" s="364">
        <v>0</v>
      </c>
      <c r="H641" s="397">
        <v>2</v>
      </c>
      <c r="I641" s="364">
        <v>0</v>
      </c>
      <c r="J641" s="364"/>
      <c r="K641" s="364">
        <v>0</v>
      </c>
      <c r="L641" s="218"/>
      <c r="M641" s="218"/>
      <c r="N641" s="218"/>
      <c r="O641" s="218"/>
      <c r="P641" s="352"/>
      <c r="Q641" s="352"/>
      <c r="R641" s="352"/>
      <c r="S641" s="352"/>
      <c r="T641" s="352"/>
      <c r="U641" s="352"/>
      <c r="V641" s="218"/>
      <c r="W641" s="218"/>
      <c r="X641" s="218"/>
      <c r="Y641" s="218"/>
      <c r="Z641" s="218"/>
      <c r="AA641" s="218"/>
      <c r="AB641" s="218"/>
      <c r="AC641" s="218"/>
      <c r="AD641" s="218"/>
      <c r="AE641" s="218"/>
      <c r="AF641" s="218"/>
      <c r="AG641" s="218"/>
      <c r="AH641" s="218"/>
      <c r="AI641" s="218"/>
      <c r="AJ641" s="218"/>
      <c r="AK641" s="218">
        <f>G676+AL641-G641</f>
        <v>0</v>
      </c>
      <c r="AL641" s="218"/>
      <c r="AM641" s="353"/>
      <c r="AN641" s="295"/>
      <c r="AO641" s="296"/>
      <c r="AP641" s="353"/>
      <c r="AQ641" s="290"/>
      <c r="AR641" s="290"/>
      <c r="AS641" s="290"/>
    </row>
    <row r="642" spans="1:45" ht="17.25" thickBot="1" x14ac:dyDescent="0.3">
      <c r="A642" s="467"/>
      <c r="B642" s="354"/>
      <c r="C642" s="285">
        <v>1146018</v>
      </c>
      <c r="D642" s="358" t="s">
        <v>398</v>
      </c>
      <c r="E642" s="360"/>
      <c r="F642" s="361">
        <f>G677-AK642+AL642</f>
        <v>0</v>
      </c>
      <c r="G642" s="369">
        <v>0</v>
      </c>
      <c r="H642" s="397">
        <v>1</v>
      </c>
      <c r="I642" s="364">
        <v>0</v>
      </c>
      <c r="J642" s="364"/>
      <c r="K642" s="364">
        <v>2</v>
      </c>
      <c r="L642" s="218"/>
      <c r="M642" s="218"/>
      <c r="N642" s="218"/>
      <c r="O642" s="218"/>
      <c r="P642" s="352"/>
      <c r="Q642" s="352"/>
      <c r="R642" s="352"/>
      <c r="S642" s="352"/>
      <c r="T642" s="352"/>
      <c r="U642" s="352"/>
      <c r="V642" s="218"/>
      <c r="W642" s="218"/>
      <c r="X642" s="218"/>
      <c r="Y642" s="218"/>
      <c r="Z642" s="218"/>
      <c r="AA642" s="218"/>
      <c r="AB642" s="218">
        <v>2</v>
      </c>
      <c r="AC642" s="218"/>
      <c r="AD642" s="218"/>
      <c r="AE642" s="218"/>
      <c r="AF642" s="218"/>
      <c r="AG642" s="218"/>
      <c r="AH642" s="218"/>
      <c r="AI642" s="218"/>
      <c r="AJ642" s="218"/>
      <c r="AK642" s="218">
        <f>G677+AL642-G642</f>
        <v>0</v>
      </c>
      <c r="AL642" s="218"/>
      <c r="AM642" s="353"/>
      <c r="AN642" s="295"/>
      <c r="AO642" s="296"/>
      <c r="AP642" s="353"/>
      <c r="AQ642" s="290"/>
      <c r="AR642" s="290"/>
      <c r="AS642" s="290"/>
    </row>
    <row r="643" spans="1:45" ht="17.25" thickBot="1" x14ac:dyDescent="0.3">
      <c r="A643" s="467"/>
      <c r="B643" s="354"/>
      <c r="C643" s="285">
        <v>1146024</v>
      </c>
      <c r="D643" s="358" t="s">
        <v>399</v>
      </c>
      <c r="E643" s="360"/>
      <c r="F643" s="361">
        <v>1</v>
      </c>
      <c r="G643" s="369">
        <v>1</v>
      </c>
      <c r="H643" s="369">
        <v>2</v>
      </c>
      <c r="I643" s="369">
        <v>1</v>
      </c>
      <c r="J643" s="369"/>
      <c r="K643" s="369">
        <v>0</v>
      </c>
      <c r="L643" s="218"/>
      <c r="M643" s="218"/>
      <c r="N643" s="218"/>
      <c r="O643" s="218"/>
      <c r="P643" s="352"/>
      <c r="Q643" s="352"/>
      <c r="R643" s="352"/>
      <c r="S643" s="352"/>
      <c r="T643" s="352"/>
      <c r="U643" s="352"/>
      <c r="V643" s="218"/>
      <c r="W643" s="218"/>
      <c r="X643" s="218"/>
      <c r="Y643" s="218"/>
      <c r="Z643" s="218"/>
      <c r="AA643" s="218">
        <v>1</v>
      </c>
      <c r="AB643" s="218">
        <v>1</v>
      </c>
      <c r="AC643" s="218"/>
      <c r="AD643" s="218"/>
      <c r="AE643" s="218"/>
      <c r="AF643" s="218"/>
      <c r="AG643" s="218"/>
      <c r="AH643" s="218"/>
      <c r="AI643" s="218"/>
      <c r="AJ643" s="218"/>
      <c r="AK643" s="218">
        <f>G678+AL643-G643</f>
        <v>0</v>
      </c>
      <c r="AL643" s="218"/>
      <c r="AM643" s="353"/>
      <c r="AN643" s="295"/>
      <c r="AO643" s="296"/>
      <c r="AP643" s="353"/>
      <c r="AQ643" s="290"/>
      <c r="AR643" s="290"/>
      <c r="AS643" s="290"/>
    </row>
    <row r="644" spans="1:45" ht="17.25" thickBot="1" x14ac:dyDescent="0.3">
      <c r="A644" s="467"/>
      <c r="B644" s="354"/>
      <c r="C644" s="285">
        <v>1146028</v>
      </c>
      <c r="D644" s="358" t="s">
        <v>400</v>
      </c>
      <c r="E644" s="360"/>
      <c r="F644" s="361">
        <f>G679-AK644+AL644</f>
        <v>0</v>
      </c>
      <c r="G644" s="364">
        <v>0</v>
      </c>
      <c r="H644" s="397">
        <v>2</v>
      </c>
      <c r="I644" s="364">
        <v>0</v>
      </c>
      <c r="J644" s="364"/>
      <c r="K644" s="364">
        <v>1</v>
      </c>
      <c r="L644" s="218"/>
      <c r="M644" s="218"/>
      <c r="N644" s="218"/>
      <c r="O644" s="218"/>
      <c r="P644" s="352"/>
      <c r="Q644" s="352"/>
      <c r="R644" s="352"/>
      <c r="S644" s="352"/>
      <c r="T644" s="352"/>
      <c r="U644" s="352"/>
      <c r="V644" s="218"/>
      <c r="W644" s="218"/>
      <c r="X644" s="218"/>
      <c r="Y644" s="218"/>
      <c r="Z644" s="218"/>
      <c r="AA644" s="218"/>
      <c r="AB644" s="218"/>
      <c r="AC644" s="218"/>
      <c r="AD644" s="218">
        <v>2</v>
      </c>
      <c r="AE644" s="218"/>
      <c r="AF644" s="218"/>
      <c r="AG644" s="218"/>
      <c r="AH644" s="218"/>
      <c r="AI644" s="218"/>
      <c r="AJ644" s="218"/>
      <c r="AK644" s="218">
        <f>G679+AL644-G644</f>
        <v>0</v>
      </c>
      <c r="AL644" s="218"/>
      <c r="AM644" s="353"/>
      <c r="AN644" s="295"/>
      <c r="AO644" s="296"/>
      <c r="AP644" s="353"/>
      <c r="AQ644" s="290"/>
      <c r="AR644" s="290"/>
      <c r="AS644" s="290"/>
    </row>
    <row r="645" spans="1:45" ht="17.25" thickBot="1" x14ac:dyDescent="0.3">
      <c r="A645" s="467"/>
      <c r="B645" s="355" t="s">
        <v>419</v>
      </c>
      <c r="C645" s="356"/>
      <c r="D645" s="356"/>
      <c r="E645" s="359"/>
      <c r="F645" s="359"/>
      <c r="G645" s="356"/>
      <c r="H645" s="396"/>
      <c r="I645" s="356"/>
      <c r="J645" s="356"/>
      <c r="K645" s="356"/>
      <c r="L645" s="356"/>
      <c r="M645" s="356"/>
      <c r="N645" s="356"/>
      <c r="O645" s="356"/>
      <c r="P645" s="356"/>
      <c r="Q645" s="356"/>
      <c r="R645" s="356"/>
      <c r="S645" s="356"/>
      <c r="T645" s="356"/>
      <c r="U645" s="356"/>
      <c r="V645" s="356"/>
      <c r="W645" s="356"/>
      <c r="X645" s="356"/>
      <c r="Y645" s="356"/>
      <c r="Z645" s="356"/>
      <c r="AA645" s="356"/>
      <c r="AB645" s="356"/>
      <c r="AC645" s="356"/>
      <c r="AD645" s="356"/>
      <c r="AE645" s="356"/>
      <c r="AF645" s="356"/>
      <c r="AG645" s="356"/>
      <c r="AH645" s="356"/>
      <c r="AI645" s="356"/>
      <c r="AJ645" s="356"/>
      <c r="AK645" s="356"/>
      <c r="AL645" s="356"/>
      <c r="AM645" s="356"/>
      <c r="AN645" s="356"/>
      <c r="AO645" s="356"/>
      <c r="AP645" s="356"/>
      <c r="AQ645" s="356"/>
      <c r="AR645" s="356"/>
      <c r="AS645" s="357"/>
    </row>
    <row r="646" spans="1:45" ht="17.25" thickBot="1" x14ac:dyDescent="0.3">
      <c r="A646" s="467"/>
      <c r="B646" s="372"/>
      <c r="C646" s="373">
        <v>1146031</v>
      </c>
      <c r="D646" s="374" t="s">
        <v>401</v>
      </c>
      <c r="E646" s="375"/>
      <c r="F646" s="376">
        <f>G681-AK646+AL646</f>
        <v>0</v>
      </c>
      <c r="G646" s="377">
        <v>0</v>
      </c>
      <c r="H646" s="397">
        <v>1</v>
      </c>
      <c r="I646" s="377">
        <v>1</v>
      </c>
      <c r="J646" s="377"/>
      <c r="K646" s="377">
        <v>2</v>
      </c>
      <c r="L646" s="377"/>
      <c r="M646" s="377"/>
      <c r="N646" s="377"/>
      <c r="O646" s="377"/>
      <c r="P646" s="377"/>
      <c r="Q646" s="377"/>
      <c r="R646" s="377"/>
      <c r="S646" s="377"/>
      <c r="T646" s="377"/>
      <c r="U646" s="377"/>
      <c r="V646" s="377"/>
      <c r="W646" s="377"/>
      <c r="X646" s="377"/>
      <c r="Y646" s="377"/>
      <c r="Z646" s="377"/>
      <c r="AA646" s="377"/>
      <c r="AB646" s="377"/>
      <c r="AC646" s="377"/>
      <c r="AD646" s="377"/>
      <c r="AE646" s="377"/>
      <c r="AF646" s="377"/>
      <c r="AG646" s="377"/>
      <c r="AH646" s="377"/>
      <c r="AI646" s="377"/>
      <c r="AJ646" s="377"/>
      <c r="AK646" s="377">
        <f>G681+AL646-G646</f>
        <v>0</v>
      </c>
      <c r="AL646" s="377"/>
      <c r="AM646" s="378"/>
      <c r="AN646" s="379"/>
      <c r="AO646" s="380"/>
      <c r="AP646" s="378"/>
      <c r="AQ646" s="381"/>
      <c r="AR646" s="381"/>
      <c r="AS646" s="381"/>
    </row>
    <row r="647" spans="1:45" ht="17.25" thickBot="1" x14ac:dyDescent="0.3">
      <c r="A647" s="467"/>
      <c r="B647" s="372"/>
      <c r="C647" s="373">
        <v>1146020</v>
      </c>
      <c r="D647" s="374" t="s">
        <v>402</v>
      </c>
      <c r="E647" s="375"/>
      <c r="F647" s="376">
        <f>G682-AK647+AL647</f>
        <v>0</v>
      </c>
      <c r="G647" s="377">
        <v>0</v>
      </c>
      <c r="H647" s="397">
        <v>1</v>
      </c>
      <c r="I647" s="377">
        <v>0</v>
      </c>
      <c r="J647" s="377"/>
      <c r="K647" s="377">
        <v>1</v>
      </c>
      <c r="L647" s="377"/>
      <c r="M647" s="377"/>
      <c r="N647" s="377"/>
      <c r="O647" s="377"/>
      <c r="P647" s="377"/>
      <c r="Q647" s="377"/>
      <c r="R647" s="377"/>
      <c r="S647" s="377"/>
      <c r="T647" s="377"/>
      <c r="U647" s="377"/>
      <c r="V647" s="377"/>
      <c r="W647" s="377"/>
      <c r="X647" s="377"/>
      <c r="Y647" s="377"/>
      <c r="Z647" s="377"/>
      <c r="AA647" s="377"/>
      <c r="AB647" s="377"/>
      <c r="AC647" s="377"/>
      <c r="AD647" s="377"/>
      <c r="AE647" s="377"/>
      <c r="AF647" s="377"/>
      <c r="AG647" s="377"/>
      <c r="AH647" s="377"/>
      <c r="AI647" s="377"/>
      <c r="AJ647" s="377"/>
      <c r="AK647" s="377">
        <f>G682+AL647-G647</f>
        <v>0</v>
      </c>
      <c r="AL647" s="377"/>
      <c r="AM647" s="378"/>
      <c r="AN647" s="379"/>
      <c r="AO647" s="380"/>
      <c r="AP647" s="378"/>
      <c r="AQ647" s="381"/>
      <c r="AR647" s="381"/>
      <c r="AS647" s="381"/>
    </row>
    <row r="648" spans="1:45" ht="17.25" thickBot="1" x14ac:dyDescent="0.3">
      <c r="A648" s="467"/>
      <c r="B648" s="372"/>
      <c r="C648" s="373">
        <v>1146016</v>
      </c>
      <c r="D648" s="374" t="s">
        <v>398</v>
      </c>
      <c r="E648" s="375"/>
      <c r="F648" s="376">
        <f>G683-AK648+AL648</f>
        <v>0</v>
      </c>
      <c r="G648" s="377">
        <v>0</v>
      </c>
      <c r="H648" s="397">
        <v>1</v>
      </c>
      <c r="I648" s="377">
        <v>0</v>
      </c>
      <c r="J648" s="377"/>
      <c r="K648" s="377">
        <v>0</v>
      </c>
      <c r="L648" s="377"/>
      <c r="M648" s="377"/>
      <c r="N648" s="377"/>
      <c r="O648" s="377"/>
      <c r="P648" s="377"/>
      <c r="Q648" s="377"/>
      <c r="R648" s="377"/>
      <c r="S648" s="377"/>
      <c r="T648" s="377"/>
      <c r="U648" s="377"/>
      <c r="V648" s="377"/>
      <c r="W648" s="377"/>
      <c r="X648" s="377"/>
      <c r="Y648" s="377"/>
      <c r="Z648" s="377"/>
      <c r="AA648" s="377"/>
      <c r="AB648" s="377"/>
      <c r="AC648" s="377"/>
      <c r="AD648" s="377"/>
      <c r="AE648" s="377"/>
      <c r="AF648" s="377"/>
      <c r="AG648" s="377"/>
      <c r="AH648" s="377"/>
      <c r="AI648" s="377"/>
      <c r="AJ648" s="377"/>
      <c r="AK648" s="377">
        <f>G683+AL648-G648</f>
        <v>0</v>
      </c>
      <c r="AL648" s="377"/>
      <c r="AM648" s="378"/>
      <c r="AN648" s="379"/>
      <c r="AO648" s="380"/>
      <c r="AP648" s="378"/>
      <c r="AQ648" s="381"/>
      <c r="AR648" s="381"/>
      <c r="AS648" s="381"/>
    </row>
    <row r="649" spans="1:45" ht="17.25" thickBot="1" x14ac:dyDescent="0.3">
      <c r="A649" s="467"/>
      <c r="B649" s="372"/>
      <c r="C649" s="373">
        <v>1146022</v>
      </c>
      <c r="D649" s="374" t="s">
        <v>403</v>
      </c>
      <c r="E649" s="375"/>
      <c r="F649" s="376">
        <f>G684-AK649+AL649</f>
        <v>0</v>
      </c>
      <c r="G649" s="377">
        <v>0</v>
      </c>
      <c r="H649" s="397">
        <v>2</v>
      </c>
      <c r="I649" s="377">
        <v>0</v>
      </c>
      <c r="J649" s="377"/>
      <c r="K649" s="377">
        <v>1</v>
      </c>
      <c r="L649" s="377"/>
      <c r="M649" s="377"/>
      <c r="N649" s="377"/>
      <c r="O649" s="377"/>
      <c r="P649" s="377"/>
      <c r="Q649" s="377"/>
      <c r="R649" s="377"/>
      <c r="S649" s="377"/>
      <c r="T649" s="377"/>
      <c r="U649" s="377"/>
      <c r="V649" s="377"/>
      <c r="W649" s="377"/>
      <c r="X649" s="377"/>
      <c r="Y649" s="377"/>
      <c r="Z649" s="377"/>
      <c r="AA649" s="377"/>
      <c r="AB649" s="377"/>
      <c r="AC649" s="377"/>
      <c r="AD649" s="377"/>
      <c r="AE649" s="377"/>
      <c r="AF649" s="377"/>
      <c r="AG649" s="377"/>
      <c r="AH649" s="377"/>
      <c r="AI649" s="377"/>
      <c r="AJ649" s="377"/>
      <c r="AK649" s="377">
        <f>G684+AL649-G649</f>
        <v>0</v>
      </c>
      <c r="AL649" s="377"/>
      <c r="AM649" s="378"/>
      <c r="AN649" s="379"/>
      <c r="AO649" s="380"/>
      <c r="AP649" s="378"/>
      <c r="AQ649" s="381"/>
      <c r="AR649" s="381"/>
      <c r="AS649" s="381"/>
    </row>
    <row r="650" spans="1:45" ht="17.25" thickBot="1" x14ac:dyDescent="0.3">
      <c r="A650" s="467"/>
      <c r="B650" s="372"/>
      <c r="C650" s="373">
        <v>1146027</v>
      </c>
      <c r="D650" s="374" t="s">
        <v>404</v>
      </c>
      <c r="E650" s="375"/>
      <c r="F650" s="376">
        <f>G685-AK650+AL650</f>
        <v>0</v>
      </c>
      <c r="G650" s="377">
        <v>0</v>
      </c>
      <c r="H650" s="397">
        <v>2</v>
      </c>
      <c r="I650" s="377">
        <v>1</v>
      </c>
      <c r="J650" s="377"/>
      <c r="K650" s="377">
        <v>1</v>
      </c>
      <c r="L650" s="377"/>
      <c r="M650" s="377"/>
      <c r="N650" s="377"/>
      <c r="O650" s="377"/>
      <c r="P650" s="377"/>
      <c r="Q650" s="377"/>
      <c r="R650" s="377"/>
      <c r="S650" s="377"/>
      <c r="T650" s="377"/>
      <c r="U650" s="377"/>
      <c r="V650" s="377"/>
      <c r="W650" s="377"/>
      <c r="X650" s="377"/>
      <c r="Y650" s="377"/>
      <c r="Z650" s="377"/>
      <c r="AA650" s="377"/>
      <c r="AB650" s="377"/>
      <c r="AC650" s="377"/>
      <c r="AD650" s="377"/>
      <c r="AE650" s="377"/>
      <c r="AF650" s="377"/>
      <c r="AG650" s="377"/>
      <c r="AH650" s="377"/>
      <c r="AI650" s="377"/>
      <c r="AJ650" s="377"/>
      <c r="AK650" s="377">
        <f>G685+AL650-G650</f>
        <v>0</v>
      </c>
      <c r="AL650" s="377"/>
      <c r="AM650" s="378"/>
      <c r="AN650" s="379"/>
      <c r="AO650" s="380"/>
      <c r="AP650" s="378"/>
      <c r="AQ650" s="381"/>
      <c r="AR650" s="381"/>
      <c r="AS650" s="381"/>
    </row>
    <row r="651" spans="1:45" ht="17.25" thickBot="1" x14ac:dyDescent="0.3">
      <c r="A651" s="467"/>
      <c r="B651" s="355" t="s">
        <v>418</v>
      </c>
      <c r="C651" s="356"/>
      <c r="D651" s="356"/>
      <c r="E651" s="359"/>
      <c r="F651" s="359"/>
      <c r="G651" s="356"/>
      <c r="H651" s="396"/>
      <c r="I651" s="356"/>
      <c r="J651" s="356"/>
      <c r="K651" s="356"/>
      <c r="L651" s="356"/>
      <c r="M651" s="356"/>
      <c r="N651" s="356"/>
      <c r="O651" s="356"/>
      <c r="P651" s="356"/>
      <c r="Q651" s="356"/>
      <c r="R651" s="356"/>
      <c r="S651" s="356"/>
      <c r="T651" s="356"/>
      <c r="U651" s="356"/>
      <c r="V651" s="356"/>
      <c r="W651" s="356"/>
      <c r="X651" s="356"/>
      <c r="Y651" s="356"/>
      <c r="Z651" s="356"/>
      <c r="AA651" s="356"/>
      <c r="AB651" s="356"/>
      <c r="AC651" s="356"/>
      <c r="AD651" s="356"/>
      <c r="AE651" s="356"/>
      <c r="AF651" s="356"/>
      <c r="AG651" s="356"/>
      <c r="AH651" s="356"/>
      <c r="AI651" s="356"/>
      <c r="AJ651" s="356"/>
      <c r="AK651" s="356"/>
      <c r="AL651" s="356"/>
      <c r="AM651" s="356"/>
      <c r="AN651" s="356"/>
      <c r="AO651" s="356"/>
      <c r="AP651" s="356"/>
      <c r="AQ651" s="356"/>
      <c r="AR651" s="356"/>
      <c r="AS651" s="357"/>
    </row>
    <row r="652" spans="1:45" ht="17.25" thickBot="1" x14ac:dyDescent="0.3">
      <c r="A652" s="467"/>
      <c r="B652" s="354"/>
      <c r="C652" s="285">
        <v>1151653</v>
      </c>
      <c r="D652" s="358" t="s">
        <v>405</v>
      </c>
      <c r="E652" s="360"/>
      <c r="F652" s="361">
        <f>G687-AK652+AL652</f>
        <v>0</v>
      </c>
      <c r="G652" s="364">
        <v>0</v>
      </c>
      <c r="H652" s="397">
        <v>1</v>
      </c>
      <c r="I652" s="364">
        <v>1</v>
      </c>
      <c r="J652" s="364"/>
      <c r="K652" s="364">
        <v>1</v>
      </c>
      <c r="L652" s="218"/>
      <c r="M652" s="218"/>
      <c r="N652" s="218"/>
      <c r="O652" s="218"/>
      <c r="P652" s="352"/>
      <c r="Q652" s="352"/>
      <c r="R652" s="352"/>
      <c r="S652" s="352"/>
      <c r="T652" s="352"/>
      <c r="U652" s="352"/>
      <c r="V652" s="218"/>
      <c r="W652" s="218"/>
      <c r="X652" s="218"/>
      <c r="Y652" s="218"/>
      <c r="Z652" s="218"/>
      <c r="AA652" s="218"/>
      <c r="AB652" s="218"/>
      <c r="AC652" s="218"/>
      <c r="AD652" s="218"/>
      <c r="AE652" s="218"/>
      <c r="AF652" s="218"/>
      <c r="AG652" s="218"/>
      <c r="AH652" s="218"/>
      <c r="AI652" s="218"/>
      <c r="AJ652" s="218"/>
      <c r="AK652" s="218">
        <f>G687+AL652-G652</f>
        <v>0</v>
      </c>
      <c r="AL652" s="218"/>
      <c r="AM652" s="353"/>
      <c r="AN652" s="295"/>
      <c r="AO652" s="296"/>
      <c r="AP652" s="353"/>
      <c r="AQ652" s="290"/>
      <c r="AR652" s="290"/>
      <c r="AS652" s="290"/>
    </row>
    <row r="653" spans="1:45" ht="17.25" thickBot="1" x14ac:dyDescent="0.3">
      <c r="A653" s="467"/>
      <c r="B653" s="354"/>
      <c r="C653" s="285">
        <v>1151650</v>
      </c>
      <c r="D653" s="358" t="s">
        <v>406</v>
      </c>
      <c r="E653" s="360"/>
      <c r="F653" s="361">
        <f>G688-AK653+AL653</f>
        <v>0</v>
      </c>
      <c r="G653" s="364">
        <v>0</v>
      </c>
      <c r="H653" s="397">
        <v>2</v>
      </c>
      <c r="I653" s="364">
        <v>0</v>
      </c>
      <c r="J653" s="364"/>
      <c r="K653" s="364">
        <v>5</v>
      </c>
      <c r="L653" s="218"/>
      <c r="M653" s="218"/>
      <c r="N653" s="218"/>
      <c r="O653" s="218"/>
      <c r="P653" s="352"/>
      <c r="Q653" s="352"/>
      <c r="R653" s="352"/>
      <c r="S653" s="352"/>
      <c r="T653" s="352"/>
      <c r="U653" s="352"/>
      <c r="V653" s="218"/>
      <c r="W653" s="218"/>
      <c r="X653" s="218"/>
      <c r="Y653" s="218"/>
      <c r="Z653" s="218"/>
      <c r="AA653" s="218"/>
      <c r="AB653" s="218"/>
      <c r="AC653" s="218"/>
      <c r="AD653" s="218"/>
      <c r="AE653" s="218"/>
      <c r="AF653" s="218"/>
      <c r="AG653" s="218"/>
      <c r="AH653" s="218"/>
      <c r="AI653" s="218"/>
      <c r="AJ653" s="218"/>
      <c r="AK653" s="218">
        <f>G688+AL653-G653</f>
        <v>0</v>
      </c>
      <c r="AL653" s="218"/>
      <c r="AM653" s="353"/>
      <c r="AN653" s="295"/>
      <c r="AO653" s="296"/>
      <c r="AP653" s="353"/>
      <c r="AQ653" s="290"/>
      <c r="AR653" s="290"/>
      <c r="AS653" s="290"/>
    </row>
    <row r="654" spans="1:45" ht="17.25" thickBot="1" x14ac:dyDescent="0.3">
      <c r="A654" s="467"/>
      <c r="B654" s="354"/>
      <c r="C654" s="285">
        <v>1151649</v>
      </c>
      <c r="D654" s="358" t="s">
        <v>407</v>
      </c>
      <c r="E654" s="360"/>
      <c r="F654" s="361">
        <f>G689-AK654+AL654</f>
        <v>0</v>
      </c>
      <c r="G654" s="369">
        <v>0</v>
      </c>
      <c r="H654" s="369">
        <v>4</v>
      </c>
      <c r="I654" s="369">
        <v>0</v>
      </c>
      <c r="J654" s="369"/>
      <c r="K654" s="369">
        <v>0</v>
      </c>
      <c r="L654" s="218"/>
      <c r="M654" s="218"/>
      <c r="N654" s="218"/>
      <c r="O654" s="218"/>
      <c r="P654" s="352"/>
      <c r="Q654" s="352"/>
      <c r="R654" s="352"/>
      <c r="S654" s="352"/>
      <c r="T654" s="352"/>
      <c r="U654" s="352"/>
      <c r="V654" s="218"/>
      <c r="W654" s="218"/>
      <c r="X654" s="218"/>
      <c r="Y654" s="218"/>
      <c r="Z654" s="218"/>
      <c r="AA654" s="218"/>
      <c r="AB654" s="218">
        <v>2</v>
      </c>
      <c r="AC654" s="218"/>
      <c r="AD654" s="218"/>
      <c r="AE654" s="218"/>
      <c r="AF654" s="218"/>
      <c r="AG654" s="218"/>
      <c r="AH654" s="218"/>
      <c r="AI654" s="218"/>
      <c r="AJ654" s="218"/>
      <c r="AK654" s="218">
        <f>G689+AL654-G654</f>
        <v>0</v>
      </c>
      <c r="AL654" s="218"/>
      <c r="AM654" s="353"/>
      <c r="AN654" s="295"/>
      <c r="AO654" s="296"/>
      <c r="AP654" s="353"/>
      <c r="AQ654" s="290"/>
      <c r="AR654" s="290"/>
      <c r="AS654" s="290"/>
    </row>
    <row r="655" spans="1:45" ht="17.25" thickBot="1" x14ac:dyDescent="0.3">
      <c r="A655" s="467"/>
      <c r="B655" s="354"/>
      <c r="C655" s="285">
        <v>1151651</v>
      </c>
      <c r="D655" s="358" t="s">
        <v>408</v>
      </c>
      <c r="E655" s="360"/>
      <c r="F655" s="361">
        <f>G690-AK655+AL655</f>
        <v>1</v>
      </c>
      <c r="G655" s="369">
        <v>1</v>
      </c>
      <c r="H655" s="369">
        <v>1</v>
      </c>
      <c r="I655" s="369">
        <v>1</v>
      </c>
      <c r="J655" s="369"/>
      <c r="K655" s="369">
        <v>0</v>
      </c>
      <c r="L655" s="218"/>
      <c r="M655" s="218"/>
      <c r="N655" s="218"/>
      <c r="O655" s="218"/>
      <c r="P655" s="352"/>
      <c r="Q655" s="352"/>
      <c r="R655" s="352"/>
      <c r="S655" s="352"/>
      <c r="T655" s="352"/>
      <c r="U655" s="352"/>
      <c r="V655" s="218"/>
      <c r="W655" s="218"/>
      <c r="X655" s="218"/>
      <c r="Y655" s="218"/>
      <c r="Z655" s="218">
        <v>2</v>
      </c>
      <c r="AA655" s="218"/>
      <c r="AB655" s="218">
        <v>2</v>
      </c>
      <c r="AC655" s="218"/>
      <c r="AD655" s="218"/>
      <c r="AE655" s="218"/>
      <c r="AF655" s="218"/>
      <c r="AG655" s="218"/>
      <c r="AH655" s="218"/>
      <c r="AI655" s="218"/>
      <c r="AJ655" s="218"/>
      <c r="AK655" s="218">
        <f>G690+AL655-G655</f>
        <v>0</v>
      </c>
      <c r="AL655" s="218"/>
      <c r="AM655" s="353"/>
      <c r="AN655" s="295"/>
      <c r="AO655" s="296"/>
      <c r="AP655" s="353"/>
      <c r="AQ655" s="290"/>
      <c r="AR655" s="290"/>
      <c r="AS655" s="290"/>
    </row>
    <row r="656" spans="1:45" ht="17.25" thickBot="1" x14ac:dyDescent="0.3">
      <c r="A656" s="467"/>
      <c r="B656" s="354"/>
      <c r="C656" s="285">
        <v>1146029</v>
      </c>
      <c r="D656" s="358" t="s">
        <v>409</v>
      </c>
      <c r="E656" s="360"/>
      <c r="F656" s="361">
        <f>G691-AK656+AL656</f>
        <v>0</v>
      </c>
      <c r="G656" s="369">
        <v>0</v>
      </c>
      <c r="H656" s="369">
        <v>2</v>
      </c>
      <c r="I656" s="369">
        <v>0</v>
      </c>
      <c r="J656" s="369"/>
      <c r="K656" s="369">
        <v>2</v>
      </c>
      <c r="L656" s="218"/>
      <c r="M656" s="218"/>
      <c r="N656" s="218"/>
      <c r="O656" s="218"/>
      <c r="P656" s="352"/>
      <c r="Q656" s="352"/>
      <c r="R656" s="352"/>
      <c r="S656" s="352"/>
      <c r="T656" s="352"/>
      <c r="U656" s="352"/>
      <c r="V656" s="218"/>
      <c r="W656" s="218"/>
      <c r="X656" s="218"/>
      <c r="Y656" s="218"/>
      <c r="Z656" s="218"/>
      <c r="AA656" s="218"/>
      <c r="AB656" s="218"/>
      <c r="AC656" s="218">
        <v>2</v>
      </c>
      <c r="AD656" s="218"/>
      <c r="AE656" s="218"/>
      <c r="AF656" s="218"/>
      <c r="AG656" s="218"/>
      <c r="AH656" s="218"/>
      <c r="AI656" s="218"/>
      <c r="AJ656" s="218"/>
      <c r="AK656" s="218">
        <f>G691+AL656-G656</f>
        <v>0</v>
      </c>
      <c r="AL656" s="218"/>
      <c r="AM656" s="353"/>
      <c r="AN656" s="295"/>
      <c r="AO656" s="296"/>
      <c r="AP656" s="353"/>
      <c r="AQ656" s="290"/>
      <c r="AR656" s="290"/>
      <c r="AS656" s="290"/>
    </row>
    <row r="657" spans="1:45" ht="17.25" thickBot="1" x14ac:dyDescent="0.3">
      <c r="A657" s="467"/>
      <c r="B657" s="355" t="s">
        <v>410</v>
      </c>
      <c r="C657" s="356"/>
      <c r="D657" s="356"/>
      <c r="E657" s="359"/>
      <c r="F657" s="359"/>
      <c r="G657" s="356"/>
      <c r="H657" s="396"/>
      <c r="I657" s="356"/>
      <c r="J657" s="356"/>
      <c r="K657" s="356"/>
      <c r="L657" s="356"/>
      <c r="M657" s="356"/>
      <c r="N657" s="356"/>
      <c r="O657" s="356"/>
      <c r="P657" s="356"/>
      <c r="Q657" s="356"/>
      <c r="R657" s="356"/>
      <c r="S657" s="356"/>
      <c r="T657" s="356"/>
      <c r="U657" s="356"/>
      <c r="V657" s="356"/>
      <c r="W657" s="356"/>
      <c r="X657" s="356"/>
      <c r="Y657" s="356"/>
      <c r="Z657" s="356"/>
      <c r="AA657" s="356"/>
      <c r="AB657" s="356"/>
      <c r="AC657" s="356"/>
      <c r="AD657" s="356"/>
      <c r="AE657" s="356"/>
      <c r="AF657" s="356"/>
      <c r="AG657" s="356"/>
      <c r="AH657" s="356"/>
      <c r="AI657" s="356"/>
      <c r="AJ657" s="356"/>
      <c r="AK657" s="356"/>
      <c r="AL657" s="356"/>
      <c r="AM657" s="356"/>
      <c r="AN657" s="356"/>
      <c r="AO657" s="356"/>
      <c r="AP657" s="356"/>
      <c r="AQ657" s="356"/>
      <c r="AR657" s="356"/>
      <c r="AS657" s="357"/>
    </row>
    <row r="658" spans="1:45" ht="17.25" thickBot="1" x14ac:dyDescent="0.3">
      <c r="A658" s="467"/>
      <c r="B658" s="354"/>
      <c r="C658" s="285">
        <v>1699118</v>
      </c>
      <c r="D658" s="358" t="s">
        <v>411</v>
      </c>
      <c r="E658" s="360"/>
      <c r="F658" s="361">
        <f>G693-AK658+AL658</f>
        <v>0</v>
      </c>
      <c r="G658" s="369">
        <v>0</v>
      </c>
      <c r="H658" s="369">
        <v>1</v>
      </c>
      <c r="I658" s="369">
        <v>0</v>
      </c>
      <c r="J658" s="369"/>
      <c r="K658" s="369">
        <v>1</v>
      </c>
      <c r="L658" s="218"/>
      <c r="M658" s="218"/>
      <c r="N658" s="218"/>
      <c r="O658" s="218"/>
      <c r="P658" s="352"/>
      <c r="Q658" s="352"/>
      <c r="R658" s="352"/>
      <c r="S658" s="352"/>
      <c r="T658" s="352"/>
      <c r="U658" s="352"/>
      <c r="V658" s="218"/>
      <c r="W658" s="218"/>
      <c r="X658" s="218"/>
      <c r="Y658" s="218"/>
      <c r="Z658" s="218"/>
      <c r="AA658" s="218"/>
      <c r="AB658" s="218">
        <v>1</v>
      </c>
      <c r="AC658" s="218"/>
      <c r="AD658" s="218"/>
      <c r="AE658" s="218"/>
      <c r="AF658" s="218"/>
      <c r="AG658" s="218"/>
      <c r="AH658" s="218"/>
      <c r="AI658" s="218"/>
      <c r="AJ658" s="218"/>
      <c r="AK658" s="218">
        <f>G693+AL658-G658</f>
        <v>0</v>
      </c>
      <c r="AL658" s="218"/>
      <c r="AM658" s="353"/>
      <c r="AN658" s="295"/>
      <c r="AO658" s="296"/>
      <c r="AP658" s="353"/>
      <c r="AQ658" s="290"/>
      <c r="AR658" s="290"/>
      <c r="AS658" s="290"/>
    </row>
    <row r="659" spans="1:45" ht="17.25" thickBot="1" x14ac:dyDescent="0.3">
      <c r="A659" s="467"/>
      <c r="B659" s="354"/>
      <c r="C659" s="285">
        <v>1699119</v>
      </c>
      <c r="D659" s="358" t="s">
        <v>412</v>
      </c>
      <c r="E659" s="360"/>
      <c r="F659" s="361">
        <f>G694-AK659+AL659</f>
        <v>0</v>
      </c>
      <c r="G659" s="369">
        <v>0</v>
      </c>
      <c r="H659" s="369">
        <v>1</v>
      </c>
      <c r="I659" s="369">
        <v>0</v>
      </c>
      <c r="J659" s="369"/>
      <c r="K659" s="369">
        <v>2</v>
      </c>
      <c r="L659" s="218"/>
      <c r="M659" s="218"/>
      <c r="N659" s="218"/>
      <c r="O659" s="218"/>
      <c r="P659" s="352"/>
      <c r="Q659" s="352"/>
      <c r="R659" s="352"/>
      <c r="S659" s="352"/>
      <c r="T659" s="352"/>
      <c r="U659" s="352"/>
      <c r="V659" s="218"/>
      <c r="W659" s="218"/>
      <c r="X659" s="218"/>
      <c r="Y659" s="218"/>
      <c r="Z659" s="218"/>
      <c r="AA659" s="218"/>
      <c r="AB659" s="218">
        <v>2</v>
      </c>
      <c r="AC659" s="218"/>
      <c r="AD659" s="218"/>
      <c r="AE659" s="218"/>
      <c r="AF659" s="218"/>
      <c r="AG659" s="218"/>
      <c r="AH659" s="218"/>
      <c r="AI659" s="218"/>
      <c r="AJ659" s="218"/>
      <c r="AK659" s="218">
        <f>G694+AL659-G659</f>
        <v>0</v>
      </c>
      <c r="AL659" s="218"/>
      <c r="AM659" s="353"/>
      <c r="AN659" s="295"/>
      <c r="AO659" s="296"/>
      <c r="AP659" s="353"/>
      <c r="AQ659" s="290"/>
      <c r="AR659" s="290"/>
      <c r="AS659" s="290"/>
    </row>
    <row r="660" spans="1:45" ht="17.25" thickBot="1" x14ac:dyDescent="0.3">
      <c r="A660" s="467"/>
      <c r="B660" s="354"/>
      <c r="C660" s="285">
        <v>1699130</v>
      </c>
      <c r="D660" s="358" t="s">
        <v>413</v>
      </c>
      <c r="E660" s="360"/>
      <c r="F660" s="361">
        <f>G695-AK660+AL660</f>
        <v>4</v>
      </c>
      <c r="G660" s="369">
        <v>4</v>
      </c>
      <c r="H660" s="369">
        <v>4</v>
      </c>
      <c r="I660" s="369">
        <v>4</v>
      </c>
      <c r="J660" s="369"/>
      <c r="K660" s="369">
        <v>0</v>
      </c>
      <c r="L660" s="218"/>
      <c r="M660" s="218"/>
      <c r="N660" s="218"/>
      <c r="O660" s="218"/>
      <c r="P660" s="352"/>
      <c r="Q660" s="352"/>
      <c r="R660" s="352"/>
      <c r="S660" s="352"/>
      <c r="T660" s="352"/>
      <c r="U660" s="352"/>
      <c r="V660" s="218"/>
      <c r="W660" s="218"/>
      <c r="X660" s="218"/>
      <c r="Y660" s="218"/>
      <c r="Z660" s="218"/>
      <c r="AA660" s="218">
        <v>2</v>
      </c>
      <c r="AB660" s="218"/>
      <c r="AC660" s="218"/>
      <c r="AD660" s="218"/>
      <c r="AE660" s="218"/>
      <c r="AF660" s="218"/>
      <c r="AG660" s="218"/>
      <c r="AH660" s="218"/>
      <c r="AI660" s="218"/>
      <c r="AJ660" s="218"/>
      <c r="AK660" s="218">
        <f>G695+AL660-G660</f>
        <v>0</v>
      </c>
      <c r="AL660" s="218"/>
      <c r="AM660" s="353"/>
      <c r="AN660" s="295"/>
      <c r="AO660" s="296"/>
      <c r="AP660" s="353"/>
      <c r="AQ660" s="290"/>
      <c r="AR660" s="290"/>
      <c r="AS660" s="290"/>
    </row>
    <row r="661" spans="1:45" ht="17.25" thickBot="1" x14ac:dyDescent="0.3">
      <c r="A661" s="467"/>
      <c r="B661" s="354"/>
      <c r="C661" s="285">
        <v>1699131</v>
      </c>
      <c r="D661" s="358" t="s">
        <v>414</v>
      </c>
      <c r="E661" s="360"/>
      <c r="F661" s="361">
        <f>G696-AK661+AL661</f>
        <v>1</v>
      </c>
      <c r="G661" s="369">
        <v>1</v>
      </c>
      <c r="H661" s="397">
        <v>3</v>
      </c>
      <c r="I661" s="369">
        <v>1</v>
      </c>
      <c r="J661" s="369"/>
      <c r="K661" s="364">
        <v>2</v>
      </c>
      <c r="L661" s="218"/>
      <c r="M661" s="218"/>
      <c r="N661" s="218"/>
      <c r="O661" s="218"/>
      <c r="P661" s="352"/>
      <c r="Q661" s="352"/>
      <c r="R661" s="352"/>
      <c r="S661" s="352"/>
      <c r="T661" s="352"/>
      <c r="U661" s="352"/>
      <c r="V661" s="218"/>
      <c r="W661" s="218"/>
      <c r="X661" s="218"/>
      <c r="Y661" s="218"/>
      <c r="Z661" s="218"/>
      <c r="AA661" s="218"/>
      <c r="AB661" s="218">
        <v>1</v>
      </c>
      <c r="AC661" s="218"/>
      <c r="AD661" s="218"/>
      <c r="AE661" s="218"/>
      <c r="AF661" s="218"/>
      <c r="AG661" s="218"/>
      <c r="AH661" s="218"/>
      <c r="AI661" s="218"/>
      <c r="AJ661" s="218"/>
      <c r="AK661" s="218">
        <f>G696+AL661-G661</f>
        <v>0</v>
      </c>
      <c r="AL661" s="218"/>
      <c r="AM661" s="353"/>
      <c r="AN661" s="295"/>
      <c r="AO661" s="296"/>
      <c r="AP661" s="353"/>
      <c r="AQ661" s="290"/>
      <c r="AR661" s="290"/>
      <c r="AS661" s="290"/>
    </row>
    <row r="662" spans="1:45" ht="17.25" thickBot="1" x14ac:dyDescent="0.3">
      <c r="A662" s="468"/>
      <c r="B662" s="354"/>
      <c r="C662" s="285">
        <v>1699132</v>
      </c>
      <c r="D662" s="358" t="s">
        <v>415</v>
      </c>
      <c r="E662" s="285"/>
      <c r="F662" s="362">
        <f>G697-AK662+AL662</f>
        <v>0</v>
      </c>
      <c r="G662" s="364">
        <v>0</v>
      </c>
      <c r="H662" s="397">
        <v>3</v>
      </c>
      <c r="I662" s="364">
        <v>0</v>
      </c>
      <c r="J662" s="364"/>
      <c r="K662" s="364">
        <v>2</v>
      </c>
      <c r="L662" s="218"/>
      <c r="M662" s="218"/>
      <c r="N662" s="218"/>
      <c r="O662" s="218"/>
      <c r="P662" s="352"/>
      <c r="Q662" s="352"/>
      <c r="R662" s="352"/>
      <c r="S662" s="352"/>
      <c r="T662" s="352"/>
      <c r="U662" s="352"/>
      <c r="V662" s="218"/>
      <c r="W662" s="218"/>
      <c r="X662" s="218"/>
      <c r="Y662" s="218"/>
      <c r="Z662" s="218"/>
      <c r="AA662" s="218"/>
      <c r="AB662" s="218"/>
      <c r="AC662" s="218"/>
      <c r="AD662" s="218"/>
      <c r="AE662" s="218"/>
      <c r="AF662" s="218"/>
      <c r="AG662" s="218"/>
      <c r="AH662" s="218"/>
      <c r="AI662" s="218"/>
      <c r="AJ662" s="218"/>
      <c r="AK662" s="218">
        <f>G697+AL662-G662</f>
        <v>0</v>
      </c>
      <c r="AL662" s="218"/>
      <c r="AM662" s="353"/>
      <c r="AN662" s="295"/>
      <c r="AO662" s="296"/>
      <c r="AP662" s="353"/>
      <c r="AQ662" s="290"/>
      <c r="AR662" s="290"/>
      <c r="AS662" s="290"/>
    </row>
    <row r="663" spans="1:45" x14ac:dyDescent="0.25">
      <c r="AL663" s="290"/>
      <c r="AM663" s="290"/>
      <c r="AN663" s="290"/>
      <c r="AO663" s="290"/>
    </row>
    <row r="664" spans="1:45" ht="14.25" thickBot="1" x14ac:dyDescent="0.3">
      <c r="B664" s="338" t="s">
        <v>18</v>
      </c>
      <c r="C664" s="339">
        <v>45719</v>
      </c>
      <c r="AA664" s="290">
        <v>0</v>
      </c>
      <c r="AL664" s="290"/>
      <c r="AM664" s="290"/>
      <c r="AN664" s="290"/>
      <c r="AO664" s="290"/>
      <c r="AP664" s="290"/>
    </row>
    <row r="665" spans="1:45" ht="41.25" thickBot="1" x14ac:dyDescent="0.3">
      <c r="B665" s="283" t="s">
        <v>0</v>
      </c>
      <c r="C665" s="284" t="s">
        <v>1</v>
      </c>
      <c r="D665" s="284" t="s">
        <v>2</v>
      </c>
      <c r="E665" s="284" t="s">
        <v>3</v>
      </c>
      <c r="F665" s="4" t="s">
        <v>318</v>
      </c>
      <c r="G665" s="351" t="s">
        <v>541</v>
      </c>
      <c r="H665" s="382" t="s">
        <v>460</v>
      </c>
      <c r="I665" s="234" t="s">
        <v>527</v>
      </c>
      <c r="J665" s="234"/>
      <c r="K665" s="258" t="s">
        <v>528</v>
      </c>
      <c r="L665" s="258" t="s">
        <v>328</v>
      </c>
      <c r="M665" s="258" t="s">
        <v>327</v>
      </c>
      <c r="N665" s="234" t="s">
        <v>389</v>
      </c>
      <c r="O665" s="240" t="s">
        <v>130</v>
      </c>
      <c r="P665" s="243" t="s">
        <v>303</v>
      </c>
      <c r="Q665" s="244" t="s">
        <v>304</v>
      </c>
      <c r="R665" s="244" t="s">
        <v>314</v>
      </c>
      <c r="S665" s="245" t="s">
        <v>338</v>
      </c>
      <c r="T665" s="245" t="s">
        <v>345</v>
      </c>
      <c r="U665" s="245" t="s">
        <v>361</v>
      </c>
      <c r="V665" s="245" t="s">
        <v>387</v>
      </c>
      <c r="W665" s="245" t="s">
        <v>421</v>
      </c>
      <c r="X665" s="245" t="s">
        <v>452</v>
      </c>
      <c r="Y665" s="245" t="s">
        <v>463</v>
      </c>
      <c r="Z665" s="245" t="s">
        <v>481</v>
      </c>
      <c r="AA665" s="245" t="s">
        <v>498</v>
      </c>
      <c r="AB665" s="245" t="s">
        <v>303</v>
      </c>
      <c r="AC665" s="245" t="s">
        <v>304</v>
      </c>
      <c r="AD665" s="245" t="s">
        <v>314</v>
      </c>
      <c r="AE665" s="245"/>
      <c r="AF665" s="245"/>
      <c r="AG665" s="245"/>
      <c r="AH665" s="245"/>
      <c r="AI665" s="245"/>
      <c r="AJ665" s="245" t="s">
        <v>360</v>
      </c>
      <c r="AK665" s="246" t="s">
        <v>268</v>
      </c>
      <c r="AL665" s="247" t="s">
        <v>269</v>
      </c>
      <c r="AM665" s="291" t="s">
        <v>288</v>
      </c>
      <c r="AN665" s="292" t="s">
        <v>289</v>
      </c>
      <c r="AO665" s="292" t="s">
        <v>287</v>
      </c>
      <c r="AP665" s="293" t="s">
        <v>290</v>
      </c>
      <c r="AQ665" s="290" t="s">
        <v>306</v>
      </c>
      <c r="AR665" s="290" t="s">
        <v>310</v>
      </c>
      <c r="AS665" s="290" t="s">
        <v>311</v>
      </c>
    </row>
    <row r="666" spans="1:45" ht="17.25" thickBot="1" x14ac:dyDescent="0.3">
      <c r="A666" s="463" t="s">
        <v>416</v>
      </c>
      <c r="B666" s="285">
        <v>273664</v>
      </c>
      <c r="C666" s="286">
        <v>1135749</v>
      </c>
      <c r="D666" s="286" t="s">
        <v>7</v>
      </c>
      <c r="E666" s="286">
        <v>6060050026</v>
      </c>
      <c r="F666" s="253">
        <f>G701-AK666+AL666</f>
        <v>6</v>
      </c>
      <c r="G666" s="235">
        <v>6</v>
      </c>
      <c r="H666" s="394">
        <v>5</v>
      </c>
      <c r="I666" s="232">
        <v>6</v>
      </c>
      <c r="J666" s="232"/>
      <c r="K666" s="232">
        <v>0</v>
      </c>
      <c r="L666" s="232">
        <f>IF(K700=K665,L701+AK666,K666)</f>
        <v>0</v>
      </c>
      <c r="M666" s="232">
        <f>IF(K700=K665,0,L701+AK666-K666)</f>
        <v>0</v>
      </c>
      <c r="N666" s="267">
        <v>5</v>
      </c>
      <c r="O666" s="241">
        <f>N666-G666</f>
        <v>-1</v>
      </c>
      <c r="P666" s="277">
        <v>4</v>
      </c>
      <c r="Q666" s="278">
        <v>4</v>
      </c>
      <c r="R666" s="279"/>
      <c r="S666" s="279">
        <v>3</v>
      </c>
      <c r="T666" s="279">
        <v>4</v>
      </c>
      <c r="U666" s="279">
        <v>2</v>
      </c>
      <c r="V666" s="279"/>
      <c r="W666" s="279">
        <f>2+3</f>
        <v>5</v>
      </c>
      <c r="X666" s="241"/>
      <c r="Y666" s="241"/>
      <c r="Z666" s="241"/>
      <c r="AA666" s="241">
        <v>4</v>
      </c>
      <c r="AB666" s="241">
        <v>5</v>
      </c>
      <c r="AC666" s="241"/>
      <c r="AD666" s="241"/>
      <c r="AE666" s="241"/>
      <c r="AF666" s="241"/>
      <c r="AG666" s="241"/>
      <c r="AH666" s="241"/>
      <c r="AI666" s="241"/>
      <c r="AJ666" s="241">
        <f>N666-V666</f>
        <v>5</v>
      </c>
      <c r="AK666" s="235">
        <f>G701+AL666-G666</f>
        <v>0</v>
      </c>
      <c r="AL666" s="350"/>
      <c r="AM666" s="294">
        <v>1.5</v>
      </c>
      <c r="AN666" s="295">
        <v>4</v>
      </c>
      <c r="AO666" s="296">
        <f>G666/(AN666)</f>
        <v>1.5</v>
      </c>
      <c r="AP666" s="297">
        <f>AN666*6</f>
        <v>24</v>
      </c>
      <c r="AQ666" s="290">
        <f>G666+K666</f>
        <v>6</v>
      </c>
      <c r="AR666" s="290">
        <f>IF(G666&lt;G701,(G701-G666+K701-K666),K701-K666)</f>
        <v>0</v>
      </c>
      <c r="AS666" s="290">
        <f>21-8</f>
        <v>13</v>
      </c>
    </row>
    <row r="667" spans="1:45" ht="17.25" thickBot="1" x14ac:dyDescent="0.3">
      <c r="A667" s="464"/>
      <c r="B667" s="285">
        <v>273672</v>
      </c>
      <c r="C667" s="286">
        <v>1135750</v>
      </c>
      <c r="D667" s="286" t="s">
        <v>9</v>
      </c>
      <c r="E667" s="287">
        <v>204000000000</v>
      </c>
      <c r="F667" s="253">
        <f>G702-AK667+AL667</f>
        <v>15</v>
      </c>
      <c r="G667" s="235">
        <v>15</v>
      </c>
      <c r="H667" s="394">
        <v>16</v>
      </c>
      <c r="I667" s="232">
        <v>15</v>
      </c>
      <c r="J667" s="232"/>
      <c r="K667" s="232">
        <v>8</v>
      </c>
      <c r="L667" s="232">
        <f>IF(K700=K665,L702+AK667,K667)</f>
        <v>8</v>
      </c>
      <c r="M667" s="232">
        <f>IF(K700=K665,0,L702+AK667-K667)</f>
        <v>0</v>
      </c>
      <c r="N667" s="267">
        <v>10</v>
      </c>
      <c r="O667" s="241">
        <f>N667-G667</f>
        <v>-5</v>
      </c>
      <c r="P667" s="277">
        <v>13</v>
      </c>
      <c r="Q667" s="278">
        <v>2</v>
      </c>
      <c r="R667" s="279">
        <v>6</v>
      </c>
      <c r="S667" s="279">
        <v>6</v>
      </c>
      <c r="T667" s="279">
        <v>10</v>
      </c>
      <c r="U667" s="279">
        <v>4</v>
      </c>
      <c r="V667" s="279">
        <v>6</v>
      </c>
      <c r="W667" s="279">
        <v>16</v>
      </c>
      <c r="X667" s="241"/>
      <c r="Y667" s="241">
        <v>6</v>
      </c>
      <c r="Z667" s="241">
        <v>4</v>
      </c>
      <c r="AA667" s="241">
        <v>6</v>
      </c>
      <c r="AB667" s="241">
        <v>14</v>
      </c>
      <c r="AC667" s="241"/>
      <c r="AD667" s="241">
        <v>6</v>
      </c>
      <c r="AE667" s="241"/>
      <c r="AF667" s="241"/>
      <c r="AG667" s="241"/>
      <c r="AH667" s="241"/>
      <c r="AI667" s="241"/>
      <c r="AJ667" s="241">
        <f>N667-V667</f>
        <v>4</v>
      </c>
      <c r="AK667" s="235">
        <f>G702+AL667-G667</f>
        <v>6</v>
      </c>
      <c r="AL667" s="236"/>
      <c r="AM667" s="298">
        <v>4.2</v>
      </c>
      <c r="AN667" s="295">
        <v>9</v>
      </c>
      <c r="AO667" s="296">
        <f>G667/(AN667)</f>
        <v>1.6666666666666667</v>
      </c>
      <c r="AP667" s="297">
        <f>AN667*6</f>
        <v>54</v>
      </c>
      <c r="AQ667" s="290">
        <f>G667+K667</f>
        <v>23</v>
      </c>
      <c r="AR667" s="290">
        <f>IF(G667&lt;G702,(G702-G667+K702-K667),K702-K667)</f>
        <v>0</v>
      </c>
      <c r="AS667" s="290">
        <f>21-8</f>
        <v>13</v>
      </c>
    </row>
    <row r="668" spans="1:45" ht="17.25" thickBot="1" x14ac:dyDescent="0.3">
      <c r="A668" s="464"/>
      <c r="B668" s="285">
        <v>273702</v>
      </c>
      <c r="C668" s="286">
        <v>1135753</v>
      </c>
      <c r="D668" s="286" t="s">
        <v>10</v>
      </c>
      <c r="E668" s="287">
        <v>301000000000</v>
      </c>
      <c r="F668" s="253">
        <f>G703-AK668+AL668</f>
        <v>1</v>
      </c>
      <c r="G668" s="235">
        <v>1</v>
      </c>
      <c r="H668" s="394">
        <v>1</v>
      </c>
      <c r="I668" s="232">
        <v>1</v>
      </c>
      <c r="J668" s="232"/>
      <c r="K668" s="232">
        <v>2</v>
      </c>
      <c r="L668" s="232">
        <f>IF(K700=K665,L703+AK668,K668)</f>
        <v>2</v>
      </c>
      <c r="M668" s="232">
        <f>IF(K700=K665,0,L703+AK668-K668)</f>
        <v>0</v>
      </c>
      <c r="N668" s="232">
        <v>2</v>
      </c>
      <c r="O668" s="241">
        <f>N668-G668</f>
        <v>1</v>
      </c>
      <c r="P668" s="277"/>
      <c r="Q668" s="278"/>
      <c r="R668" s="279"/>
      <c r="S668" s="279"/>
      <c r="T668" s="279"/>
      <c r="U668" s="279"/>
      <c r="V668" s="279"/>
      <c r="W668" s="279"/>
      <c r="X668" s="241"/>
      <c r="Y668" s="241"/>
      <c r="Z668" s="241"/>
      <c r="AA668" s="241"/>
      <c r="AB668" s="241">
        <v>2</v>
      </c>
      <c r="AC668" s="241"/>
      <c r="AD668" s="241"/>
      <c r="AE668" s="241"/>
      <c r="AF668" s="241"/>
      <c r="AG668" s="241"/>
      <c r="AH668" s="241"/>
      <c r="AI668" s="241"/>
      <c r="AJ668" s="241">
        <f>N668-V668</f>
        <v>2</v>
      </c>
      <c r="AK668" s="235">
        <f>G703+AL668-G668</f>
        <v>0</v>
      </c>
      <c r="AL668" s="236"/>
      <c r="AM668" s="294">
        <f>4/12</f>
        <v>0.33333333333333331</v>
      </c>
      <c r="AN668" s="295">
        <v>2</v>
      </c>
      <c r="AO668" s="296">
        <f>G668/(AN668)</f>
        <v>0.5</v>
      </c>
      <c r="AP668" s="297">
        <f>AN668*6</f>
        <v>12</v>
      </c>
      <c r="AQ668" s="290">
        <f>G668+K668</f>
        <v>3</v>
      </c>
      <c r="AR668" s="290">
        <f>IF(G668&lt;G703,(G703-G668+K703-K668),K703-K668)</f>
        <v>0</v>
      </c>
      <c r="AS668" s="290">
        <f>21-8</f>
        <v>13</v>
      </c>
    </row>
    <row r="669" spans="1:45" ht="17.25" thickBot="1" x14ac:dyDescent="0.3">
      <c r="A669" s="464"/>
      <c r="B669" s="285">
        <v>273698</v>
      </c>
      <c r="C669" s="286">
        <v>1135752</v>
      </c>
      <c r="D669" s="286" t="s">
        <v>11</v>
      </c>
      <c r="E669" s="287">
        <v>701000000000</v>
      </c>
      <c r="F669" s="253">
        <f>G704-AK669+AL669</f>
        <v>3</v>
      </c>
      <c r="G669" s="235">
        <v>3</v>
      </c>
      <c r="H669" s="394">
        <v>2</v>
      </c>
      <c r="I669" s="232">
        <v>3</v>
      </c>
      <c r="J669" s="232"/>
      <c r="K669" s="232">
        <v>0</v>
      </c>
      <c r="L669" s="232">
        <f>IF(K700=K665,L704+AK669,K669)</f>
        <v>0</v>
      </c>
      <c r="M669" s="232">
        <f>IF(K700=K665,0,L704+AK669-K669)</f>
        <v>0</v>
      </c>
      <c r="N669" s="232">
        <v>3</v>
      </c>
      <c r="O669" s="241">
        <f>N669-G669</f>
        <v>0</v>
      </c>
      <c r="P669" s="277">
        <v>2</v>
      </c>
      <c r="Q669" s="278"/>
      <c r="R669" s="279"/>
      <c r="S669" s="279"/>
      <c r="T669" s="279"/>
      <c r="U669" s="279"/>
      <c r="V669" s="279"/>
      <c r="W669" s="279">
        <v>1</v>
      </c>
      <c r="X669" s="241"/>
      <c r="Y669" s="241"/>
      <c r="Z669" s="241"/>
      <c r="AA669" s="241"/>
      <c r="AB669" s="241">
        <v>2</v>
      </c>
      <c r="AC669" s="241"/>
      <c r="AD669" s="241"/>
      <c r="AE669" s="241"/>
      <c r="AF669" s="241"/>
      <c r="AG669" s="241"/>
      <c r="AH669" s="241"/>
      <c r="AI669" s="241"/>
      <c r="AJ669" s="241">
        <f>N669-V669</f>
        <v>3</v>
      </c>
      <c r="AK669" s="235">
        <f>G704+AL669-G669</f>
        <v>0</v>
      </c>
      <c r="AL669" s="236">
        <v>3</v>
      </c>
      <c r="AM669" s="294">
        <f>4/12</f>
        <v>0.33333333333333331</v>
      </c>
      <c r="AN669" s="295">
        <v>2</v>
      </c>
      <c r="AO669" s="296">
        <f>G669/(AN669)</f>
        <v>1.5</v>
      </c>
      <c r="AP669" s="297">
        <f>AN669*6</f>
        <v>12</v>
      </c>
      <c r="AQ669" s="290">
        <f>G669+K669</f>
        <v>3</v>
      </c>
      <c r="AR669" s="290">
        <f>IF(G669&lt;G704,(G704-G669+K704-K669),K704-K669)</f>
        <v>0</v>
      </c>
      <c r="AS669" s="290">
        <f>21-8</f>
        <v>13</v>
      </c>
    </row>
    <row r="670" spans="1:45" ht="17.25" thickBot="1" x14ac:dyDescent="0.3">
      <c r="A670" s="465"/>
      <c r="B670" s="285">
        <v>273680</v>
      </c>
      <c r="C670" s="286">
        <v>1135751</v>
      </c>
      <c r="D670" s="286" t="s">
        <v>12</v>
      </c>
      <c r="E670" s="286" t="s">
        <v>13</v>
      </c>
      <c r="F670" s="254">
        <f>G705-AK670+AL670</f>
        <v>15</v>
      </c>
      <c r="G670" s="237">
        <v>15</v>
      </c>
      <c r="H670" s="395">
        <v>8</v>
      </c>
      <c r="I670" s="238">
        <v>15</v>
      </c>
      <c r="J670" s="238"/>
      <c r="K670" s="238">
        <v>3</v>
      </c>
      <c r="L670" s="238">
        <f>IF(K700=K665,L705+AK670,K670)</f>
        <v>3</v>
      </c>
      <c r="M670" s="238">
        <f>IF(K700=K665,0,L705+AK670-K670)</f>
        <v>0</v>
      </c>
      <c r="N670" s="238">
        <v>9</v>
      </c>
      <c r="O670" s="242">
        <f>N670-G670</f>
        <v>-6</v>
      </c>
      <c r="P670" s="280"/>
      <c r="Q670" s="281"/>
      <c r="R670" s="282"/>
      <c r="S670" s="282"/>
      <c r="T670" s="282">
        <v>11</v>
      </c>
      <c r="U670" s="282"/>
      <c r="V670" s="282"/>
      <c r="W670" s="282">
        <v>9</v>
      </c>
      <c r="X670" s="242"/>
      <c r="Y670" s="242">
        <v>9</v>
      </c>
      <c r="Z670" s="242"/>
      <c r="AA670" s="242"/>
      <c r="AB670" s="242">
        <v>5</v>
      </c>
      <c r="AC670" s="242"/>
      <c r="AD670" s="242"/>
      <c r="AE670" s="242"/>
      <c r="AF670" s="242"/>
      <c r="AG670" s="242"/>
      <c r="AH670" s="242"/>
      <c r="AI670" s="242"/>
      <c r="AJ670" s="242">
        <f>N670-V670</f>
        <v>9</v>
      </c>
      <c r="AK670" s="235">
        <f>G705+AL670-G670</f>
        <v>0</v>
      </c>
      <c r="AL670" s="239"/>
      <c r="AM670" s="299">
        <f>30/12</f>
        <v>2.5</v>
      </c>
      <c r="AN670" s="300">
        <f>AM670*2</f>
        <v>5</v>
      </c>
      <c r="AO670" s="301">
        <f>G670/(AN670)</f>
        <v>3</v>
      </c>
      <c r="AP670" s="302">
        <f>AN670*6</f>
        <v>30</v>
      </c>
      <c r="AQ670" s="290">
        <f>G670+K670</f>
        <v>18</v>
      </c>
      <c r="AR670" s="290">
        <f>IF(G670&lt;G705,(G705-G670+K705-K670),K705-K670)</f>
        <v>0</v>
      </c>
      <c r="AS670" s="290">
        <f>21-8</f>
        <v>13</v>
      </c>
    </row>
    <row r="671" spans="1:45" ht="17.25" thickBot="1" x14ac:dyDescent="0.3">
      <c r="A671" s="466" t="s">
        <v>417</v>
      </c>
      <c r="B671" s="355" t="s">
        <v>129</v>
      </c>
      <c r="C671" s="356"/>
      <c r="D671" s="356"/>
      <c r="E671" s="359"/>
      <c r="F671" s="359"/>
      <c r="G671" s="356"/>
      <c r="H671" s="396"/>
      <c r="I671" s="356"/>
      <c r="J671" s="356"/>
      <c r="K671" s="356"/>
      <c r="L671" s="356"/>
      <c r="M671" s="356"/>
      <c r="N671" s="356"/>
      <c r="O671" s="356"/>
      <c r="P671" s="356"/>
      <c r="Q671" s="356"/>
      <c r="R671" s="356"/>
      <c r="S671" s="356"/>
      <c r="T671" s="356"/>
      <c r="U671" s="356"/>
      <c r="V671" s="356"/>
      <c r="W671" s="356"/>
      <c r="X671" s="356"/>
      <c r="Y671" s="356"/>
      <c r="Z671" s="356"/>
      <c r="AA671" s="356"/>
      <c r="AB671" s="356"/>
      <c r="AC671" s="356"/>
      <c r="AD671" s="356"/>
      <c r="AE671" s="356"/>
      <c r="AF671" s="356"/>
      <c r="AG671" s="356"/>
      <c r="AH671" s="356"/>
      <c r="AI671" s="356"/>
      <c r="AJ671" s="356"/>
      <c r="AK671" s="356"/>
      <c r="AL671" s="367"/>
      <c r="AM671" s="356"/>
      <c r="AN671" s="356"/>
      <c r="AO671" s="356"/>
      <c r="AP671" s="356"/>
      <c r="AQ671" s="356"/>
      <c r="AR671" s="356"/>
      <c r="AS671" s="357"/>
    </row>
    <row r="672" spans="1:45" ht="17.25" thickBot="1" x14ac:dyDescent="0.3">
      <c r="A672" s="467"/>
      <c r="B672" s="354"/>
      <c r="C672" s="354">
        <v>1140327</v>
      </c>
      <c r="D672" s="358" t="s">
        <v>394</v>
      </c>
      <c r="E672" s="360"/>
      <c r="F672" s="361">
        <f>G707-AK672+AL672</f>
        <v>11</v>
      </c>
      <c r="G672" s="218">
        <v>11</v>
      </c>
      <c r="H672" s="397">
        <v>23</v>
      </c>
      <c r="I672" s="218">
        <v>11</v>
      </c>
      <c r="J672" s="218"/>
      <c r="K672" s="218">
        <v>9</v>
      </c>
      <c r="L672" s="218">
        <f>IF(K700=K665,L707+AK672,K672)</f>
        <v>9</v>
      </c>
      <c r="M672" s="218">
        <f>IF(K700=K665,0,L707+AK672-K672)</f>
        <v>1</v>
      </c>
      <c r="N672" s="218"/>
      <c r="O672" s="218"/>
      <c r="P672" s="352"/>
      <c r="Q672" s="352"/>
      <c r="R672" s="352"/>
      <c r="S672" s="352"/>
      <c r="T672" s="352"/>
      <c r="U672" s="352"/>
      <c r="V672" s="218"/>
      <c r="W672" s="218"/>
      <c r="X672" s="218">
        <v>4</v>
      </c>
      <c r="Y672" s="218">
        <v>9</v>
      </c>
      <c r="Z672" s="218">
        <v>14</v>
      </c>
      <c r="AA672" s="218">
        <v>8</v>
      </c>
      <c r="AB672" s="218">
        <f>14+6</f>
        <v>20</v>
      </c>
      <c r="AC672" s="218">
        <v>10</v>
      </c>
      <c r="AD672" s="218">
        <v>6</v>
      </c>
      <c r="AE672" s="218"/>
      <c r="AF672" s="218"/>
      <c r="AG672" s="218"/>
      <c r="AH672" s="218"/>
      <c r="AI672" s="218"/>
      <c r="AJ672" s="242">
        <f>N672-V672</f>
        <v>0</v>
      </c>
      <c r="AK672" s="274">
        <f>G707+AL672-G672</f>
        <v>6</v>
      </c>
      <c r="AL672" s="232"/>
      <c r="AM672" s="353"/>
      <c r="AN672" s="295"/>
      <c r="AO672" s="296"/>
      <c r="AP672" s="353"/>
      <c r="AQ672" s="290"/>
      <c r="AR672" s="290"/>
      <c r="AS672" s="290"/>
    </row>
    <row r="673" spans="1:45" ht="17.25" thickBot="1" x14ac:dyDescent="0.3">
      <c r="A673" s="467"/>
      <c r="B673" s="354"/>
      <c r="C673" s="285">
        <v>1151231</v>
      </c>
      <c r="D673" s="358" t="s">
        <v>395</v>
      </c>
      <c r="E673" s="360"/>
      <c r="F673" s="361">
        <f>G708-AK673+AL673</f>
        <v>10</v>
      </c>
      <c r="G673" s="369">
        <v>10</v>
      </c>
      <c r="H673" s="397">
        <v>13</v>
      </c>
      <c r="I673" s="218">
        <v>10</v>
      </c>
      <c r="J673" s="218"/>
      <c r="K673" s="218">
        <v>8</v>
      </c>
      <c r="L673" s="218">
        <f>IF(K700=K665,L708+AK673,K673)</f>
        <v>8</v>
      </c>
      <c r="M673" s="218">
        <f>IF(K700=K665,0,L708+AK673-K673)</f>
        <v>0</v>
      </c>
      <c r="N673" s="218"/>
      <c r="O673" s="218"/>
      <c r="P673" s="352"/>
      <c r="Q673" s="352"/>
      <c r="R673" s="352"/>
      <c r="S673" s="352"/>
      <c r="T673" s="352"/>
      <c r="U673" s="352"/>
      <c r="V673" s="218"/>
      <c r="W673" s="218"/>
      <c r="X673" s="218">
        <v>3</v>
      </c>
      <c r="Y673" s="218">
        <v>8</v>
      </c>
      <c r="Z673" s="218">
        <v>6</v>
      </c>
      <c r="AA673" s="218"/>
      <c r="AB673" s="218">
        <v>4</v>
      </c>
      <c r="AC673" s="218">
        <v>4</v>
      </c>
      <c r="AD673" s="218"/>
      <c r="AE673" s="218"/>
      <c r="AF673" s="218"/>
      <c r="AG673" s="218"/>
      <c r="AH673" s="218"/>
      <c r="AI673" s="218"/>
      <c r="AJ673" s="242">
        <f>N673-V673</f>
        <v>0</v>
      </c>
      <c r="AK673" s="274">
        <f>G708+AL673-G673</f>
        <v>0</v>
      </c>
      <c r="AL673" s="232"/>
      <c r="AM673" s="353"/>
      <c r="AN673" s="295"/>
      <c r="AO673" s="296"/>
      <c r="AP673" s="353"/>
      <c r="AQ673" s="290"/>
      <c r="AR673" s="290"/>
      <c r="AS673" s="290"/>
    </row>
    <row r="674" spans="1:45" ht="17.25" thickBot="1" x14ac:dyDescent="0.3">
      <c r="A674" s="467"/>
      <c r="B674" s="355" t="s">
        <v>420</v>
      </c>
      <c r="C674" s="356"/>
      <c r="D674" s="356" t="s">
        <v>523</v>
      </c>
      <c r="E674" s="359"/>
      <c r="F674" s="359"/>
      <c r="G674" s="356"/>
      <c r="H674" s="396"/>
      <c r="I674" s="356"/>
      <c r="J674" s="356"/>
      <c r="K674" s="356"/>
      <c r="L674" s="356"/>
      <c r="M674" s="356"/>
      <c r="N674" s="356"/>
      <c r="O674" s="356"/>
      <c r="P674" s="356"/>
      <c r="Q674" s="356"/>
      <c r="R674" s="356"/>
      <c r="S674" s="356"/>
      <c r="T674" s="356"/>
      <c r="U674" s="356"/>
      <c r="V674" s="356"/>
      <c r="W674" s="356"/>
      <c r="X674" s="356"/>
      <c r="Y674" s="356"/>
      <c r="Z674" s="356"/>
      <c r="AA674" s="356"/>
      <c r="AB674" s="356"/>
      <c r="AC674" s="356"/>
      <c r="AD674" s="356"/>
      <c r="AE674" s="356"/>
      <c r="AF674" s="356"/>
      <c r="AG674" s="356"/>
      <c r="AH674" s="356"/>
      <c r="AI674" s="356"/>
      <c r="AJ674" s="356"/>
      <c r="AK674" s="356"/>
      <c r="AL674" s="368"/>
      <c r="AM674" s="356"/>
      <c r="AN674" s="356"/>
      <c r="AO674" s="356"/>
      <c r="AP674" s="356"/>
      <c r="AQ674" s="356"/>
      <c r="AR674" s="356"/>
      <c r="AS674" s="357"/>
    </row>
    <row r="675" spans="1:45" ht="17.25" thickBot="1" x14ac:dyDescent="0.3">
      <c r="A675" s="467"/>
      <c r="B675" s="354"/>
      <c r="C675" s="285">
        <v>1146032</v>
      </c>
      <c r="D675" s="358" t="s">
        <v>396</v>
      </c>
      <c r="E675" s="360"/>
      <c r="F675" s="361">
        <f>G710-AK675+AL675</f>
        <v>0</v>
      </c>
      <c r="G675" s="364">
        <v>0</v>
      </c>
      <c r="H675" s="397">
        <v>1</v>
      </c>
      <c r="I675" s="364">
        <v>0</v>
      </c>
      <c r="J675" s="364"/>
      <c r="K675" s="364">
        <v>2</v>
      </c>
      <c r="L675" s="218"/>
      <c r="M675" s="218"/>
      <c r="N675" s="218"/>
      <c r="O675" s="218"/>
      <c r="P675" s="352"/>
      <c r="Q675" s="352"/>
      <c r="R675" s="352"/>
      <c r="S675" s="352"/>
      <c r="T675" s="352"/>
      <c r="U675" s="352"/>
      <c r="V675" s="218"/>
      <c r="W675" s="218"/>
      <c r="X675" s="218"/>
      <c r="Y675" s="218"/>
      <c r="Z675" s="218"/>
      <c r="AA675" s="218"/>
      <c r="AB675" s="218"/>
      <c r="AC675" s="218"/>
      <c r="AD675" s="218"/>
      <c r="AE675" s="218"/>
      <c r="AF675" s="218"/>
      <c r="AG675" s="218"/>
      <c r="AH675" s="218"/>
      <c r="AI675" s="218"/>
      <c r="AJ675" s="218"/>
      <c r="AK675" s="218">
        <f>G710+AL675-G675</f>
        <v>0</v>
      </c>
      <c r="AL675" s="218"/>
      <c r="AM675" s="353"/>
      <c r="AN675" s="295"/>
      <c r="AO675" s="296"/>
      <c r="AP675" s="353"/>
      <c r="AQ675" s="290"/>
      <c r="AR675" s="290"/>
      <c r="AS675" s="290"/>
    </row>
    <row r="676" spans="1:45" ht="17.25" thickBot="1" x14ac:dyDescent="0.3">
      <c r="A676" s="467"/>
      <c r="B676" s="354"/>
      <c r="C676" s="285">
        <v>1146021</v>
      </c>
      <c r="D676" s="358" t="s">
        <v>397</v>
      </c>
      <c r="E676" s="360"/>
      <c r="F676" s="361">
        <f>G711-AK676+AL676</f>
        <v>0</v>
      </c>
      <c r="G676" s="364">
        <v>0</v>
      </c>
      <c r="H676" s="397">
        <v>2</v>
      </c>
      <c r="I676" s="364">
        <v>0</v>
      </c>
      <c r="J676" s="364"/>
      <c r="K676" s="364">
        <v>0</v>
      </c>
      <c r="L676" s="218"/>
      <c r="M676" s="218"/>
      <c r="N676" s="218"/>
      <c r="O676" s="218"/>
      <c r="P676" s="352"/>
      <c r="Q676" s="352"/>
      <c r="R676" s="352"/>
      <c r="S676" s="352"/>
      <c r="T676" s="352"/>
      <c r="U676" s="352"/>
      <c r="V676" s="218"/>
      <c r="W676" s="218"/>
      <c r="X676" s="218"/>
      <c r="Y676" s="218"/>
      <c r="Z676" s="218"/>
      <c r="AA676" s="218"/>
      <c r="AB676" s="218"/>
      <c r="AC676" s="218"/>
      <c r="AD676" s="218"/>
      <c r="AE676" s="218"/>
      <c r="AF676" s="218"/>
      <c r="AG676" s="218"/>
      <c r="AH676" s="218"/>
      <c r="AI676" s="218"/>
      <c r="AJ676" s="218"/>
      <c r="AK676" s="218">
        <f>G711+AL676-G676</f>
        <v>0</v>
      </c>
      <c r="AL676" s="218"/>
      <c r="AM676" s="353"/>
      <c r="AN676" s="295"/>
      <c r="AO676" s="296"/>
      <c r="AP676" s="353"/>
      <c r="AQ676" s="290"/>
      <c r="AR676" s="290"/>
      <c r="AS676" s="290"/>
    </row>
    <row r="677" spans="1:45" ht="17.25" thickBot="1" x14ac:dyDescent="0.3">
      <c r="A677" s="467"/>
      <c r="B677" s="354"/>
      <c r="C677" s="285">
        <v>1146018</v>
      </c>
      <c r="D677" s="358" t="s">
        <v>398</v>
      </c>
      <c r="E677" s="360"/>
      <c r="F677" s="361">
        <f>G712-AK677+AL677</f>
        <v>0</v>
      </c>
      <c r="G677" s="369">
        <v>0</v>
      </c>
      <c r="H677" s="397">
        <v>1</v>
      </c>
      <c r="I677" s="364">
        <v>0</v>
      </c>
      <c r="J677" s="364"/>
      <c r="K677" s="364">
        <v>2</v>
      </c>
      <c r="L677" s="218"/>
      <c r="M677" s="218"/>
      <c r="N677" s="218"/>
      <c r="O677" s="218"/>
      <c r="P677" s="352"/>
      <c r="Q677" s="352"/>
      <c r="R677" s="352"/>
      <c r="S677" s="352"/>
      <c r="T677" s="352"/>
      <c r="U677" s="352"/>
      <c r="V677" s="218"/>
      <c r="W677" s="218"/>
      <c r="X677" s="218"/>
      <c r="Y677" s="218"/>
      <c r="Z677" s="218"/>
      <c r="AA677" s="218"/>
      <c r="AB677" s="218">
        <v>2</v>
      </c>
      <c r="AC677" s="218"/>
      <c r="AD677" s="218"/>
      <c r="AE677" s="218"/>
      <c r="AF677" s="218"/>
      <c r="AG677" s="218"/>
      <c r="AH677" s="218"/>
      <c r="AI677" s="218"/>
      <c r="AJ677" s="218"/>
      <c r="AK677" s="218">
        <f>G712+AL677-G677</f>
        <v>0</v>
      </c>
      <c r="AL677" s="218"/>
      <c r="AM677" s="353"/>
      <c r="AN677" s="295"/>
      <c r="AO677" s="296"/>
      <c r="AP677" s="353"/>
      <c r="AQ677" s="290"/>
      <c r="AR677" s="290"/>
      <c r="AS677" s="290"/>
    </row>
    <row r="678" spans="1:45" ht="17.25" thickBot="1" x14ac:dyDescent="0.3">
      <c r="A678" s="467"/>
      <c r="B678" s="354"/>
      <c r="C678" s="285">
        <v>1146024</v>
      </c>
      <c r="D678" s="358" t="s">
        <v>399</v>
      </c>
      <c r="E678" s="360"/>
      <c r="F678" s="361">
        <v>1</v>
      </c>
      <c r="G678" s="369">
        <v>1</v>
      </c>
      <c r="H678" s="369">
        <v>2</v>
      </c>
      <c r="I678" s="369">
        <v>1</v>
      </c>
      <c r="J678" s="369"/>
      <c r="K678" s="369">
        <v>0</v>
      </c>
      <c r="L678" s="218"/>
      <c r="M678" s="218"/>
      <c r="N678" s="218"/>
      <c r="O678" s="218"/>
      <c r="P678" s="352"/>
      <c r="Q678" s="352"/>
      <c r="R678" s="352"/>
      <c r="S678" s="352"/>
      <c r="T678" s="352"/>
      <c r="U678" s="352"/>
      <c r="V678" s="218"/>
      <c r="W678" s="218"/>
      <c r="X678" s="218"/>
      <c r="Y678" s="218"/>
      <c r="Z678" s="218"/>
      <c r="AA678" s="218">
        <v>1</v>
      </c>
      <c r="AB678" s="218">
        <v>1</v>
      </c>
      <c r="AC678" s="218"/>
      <c r="AD678" s="218"/>
      <c r="AE678" s="218"/>
      <c r="AF678" s="218"/>
      <c r="AG678" s="218"/>
      <c r="AH678" s="218"/>
      <c r="AI678" s="218"/>
      <c r="AJ678" s="218"/>
      <c r="AK678" s="218">
        <f>G713+AL678-G678</f>
        <v>0</v>
      </c>
      <c r="AL678" s="218"/>
      <c r="AM678" s="353"/>
      <c r="AN678" s="295"/>
      <c r="AO678" s="296"/>
      <c r="AP678" s="353"/>
      <c r="AQ678" s="290"/>
      <c r="AR678" s="290"/>
      <c r="AS678" s="290"/>
    </row>
    <row r="679" spans="1:45" ht="17.25" thickBot="1" x14ac:dyDescent="0.3">
      <c r="A679" s="467"/>
      <c r="B679" s="354"/>
      <c r="C679" s="285">
        <v>1146028</v>
      </c>
      <c r="D679" s="358" t="s">
        <v>400</v>
      </c>
      <c r="E679" s="360"/>
      <c r="F679" s="361">
        <f>G714-AK679+AL679</f>
        <v>0</v>
      </c>
      <c r="G679" s="364">
        <v>0</v>
      </c>
      <c r="H679" s="397">
        <v>2</v>
      </c>
      <c r="I679" s="364">
        <v>0</v>
      </c>
      <c r="J679" s="364"/>
      <c r="K679" s="364">
        <v>1</v>
      </c>
      <c r="L679" s="218"/>
      <c r="M679" s="218"/>
      <c r="N679" s="218"/>
      <c r="O679" s="218"/>
      <c r="P679" s="352"/>
      <c r="Q679" s="352"/>
      <c r="R679" s="352"/>
      <c r="S679" s="352"/>
      <c r="T679" s="352"/>
      <c r="U679" s="352"/>
      <c r="V679" s="218"/>
      <c r="W679" s="218"/>
      <c r="X679" s="218"/>
      <c r="Y679" s="218"/>
      <c r="Z679" s="218"/>
      <c r="AA679" s="218"/>
      <c r="AB679" s="218"/>
      <c r="AC679" s="218"/>
      <c r="AD679" s="218">
        <v>2</v>
      </c>
      <c r="AE679" s="218"/>
      <c r="AF679" s="218"/>
      <c r="AG679" s="218"/>
      <c r="AH679" s="218"/>
      <c r="AI679" s="218"/>
      <c r="AJ679" s="218"/>
      <c r="AK679" s="218">
        <f>G714+AL679-G679</f>
        <v>2</v>
      </c>
      <c r="AL679" s="218"/>
      <c r="AM679" s="353"/>
      <c r="AN679" s="295"/>
      <c r="AO679" s="296"/>
      <c r="AP679" s="353"/>
      <c r="AQ679" s="290"/>
      <c r="AR679" s="290"/>
      <c r="AS679" s="290"/>
    </row>
    <row r="680" spans="1:45" ht="17.25" thickBot="1" x14ac:dyDescent="0.3">
      <c r="A680" s="467"/>
      <c r="B680" s="355" t="s">
        <v>419</v>
      </c>
      <c r="C680" s="356"/>
      <c r="D680" s="356"/>
      <c r="E680" s="359"/>
      <c r="F680" s="359"/>
      <c r="G680" s="356"/>
      <c r="H680" s="396"/>
      <c r="I680" s="356"/>
      <c r="J680" s="356"/>
      <c r="K680" s="356"/>
      <c r="L680" s="356"/>
      <c r="M680" s="356"/>
      <c r="N680" s="356"/>
      <c r="O680" s="356"/>
      <c r="P680" s="356"/>
      <c r="Q680" s="356"/>
      <c r="R680" s="356"/>
      <c r="S680" s="356"/>
      <c r="T680" s="356"/>
      <c r="U680" s="356"/>
      <c r="V680" s="356"/>
      <c r="W680" s="356"/>
      <c r="X680" s="356"/>
      <c r="Y680" s="356"/>
      <c r="Z680" s="356"/>
      <c r="AA680" s="356"/>
      <c r="AB680" s="356"/>
      <c r="AC680" s="356"/>
      <c r="AD680" s="356"/>
      <c r="AE680" s="356"/>
      <c r="AF680" s="356"/>
      <c r="AG680" s="356"/>
      <c r="AH680" s="356"/>
      <c r="AI680" s="356"/>
      <c r="AJ680" s="356"/>
      <c r="AK680" s="356"/>
      <c r="AL680" s="356"/>
      <c r="AM680" s="356"/>
      <c r="AN680" s="356"/>
      <c r="AO680" s="356"/>
      <c r="AP680" s="356"/>
      <c r="AQ680" s="356"/>
      <c r="AR680" s="356"/>
      <c r="AS680" s="357"/>
    </row>
    <row r="681" spans="1:45" ht="17.25" thickBot="1" x14ac:dyDescent="0.3">
      <c r="A681" s="467"/>
      <c r="B681" s="372"/>
      <c r="C681" s="373">
        <v>1146031</v>
      </c>
      <c r="D681" s="374" t="s">
        <v>401</v>
      </c>
      <c r="E681" s="375"/>
      <c r="F681" s="376">
        <f>G716-AK681+AL681</f>
        <v>0</v>
      </c>
      <c r="G681" s="377">
        <v>0</v>
      </c>
      <c r="H681" s="397">
        <v>1</v>
      </c>
      <c r="I681" s="377">
        <v>1</v>
      </c>
      <c r="J681" s="377"/>
      <c r="K681" s="377">
        <v>2</v>
      </c>
      <c r="L681" s="377"/>
      <c r="M681" s="377"/>
      <c r="N681" s="377"/>
      <c r="O681" s="377"/>
      <c r="P681" s="377"/>
      <c r="Q681" s="377"/>
      <c r="R681" s="377"/>
      <c r="S681" s="377"/>
      <c r="T681" s="377"/>
      <c r="U681" s="377"/>
      <c r="V681" s="377"/>
      <c r="W681" s="377"/>
      <c r="X681" s="377"/>
      <c r="Y681" s="377"/>
      <c r="Z681" s="377"/>
      <c r="AA681" s="377"/>
      <c r="AB681" s="377"/>
      <c r="AC681" s="377"/>
      <c r="AD681" s="377"/>
      <c r="AE681" s="377"/>
      <c r="AF681" s="377"/>
      <c r="AG681" s="377"/>
      <c r="AH681" s="377"/>
      <c r="AI681" s="377"/>
      <c r="AJ681" s="377"/>
      <c r="AK681" s="377">
        <f>G716+AL681-G681</f>
        <v>0</v>
      </c>
      <c r="AL681" s="377"/>
      <c r="AM681" s="378"/>
      <c r="AN681" s="379"/>
      <c r="AO681" s="380"/>
      <c r="AP681" s="378"/>
      <c r="AQ681" s="381"/>
      <c r="AR681" s="381"/>
      <c r="AS681" s="381"/>
    </row>
    <row r="682" spans="1:45" ht="17.25" thickBot="1" x14ac:dyDescent="0.3">
      <c r="A682" s="467"/>
      <c r="B682" s="372"/>
      <c r="C682" s="373">
        <v>1146020</v>
      </c>
      <c r="D682" s="374" t="s">
        <v>402</v>
      </c>
      <c r="E682" s="375"/>
      <c r="F682" s="376">
        <f>G717-AK682+AL682</f>
        <v>0</v>
      </c>
      <c r="G682" s="377">
        <v>0</v>
      </c>
      <c r="H682" s="397">
        <v>1</v>
      </c>
      <c r="I682" s="377">
        <v>0</v>
      </c>
      <c r="J682" s="377"/>
      <c r="K682" s="377">
        <v>0</v>
      </c>
      <c r="L682" s="377"/>
      <c r="M682" s="377"/>
      <c r="N682" s="377"/>
      <c r="O682" s="377"/>
      <c r="P682" s="377"/>
      <c r="Q682" s="377"/>
      <c r="R682" s="377"/>
      <c r="S682" s="377"/>
      <c r="T682" s="377"/>
      <c r="U682" s="377"/>
      <c r="V682" s="377"/>
      <c r="W682" s="377"/>
      <c r="X682" s="377"/>
      <c r="Y682" s="377"/>
      <c r="Z682" s="377"/>
      <c r="AA682" s="377"/>
      <c r="AB682" s="377"/>
      <c r="AC682" s="377"/>
      <c r="AD682" s="377"/>
      <c r="AE682" s="377"/>
      <c r="AF682" s="377"/>
      <c r="AG682" s="377"/>
      <c r="AH682" s="377"/>
      <c r="AI682" s="377"/>
      <c r="AJ682" s="377"/>
      <c r="AK682" s="377">
        <f>G717+AL682-G682</f>
        <v>0</v>
      </c>
      <c r="AL682" s="377"/>
      <c r="AM682" s="378"/>
      <c r="AN682" s="379"/>
      <c r="AO682" s="380"/>
      <c r="AP682" s="378"/>
      <c r="AQ682" s="381"/>
      <c r="AR682" s="381"/>
      <c r="AS682" s="381"/>
    </row>
    <row r="683" spans="1:45" ht="17.25" thickBot="1" x14ac:dyDescent="0.3">
      <c r="A683" s="467"/>
      <c r="B683" s="372"/>
      <c r="C683" s="373">
        <v>1146016</v>
      </c>
      <c r="D683" s="374" t="s">
        <v>398</v>
      </c>
      <c r="E683" s="375"/>
      <c r="F683" s="376">
        <f>G718-AK683+AL683</f>
        <v>0</v>
      </c>
      <c r="G683" s="377">
        <v>0</v>
      </c>
      <c r="H683" s="397">
        <v>1</v>
      </c>
      <c r="I683" s="377">
        <v>0</v>
      </c>
      <c r="J683" s="377"/>
      <c r="K683" s="377">
        <v>0</v>
      </c>
      <c r="L683" s="377"/>
      <c r="M683" s="377"/>
      <c r="N683" s="377"/>
      <c r="O683" s="377"/>
      <c r="P683" s="377"/>
      <c r="Q683" s="377"/>
      <c r="R683" s="377"/>
      <c r="S683" s="377"/>
      <c r="T683" s="377"/>
      <c r="U683" s="377"/>
      <c r="V683" s="377"/>
      <c r="W683" s="377"/>
      <c r="X683" s="377"/>
      <c r="Y683" s="377"/>
      <c r="Z683" s="377"/>
      <c r="AA683" s="377"/>
      <c r="AB683" s="377"/>
      <c r="AC683" s="377"/>
      <c r="AD683" s="377"/>
      <c r="AE683" s="377"/>
      <c r="AF683" s="377"/>
      <c r="AG683" s="377"/>
      <c r="AH683" s="377"/>
      <c r="AI683" s="377"/>
      <c r="AJ683" s="377"/>
      <c r="AK683" s="377">
        <f>G718+AL683-G683</f>
        <v>0</v>
      </c>
      <c r="AL683" s="377"/>
      <c r="AM683" s="378"/>
      <c r="AN683" s="379"/>
      <c r="AO683" s="380"/>
      <c r="AP683" s="378"/>
      <c r="AQ683" s="381"/>
      <c r="AR683" s="381"/>
      <c r="AS683" s="381"/>
    </row>
    <row r="684" spans="1:45" ht="17.25" thickBot="1" x14ac:dyDescent="0.3">
      <c r="A684" s="467"/>
      <c r="B684" s="372"/>
      <c r="C684" s="373">
        <v>1146022</v>
      </c>
      <c r="D684" s="374" t="s">
        <v>403</v>
      </c>
      <c r="E684" s="375"/>
      <c r="F684" s="376">
        <f>G719-AK684+AL684</f>
        <v>0</v>
      </c>
      <c r="G684" s="377">
        <v>0</v>
      </c>
      <c r="H684" s="397">
        <v>2</v>
      </c>
      <c r="I684" s="377">
        <v>0</v>
      </c>
      <c r="J684" s="377"/>
      <c r="K684" s="377">
        <v>0</v>
      </c>
      <c r="L684" s="377"/>
      <c r="M684" s="377"/>
      <c r="N684" s="377"/>
      <c r="O684" s="377"/>
      <c r="P684" s="377"/>
      <c r="Q684" s="377"/>
      <c r="R684" s="377"/>
      <c r="S684" s="377"/>
      <c r="T684" s="377"/>
      <c r="U684" s="377"/>
      <c r="V684" s="377"/>
      <c r="W684" s="377"/>
      <c r="X684" s="377"/>
      <c r="Y684" s="377"/>
      <c r="Z684" s="377"/>
      <c r="AA684" s="377"/>
      <c r="AB684" s="377"/>
      <c r="AC684" s="377"/>
      <c r="AD684" s="377"/>
      <c r="AE684" s="377"/>
      <c r="AF684" s="377"/>
      <c r="AG684" s="377"/>
      <c r="AH684" s="377"/>
      <c r="AI684" s="377"/>
      <c r="AJ684" s="377"/>
      <c r="AK684" s="377">
        <f>G719+AL684-G684</f>
        <v>0</v>
      </c>
      <c r="AL684" s="377"/>
      <c r="AM684" s="378"/>
      <c r="AN684" s="379"/>
      <c r="AO684" s="380"/>
      <c r="AP684" s="378"/>
      <c r="AQ684" s="381"/>
      <c r="AR684" s="381"/>
      <c r="AS684" s="381"/>
    </row>
    <row r="685" spans="1:45" ht="17.25" thickBot="1" x14ac:dyDescent="0.3">
      <c r="A685" s="467"/>
      <c r="B685" s="372"/>
      <c r="C685" s="373">
        <v>1146027</v>
      </c>
      <c r="D685" s="374" t="s">
        <v>404</v>
      </c>
      <c r="E685" s="375"/>
      <c r="F685" s="376">
        <f>G720-AK685+AL685</f>
        <v>0</v>
      </c>
      <c r="G685" s="377">
        <v>0</v>
      </c>
      <c r="H685" s="397">
        <v>2</v>
      </c>
      <c r="I685" s="377">
        <v>1</v>
      </c>
      <c r="J685" s="377"/>
      <c r="K685" s="377">
        <v>1</v>
      </c>
      <c r="L685" s="377"/>
      <c r="M685" s="377"/>
      <c r="N685" s="377"/>
      <c r="O685" s="377"/>
      <c r="P685" s="377"/>
      <c r="Q685" s="377"/>
      <c r="R685" s="377"/>
      <c r="S685" s="377"/>
      <c r="T685" s="377"/>
      <c r="U685" s="377"/>
      <c r="V685" s="377"/>
      <c r="W685" s="377"/>
      <c r="X685" s="377"/>
      <c r="Y685" s="377"/>
      <c r="Z685" s="377"/>
      <c r="AA685" s="377"/>
      <c r="AB685" s="377"/>
      <c r="AC685" s="377"/>
      <c r="AD685" s="377"/>
      <c r="AE685" s="377"/>
      <c r="AF685" s="377"/>
      <c r="AG685" s="377"/>
      <c r="AH685" s="377"/>
      <c r="AI685" s="377"/>
      <c r="AJ685" s="377"/>
      <c r="AK685" s="377">
        <f>G720+AL685-G685</f>
        <v>0</v>
      </c>
      <c r="AL685" s="377"/>
      <c r="AM685" s="378"/>
      <c r="AN685" s="379"/>
      <c r="AO685" s="380"/>
      <c r="AP685" s="378"/>
      <c r="AQ685" s="381"/>
      <c r="AR685" s="381"/>
      <c r="AS685" s="381"/>
    </row>
    <row r="686" spans="1:45" ht="17.25" thickBot="1" x14ac:dyDescent="0.3">
      <c r="A686" s="467"/>
      <c r="B686" s="355" t="s">
        <v>418</v>
      </c>
      <c r="C686" s="356"/>
      <c r="D686" s="356"/>
      <c r="E686" s="359"/>
      <c r="F686" s="359"/>
      <c r="G686" s="356"/>
      <c r="H686" s="396"/>
      <c r="I686" s="356"/>
      <c r="J686" s="356"/>
      <c r="K686" s="356"/>
      <c r="L686" s="356"/>
      <c r="M686" s="356"/>
      <c r="N686" s="356"/>
      <c r="O686" s="356"/>
      <c r="P686" s="356"/>
      <c r="Q686" s="356"/>
      <c r="R686" s="356"/>
      <c r="S686" s="356"/>
      <c r="T686" s="356"/>
      <c r="U686" s="356"/>
      <c r="V686" s="356"/>
      <c r="W686" s="356"/>
      <c r="X686" s="356"/>
      <c r="Y686" s="356"/>
      <c r="Z686" s="356"/>
      <c r="AA686" s="356"/>
      <c r="AB686" s="356"/>
      <c r="AC686" s="356"/>
      <c r="AD686" s="356"/>
      <c r="AE686" s="356"/>
      <c r="AF686" s="356"/>
      <c r="AG686" s="356"/>
      <c r="AH686" s="356"/>
      <c r="AI686" s="356"/>
      <c r="AJ686" s="356"/>
      <c r="AK686" s="356"/>
      <c r="AL686" s="356"/>
      <c r="AM686" s="356"/>
      <c r="AN686" s="356"/>
      <c r="AO686" s="356"/>
      <c r="AP686" s="356"/>
      <c r="AQ686" s="356"/>
      <c r="AR686" s="356"/>
      <c r="AS686" s="357"/>
    </row>
    <row r="687" spans="1:45" ht="17.25" thickBot="1" x14ac:dyDescent="0.3">
      <c r="A687" s="467"/>
      <c r="B687" s="354"/>
      <c r="C687" s="285">
        <v>1151653</v>
      </c>
      <c r="D687" s="358" t="s">
        <v>405</v>
      </c>
      <c r="E687" s="360"/>
      <c r="F687" s="361">
        <f>G722-AK687+AL687</f>
        <v>0</v>
      </c>
      <c r="G687" s="364">
        <v>0</v>
      </c>
      <c r="H687" s="397">
        <v>1</v>
      </c>
      <c r="I687" s="364">
        <v>1</v>
      </c>
      <c r="J687" s="364"/>
      <c r="K687" s="364">
        <v>1</v>
      </c>
      <c r="L687" s="218"/>
      <c r="M687" s="218"/>
      <c r="N687" s="218"/>
      <c r="O687" s="218"/>
      <c r="P687" s="352"/>
      <c r="Q687" s="352"/>
      <c r="R687" s="352"/>
      <c r="S687" s="352"/>
      <c r="T687" s="352"/>
      <c r="U687" s="352"/>
      <c r="V687" s="218"/>
      <c r="W687" s="218"/>
      <c r="X687" s="218"/>
      <c r="Y687" s="218"/>
      <c r="Z687" s="218"/>
      <c r="AA687" s="218"/>
      <c r="AB687" s="218"/>
      <c r="AC687" s="218"/>
      <c r="AD687" s="218"/>
      <c r="AE687" s="218"/>
      <c r="AF687" s="218"/>
      <c r="AG687" s="218"/>
      <c r="AH687" s="218"/>
      <c r="AI687" s="218"/>
      <c r="AJ687" s="218"/>
      <c r="AK687" s="218">
        <f>G722+AL687-G687</f>
        <v>0</v>
      </c>
      <c r="AL687" s="218"/>
      <c r="AM687" s="353"/>
      <c r="AN687" s="295"/>
      <c r="AO687" s="296"/>
      <c r="AP687" s="353"/>
      <c r="AQ687" s="290"/>
      <c r="AR687" s="290"/>
      <c r="AS687" s="290"/>
    </row>
    <row r="688" spans="1:45" ht="17.25" thickBot="1" x14ac:dyDescent="0.3">
      <c r="A688" s="467"/>
      <c r="B688" s="354"/>
      <c r="C688" s="285">
        <v>1151650</v>
      </c>
      <c r="D688" s="358" t="s">
        <v>406</v>
      </c>
      <c r="E688" s="360"/>
      <c r="F688" s="361">
        <f>G723-AK688+AL688</f>
        <v>0</v>
      </c>
      <c r="G688" s="364">
        <v>0</v>
      </c>
      <c r="H688" s="397">
        <v>2</v>
      </c>
      <c r="I688" s="364">
        <v>0</v>
      </c>
      <c r="J688" s="364"/>
      <c r="K688" s="364">
        <v>5</v>
      </c>
      <c r="L688" s="218"/>
      <c r="M688" s="218"/>
      <c r="N688" s="218"/>
      <c r="O688" s="218"/>
      <c r="P688" s="352"/>
      <c r="Q688" s="352"/>
      <c r="R688" s="352"/>
      <c r="S688" s="352"/>
      <c r="T688" s="352"/>
      <c r="U688" s="352"/>
      <c r="V688" s="218"/>
      <c r="W688" s="218"/>
      <c r="X688" s="218"/>
      <c r="Y688" s="218"/>
      <c r="Z688" s="218"/>
      <c r="AA688" s="218"/>
      <c r="AB688" s="218"/>
      <c r="AC688" s="218"/>
      <c r="AD688" s="218"/>
      <c r="AE688" s="218"/>
      <c r="AF688" s="218"/>
      <c r="AG688" s="218"/>
      <c r="AH688" s="218"/>
      <c r="AI688" s="218"/>
      <c r="AJ688" s="218"/>
      <c r="AK688" s="218">
        <f>G723+AL688-G688</f>
        <v>0</v>
      </c>
      <c r="AL688" s="218"/>
      <c r="AM688" s="353"/>
      <c r="AN688" s="295"/>
      <c r="AO688" s="296"/>
      <c r="AP688" s="353"/>
      <c r="AQ688" s="290"/>
      <c r="AR688" s="290"/>
      <c r="AS688" s="290"/>
    </row>
    <row r="689" spans="1:45" ht="17.25" thickBot="1" x14ac:dyDescent="0.3">
      <c r="A689" s="467"/>
      <c r="B689" s="354"/>
      <c r="C689" s="285">
        <v>1151649</v>
      </c>
      <c r="D689" s="358" t="s">
        <v>407</v>
      </c>
      <c r="E689" s="360"/>
      <c r="F689" s="361">
        <f>G724-AK689+AL689</f>
        <v>0</v>
      </c>
      <c r="G689" s="369">
        <v>0</v>
      </c>
      <c r="H689" s="369">
        <v>4</v>
      </c>
      <c r="I689" s="369">
        <v>0</v>
      </c>
      <c r="J689" s="369"/>
      <c r="K689" s="369">
        <v>2</v>
      </c>
      <c r="L689" s="218"/>
      <c r="M689" s="218"/>
      <c r="N689" s="218"/>
      <c r="O689" s="218"/>
      <c r="P689" s="352"/>
      <c r="Q689" s="352"/>
      <c r="R689" s="352"/>
      <c r="S689" s="352"/>
      <c r="T689" s="352"/>
      <c r="U689" s="352"/>
      <c r="V689" s="218"/>
      <c r="W689" s="218"/>
      <c r="X689" s="218"/>
      <c r="Y689" s="218"/>
      <c r="Z689" s="218"/>
      <c r="AA689" s="218"/>
      <c r="AB689" s="218">
        <v>2</v>
      </c>
      <c r="AC689" s="218"/>
      <c r="AD689" s="218"/>
      <c r="AE689" s="218"/>
      <c r="AF689" s="218"/>
      <c r="AG689" s="218"/>
      <c r="AH689" s="218"/>
      <c r="AI689" s="218"/>
      <c r="AJ689" s="218"/>
      <c r="AK689" s="218">
        <f>G724+AL689-G689</f>
        <v>0</v>
      </c>
      <c r="AL689" s="218"/>
      <c r="AM689" s="353"/>
      <c r="AN689" s="295"/>
      <c r="AO689" s="296"/>
      <c r="AP689" s="353"/>
      <c r="AQ689" s="290"/>
      <c r="AR689" s="290"/>
      <c r="AS689" s="290"/>
    </row>
    <row r="690" spans="1:45" ht="17.25" thickBot="1" x14ac:dyDescent="0.3">
      <c r="A690" s="467"/>
      <c r="B690" s="354"/>
      <c r="C690" s="285">
        <v>1151651</v>
      </c>
      <c r="D690" s="358" t="s">
        <v>408</v>
      </c>
      <c r="E690" s="360"/>
      <c r="F690" s="361">
        <f>G725-AK690+AL690</f>
        <v>1</v>
      </c>
      <c r="G690" s="369">
        <v>1</v>
      </c>
      <c r="H690" s="369">
        <v>1</v>
      </c>
      <c r="I690" s="369">
        <v>1</v>
      </c>
      <c r="J690" s="369"/>
      <c r="K690" s="369">
        <v>1</v>
      </c>
      <c r="L690" s="218"/>
      <c r="M690" s="218"/>
      <c r="N690" s="218"/>
      <c r="O690" s="218"/>
      <c r="P690" s="352"/>
      <c r="Q690" s="352"/>
      <c r="R690" s="352"/>
      <c r="S690" s="352"/>
      <c r="T690" s="352"/>
      <c r="U690" s="352"/>
      <c r="V690" s="218"/>
      <c r="W690" s="218"/>
      <c r="X690" s="218"/>
      <c r="Y690" s="218"/>
      <c r="Z690" s="218">
        <v>2</v>
      </c>
      <c r="AA690" s="218"/>
      <c r="AB690" s="218">
        <v>2</v>
      </c>
      <c r="AC690" s="218"/>
      <c r="AD690" s="218"/>
      <c r="AE690" s="218"/>
      <c r="AF690" s="218"/>
      <c r="AG690" s="218"/>
      <c r="AH690" s="218"/>
      <c r="AI690" s="218"/>
      <c r="AJ690" s="218"/>
      <c r="AK690" s="218">
        <f>G725+AL690-G690</f>
        <v>0</v>
      </c>
      <c r="AL690" s="218"/>
      <c r="AM690" s="353"/>
      <c r="AN690" s="295"/>
      <c r="AO690" s="296"/>
      <c r="AP690" s="353"/>
      <c r="AQ690" s="290"/>
      <c r="AR690" s="290"/>
      <c r="AS690" s="290"/>
    </row>
    <row r="691" spans="1:45" ht="17.25" thickBot="1" x14ac:dyDescent="0.3">
      <c r="A691" s="467"/>
      <c r="B691" s="354"/>
      <c r="C691" s="285">
        <v>1146029</v>
      </c>
      <c r="D691" s="358" t="s">
        <v>409</v>
      </c>
      <c r="E691" s="360"/>
      <c r="F691" s="361">
        <f>G726-AK691+AL691</f>
        <v>0</v>
      </c>
      <c r="G691" s="369">
        <v>0</v>
      </c>
      <c r="H691" s="369">
        <v>2</v>
      </c>
      <c r="I691" s="369">
        <v>0</v>
      </c>
      <c r="J691" s="369"/>
      <c r="K691" s="369">
        <v>2</v>
      </c>
      <c r="L691" s="218"/>
      <c r="M691" s="218"/>
      <c r="N691" s="218"/>
      <c r="O691" s="218"/>
      <c r="P691" s="352"/>
      <c r="Q691" s="352"/>
      <c r="R691" s="352"/>
      <c r="S691" s="352"/>
      <c r="T691" s="352"/>
      <c r="U691" s="352"/>
      <c r="V691" s="218"/>
      <c r="W691" s="218"/>
      <c r="X691" s="218"/>
      <c r="Y691" s="218"/>
      <c r="Z691" s="218"/>
      <c r="AA691" s="218"/>
      <c r="AB691" s="218"/>
      <c r="AC691" s="218">
        <v>2</v>
      </c>
      <c r="AD691" s="218"/>
      <c r="AE691" s="218"/>
      <c r="AF691" s="218"/>
      <c r="AG691" s="218"/>
      <c r="AH691" s="218"/>
      <c r="AI691" s="218"/>
      <c r="AJ691" s="218"/>
      <c r="AK691" s="218">
        <f>G726+AL691-G691</f>
        <v>0</v>
      </c>
      <c r="AL691" s="218"/>
      <c r="AM691" s="353"/>
      <c r="AN691" s="295"/>
      <c r="AO691" s="296"/>
      <c r="AP691" s="353"/>
      <c r="AQ691" s="290"/>
      <c r="AR691" s="290"/>
      <c r="AS691" s="290"/>
    </row>
    <row r="692" spans="1:45" ht="17.25" thickBot="1" x14ac:dyDescent="0.3">
      <c r="A692" s="467"/>
      <c r="B692" s="355" t="s">
        <v>410</v>
      </c>
      <c r="C692" s="356"/>
      <c r="D692" s="356"/>
      <c r="E692" s="359"/>
      <c r="F692" s="359"/>
      <c r="G692" s="356"/>
      <c r="H692" s="396"/>
      <c r="I692" s="356"/>
      <c r="J692" s="356"/>
      <c r="K692" s="356"/>
      <c r="L692" s="356"/>
      <c r="M692" s="356"/>
      <c r="N692" s="356"/>
      <c r="O692" s="356"/>
      <c r="P692" s="356"/>
      <c r="Q692" s="356"/>
      <c r="R692" s="356"/>
      <c r="S692" s="356"/>
      <c r="T692" s="356"/>
      <c r="U692" s="356"/>
      <c r="V692" s="356"/>
      <c r="W692" s="356"/>
      <c r="X692" s="356"/>
      <c r="Y692" s="356"/>
      <c r="Z692" s="356"/>
      <c r="AA692" s="356"/>
      <c r="AB692" s="356"/>
      <c r="AC692" s="356"/>
      <c r="AD692" s="356"/>
      <c r="AE692" s="356"/>
      <c r="AF692" s="356"/>
      <c r="AG692" s="356"/>
      <c r="AH692" s="356"/>
      <c r="AI692" s="356"/>
      <c r="AJ692" s="356"/>
      <c r="AK692" s="356"/>
      <c r="AL692" s="356"/>
      <c r="AM692" s="356"/>
      <c r="AN692" s="356"/>
      <c r="AO692" s="356"/>
      <c r="AP692" s="356"/>
      <c r="AQ692" s="356"/>
      <c r="AR692" s="356"/>
      <c r="AS692" s="357"/>
    </row>
    <row r="693" spans="1:45" ht="17.25" thickBot="1" x14ac:dyDescent="0.3">
      <c r="A693" s="467"/>
      <c r="B693" s="354"/>
      <c r="C693" s="285">
        <v>1699118</v>
      </c>
      <c r="D693" s="358" t="s">
        <v>411</v>
      </c>
      <c r="E693" s="360"/>
      <c r="F693" s="361">
        <f>G728-AK693+AL693</f>
        <v>0</v>
      </c>
      <c r="G693" s="369">
        <v>0</v>
      </c>
      <c r="H693" s="369">
        <v>1</v>
      </c>
      <c r="I693" s="369">
        <v>0</v>
      </c>
      <c r="J693" s="369"/>
      <c r="K693" s="369">
        <v>1</v>
      </c>
      <c r="L693" s="218"/>
      <c r="M693" s="218"/>
      <c r="N693" s="218"/>
      <c r="O693" s="218"/>
      <c r="P693" s="352"/>
      <c r="Q693" s="352"/>
      <c r="R693" s="352"/>
      <c r="S693" s="352"/>
      <c r="T693" s="352"/>
      <c r="U693" s="352"/>
      <c r="V693" s="218"/>
      <c r="W693" s="218"/>
      <c r="X693" s="218"/>
      <c r="Y693" s="218"/>
      <c r="Z693" s="218"/>
      <c r="AA693" s="218"/>
      <c r="AB693" s="218">
        <v>1</v>
      </c>
      <c r="AC693" s="218"/>
      <c r="AD693" s="218"/>
      <c r="AE693" s="218"/>
      <c r="AF693" s="218"/>
      <c r="AG693" s="218"/>
      <c r="AH693" s="218"/>
      <c r="AI693" s="218"/>
      <c r="AJ693" s="218"/>
      <c r="AK693" s="218">
        <f>G728+AL693-G693</f>
        <v>0</v>
      </c>
      <c r="AL693" s="218"/>
      <c r="AM693" s="353"/>
      <c r="AN693" s="295"/>
      <c r="AO693" s="296"/>
      <c r="AP693" s="353"/>
      <c r="AQ693" s="290"/>
      <c r="AR693" s="290"/>
      <c r="AS693" s="290"/>
    </row>
    <row r="694" spans="1:45" ht="17.25" thickBot="1" x14ac:dyDescent="0.3">
      <c r="A694" s="467"/>
      <c r="B694" s="354"/>
      <c r="C694" s="285">
        <v>1699119</v>
      </c>
      <c r="D694" s="358" t="s">
        <v>412</v>
      </c>
      <c r="E694" s="360"/>
      <c r="F694" s="361">
        <f>G729-AK694+AL694</f>
        <v>0</v>
      </c>
      <c r="G694" s="369">
        <v>0</v>
      </c>
      <c r="H694" s="369">
        <v>1</v>
      </c>
      <c r="I694" s="369">
        <v>0</v>
      </c>
      <c r="J694" s="369"/>
      <c r="K694" s="369">
        <v>2</v>
      </c>
      <c r="L694" s="218"/>
      <c r="M694" s="218"/>
      <c r="N694" s="218"/>
      <c r="O694" s="218"/>
      <c r="P694" s="352"/>
      <c r="Q694" s="352"/>
      <c r="R694" s="352"/>
      <c r="S694" s="352"/>
      <c r="T694" s="352"/>
      <c r="U694" s="352"/>
      <c r="V694" s="218"/>
      <c r="W694" s="218"/>
      <c r="X694" s="218"/>
      <c r="Y694" s="218"/>
      <c r="Z694" s="218"/>
      <c r="AA694" s="218"/>
      <c r="AB694" s="218">
        <v>2</v>
      </c>
      <c r="AC694" s="218"/>
      <c r="AD694" s="218"/>
      <c r="AE694" s="218"/>
      <c r="AF694" s="218"/>
      <c r="AG694" s="218"/>
      <c r="AH694" s="218"/>
      <c r="AI694" s="218"/>
      <c r="AJ694" s="218"/>
      <c r="AK694" s="218">
        <f>G729+AL694-G694</f>
        <v>0</v>
      </c>
      <c r="AL694" s="218"/>
      <c r="AM694" s="353"/>
      <c r="AN694" s="295"/>
      <c r="AO694" s="296"/>
      <c r="AP694" s="353"/>
      <c r="AQ694" s="290"/>
      <c r="AR694" s="290"/>
      <c r="AS694" s="290"/>
    </row>
    <row r="695" spans="1:45" ht="17.25" thickBot="1" x14ac:dyDescent="0.3">
      <c r="A695" s="467"/>
      <c r="B695" s="354"/>
      <c r="C695" s="285">
        <v>1699130</v>
      </c>
      <c r="D695" s="358" t="s">
        <v>413</v>
      </c>
      <c r="E695" s="360"/>
      <c r="F695" s="361">
        <f>G730-AK695+AL695</f>
        <v>4</v>
      </c>
      <c r="G695" s="369">
        <v>4</v>
      </c>
      <c r="H695" s="369">
        <v>4</v>
      </c>
      <c r="I695" s="369">
        <v>4</v>
      </c>
      <c r="J695" s="369"/>
      <c r="K695" s="369">
        <v>0</v>
      </c>
      <c r="L695" s="218"/>
      <c r="M695" s="218"/>
      <c r="N695" s="218"/>
      <c r="O695" s="218"/>
      <c r="P695" s="352"/>
      <c r="Q695" s="352"/>
      <c r="R695" s="352"/>
      <c r="S695" s="352"/>
      <c r="T695" s="352"/>
      <c r="U695" s="352"/>
      <c r="V695" s="218"/>
      <c r="W695" s="218"/>
      <c r="X695" s="218"/>
      <c r="Y695" s="218"/>
      <c r="Z695" s="218"/>
      <c r="AA695" s="218">
        <v>2</v>
      </c>
      <c r="AB695" s="218"/>
      <c r="AC695" s="218"/>
      <c r="AD695" s="218"/>
      <c r="AE695" s="218"/>
      <c r="AF695" s="218"/>
      <c r="AG695" s="218"/>
      <c r="AH695" s="218"/>
      <c r="AI695" s="218"/>
      <c r="AJ695" s="218"/>
      <c r="AK695" s="218">
        <f>G730+AL695-G695</f>
        <v>0</v>
      </c>
      <c r="AL695" s="218"/>
      <c r="AM695" s="353"/>
      <c r="AN695" s="295"/>
      <c r="AO695" s="296"/>
      <c r="AP695" s="353"/>
      <c r="AQ695" s="290"/>
      <c r="AR695" s="290"/>
      <c r="AS695" s="290"/>
    </row>
    <row r="696" spans="1:45" ht="17.25" thickBot="1" x14ac:dyDescent="0.3">
      <c r="A696" s="467"/>
      <c r="B696" s="354"/>
      <c r="C696" s="285">
        <v>1699131</v>
      </c>
      <c r="D696" s="358" t="s">
        <v>414</v>
      </c>
      <c r="E696" s="360"/>
      <c r="F696" s="361">
        <f>G731-AK696+AL696</f>
        <v>1</v>
      </c>
      <c r="G696" s="369">
        <v>1</v>
      </c>
      <c r="H696" s="397">
        <v>3</v>
      </c>
      <c r="I696" s="369">
        <v>1</v>
      </c>
      <c r="J696" s="369"/>
      <c r="K696" s="364">
        <v>2</v>
      </c>
      <c r="L696" s="218"/>
      <c r="M696" s="218"/>
      <c r="N696" s="218"/>
      <c r="O696" s="218"/>
      <c r="P696" s="352"/>
      <c r="Q696" s="352"/>
      <c r="R696" s="352"/>
      <c r="S696" s="352"/>
      <c r="T696" s="352"/>
      <c r="U696" s="352"/>
      <c r="V696" s="218"/>
      <c r="W696" s="218"/>
      <c r="X696" s="218"/>
      <c r="Y696" s="218"/>
      <c r="Z696" s="218"/>
      <c r="AA696" s="218"/>
      <c r="AB696" s="218">
        <v>1</v>
      </c>
      <c r="AC696" s="218"/>
      <c r="AD696" s="218"/>
      <c r="AE696" s="218"/>
      <c r="AF696" s="218"/>
      <c r="AG696" s="218"/>
      <c r="AH696" s="218"/>
      <c r="AI696" s="218"/>
      <c r="AJ696" s="218"/>
      <c r="AK696" s="218">
        <f>G731+AL696-G696</f>
        <v>0</v>
      </c>
      <c r="AL696" s="218"/>
      <c r="AM696" s="353"/>
      <c r="AN696" s="295"/>
      <c r="AO696" s="296"/>
      <c r="AP696" s="353"/>
      <c r="AQ696" s="290"/>
      <c r="AR696" s="290"/>
      <c r="AS696" s="290"/>
    </row>
    <row r="697" spans="1:45" ht="17.25" thickBot="1" x14ac:dyDescent="0.3">
      <c r="A697" s="468"/>
      <c r="B697" s="354"/>
      <c r="C697" s="285">
        <v>1699132</v>
      </c>
      <c r="D697" s="358" t="s">
        <v>415</v>
      </c>
      <c r="E697" s="285"/>
      <c r="F697" s="362">
        <f>G732-AK697+AL697</f>
        <v>0</v>
      </c>
      <c r="G697" s="364">
        <v>0</v>
      </c>
      <c r="H697" s="397">
        <v>3</v>
      </c>
      <c r="I697" s="364">
        <v>0</v>
      </c>
      <c r="J697" s="364"/>
      <c r="K697" s="364">
        <v>2</v>
      </c>
      <c r="L697" s="218"/>
      <c r="M697" s="218"/>
      <c r="N697" s="218"/>
      <c r="O697" s="218"/>
      <c r="P697" s="352"/>
      <c r="Q697" s="352"/>
      <c r="R697" s="352"/>
      <c r="S697" s="352"/>
      <c r="T697" s="352"/>
      <c r="U697" s="352"/>
      <c r="V697" s="218"/>
      <c r="W697" s="218"/>
      <c r="X697" s="218"/>
      <c r="Y697" s="218"/>
      <c r="Z697" s="218"/>
      <c r="AA697" s="218"/>
      <c r="AB697" s="218"/>
      <c r="AC697" s="218"/>
      <c r="AD697" s="218"/>
      <c r="AE697" s="218"/>
      <c r="AF697" s="218"/>
      <c r="AG697" s="218"/>
      <c r="AH697" s="218"/>
      <c r="AI697" s="218"/>
      <c r="AJ697" s="218"/>
      <c r="AK697" s="218">
        <f>G732+AL697-G697</f>
        <v>0</v>
      </c>
      <c r="AL697" s="218"/>
      <c r="AM697" s="353"/>
      <c r="AN697" s="295"/>
      <c r="AO697" s="296"/>
      <c r="AP697" s="353"/>
      <c r="AQ697" s="290"/>
      <c r="AR697" s="290"/>
      <c r="AS697" s="290"/>
    </row>
    <row r="698" spans="1:45" x14ac:dyDescent="0.25">
      <c r="AL698" s="290"/>
      <c r="AM698" s="290"/>
      <c r="AN698" s="290"/>
      <c r="AO698" s="290"/>
      <c r="AP698" s="290"/>
    </row>
    <row r="699" spans="1:45" ht="14.25" thickBot="1" x14ac:dyDescent="0.3">
      <c r="B699" s="338" t="s">
        <v>18</v>
      </c>
      <c r="C699" s="339">
        <v>45712</v>
      </c>
      <c r="AA699" s="290">
        <v>0</v>
      </c>
      <c r="AL699" s="290"/>
      <c r="AM699" s="290"/>
      <c r="AN699" s="290"/>
      <c r="AO699" s="290"/>
      <c r="AP699" s="290"/>
      <c r="AQ699" s="290"/>
    </row>
    <row r="700" spans="1:45" ht="41.25" thickBot="1" x14ac:dyDescent="0.3">
      <c r="B700" s="283" t="s">
        <v>0</v>
      </c>
      <c r="C700" s="284" t="s">
        <v>1</v>
      </c>
      <c r="D700" s="284" t="s">
        <v>2</v>
      </c>
      <c r="E700" s="284" t="s">
        <v>3</v>
      </c>
      <c r="F700" s="4" t="s">
        <v>318</v>
      </c>
      <c r="G700" s="351" t="s">
        <v>526</v>
      </c>
      <c r="H700" s="382" t="s">
        <v>460</v>
      </c>
      <c r="I700" s="234" t="s">
        <v>525</v>
      </c>
      <c r="J700" s="234"/>
      <c r="K700" s="258" t="s">
        <v>524</v>
      </c>
      <c r="L700" s="258" t="s">
        <v>328</v>
      </c>
      <c r="M700" s="258" t="s">
        <v>327</v>
      </c>
      <c r="N700" s="234" t="s">
        <v>389</v>
      </c>
      <c r="O700" s="240" t="s">
        <v>130</v>
      </c>
      <c r="P700" s="243" t="s">
        <v>303</v>
      </c>
      <c r="Q700" s="244" t="s">
        <v>304</v>
      </c>
      <c r="R700" s="244" t="s">
        <v>314</v>
      </c>
      <c r="S700" s="245" t="s">
        <v>338</v>
      </c>
      <c r="T700" s="245" t="s">
        <v>345</v>
      </c>
      <c r="U700" s="245" t="s">
        <v>361</v>
      </c>
      <c r="V700" s="245" t="s">
        <v>387</v>
      </c>
      <c r="W700" s="245" t="s">
        <v>421</v>
      </c>
      <c r="X700" s="245" t="s">
        <v>452</v>
      </c>
      <c r="Y700" s="245" t="s">
        <v>463</v>
      </c>
      <c r="Z700" s="245" t="s">
        <v>481</v>
      </c>
      <c r="AA700" s="245" t="s">
        <v>498</v>
      </c>
      <c r="AB700" s="245" t="s">
        <v>303</v>
      </c>
      <c r="AC700" s="245" t="s">
        <v>304</v>
      </c>
      <c r="AD700" s="245"/>
      <c r="AE700" s="245"/>
      <c r="AF700" s="245"/>
      <c r="AG700" s="245"/>
      <c r="AH700" s="245"/>
      <c r="AI700" s="245"/>
      <c r="AJ700" s="245" t="s">
        <v>360</v>
      </c>
      <c r="AK700" s="246" t="s">
        <v>268</v>
      </c>
      <c r="AL700" s="247" t="s">
        <v>269</v>
      </c>
      <c r="AM700" s="291" t="s">
        <v>288</v>
      </c>
      <c r="AN700" s="292" t="s">
        <v>289</v>
      </c>
      <c r="AO700" s="292" t="s">
        <v>287</v>
      </c>
      <c r="AP700" s="293" t="s">
        <v>290</v>
      </c>
      <c r="AQ700" s="290" t="s">
        <v>306</v>
      </c>
      <c r="AR700" s="290" t="s">
        <v>310</v>
      </c>
      <c r="AS700" s="290" t="s">
        <v>311</v>
      </c>
    </row>
    <row r="701" spans="1:45" ht="17.25" thickBot="1" x14ac:dyDescent="0.3">
      <c r="A701" s="463" t="s">
        <v>416</v>
      </c>
      <c r="B701" s="285">
        <v>273664</v>
      </c>
      <c r="C701" s="286">
        <v>1135749</v>
      </c>
      <c r="D701" s="286" t="s">
        <v>7</v>
      </c>
      <c r="E701" s="286">
        <v>6060050026</v>
      </c>
      <c r="F701" s="253">
        <f>G736-AK701+AL701</f>
        <v>6</v>
      </c>
      <c r="G701" s="235">
        <v>6</v>
      </c>
      <c r="H701" s="394">
        <v>5</v>
      </c>
      <c r="I701" s="232">
        <v>6</v>
      </c>
      <c r="J701" s="232"/>
      <c r="K701" s="232">
        <v>0</v>
      </c>
      <c r="L701" s="232">
        <f>IF(K735=K700,L736+AK701,K701)</f>
        <v>0</v>
      </c>
      <c r="M701" s="232">
        <f>IF(K735=K700,0,L736+AK701-K701)</f>
        <v>1</v>
      </c>
      <c r="N701" s="267">
        <v>5</v>
      </c>
      <c r="O701" s="241">
        <f>N701-G701</f>
        <v>-1</v>
      </c>
      <c r="P701" s="277">
        <v>4</v>
      </c>
      <c r="Q701" s="278">
        <v>4</v>
      </c>
      <c r="R701" s="279"/>
      <c r="S701" s="279">
        <v>3</v>
      </c>
      <c r="T701" s="279">
        <v>4</v>
      </c>
      <c r="U701" s="279">
        <v>2</v>
      </c>
      <c r="V701" s="279"/>
      <c r="W701" s="279">
        <f>2+3</f>
        <v>5</v>
      </c>
      <c r="X701" s="241"/>
      <c r="Y701" s="241"/>
      <c r="Z701" s="241"/>
      <c r="AA701" s="241">
        <v>4</v>
      </c>
      <c r="AB701" s="241">
        <v>5</v>
      </c>
      <c r="AC701" s="241"/>
      <c r="AD701" s="241"/>
      <c r="AE701" s="241"/>
      <c r="AF701" s="241"/>
      <c r="AG701" s="241"/>
      <c r="AH701" s="241"/>
      <c r="AI701" s="241"/>
      <c r="AJ701" s="241">
        <f>N701-V701</f>
        <v>5</v>
      </c>
      <c r="AK701" s="235">
        <f>G736+AL701-G701</f>
        <v>0</v>
      </c>
      <c r="AL701" s="350">
        <v>4</v>
      </c>
      <c r="AM701" s="294">
        <v>1.5</v>
      </c>
      <c r="AN701" s="295">
        <v>4</v>
      </c>
      <c r="AO701" s="296">
        <f>G701/(AN701)</f>
        <v>1.5</v>
      </c>
      <c r="AP701" s="297">
        <f>AN701*6</f>
        <v>24</v>
      </c>
      <c r="AQ701" s="290">
        <f>G701+K701</f>
        <v>6</v>
      </c>
      <c r="AR701" s="290">
        <f>IF(G701&lt;G736,(G736-G701+K736-K701),K736-K701)</f>
        <v>1</v>
      </c>
      <c r="AS701" s="290">
        <f>21-8</f>
        <v>13</v>
      </c>
    </row>
    <row r="702" spans="1:45" ht="17.25" thickBot="1" x14ac:dyDescent="0.3">
      <c r="A702" s="464"/>
      <c r="B702" s="285">
        <v>273672</v>
      </c>
      <c r="C702" s="286">
        <v>1135750</v>
      </c>
      <c r="D702" s="286" t="s">
        <v>9</v>
      </c>
      <c r="E702" s="287">
        <v>204000000000</v>
      </c>
      <c r="F702" s="253">
        <f>G737-AK702+AL702</f>
        <v>21</v>
      </c>
      <c r="G702" s="235">
        <v>21</v>
      </c>
      <c r="H702" s="394">
        <v>16</v>
      </c>
      <c r="I702" s="232">
        <v>21</v>
      </c>
      <c r="J702" s="232"/>
      <c r="K702" s="232">
        <v>2</v>
      </c>
      <c r="L702" s="232">
        <f>IF(K735=K700,L737+AK702,K702)</f>
        <v>2</v>
      </c>
      <c r="M702" s="232">
        <f>IF(K735=K700,0,L737+AK702-K702)</f>
        <v>3</v>
      </c>
      <c r="N702" s="267">
        <v>10</v>
      </c>
      <c r="O702" s="241">
        <f>N702-G702</f>
        <v>-11</v>
      </c>
      <c r="P702" s="277">
        <v>13</v>
      </c>
      <c r="Q702" s="278">
        <v>2</v>
      </c>
      <c r="R702" s="279">
        <v>6</v>
      </c>
      <c r="S702" s="279">
        <v>6</v>
      </c>
      <c r="T702" s="279">
        <v>10</v>
      </c>
      <c r="U702" s="279">
        <v>4</v>
      </c>
      <c r="V702" s="279">
        <v>6</v>
      </c>
      <c r="W702" s="279">
        <v>16</v>
      </c>
      <c r="X702" s="241"/>
      <c r="Y702" s="241">
        <v>6</v>
      </c>
      <c r="Z702" s="241">
        <v>4</v>
      </c>
      <c r="AA702" s="241">
        <v>6</v>
      </c>
      <c r="AB702" s="241">
        <v>14</v>
      </c>
      <c r="AC702" s="241"/>
      <c r="AD702" s="241"/>
      <c r="AE702" s="241"/>
      <c r="AF702" s="241"/>
      <c r="AG702" s="241"/>
      <c r="AH702" s="241"/>
      <c r="AI702" s="241"/>
      <c r="AJ702" s="241">
        <f>N702-V702</f>
        <v>4</v>
      </c>
      <c r="AK702" s="235">
        <f>G737+AL702-G702</f>
        <v>0</v>
      </c>
      <c r="AL702" s="236"/>
      <c r="AM702" s="298">
        <v>4.2</v>
      </c>
      <c r="AN702" s="295">
        <v>9</v>
      </c>
      <c r="AO702" s="296">
        <f>G702/(AN702)</f>
        <v>2.3333333333333335</v>
      </c>
      <c r="AP702" s="297">
        <f>AN702*6</f>
        <v>54</v>
      </c>
      <c r="AQ702" s="290">
        <f>G702+K702</f>
        <v>23</v>
      </c>
      <c r="AR702" s="290">
        <f>IF(G702&lt;G737,(G737-G702+K737-K702),K737-K702)</f>
        <v>3</v>
      </c>
      <c r="AS702" s="290">
        <f>21-8</f>
        <v>13</v>
      </c>
    </row>
    <row r="703" spans="1:45" ht="17.25" thickBot="1" x14ac:dyDescent="0.3">
      <c r="A703" s="464"/>
      <c r="B703" s="285">
        <v>273702</v>
      </c>
      <c r="C703" s="286">
        <v>1135753</v>
      </c>
      <c r="D703" s="286" t="s">
        <v>10</v>
      </c>
      <c r="E703" s="287">
        <v>301000000000</v>
      </c>
      <c r="F703" s="253">
        <f>G738-AK703+AL703</f>
        <v>1</v>
      </c>
      <c r="G703" s="235">
        <v>1</v>
      </c>
      <c r="H703" s="394">
        <v>1</v>
      </c>
      <c r="I703" s="232">
        <v>1</v>
      </c>
      <c r="J703" s="232"/>
      <c r="K703" s="232">
        <v>2</v>
      </c>
      <c r="L703" s="232">
        <f>IF(K735=K700,L738+AK703,K703)</f>
        <v>2</v>
      </c>
      <c r="M703" s="232">
        <f>IF(K735=K700,0,L738+AK703-K703)</f>
        <v>0</v>
      </c>
      <c r="N703" s="232">
        <v>2</v>
      </c>
      <c r="O703" s="241">
        <f>N703-G703</f>
        <v>1</v>
      </c>
      <c r="P703" s="277"/>
      <c r="Q703" s="278"/>
      <c r="R703" s="279"/>
      <c r="S703" s="279"/>
      <c r="T703" s="279"/>
      <c r="U703" s="279"/>
      <c r="V703" s="279"/>
      <c r="W703" s="279"/>
      <c r="X703" s="241"/>
      <c r="Y703" s="241"/>
      <c r="Z703" s="241"/>
      <c r="AA703" s="241"/>
      <c r="AB703" s="241">
        <v>2</v>
      </c>
      <c r="AC703" s="241"/>
      <c r="AD703" s="241"/>
      <c r="AE703" s="241"/>
      <c r="AF703" s="241"/>
      <c r="AG703" s="241"/>
      <c r="AH703" s="241"/>
      <c r="AI703" s="241"/>
      <c r="AJ703" s="241">
        <f>N703-V703</f>
        <v>2</v>
      </c>
      <c r="AK703" s="235">
        <f>G738+AL703-G703</f>
        <v>0</v>
      </c>
      <c r="AL703" s="236">
        <v>1</v>
      </c>
      <c r="AM703" s="294">
        <f>4/12</f>
        <v>0.33333333333333331</v>
      </c>
      <c r="AN703" s="295">
        <v>2</v>
      </c>
      <c r="AO703" s="296">
        <f>G703/(AN703)</f>
        <v>0.5</v>
      </c>
      <c r="AP703" s="297">
        <f>AN703*6</f>
        <v>12</v>
      </c>
      <c r="AQ703" s="290">
        <f>G703+K703</f>
        <v>3</v>
      </c>
      <c r="AR703" s="290">
        <f>IF(G703&lt;G738,(G738-G703+K738-K703),K738-K703)</f>
        <v>0</v>
      </c>
      <c r="AS703" s="290">
        <f>21-8</f>
        <v>13</v>
      </c>
    </row>
    <row r="704" spans="1:45" ht="17.25" thickBot="1" x14ac:dyDescent="0.3">
      <c r="A704" s="464"/>
      <c r="B704" s="285">
        <v>273698</v>
      </c>
      <c r="C704" s="286">
        <v>1135752</v>
      </c>
      <c r="D704" s="286" t="s">
        <v>11</v>
      </c>
      <c r="E704" s="287">
        <v>701000000000</v>
      </c>
      <c r="F704" s="253">
        <f>G739-AK704+AL704</f>
        <v>0</v>
      </c>
      <c r="G704" s="235">
        <v>0</v>
      </c>
      <c r="H704" s="394">
        <v>2</v>
      </c>
      <c r="I704" s="232">
        <v>0</v>
      </c>
      <c r="J704" s="232"/>
      <c r="K704" s="232">
        <v>0</v>
      </c>
      <c r="L704" s="232">
        <f>IF(K735=K700,L739+AK704,K704)</f>
        <v>0</v>
      </c>
      <c r="M704" s="232">
        <f>IF(K735=K700,0,L739+AK704-K704)</f>
        <v>0</v>
      </c>
      <c r="N704" s="232">
        <v>3</v>
      </c>
      <c r="O704" s="241">
        <f>N704-G704</f>
        <v>3</v>
      </c>
      <c r="P704" s="277">
        <v>2</v>
      </c>
      <c r="Q704" s="278"/>
      <c r="R704" s="279"/>
      <c r="S704" s="279"/>
      <c r="T704" s="279"/>
      <c r="U704" s="279"/>
      <c r="V704" s="279"/>
      <c r="W704" s="279">
        <v>1</v>
      </c>
      <c r="X704" s="241"/>
      <c r="Y704" s="241"/>
      <c r="Z704" s="241"/>
      <c r="AA704" s="241"/>
      <c r="AB704" s="241">
        <v>2</v>
      </c>
      <c r="AC704" s="241"/>
      <c r="AD704" s="241"/>
      <c r="AE704" s="241"/>
      <c r="AF704" s="241"/>
      <c r="AG704" s="241"/>
      <c r="AH704" s="241"/>
      <c r="AI704" s="241"/>
      <c r="AJ704" s="241">
        <f>N704-V704</f>
        <v>3</v>
      </c>
      <c r="AK704" s="235">
        <f>G739+AL704-G704</f>
        <v>0</v>
      </c>
      <c r="AL704" s="236"/>
      <c r="AM704" s="294">
        <f>4/12</f>
        <v>0.33333333333333331</v>
      </c>
      <c r="AN704" s="295">
        <v>2</v>
      </c>
      <c r="AO704" s="296">
        <f>G704/(AN704)</f>
        <v>0</v>
      </c>
      <c r="AP704" s="297">
        <f>AN704*6</f>
        <v>12</v>
      </c>
      <c r="AQ704" s="290">
        <f>G704+K704</f>
        <v>0</v>
      </c>
      <c r="AR704" s="290">
        <f>IF(G704&lt;G739,(G739-G704+K739-K704),K739-K704)</f>
        <v>0</v>
      </c>
      <c r="AS704" s="290">
        <f>21-8</f>
        <v>13</v>
      </c>
    </row>
    <row r="705" spans="1:45" ht="17.25" thickBot="1" x14ac:dyDescent="0.3">
      <c r="A705" s="465"/>
      <c r="B705" s="285">
        <v>273680</v>
      </c>
      <c r="C705" s="286">
        <v>1135751</v>
      </c>
      <c r="D705" s="286" t="s">
        <v>12</v>
      </c>
      <c r="E705" s="286" t="s">
        <v>13</v>
      </c>
      <c r="F705" s="254">
        <f>G740-AK705+AL705</f>
        <v>15</v>
      </c>
      <c r="G705" s="237">
        <v>15</v>
      </c>
      <c r="H705" s="395">
        <v>8</v>
      </c>
      <c r="I705" s="238">
        <f>9+6</f>
        <v>15</v>
      </c>
      <c r="J705" s="238"/>
      <c r="K705" s="238">
        <v>3</v>
      </c>
      <c r="L705" s="238">
        <f>IF(K735=K700,L740+AK705,K705)</f>
        <v>3</v>
      </c>
      <c r="M705" s="238">
        <f>IF(K735=K700,0,L740+AK705-K705)</f>
        <v>3</v>
      </c>
      <c r="N705" s="238">
        <v>9</v>
      </c>
      <c r="O705" s="242">
        <f>N705-G705</f>
        <v>-6</v>
      </c>
      <c r="P705" s="280"/>
      <c r="Q705" s="281"/>
      <c r="R705" s="282"/>
      <c r="S705" s="282"/>
      <c r="T705" s="282">
        <v>11</v>
      </c>
      <c r="U705" s="282"/>
      <c r="V705" s="282"/>
      <c r="W705" s="282">
        <v>9</v>
      </c>
      <c r="X705" s="242"/>
      <c r="Y705" s="242">
        <v>9</v>
      </c>
      <c r="Z705" s="242"/>
      <c r="AA705" s="242"/>
      <c r="AB705" s="242">
        <v>5</v>
      </c>
      <c r="AC705" s="242"/>
      <c r="AD705" s="242"/>
      <c r="AE705" s="242"/>
      <c r="AF705" s="242"/>
      <c r="AG705" s="242"/>
      <c r="AH705" s="242"/>
      <c r="AI705" s="242"/>
      <c r="AJ705" s="242">
        <f>N705-V705</f>
        <v>9</v>
      </c>
      <c r="AK705" s="235">
        <f>G740+AL705-G705</f>
        <v>0</v>
      </c>
      <c r="AL705" s="239">
        <v>6</v>
      </c>
      <c r="AM705" s="299">
        <f>30/12</f>
        <v>2.5</v>
      </c>
      <c r="AN705" s="300">
        <f>AM705*2</f>
        <v>5</v>
      </c>
      <c r="AO705" s="301">
        <f>G705/(AN705)</f>
        <v>3</v>
      </c>
      <c r="AP705" s="302">
        <f>AN705*6</f>
        <v>30</v>
      </c>
      <c r="AQ705" s="290">
        <f>G705+K705</f>
        <v>18</v>
      </c>
      <c r="AR705" s="290">
        <f>IF(G705&lt;G740,(G740-G705+K740-K705),K740-K705)</f>
        <v>3</v>
      </c>
      <c r="AS705" s="290">
        <f>21-8</f>
        <v>13</v>
      </c>
    </row>
    <row r="706" spans="1:45" ht="17.25" thickBot="1" x14ac:dyDescent="0.3">
      <c r="A706" s="466" t="s">
        <v>417</v>
      </c>
      <c r="B706" s="355" t="s">
        <v>129</v>
      </c>
      <c r="C706" s="356"/>
      <c r="D706" s="356"/>
      <c r="E706" s="359"/>
      <c r="F706" s="359"/>
      <c r="G706" s="356"/>
      <c r="H706" s="396"/>
      <c r="I706" s="356"/>
      <c r="J706" s="356"/>
      <c r="K706" s="356"/>
      <c r="L706" s="356"/>
      <c r="M706" s="356"/>
      <c r="N706" s="356"/>
      <c r="O706" s="356"/>
      <c r="P706" s="356"/>
      <c r="Q706" s="356"/>
      <c r="R706" s="356"/>
      <c r="S706" s="356"/>
      <c r="T706" s="356"/>
      <c r="U706" s="356"/>
      <c r="V706" s="356"/>
      <c r="W706" s="356"/>
      <c r="X706" s="356"/>
      <c r="Y706" s="356"/>
      <c r="Z706" s="356"/>
      <c r="AA706" s="356"/>
      <c r="AB706" s="356"/>
      <c r="AC706" s="356"/>
      <c r="AD706" s="356"/>
      <c r="AE706" s="356"/>
      <c r="AF706" s="356"/>
      <c r="AG706" s="356"/>
      <c r="AH706" s="356"/>
      <c r="AI706" s="356"/>
      <c r="AJ706" s="356"/>
      <c r="AK706" s="356"/>
      <c r="AL706" s="367"/>
      <c r="AM706" s="356"/>
      <c r="AN706" s="356"/>
      <c r="AO706" s="356"/>
      <c r="AP706" s="356"/>
      <c r="AQ706" s="356"/>
      <c r="AR706" s="356"/>
      <c r="AS706" s="357"/>
    </row>
    <row r="707" spans="1:45" ht="17.25" thickBot="1" x14ac:dyDescent="0.3">
      <c r="A707" s="467"/>
      <c r="B707" s="354"/>
      <c r="C707" s="354">
        <v>1140327</v>
      </c>
      <c r="D707" s="358" t="s">
        <v>394</v>
      </c>
      <c r="E707" s="360"/>
      <c r="F707" s="361">
        <f>G742-AK707+AL707</f>
        <v>17</v>
      </c>
      <c r="G707" s="218">
        <v>17</v>
      </c>
      <c r="H707" s="397">
        <v>23</v>
      </c>
      <c r="I707" s="218">
        <v>17</v>
      </c>
      <c r="J707" s="218"/>
      <c r="K707" s="218">
        <v>4</v>
      </c>
      <c r="L707" s="218">
        <f>IF(K735=K700,L742+AK707,K707)</f>
        <v>4</v>
      </c>
      <c r="M707" s="218">
        <f>IF(K735=K700,0,L742+AK707-K707)</f>
        <v>6</v>
      </c>
      <c r="N707" s="218"/>
      <c r="O707" s="218"/>
      <c r="P707" s="352"/>
      <c r="Q707" s="352"/>
      <c r="R707" s="352"/>
      <c r="S707" s="352"/>
      <c r="T707" s="352"/>
      <c r="U707" s="352"/>
      <c r="V707" s="218"/>
      <c r="W707" s="218"/>
      <c r="X707" s="218">
        <v>4</v>
      </c>
      <c r="Y707" s="218">
        <v>9</v>
      </c>
      <c r="Z707" s="218">
        <v>14</v>
      </c>
      <c r="AA707" s="218">
        <v>8</v>
      </c>
      <c r="AB707" s="218">
        <f>14+6</f>
        <v>20</v>
      </c>
      <c r="AC707" s="218">
        <v>10</v>
      </c>
      <c r="AD707" s="218"/>
      <c r="AE707" s="218"/>
      <c r="AF707" s="218"/>
      <c r="AG707" s="218"/>
      <c r="AH707" s="218"/>
      <c r="AI707" s="218"/>
      <c r="AJ707" s="242">
        <f>N707-V707</f>
        <v>0</v>
      </c>
      <c r="AK707" s="274">
        <f>G742+AL707-G707</f>
        <v>4</v>
      </c>
      <c r="AL707" s="232">
        <v>10</v>
      </c>
      <c r="AM707" s="353"/>
      <c r="AN707" s="295"/>
      <c r="AO707" s="296"/>
      <c r="AP707" s="353"/>
      <c r="AQ707" s="290"/>
      <c r="AR707" s="290"/>
      <c r="AS707" s="290"/>
    </row>
    <row r="708" spans="1:45" ht="17.25" thickBot="1" x14ac:dyDescent="0.3">
      <c r="A708" s="467"/>
      <c r="B708" s="354"/>
      <c r="C708" s="285">
        <v>1151231</v>
      </c>
      <c r="D708" s="358" t="s">
        <v>395</v>
      </c>
      <c r="E708" s="360"/>
      <c r="F708" s="361">
        <f>G743-AK708+AL708</f>
        <v>10</v>
      </c>
      <c r="G708" s="369">
        <v>10</v>
      </c>
      <c r="H708" s="397">
        <v>13</v>
      </c>
      <c r="I708" s="218">
        <v>10</v>
      </c>
      <c r="J708" s="218"/>
      <c r="K708" s="218">
        <v>8</v>
      </c>
      <c r="L708" s="218">
        <f>IF(K735=K700,L743+AK708,K708)</f>
        <v>8</v>
      </c>
      <c r="M708" s="218">
        <f>IF(K735=K700,0,L743+AK708-K708)</f>
        <v>0</v>
      </c>
      <c r="N708" s="218"/>
      <c r="O708" s="218"/>
      <c r="P708" s="352"/>
      <c r="Q708" s="352"/>
      <c r="R708" s="352"/>
      <c r="S708" s="352"/>
      <c r="T708" s="352"/>
      <c r="U708" s="352"/>
      <c r="V708" s="218"/>
      <c r="W708" s="218"/>
      <c r="X708" s="218">
        <v>3</v>
      </c>
      <c r="Y708" s="218">
        <v>8</v>
      </c>
      <c r="Z708" s="218">
        <v>6</v>
      </c>
      <c r="AA708" s="218"/>
      <c r="AB708" s="218">
        <v>4</v>
      </c>
      <c r="AC708" s="218">
        <v>4</v>
      </c>
      <c r="AD708" s="218"/>
      <c r="AE708" s="218"/>
      <c r="AF708" s="218"/>
      <c r="AG708" s="218"/>
      <c r="AH708" s="218"/>
      <c r="AI708" s="218"/>
      <c r="AJ708" s="242">
        <f>N708-V708</f>
        <v>0</v>
      </c>
      <c r="AK708" s="274">
        <f>G743+AL708-G708</f>
        <v>4</v>
      </c>
      <c r="AL708" s="232"/>
      <c r="AM708" s="353"/>
      <c r="AN708" s="295"/>
      <c r="AO708" s="296"/>
      <c r="AP708" s="353"/>
      <c r="AQ708" s="290"/>
      <c r="AR708" s="290"/>
      <c r="AS708" s="290"/>
    </row>
    <row r="709" spans="1:45" ht="17.25" thickBot="1" x14ac:dyDescent="0.3">
      <c r="A709" s="467"/>
      <c r="B709" s="355" t="s">
        <v>420</v>
      </c>
      <c r="C709" s="356"/>
      <c r="D709" s="356" t="s">
        <v>523</v>
      </c>
      <c r="E709" s="359"/>
      <c r="F709" s="359"/>
      <c r="G709" s="356"/>
      <c r="H709" s="396"/>
      <c r="I709" s="356"/>
      <c r="J709" s="356"/>
      <c r="K709" s="356"/>
      <c r="L709" s="356"/>
      <c r="M709" s="356"/>
      <c r="N709" s="356"/>
      <c r="O709" s="356"/>
      <c r="P709" s="356"/>
      <c r="Q709" s="356"/>
      <c r="R709" s="356"/>
      <c r="S709" s="356"/>
      <c r="T709" s="356"/>
      <c r="U709" s="356"/>
      <c r="V709" s="356"/>
      <c r="W709" s="356"/>
      <c r="X709" s="356"/>
      <c r="Y709" s="356"/>
      <c r="Z709" s="356"/>
      <c r="AA709" s="356"/>
      <c r="AB709" s="356"/>
      <c r="AC709" s="356"/>
      <c r="AD709" s="356"/>
      <c r="AE709" s="356"/>
      <c r="AF709" s="356"/>
      <c r="AG709" s="356"/>
      <c r="AH709" s="356"/>
      <c r="AI709" s="356"/>
      <c r="AJ709" s="356"/>
      <c r="AK709" s="356"/>
      <c r="AL709" s="368"/>
      <c r="AM709" s="356"/>
      <c r="AN709" s="356"/>
      <c r="AO709" s="356"/>
      <c r="AP709" s="356"/>
      <c r="AQ709" s="356"/>
      <c r="AR709" s="356"/>
      <c r="AS709" s="357"/>
    </row>
    <row r="710" spans="1:45" ht="17.25" thickBot="1" x14ac:dyDescent="0.3">
      <c r="A710" s="467"/>
      <c r="B710" s="354"/>
      <c r="C710" s="285">
        <v>1146032</v>
      </c>
      <c r="D710" s="358" t="s">
        <v>396</v>
      </c>
      <c r="E710" s="360"/>
      <c r="F710" s="361">
        <f>G745-AK710+AL710</f>
        <v>0</v>
      </c>
      <c r="G710" s="364">
        <v>0</v>
      </c>
      <c r="H710" s="397">
        <v>1</v>
      </c>
      <c r="I710" s="364">
        <v>0</v>
      </c>
      <c r="J710" s="364"/>
      <c r="K710" s="364">
        <v>2</v>
      </c>
      <c r="L710" s="218"/>
      <c r="M710" s="218"/>
      <c r="N710" s="218"/>
      <c r="O710" s="218"/>
      <c r="P710" s="352"/>
      <c r="Q710" s="352"/>
      <c r="R710" s="352"/>
      <c r="S710" s="352"/>
      <c r="T710" s="352"/>
      <c r="U710" s="352"/>
      <c r="V710" s="218"/>
      <c r="W710" s="218"/>
      <c r="X710" s="218"/>
      <c r="Y710" s="218"/>
      <c r="Z710" s="218"/>
      <c r="AA710" s="218"/>
      <c r="AB710" s="218"/>
      <c r="AC710" s="218"/>
      <c r="AD710" s="218"/>
      <c r="AE710" s="218"/>
      <c r="AF710" s="218"/>
      <c r="AG710" s="218"/>
      <c r="AH710" s="218"/>
      <c r="AI710" s="218"/>
      <c r="AJ710" s="218"/>
      <c r="AK710" s="218">
        <f>G745+AL710-G710</f>
        <v>0</v>
      </c>
      <c r="AL710" s="218"/>
      <c r="AM710" s="353"/>
      <c r="AN710" s="295"/>
      <c r="AO710" s="296"/>
      <c r="AP710" s="353"/>
      <c r="AQ710" s="290"/>
      <c r="AR710" s="290"/>
      <c r="AS710" s="290"/>
    </row>
    <row r="711" spans="1:45" ht="17.25" thickBot="1" x14ac:dyDescent="0.3">
      <c r="A711" s="467"/>
      <c r="B711" s="354"/>
      <c r="C711" s="285">
        <v>1146021</v>
      </c>
      <c r="D711" s="358" t="s">
        <v>397</v>
      </c>
      <c r="E711" s="360"/>
      <c r="F711" s="361">
        <f>G746-AK711+AL711</f>
        <v>0</v>
      </c>
      <c r="G711" s="364">
        <v>0</v>
      </c>
      <c r="H711" s="397">
        <v>2</v>
      </c>
      <c r="I711" s="364">
        <v>0</v>
      </c>
      <c r="J711" s="364"/>
      <c r="K711" s="364">
        <v>0</v>
      </c>
      <c r="L711" s="218"/>
      <c r="M711" s="218"/>
      <c r="N711" s="218"/>
      <c r="O711" s="218"/>
      <c r="P711" s="352"/>
      <c r="Q711" s="352"/>
      <c r="R711" s="352"/>
      <c r="S711" s="352"/>
      <c r="T711" s="352"/>
      <c r="U711" s="352"/>
      <c r="V711" s="218"/>
      <c r="W711" s="218"/>
      <c r="X711" s="218"/>
      <c r="Y711" s="218"/>
      <c r="Z711" s="218"/>
      <c r="AA711" s="218"/>
      <c r="AB711" s="218"/>
      <c r="AC711" s="218"/>
      <c r="AD711" s="218"/>
      <c r="AE711" s="218"/>
      <c r="AF711" s="218"/>
      <c r="AG711" s="218"/>
      <c r="AH711" s="218"/>
      <c r="AI711" s="218"/>
      <c r="AJ711" s="218"/>
      <c r="AK711" s="218">
        <f>G746+AL711-G711</f>
        <v>0</v>
      </c>
      <c r="AL711" s="218"/>
      <c r="AM711" s="353"/>
      <c r="AN711" s="295"/>
      <c r="AO711" s="296"/>
      <c r="AP711" s="353"/>
      <c r="AQ711" s="290"/>
      <c r="AR711" s="290"/>
      <c r="AS711" s="290"/>
    </row>
    <row r="712" spans="1:45" ht="17.25" thickBot="1" x14ac:dyDescent="0.3">
      <c r="A712" s="467"/>
      <c r="B712" s="354"/>
      <c r="C712" s="285">
        <v>1146018</v>
      </c>
      <c r="D712" s="358" t="s">
        <v>398</v>
      </c>
      <c r="E712" s="360"/>
      <c r="F712" s="361">
        <f>G747-AK712+AL712</f>
        <v>0</v>
      </c>
      <c r="G712" s="369">
        <v>0</v>
      </c>
      <c r="H712" s="397">
        <v>1</v>
      </c>
      <c r="I712" s="364">
        <v>0</v>
      </c>
      <c r="J712" s="364"/>
      <c r="K712" s="364">
        <v>2</v>
      </c>
      <c r="L712" s="218"/>
      <c r="M712" s="218"/>
      <c r="N712" s="218"/>
      <c r="O712" s="218"/>
      <c r="P712" s="352"/>
      <c r="Q712" s="352"/>
      <c r="R712" s="352"/>
      <c r="S712" s="352"/>
      <c r="T712" s="352"/>
      <c r="U712" s="352"/>
      <c r="V712" s="218"/>
      <c r="W712" s="218"/>
      <c r="X712" s="218"/>
      <c r="Y712" s="218"/>
      <c r="Z712" s="218"/>
      <c r="AA712" s="218"/>
      <c r="AB712" s="218">
        <v>2</v>
      </c>
      <c r="AC712" s="218"/>
      <c r="AD712" s="218"/>
      <c r="AE712" s="218"/>
      <c r="AF712" s="218"/>
      <c r="AG712" s="218"/>
      <c r="AH712" s="218"/>
      <c r="AI712" s="218"/>
      <c r="AJ712" s="218"/>
      <c r="AK712" s="218">
        <f>G747+AL712-G712</f>
        <v>0</v>
      </c>
      <c r="AL712" s="218"/>
      <c r="AM712" s="353"/>
      <c r="AN712" s="295"/>
      <c r="AO712" s="296"/>
      <c r="AP712" s="353"/>
      <c r="AQ712" s="290"/>
      <c r="AR712" s="290"/>
      <c r="AS712" s="290"/>
    </row>
    <row r="713" spans="1:45" ht="17.25" thickBot="1" x14ac:dyDescent="0.3">
      <c r="A713" s="467"/>
      <c r="B713" s="354"/>
      <c r="C713" s="285">
        <v>1146024</v>
      </c>
      <c r="D713" s="358" t="s">
        <v>399</v>
      </c>
      <c r="E713" s="360"/>
      <c r="F713" s="361">
        <v>1</v>
      </c>
      <c r="G713" s="369">
        <v>1</v>
      </c>
      <c r="H713" s="369">
        <v>2</v>
      </c>
      <c r="I713" s="369">
        <v>1</v>
      </c>
      <c r="J713" s="369"/>
      <c r="K713" s="369">
        <v>0</v>
      </c>
      <c r="L713" s="218"/>
      <c r="M713" s="218"/>
      <c r="N713" s="218"/>
      <c r="O713" s="218"/>
      <c r="P713" s="352"/>
      <c r="Q713" s="352"/>
      <c r="R713" s="352"/>
      <c r="S713" s="352"/>
      <c r="T713" s="352"/>
      <c r="U713" s="352"/>
      <c r="V713" s="218"/>
      <c r="W713" s="218"/>
      <c r="X713" s="218"/>
      <c r="Y713" s="218"/>
      <c r="Z713" s="218"/>
      <c r="AA713" s="218">
        <v>1</v>
      </c>
      <c r="AB713" s="218">
        <v>1</v>
      </c>
      <c r="AC713" s="218"/>
      <c r="AD713" s="218"/>
      <c r="AE713" s="218"/>
      <c r="AF713" s="218"/>
      <c r="AG713" s="218"/>
      <c r="AH713" s="218"/>
      <c r="AI713" s="218"/>
      <c r="AJ713" s="218"/>
      <c r="AK713" s="218">
        <f>G748+AL713-G713</f>
        <v>0</v>
      </c>
      <c r="AL713" s="218"/>
      <c r="AM713" s="353"/>
      <c r="AN713" s="295"/>
      <c r="AO713" s="296"/>
      <c r="AP713" s="353"/>
      <c r="AQ713" s="290"/>
      <c r="AR713" s="290"/>
      <c r="AS713" s="290"/>
    </row>
    <row r="714" spans="1:45" ht="17.25" thickBot="1" x14ac:dyDescent="0.3">
      <c r="A714" s="467"/>
      <c r="B714" s="354"/>
      <c r="C714" s="285">
        <v>1146028</v>
      </c>
      <c r="D714" s="358" t="s">
        <v>400</v>
      </c>
      <c r="E714" s="360"/>
      <c r="F714" s="361">
        <f>G749-AK714+AL714</f>
        <v>2</v>
      </c>
      <c r="G714" s="364">
        <v>2</v>
      </c>
      <c r="H714" s="397">
        <v>2</v>
      </c>
      <c r="I714" s="364">
        <v>2</v>
      </c>
      <c r="J714" s="364"/>
      <c r="K714" s="364">
        <v>0</v>
      </c>
      <c r="L714" s="218"/>
      <c r="M714" s="218"/>
      <c r="N714" s="218"/>
      <c r="O714" s="218"/>
      <c r="P714" s="352"/>
      <c r="Q714" s="352"/>
      <c r="R714" s="352"/>
      <c r="S714" s="352"/>
      <c r="T714" s="352"/>
      <c r="U714" s="352"/>
      <c r="V714" s="218"/>
      <c r="W714" s="218"/>
      <c r="X714" s="218"/>
      <c r="Y714" s="218"/>
      <c r="Z714" s="218"/>
      <c r="AA714" s="218"/>
      <c r="AB714" s="218"/>
      <c r="AC714" s="218"/>
      <c r="AD714" s="218"/>
      <c r="AE714" s="218"/>
      <c r="AF714" s="218"/>
      <c r="AG714" s="218"/>
      <c r="AH714" s="218"/>
      <c r="AI714" s="218"/>
      <c r="AJ714" s="218"/>
      <c r="AK714" s="218">
        <f>G749+AL714-G714</f>
        <v>0</v>
      </c>
      <c r="AL714" s="218">
        <v>2</v>
      </c>
      <c r="AM714" s="353"/>
      <c r="AN714" s="295"/>
      <c r="AO714" s="296"/>
      <c r="AP714" s="353"/>
      <c r="AQ714" s="290"/>
      <c r="AR714" s="290"/>
      <c r="AS714" s="290"/>
    </row>
    <row r="715" spans="1:45" ht="17.25" thickBot="1" x14ac:dyDescent="0.3">
      <c r="A715" s="467"/>
      <c r="B715" s="355" t="s">
        <v>419</v>
      </c>
      <c r="C715" s="356"/>
      <c r="D715" s="356"/>
      <c r="E715" s="359"/>
      <c r="F715" s="359"/>
      <c r="G715" s="356"/>
      <c r="H715" s="396"/>
      <c r="I715" s="356"/>
      <c r="J715" s="356"/>
      <c r="K715" s="356"/>
      <c r="L715" s="356"/>
      <c r="M715" s="356"/>
      <c r="N715" s="356"/>
      <c r="O715" s="356"/>
      <c r="P715" s="356"/>
      <c r="Q715" s="356"/>
      <c r="R715" s="356"/>
      <c r="S715" s="356"/>
      <c r="T715" s="356"/>
      <c r="U715" s="356"/>
      <c r="V715" s="356"/>
      <c r="W715" s="356"/>
      <c r="X715" s="356"/>
      <c r="Y715" s="356"/>
      <c r="Z715" s="356"/>
      <c r="AA715" s="356"/>
      <c r="AB715" s="356"/>
      <c r="AC715" s="356"/>
      <c r="AD715" s="356"/>
      <c r="AE715" s="356"/>
      <c r="AF715" s="356"/>
      <c r="AG715" s="356"/>
      <c r="AH715" s="356"/>
      <c r="AI715" s="356"/>
      <c r="AJ715" s="356"/>
      <c r="AK715" s="356"/>
      <c r="AL715" s="356"/>
      <c r="AM715" s="356"/>
      <c r="AN715" s="356"/>
      <c r="AO715" s="356"/>
      <c r="AP715" s="356"/>
      <c r="AQ715" s="356"/>
      <c r="AR715" s="356"/>
      <c r="AS715" s="357"/>
    </row>
    <row r="716" spans="1:45" ht="17.25" thickBot="1" x14ac:dyDescent="0.3">
      <c r="A716" s="467"/>
      <c r="B716" s="372"/>
      <c r="C716" s="373">
        <v>1146031</v>
      </c>
      <c r="D716" s="374" t="s">
        <v>401</v>
      </c>
      <c r="E716" s="375"/>
      <c r="F716" s="376">
        <f>G751-AK716+AL716</f>
        <v>0</v>
      </c>
      <c r="G716" s="377">
        <v>0</v>
      </c>
      <c r="H716" s="397">
        <v>1</v>
      </c>
      <c r="I716" s="377">
        <v>1</v>
      </c>
      <c r="J716" s="377"/>
      <c r="K716" s="377">
        <v>2</v>
      </c>
      <c r="L716" s="377"/>
      <c r="M716" s="377"/>
      <c r="N716" s="377"/>
      <c r="O716" s="377"/>
      <c r="P716" s="377"/>
      <c r="Q716" s="377"/>
      <c r="R716" s="377"/>
      <c r="S716" s="377"/>
      <c r="T716" s="377"/>
      <c r="U716" s="377"/>
      <c r="V716" s="377"/>
      <c r="W716" s="377"/>
      <c r="X716" s="377"/>
      <c r="Y716" s="377"/>
      <c r="Z716" s="377"/>
      <c r="AA716" s="377"/>
      <c r="AB716" s="377"/>
      <c r="AC716" s="377"/>
      <c r="AD716" s="377"/>
      <c r="AE716" s="377"/>
      <c r="AF716" s="377"/>
      <c r="AG716" s="377"/>
      <c r="AH716" s="377"/>
      <c r="AI716" s="377"/>
      <c r="AJ716" s="377"/>
      <c r="AK716" s="377">
        <f>G751+AL716-G716</f>
        <v>0</v>
      </c>
      <c r="AL716" s="377"/>
      <c r="AM716" s="378"/>
      <c r="AN716" s="379"/>
      <c r="AO716" s="380"/>
      <c r="AP716" s="378"/>
      <c r="AQ716" s="381"/>
      <c r="AR716" s="381"/>
      <c r="AS716" s="381"/>
    </row>
    <row r="717" spans="1:45" ht="17.25" thickBot="1" x14ac:dyDescent="0.3">
      <c r="A717" s="467"/>
      <c r="B717" s="372"/>
      <c r="C717" s="373">
        <v>1146020</v>
      </c>
      <c r="D717" s="374" t="s">
        <v>402</v>
      </c>
      <c r="E717" s="375"/>
      <c r="F717" s="376">
        <f>G752-AK717+AL717</f>
        <v>0</v>
      </c>
      <c r="G717" s="377">
        <v>0</v>
      </c>
      <c r="H717" s="397">
        <v>1</v>
      </c>
      <c r="I717" s="377">
        <v>0</v>
      </c>
      <c r="J717" s="377"/>
      <c r="K717" s="377">
        <v>0</v>
      </c>
      <c r="L717" s="377"/>
      <c r="M717" s="377"/>
      <c r="N717" s="377"/>
      <c r="O717" s="377"/>
      <c r="P717" s="377"/>
      <c r="Q717" s="377"/>
      <c r="R717" s="377"/>
      <c r="S717" s="377"/>
      <c r="T717" s="377"/>
      <c r="U717" s="377"/>
      <c r="V717" s="377"/>
      <c r="W717" s="377"/>
      <c r="X717" s="377"/>
      <c r="Y717" s="377"/>
      <c r="Z717" s="377"/>
      <c r="AA717" s="377"/>
      <c r="AB717" s="377"/>
      <c r="AC717" s="377"/>
      <c r="AD717" s="377"/>
      <c r="AE717" s="377"/>
      <c r="AF717" s="377"/>
      <c r="AG717" s="377"/>
      <c r="AH717" s="377"/>
      <c r="AI717" s="377"/>
      <c r="AJ717" s="377"/>
      <c r="AK717" s="377">
        <f>G752+AL717-G717</f>
        <v>0</v>
      </c>
      <c r="AL717" s="377"/>
      <c r="AM717" s="378"/>
      <c r="AN717" s="379"/>
      <c r="AO717" s="380"/>
      <c r="AP717" s="378"/>
      <c r="AQ717" s="381"/>
      <c r="AR717" s="381"/>
      <c r="AS717" s="381"/>
    </row>
    <row r="718" spans="1:45" ht="17.25" thickBot="1" x14ac:dyDescent="0.3">
      <c r="A718" s="467"/>
      <c r="B718" s="372"/>
      <c r="C718" s="373">
        <v>1146016</v>
      </c>
      <c r="D718" s="374" t="s">
        <v>398</v>
      </c>
      <c r="E718" s="375"/>
      <c r="F718" s="376">
        <f>G753-AK718+AL718</f>
        <v>0</v>
      </c>
      <c r="G718" s="377">
        <v>0</v>
      </c>
      <c r="H718" s="397">
        <v>1</v>
      </c>
      <c r="I718" s="377">
        <v>0</v>
      </c>
      <c r="J718" s="377"/>
      <c r="K718" s="377">
        <v>0</v>
      </c>
      <c r="L718" s="377"/>
      <c r="M718" s="377"/>
      <c r="N718" s="377"/>
      <c r="O718" s="377"/>
      <c r="P718" s="377"/>
      <c r="Q718" s="377"/>
      <c r="R718" s="377"/>
      <c r="S718" s="377"/>
      <c r="T718" s="377"/>
      <c r="U718" s="377"/>
      <c r="V718" s="377"/>
      <c r="W718" s="377"/>
      <c r="X718" s="377"/>
      <c r="Y718" s="377"/>
      <c r="Z718" s="377"/>
      <c r="AA718" s="377"/>
      <c r="AB718" s="377"/>
      <c r="AC718" s="377"/>
      <c r="AD718" s="377"/>
      <c r="AE718" s="377"/>
      <c r="AF718" s="377"/>
      <c r="AG718" s="377"/>
      <c r="AH718" s="377"/>
      <c r="AI718" s="377"/>
      <c r="AJ718" s="377"/>
      <c r="AK718" s="377">
        <f>G753+AL718-G718</f>
        <v>0</v>
      </c>
      <c r="AL718" s="377"/>
      <c r="AM718" s="378"/>
      <c r="AN718" s="379"/>
      <c r="AO718" s="380"/>
      <c r="AP718" s="378"/>
      <c r="AQ718" s="381"/>
      <c r="AR718" s="381"/>
      <c r="AS718" s="381"/>
    </row>
    <row r="719" spans="1:45" ht="17.25" thickBot="1" x14ac:dyDescent="0.3">
      <c r="A719" s="467"/>
      <c r="B719" s="372"/>
      <c r="C719" s="373">
        <v>1146022</v>
      </c>
      <c r="D719" s="374" t="s">
        <v>403</v>
      </c>
      <c r="E719" s="375"/>
      <c r="F719" s="376">
        <f>G754-AK719+AL719</f>
        <v>0</v>
      </c>
      <c r="G719" s="377">
        <v>0</v>
      </c>
      <c r="H719" s="397">
        <v>2</v>
      </c>
      <c r="I719" s="377">
        <v>0</v>
      </c>
      <c r="J719" s="377"/>
      <c r="K719" s="377">
        <v>0</v>
      </c>
      <c r="L719" s="377"/>
      <c r="M719" s="377"/>
      <c r="N719" s="377"/>
      <c r="O719" s="377"/>
      <c r="P719" s="377"/>
      <c r="Q719" s="377"/>
      <c r="R719" s="377"/>
      <c r="S719" s="377"/>
      <c r="T719" s="377"/>
      <c r="U719" s="377"/>
      <c r="V719" s="377"/>
      <c r="W719" s="377"/>
      <c r="X719" s="377"/>
      <c r="Y719" s="377"/>
      <c r="Z719" s="377"/>
      <c r="AA719" s="377"/>
      <c r="AB719" s="377"/>
      <c r="AC719" s="377"/>
      <c r="AD719" s="377"/>
      <c r="AE719" s="377"/>
      <c r="AF719" s="377"/>
      <c r="AG719" s="377"/>
      <c r="AH719" s="377"/>
      <c r="AI719" s="377"/>
      <c r="AJ719" s="377"/>
      <c r="AK719" s="377">
        <f>G754+AL719-G719</f>
        <v>0</v>
      </c>
      <c r="AL719" s="377"/>
      <c r="AM719" s="378"/>
      <c r="AN719" s="379"/>
      <c r="AO719" s="380"/>
      <c r="AP719" s="378"/>
      <c r="AQ719" s="381"/>
      <c r="AR719" s="381"/>
      <c r="AS719" s="381"/>
    </row>
    <row r="720" spans="1:45" ht="17.25" thickBot="1" x14ac:dyDescent="0.3">
      <c r="A720" s="467"/>
      <c r="B720" s="372"/>
      <c r="C720" s="373">
        <v>1146027</v>
      </c>
      <c r="D720" s="374" t="s">
        <v>404</v>
      </c>
      <c r="E720" s="375"/>
      <c r="F720" s="376">
        <f>G755-AK720+AL720</f>
        <v>0</v>
      </c>
      <c r="G720" s="377">
        <v>0</v>
      </c>
      <c r="H720" s="397">
        <v>2</v>
      </c>
      <c r="I720" s="377">
        <v>1</v>
      </c>
      <c r="J720" s="377"/>
      <c r="K720" s="377">
        <v>1</v>
      </c>
      <c r="L720" s="377"/>
      <c r="M720" s="377"/>
      <c r="N720" s="377"/>
      <c r="O720" s="377"/>
      <c r="P720" s="377"/>
      <c r="Q720" s="377"/>
      <c r="R720" s="377"/>
      <c r="S720" s="377"/>
      <c r="T720" s="377"/>
      <c r="U720" s="377"/>
      <c r="V720" s="377"/>
      <c r="W720" s="377"/>
      <c r="X720" s="377"/>
      <c r="Y720" s="377"/>
      <c r="Z720" s="377"/>
      <c r="AA720" s="377"/>
      <c r="AB720" s="377"/>
      <c r="AC720" s="377"/>
      <c r="AD720" s="377"/>
      <c r="AE720" s="377"/>
      <c r="AF720" s="377"/>
      <c r="AG720" s="377"/>
      <c r="AH720" s="377"/>
      <c r="AI720" s="377"/>
      <c r="AJ720" s="377"/>
      <c r="AK720" s="377">
        <f>G755+AL720-G720</f>
        <v>0</v>
      </c>
      <c r="AL720" s="377"/>
      <c r="AM720" s="378"/>
      <c r="AN720" s="379"/>
      <c r="AO720" s="380"/>
      <c r="AP720" s="378"/>
      <c r="AQ720" s="381"/>
      <c r="AR720" s="381"/>
      <c r="AS720" s="381"/>
    </row>
    <row r="721" spans="1:45" ht="17.25" thickBot="1" x14ac:dyDescent="0.3">
      <c r="A721" s="467"/>
      <c r="B721" s="355" t="s">
        <v>418</v>
      </c>
      <c r="C721" s="356"/>
      <c r="D721" s="356"/>
      <c r="E721" s="359"/>
      <c r="F721" s="359"/>
      <c r="G721" s="356"/>
      <c r="H721" s="396"/>
      <c r="I721" s="356"/>
      <c r="J721" s="356"/>
      <c r="K721" s="356"/>
      <c r="L721" s="356"/>
      <c r="M721" s="356"/>
      <c r="N721" s="356"/>
      <c r="O721" s="356"/>
      <c r="P721" s="356"/>
      <c r="Q721" s="356"/>
      <c r="R721" s="356"/>
      <c r="S721" s="356"/>
      <c r="T721" s="356"/>
      <c r="U721" s="356"/>
      <c r="V721" s="356"/>
      <c r="W721" s="356"/>
      <c r="X721" s="356"/>
      <c r="Y721" s="356"/>
      <c r="Z721" s="356"/>
      <c r="AA721" s="356"/>
      <c r="AB721" s="356"/>
      <c r="AC721" s="356"/>
      <c r="AD721" s="356"/>
      <c r="AE721" s="356"/>
      <c r="AF721" s="356"/>
      <c r="AG721" s="356"/>
      <c r="AH721" s="356"/>
      <c r="AI721" s="356"/>
      <c r="AJ721" s="356"/>
      <c r="AK721" s="356"/>
      <c r="AL721" s="356"/>
      <c r="AM721" s="356"/>
      <c r="AN721" s="356"/>
      <c r="AO721" s="356"/>
      <c r="AP721" s="356"/>
      <c r="AQ721" s="356"/>
      <c r="AR721" s="356"/>
      <c r="AS721" s="357"/>
    </row>
    <row r="722" spans="1:45" ht="17.25" thickBot="1" x14ac:dyDescent="0.3">
      <c r="A722" s="467"/>
      <c r="B722" s="354"/>
      <c r="C722" s="285">
        <v>1151653</v>
      </c>
      <c r="D722" s="358" t="s">
        <v>405</v>
      </c>
      <c r="E722" s="360"/>
      <c r="F722" s="361">
        <f>G757-AK722+AL722</f>
        <v>0</v>
      </c>
      <c r="G722" s="364">
        <v>0</v>
      </c>
      <c r="H722" s="397">
        <v>1</v>
      </c>
      <c r="I722" s="364">
        <v>1</v>
      </c>
      <c r="J722" s="364"/>
      <c r="K722" s="364">
        <v>1</v>
      </c>
      <c r="L722" s="218"/>
      <c r="M722" s="218"/>
      <c r="N722" s="218"/>
      <c r="O722" s="218"/>
      <c r="P722" s="352"/>
      <c r="Q722" s="352"/>
      <c r="R722" s="352"/>
      <c r="S722" s="352"/>
      <c r="T722" s="352"/>
      <c r="U722" s="352"/>
      <c r="V722" s="218"/>
      <c r="W722" s="218"/>
      <c r="X722" s="218"/>
      <c r="Y722" s="218"/>
      <c r="Z722" s="218"/>
      <c r="AA722" s="218"/>
      <c r="AB722" s="218"/>
      <c r="AC722" s="218"/>
      <c r="AD722" s="218"/>
      <c r="AE722" s="218"/>
      <c r="AF722" s="218"/>
      <c r="AG722" s="218"/>
      <c r="AH722" s="218"/>
      <c r="AI722" s="218"/>
      <c r="AJ722" s="218"/>
      <c r="AK722" s="218">
        <f>G757+AL722-G722</f>
        <v>0</v>
      </c>
      <c r="AL722" s="218"/>
      <c r="AM722" s="353"/>
      <c r="AN722" s="295"/>
      <c r="AO722" s="296"/>
      <c r="AP722" s="353"/>
      <c r="AQ722" s="290"/>
      <c r="AR722" s="290"/>
      <c r="AS722" s="290"/>
    </row>
    <row r="723" spans="1:45" ht="17.25" thickBot="1" x14ac:dyDescent="0.3">
      <c r="A723" s="467"/>
      <c r="B723" s="354"/>
      <c r="C723" s="285">
        <v>1151650</v>
      </c>
      <c r="D723" s="358" t="s">
        <v>406</v>
      </c>
      <c r="E723" s="360"/>
      <c r="F723" s="361">
        <f>G758-AK723+AL723</f>
        <v>0</v>
      </c>
      <c r="G723" s="364">
        <v>0</v>
      </c>
      <c r="H723" s="397">
        <v>2</v>
      </c>
      <c r="I723" s="364">
        <v>0</v>
      </c>
      <c r="J723" s="364"/>
      <c r="K723" s="364">
        <v>5</v>
      </c>
      <c r="L723" s="218"/>
      <c r="M723" s="218"/>
      <c r="N723" s="218"/>
      <c r="O723" s="218"/>
      <c r="P723" s="352"/>
      <c r="Q723" s="352"/>
      <c r="R723" s="352"/>
      <c r="S723" s="352"/>
      <c r="T723" s="352"/>
      <c r="U723" s="352"/>
      <c r="V723" s="218"/>
      <c r="W723" s="218"/>
      <c r="X723" s="218"/>
      <c r="Y723" s="218"/>
      <c r="Z723" s="218"/>
      <c r="AA723" s="218"/>
      <c r="AB723" s="218"/>
      <c r="AC723" s="218"/>
      <c r="AD723" s="218"/>
      <c r="AE723" s="218"/>
      <c r="AF723" s="218"/>
      <c r="AG723" s="218"/>
      <c r="AH723" s="218"/>
      <c r="AI723" s="218"/>
      <c r="AJ723" s="218"/>
      <c r="AK723" s="218">
        <f>G758+AL723-G723</f>
        <v>0</v>
      </c>
      <c r="AL723" s="218"/>
      <c r="AM723" s="353"/>
      <c r="AN723" s="295"/>
      <c r="AO723" s="296"/>
      <c r="AP723" s="353"/>
      <c r="AQ723" s="290"/>
      <c r="AR723" s="290"/>
      <c r="AS723" s="290"/>
    </row>
    <row r="724" spans="1:45" ht="17.25" thickBot="1" x14ac:dyDescent="0.3">
      <c r="A724" s="467"/>
      <c r="B724" s="354"/>
      <c r="C724" s="285">
        <v>1151649</v>
      </c>
      <c r="D724" s="358" t="s">
        <v>407</v>
      </c>
      <c r="E724" s="360"/>
      <c r="F724" s="361">
        <f>G759-AK724+AL724</f>
        <v>0</v>
      </c>
      <c r="G724" s="369">
        <v>0</v>
      </c>
      <c r="H724" s="369">
        <v>4</v>
      </c>
      <c r="I724" s="369">
        <v>0</v>
      </c>
      <c r="J724" s="369"/>
      <c r="K724" s="369">
        <v>2</v>
      </c>
      <c r="L724" s="218"/>
      <c r="M724" s="218"/>
      <c r="N724" s="218"/>
      <c r="O724" s="218"/>
      <c r="P724" s="352"/>
      <c r="Q724" s="352"/>
      <c r="R724" s="352"/>
      <c r="S724" s="352"/>
      <c r="T724" s="352"/>
      <c r="U724" s="352"/>
      <c r="V724" s="218"/>
      <c r="W724" s="218"/>
      <c r="X724" s="218"/>
      <c r="Y724" s="218"/>
      <c r="Z724" s="218"/>
      <c r="AA724" s="218"/>
      <c r="AB724" s="218">
        <v>2</v>
      </c>
      <c r="AC724" s="218"/>
      <c r="AD724" s="218"/>
      <c r="AE724" s="218"/>
      <c r="AF724" s="218"/>
      <c r="AG724" s="218"/>
      <c r="AH724" s="218"/>
      <c r="AI724" s="218"/>
      <c r="AJ724" s="218"/>
      <c r="AK724" s="218">
        <f>G759+AL724-G724</f>
        <v>0</v>
      </c>
      <c r="AL724" s="218"/>
      <c r="AM724" s="353"/>
      <c r="AN724" s="295"/>
      <c r="AO724" s="296"/>
      <c r="AP724" s="353"/>
      <c r="AQ724" s="290"/>
      <c r="AR724" s="290"/>
      <c r="AS724" s="290"/>
    </row>
    <row r="725" spans="1:45" ht="17.25" thickBot="1" x14ac:dyDescent="0.3">
      <c r="A725" s="467"/>
      <c r="B725" s="354"/>
      <c r="C725" s="285">
        <v>1151651</v>
      </c>
      <c r="D725" s="358" t="s">
        <v>408</v>
      </c>
      <c r="E725" s="360"/>
      <c r="F725" s="361">
        <f>G760-AK725+AL725</f>
        <v>1</v>
      </c>
      <c r="G725" s="369">
        <v>1</v>
      </c>
      <c r="H725" s="369">
        <v>1</v>
      </c>
      <c r="I725" s="369">
        <v>1</v>
      </c>
      <c r="J725" s="369"/>
      <c r="K725" s="369">
        <v>1</v>
      </c>
      <c r="L725" s="218"/>
      <c r="M725" s="218"/>
      <c r="N725" s="218"/>
      <c r="O725" s="218"/>
      <c r="P725" s="352"/>
      <c r="Q725" s="352"/>
      <c r="R725" s="352"/>
      <c r="S725" s="352"/>
      <c r="T725" s="352"/>
      <c r="U725" s="352"/>
      <c r="V725" s="218"/>
      <c r="W725" s="218"/>
      <c r="X725" s="218"/>
      <c r="Y725" s="218"/>
      <c r="Z725" s="218">
        <v>2</v>
      </c>
      <c r="AA725" s="218"/>
      <c r="AB725" s="218">
        <v>2</v>
      </c>
      <c r="AC725" s="218"/>
      <c r="AD725" s="218"/>
      <c r="AE725" s="218"/>
      <c r="AF725" s="218"/>
      <c r="AG725" s="218"/>
      <c r="AH725" s="218"/>
      <c r="AI725" s="218"/>
      <c r="AJ725" s="218"/>
      <c r="AK725" s="218">
        <f>G760+AL725-G725</f>
        <v>0</v>
      </c>
      <c r="AL725" s="218"/>
      <c r="AM725" s="353"/>
      <c r="AN725" s="295"/>
      <c r="AO725" s="296"/>
      <c r="AP725" s="353"/>
      <c r="AQ725" s="290"/>
      <c r="AR725" s="290"/>
      <c r="AS725" s="290"/>
    </row>
    <row r="726" spans="1:45" ht="17.25" thickBot="1" x14ac:dyDescent="0.3">
      <c r="A726" s="467"/>
      <c r="B726" s="354"/>
      <c r="C726" s="285">
        <v>1146029</v>
      </c>
      <c r="D726" s="358" t="s">
        <v>409</v>
      </c>
      <c r="E726" s="360"/>
      <c r="F726" s="361">
        <f>G761-AK726+AL726</f>
        <v>0</v>
      </c>
      <c r="G726" s="369">
        <v>0</v>
      </c>
      <c r="H726" s="369">
        <v>2</v>
      </c>
      <c r="I726" s="369">
        <v>0</v>
      </c>
      <c r="J726" s="369"/>
      <c r="K726" s="369">
        <v>0</v>
      </c>
      <c r="L726" s="218"/>
      <c r="M726" s="218"/>
      <c r="N726" s="218"/>
      <c r="O726" s="218"/>
      <c r="P726" s="352"/>
      <c r="Q726" s="352"/>
      <c r="R726" s="352"/>
      <c r="S726" s="352"/>
      <c r="T726" s="352"/>
      <c r="U726" s="352"/>
      <c r="V726" s="218"/>
      <c r="W726" s="218"/>
      <c r="X726" s="218"/>
      <c r="Y726" s="218"/>
      <c r="Z726" s="218"/>
      <c r="AA726" s="218"/>
      <c r="AB726" s="218"/>
      <c r="AC726" s="218">
        <v>2</v>
      </c>
      <c r="AD726" s="218"/>
      <c r="AE726" s="218"/>
      <c r="AF726" s="218"/>
      <c r="AG726" s="218"/>
      <c r="AH726" s="218"/>
      <c r="AI726" s="218"/>
      <c r="AJ726" s="218"/>
      <c r="AK726" s="218">
        <f>G761+AL726-G726</f>
        <v>2</v>
      </c>
      <c r="AL726" s="218"/>
      <c r="AM726" s="353"/>
      <c r="AN726" s="295"/>
      <c r="AO726" s="296"/>
      <c r="AP726" s="353"/>
      <c r="AQ726" s="290"/>
      <c r="AR726" s="290"/>
      <c r="AS726" s="290"/>
    </row>
    <row r="727" spans="1:45" ht="17.25" thickBot="1" x14ac:dyDescent="0.3">
      <c r="A727" s="467"/>
      <c r="B727" s="355" t="s">
        <v>410</v>
      </c>
      <c r="C727" s="356"/>
      <c r="D727" s="356"/>
      <c r="E727" s="359"/>
      <c r="F727" s="359"/>
      <c r="G727" s="356"/>
      <c r="H727" s="396"/>
      <c r="I727" s="356"/>
      <c r="J727" s="356"/>
      <c r="K727" s="356"/>
      <c r="L727" s="356"/>
      <c r="M727" s="356"/>
      <c r="N727" s="356"/>
      <c r="O727" s="356"/>
      <c r="P727" s="356"/>
      <c r="Q727" s="356"/>
      <c r="R727" s="356"/>
      <c r="S727" s="356"/>
      <c r="T727" s="356"/>
      <c r="U727" s="356"/>
      <c r="V727" s="356"/>
      <c r="W727" s="356"/>
      <c r="X727" s="356"/>
      <c r="Y727" s="356"/>
      <c r="Z727" s="356"/>
      <c r="AA727" s="356"/>
      <c r="AB727" s="356"/>
      <c r="AC727" s="356"/>
      <c r="AD727" s="356"/>
      <c r="AE727" s="356"/>
      <c r="AF727" s="356"/>
      <c r="AG727" s="356"/>
      <c r="AH727" s="356"/>
      <c r="AI727" s="356"/>
      <c r="AJ727" s="356"/>
      <c r="AK727" s="356"/>
      <c r="AL727" s="356"/>
      <c r="AM727" s="356"/>
      <c r="AN727" s="356"/>
      <c r="AO727" s="356"/>
      <c r="AP727" s="356"/>
      <c r="AQ727" s="356"/>
      <c r="AR727" s="356"/>
      <c r="AS727" s="357"/>
    </row>
    <row r="728" spans="1:45" ht="17.25" thickBot="1" x14ac:dyDescent="0.3">
      <c r="A728" s="467"/>
      <c r="B728" s="354"/>
      <c r="C728" s="285">
        <v>1699118</v>
      </c>
      <c r="D728" s="358" t="s">
        <v>411</v>
      </c>
      <c r="E728" s="360"/>
      <c r="F728" s="361">
        <f>G763-AK728+AL728</f>
        <v>0</v>
      </c>
      <c r="G728" s="369">
        <v>0</v>
      </c>
      <c r="H728" s="369">
        <v>1</v>
      </c>
      <c r="I728" s="369">
        <v>0</v>
      </c>
      <c r="J728" s="369"/>
      <c r="K728" s="369">
        <v>1</v>
      </c>
      <c r="L728" s="218"/>
      <c r="M728" s="218"/>
      <c r="N728" s="218"/>
      <c r="O728" s="218"/>
      <c r="P728" s="352"/>
      <c r="Q728" s="352"/>
      <c r="R728" s="352"/>
      <c r="S728" s="352"/>
      <c r="T728" s="352"/>
      <c r="U728" s="352"/>
      <c r="V728" s="218"/>
      <c r="W728" s="218"/>
      <c r="X728" s="218"/>
      <c r="Y728" s="218"/>
      <c r="Z728" s="218"/>
      <c r="AA728" s="218"/>
      <c r="AB728" s="218">
        <v>1</v>
      </c>
      <c r="AC728" s="218"/>
      <c r="AD728" s="218"/>
      <c r="AE728" s="218"/>
      <c r="AF728" s="218"/>
      <c r="AG728" s="218"/>
      <c r="AH728" s="218"/>
      <c r="AI728" s="218"/>
      <c r="AJ728" s="218"/>
      <c r="AK728" s="218">
        <f>G763+AL728-G728</f>
        <v>0</v>
      </c>
      <c r="AL728" s="218"/>
      <c r="AM728" s="353"/>
      <c r="AN728" s="295"/>
      <c r="AO728" s="296"/>
      <c r="AP728" s="353"/>
      <c r="AQ728" s="290"/>
      <c r="AR728" s="290"/>
      <c r="AS728" s="290"/>
    </row>
    <row r="729" spans="1:45" ht="17.25" thickBot="1" x14ac:dyDescent="0.3">
      <c r="A729" s="467"/>
      <c r="B729" s="354"/>
      <c r="C729" s="285">
        <v>1699119</v>
      </c>
      <c r="D729" s="358" t="s">
        <v>412</v>
      </c>
      <c r="E729" s="360"/>
      <c r="F729" s="361">
        <f>G764-AK729+AL729</f>
        <v>0</v>
      </c>
      <c r="G729" s="369">
        <v>0</v>
      </c>
      <c r="H729" s="369">
        <v>1</v>
      </c>
      <c r="I729" s="369">
        <v>0</v>
      </c>
      <c r="J729" s="369"/>
      <c r="K729" s="369">
        <v>2</v>
      </c>
      <c r="L729" s="218"/>
      <c r="M729" s="218"/>
      <c r="N729" s="218"/>
      <c r="O729" s="218"/>
      <c r="P729" s="352"/>
      <c r="Q729" s="352"/>
      <c r="R729" s="352"/>
      <c r="S729" s="352"/>
      <c r="T729" s="352"/>
      <c r="U729" s="352"/>
      <c r="V729" s="218"/>
      <c r="W729" s="218"/>
      <c r="X729" s="218"/>
      <c r="Y729" s="218"/>
      <c r="Z729" s="218"/>
      <c r="AA729" s="218"/>
      <c r="AB729" s="218">
        <v>2</v>
      </c>
      <c r="AC729" s="218"/>
      <c r="AD729" s="218"/>
      <c r="AE729" s="218"/>
      <c r="AF729" s="218"/>
      <c r="AG729" s="218"/>
      <c r="AH729" s="218"/>
      <c r="AI729" s="218"/>
      <c r="AJ729" s="218"/>
      <c r="AK729" s="218">
        <f>G764+AL729-G729</f>
        <v>0</v>
      </c>
      <c r="AL729" s="218"/>
      <c r="AM729" s="353"/>
      <c r="AN729" s="295"/>
      <c r="AO729" s="296"/>
      <c r="AP729" s="353"/>
      <c r="AQ729" s="290"/>
      <c r="AR729" s="290"/>
      <c r="AS729" s="290"/>
    </row>
    <row r="730" spans="1:45" ht="17.25" thickBot="1" x14ac:dyDescent="0.3">
      <c r="A730" s="467"/>
      <c r="B730" s="354"/>
      <c r="C730" s="285">
        <v>1699130</v>
      </c>
      <c r="D730" s="358" t="s">
        <v>413</v>
      </c>
      <c r="E730" s="360"/>
      <c r="F730" s="361">
        <f>G765-AK730+AL730</f>
        <v>4</v>
      </c>
      <c r="G730" s="369">
        <v>4</v>
      </c>
      <c r="H730" s="369">
        <v>4</v>
      </c>
      <c r="I730" s="369">
        <v>4</v>
      </c>
      <c r="J730" s="369"/>
      <c r="K730" s="369">
        <v>0</v>
      </c>
      <c r="L730" s="218"/>
      <c r="M730" s="218"/>
      <c r="N730" s="218"/>
      <c r="O730" s="218"/>
      <c r="P730" s="352"/>
      <c r="Q730" s="352"/>
      <c r="R730" s="352"/>
      <c r="S730" s="352"/>
      <c r="T730" s="352"/>
      <c r="U730" s="352"/>
      <c r="V730" s="218"/>
      <c r="W730" s="218"/>
      <c r="X730" s="218"/>
      <c r="Y730" s="218"/>
      <c r="Z730" s="218"/>
      <c r="AA730" s="218">
        <v>2</v>
      </c>
      <c r="AB730" s="218"/>
      <c r="AC730" s="218"/>
      <c r="AD730" s="218"/>
      <c r="AE730" s="218"/>
      <c r="AF730" s="218"/>
      <c r="AG730" s="218"/>
      <c r="AH730" s="218"/>
      <c r="AI730" s="218"/>
      <c r="AJ730" s="218"/>
      <c r="AK730" s="218">
        <f>G765+AL730-G730</f>
        <v>0</v>
      </c>
      <c r="AL730" s="218"/>
      <c r="AM730" s="353"/>
      <c r="AN730" s="295"/>
      <c r="AO730" s="296"/>
      <c r="AP730" s="353"/>
      <c r="AQ730" s="290"/>
      <c r="AR730" s="290"/>
      <c r="AS730" s="290"/>
    </row>
    <row r="731" spans="1:45" ht="17.25" thickBot="1" x14ac:dyDescent="0.3">
      <c r="A731" s="467"/>
      <c r="B731" s="354"/>
      <c r="C731" s="285">
        <v>1699131</v>
      </c>
      <c r="D731" s="358" t="s">
        <v>414</v>
      </c>
      <c r="E731" s="360"/>
      <c r="F731" s="361">
        <f>G766-AK731+AL731</f>
        <v>1</v>
      </c>
      <c r="G731" s="369">
        <v>1</v>
      </c>
      <c r="H731" s="397">
        <v>3</v>
      </c>
      <c r="I731" s="369">
        <v>1</v>
      </c>
      <c r="J731" s="369"/>
      <c r="K731" s="364">
        <v>2</v>
      </c>
      <c r="L731" s="218"/>
      <c r="M731" s="218"/>
      <c r="N731" s="218"/>
      <c r="O731" s="218"/>
      <c r="P731" s="352"/>
      <c r="Q731" s="352"/>
      <c r="R731" s="352"/>
      <c r="S731" s="352"/>
      <c r="T731" s="352"/>
      <c r="U731" s="352"/>
      <c r="V731" s="218"/>
      <c r="W731" s="218"/>
      <c r="X731" s="218"/>
      <c r="Y731" s="218"/>
      <c r="Z731" s="218"/>
      <c r="AA731" s="218"/>
      <c r="AB731" s="218">
        <v>1</v>
      </c>
      <c r="AC731" s="218"/>
      <c r="AD731" s="218"/>
      <c r="AE731" s="218"/>
      <c r="AF731" s="218"/>
      <c r="AG731" s="218"/>
      <c r="AH731" s="218"/>
      <c r="AI731" s="218"/>
      <c r="AJ731" s="218"/>
      <c r="AK731" s="218">
        <f>G766+AL731-G731</f>
        <v>0</v>
      </c>
      <c r="AL731" s="218"/>
      <c r="AM731" s="353"/>
      <c r="AN731" s="295"/>
      <c r="AO731" s="296"/>
      <c r="AP731" s="353"/>
      <c r="AQ731" s="290"/>
      <c r="AR731" s="290"/>
      <c r="AS731" s="290"/>
    </row>
    <row r="732" spans="1:45" ht="17.25" thickBot="1" x14ac:dyDescent="0.3">
      <c r="A732" s="468"/>
      <c r="B732" s="354"/>
      <c r="C732" s="285">
        <v>1699132</v>
      </c>
      <c r="D732" s="358" t="s">
        <v>415</v>
      </c>
      <c r="E732" s="285"/>
      <c r="F732" s="362">
        <f>G767-AK732+AL732</f>
        <v>0</v>
      </c>
      <c r="G732" s="364">
        <v>0</v>
      </c>
      <c r="H732" s="397">
        <v>3</v>
      </c>
      <c r="I732" s="364">
        <v>2</v>
      </c>
      <c r="J732" s="364"/>
      <c r="K732" s="364">
        <v>0</v>
      </c>
      <c r="L732" s="218"/>
      <c r="M732" s="218"/>
      <c r="N732" s="218"/>
      <c r="O732" s="218"/>
      <c r="P732" s="352"/>
      <c r="Q732" s="352"/>
      <c r="R732" s="352"/>
      <c r="S732" s="352"/>
      <c r="T732" s="352"/>
      <c r="U732" s="352"/>
      <c r="V732" s="218"/>
      <c r="W732" s="218"/>
      <c r="X732" s="218"/>
      <c r="Y732" s="218"/>
      <c r="Z732" s="218"/>
      <c r="AA732" s="218"/>
      <c r="AB732" s="218"/>
      <c r="AC732" s="218"/>
      <c r="AD732" s="218"/>
      <c r="AE732" s="218"/>
      <c r="AF732" s="218"/>
      <c r="AG732" s="218"/>
      <c r="AH732" s="218"/>
      <c r="AI732" s="218"/>
      <c r="AJ732" s="218"/>
      <c r="AK732" s="218">
        <f>G767+AL732-G732</f>
        <v>0</v>
      </c>
      <c r="AL732" s="218"/>
      <c r="AM732" s="353"/>
      <c r="AN732" s="295"/>
      <c r="AO732" s="296"/>
      <c r="AP732" s="353"/>
      <c r="AQ732" s="290"/>
      <c r="AR732" s="290"/>
      <c r="AS732" s="290"/>
    </row>
    <row r="733" spans="1:45" x14ac:dyDescent="0.25">
      <c r="AL733" s="290"/>
      <c r="AM733" s="290"/>
      <c r="AN733" s="290"/>
      <c r="AO733" s="290"/>
      <c r="AP733" s="290"/>
    </row>
    <row r="734" spans="1:45" ht="14.25" thickBot="1" x14ac:dyDescent="0.3">
      <c r="B734" s="338" t="s">
        <v>18</v>
      </c>
      <c r="C734" s="339">
        <v>45705</v>
      </c>
      <c r="AA734" s="290">
        <v>0</v>
      </c>
      <c r="AL734" s="290"/>
      <c r="AM734" s="290"/>
      <c r="AN734" s="290"/>
      <c r="AO734" s="290"/>
      <c r="AP734" s="290"/>
      <c r="AQ734" s="290"/>
    </row>
    <row r="735" spans="1:45" ht="41.25" thickBot="1" x14ac:dyDescent="0.3">
      <c r="B735" s="283" t="s">
        <v>0</v>
      </c>
      <c r="C735" s="284" t="s">
        <v>1</v>
      </c>
      <c r="D735" s="284" t="s">
        <v>2</v>
      </c>
      <c r="E735" s="284" t="s">
        <v>3</v>
      </c>
      <c r="F735" s="4" t="s">
        <v>318</v>
      </c>
      <c r="G735" s="351" t="s">
        <v>519</v>
      </c>
      <c r="H735" s="382" t="s">
        <v>460</v>
      </c>
      <c r="I735" s="234" t="s">
        <v>520</v>
      </c>
      <c r="J735" s="234"/>
      <c r="K735" s="258" t="s">
        <v>522</v>
      </c>
      <c r="L735" s="258" t="s">
        <v>328</v>
      </c>
      <c r="M735" s="258" t="s">
        <v>327</v>
      </c>
      <c r="N735" s="234" t="s">
        <v>389</v>
      </c>
      <c r="O735" s="240" t="s">
        <v>130</v>
      </c>
      <c r="P735" s="243" t="s">
        <v>303</v>
      </c>
      <c r="Q735" s="244" t="s">
        <v>304</v>
      </c>
      <c r="R735" s="244" t="s">
        <v>314</v>
      </c>
      <c r="S735" s="245" t="s">
        <v>338</v>
      </c>
      <c r="T735" s="245" t="s">
        <v>345</v>
      </c>
      <c r="U735" s="245" t="s">
        <v>361</v>
      </c>
      <c r="V735" s="245" t="s">
        <v>387</v>
      </c>
      <c r="W735" s="245" t="s">
        <v>421</v>
      </c>
      <c r="X735" s="245" t="s">
        <v>452</v>
      </c>
      <c r="Y735" s="245" t="s">
        <v>463</v>
      </c>
      <c r="Z735" s="245" t="s">
        <v>481</v>
      </c>
      <c r="AA735" s="245" t="s">
        <v>498</v>
      </c>
      <c r="AB735" s="245" t="s">
        <v>303</v>
      </c>
      <c r="AC735" s="245" t="s">
        <v>304</v>
      </c>
      <c r="AD735" s="245"/>
      <c r="AE735" s="245"/>
      <c r="AF735" s="245"/>
      <c r="AG735" s="245"/>
      <c r="AH735" s="245"/>
      <c r="AI735" s="245"/>
      <c r="AJ735" s="245" t="s">
        <v>360</v>
      </c>
      <c r="AK735" s="246" t="s">
        <v>268</v>
      </c>
      <c r="AL735" s="247" t="s">
        <v>269</v>
      </c>
      <c r="AM735" s="291" t="s">
        <v>288</v>
      </c>
      <c r="AN735" s="292" t="s">
        <v>289</v>
      </c>
      <c r="AO735" s="292" t="s">
        <v>287</v>
      </c>
      <c r="AP735" s="293" t="s">
        <v>290</v>
      </c>
      <c r="AQ735" s="290" t="s">
        <v>306</v>
      </c>
      <c r="AR735" s="290" t="s">
        <v>310</v>
      </c>
      <c r="AS735" s="290" t="s">
        <v>311</v>
      </c>
    </row>
    <row r="736" spans="1:45" ht="17.25" thickBot="1" x14ac:dyDescent="0.3">
      <c r="A736" s="463" t="s">
        <v>416</v>
      </c>
      <c r="B736" s="285">
        <v>273664</v>
      </c>
      <c r="C736" s="286">
        <v>1135749</v>
      </c>
      <c r="D736" s="286" t="s">
        <v>7</v>
      </c>
      <c r="E736" s="286">
        <v>6060050026</v>
      </c>
      <c r="F736" s="253">
        <f>G771-AK736+AL736</f>
        <v>2</v>
      </c>
      <c r="G736" s="235">
        <v>2</v>
      </c>
      <c r="H736" s="394">
        <v>5</v>
      </c>
      <c r="I736" s="232">
        <v>2</v>
      </c>
      <c r="J736" s="232"/>
      <c r="K736" s="232">
        <v>1</v>
      </c>
      <c r="L736" s="232">
        <f>IF(K770=K735,L771+AK736,K736)</f>
        <v>1</v>
      </c>
      <c r="M736" s="232">
        <f>IF(K770=K735,0,L771+AK736-K736)</f>
        <v>1</v>
      </c>
      <c r="N736" s="267">
        <v>5</v>
      </c>
      <c r="O736" s="241">
        <f>N736-G736</f>
        <v>3</v>
      </c>
      <c r="P736" s="277">
        <v>4</v>
      </c>
      <c r="Q736" s="278">
        <v>4</v>
      </c>
      <c r="R736" s="279"/>
      <c r="S736" s="279">
        <v>3</v>
      </c>
      <c r="T736" s="279">
        <v>4</v>
      </c>
      <c r="U736" s="279">
        <v>2</v>
      </c>
      <c r="V736" s="279"/>
      <c r="W736" s="279">
        <f>2+3</f>
        <v>5</v>
      </c>
      <c r="X736" s="241"/>
      <c r="Y736" s="241"/>
      <c r="Z736" s="241"/>
      <c r="AA736" s="241">
        <v>4</v>
      </c>
      <c r="AB736" s="241">
        <v>5</v>
      </c>
      <c r="AC736" s="241"/>
      <c r="AD736" s="241"/>
      <c r="AE736" s="241"/>
      <c r="AF736" s="241"/>
      <c r="AG736" s="241"/>
      <c r="AH736" s="241"/>
      <c r="AI736" s="241"/>
      <c r="AJ736" s="241">
        <f>N736-V736</f>
        <v>5</v>
      </c>
      <c r="AK736" s="235">
        <f>G771+AL736-G736</f>
        <v>0</v>
      </c>
      <c r="AL736" s="350"/>
      <c r="AM736" s="294">
        <v>1.5</v>
      </c>
      <c r="AN736" s="295">
        <v>4</v>
      </c>
      <c r="AO736" s="296">
        <f>G736/(AN736)</f>
        <v>0.5</v>
      </c>
      <c r="AP736" s="297">
        <f>AN736*6</f>
        <v>24</v>
      </c>
      <c r="AQ736" s="290">
        <f>G736+K736</f>
        <v>3</v>
      </c>
      <c r="AR736" s="290">
        <f>IF(G736&lt;G771,(G771-G736+K771-K736),K771-K736)</f>
        <v>1</v>
      </c>
      <c r="AS736" s="290">
        <f>21-8</f>
        <v>13</v>
      </c>
    </row>
    <row r="737" spans="1:45" ht="17.25" thickBot="1" x14ac:dyDescent="0.3">
      <c r="A737" s="464"/>
      <c r="B737" s="285">
        <v>273672</v>
      </c>
      <c r="C737" s="286">
        <v>1135750</v>
      </c>
      <c r="D737" s="286" t="s">
        <v>9</v>
      </c>
      <c r="E737" s="287">
        <v>204000000000</v>
      </c>
      <c r="F737" s="253">
        <f>G772-AK737+AL737</f>
        <v>21</v>
      </c>
      <c r="G737" s="235">
        <v>21</v>
      </c>
      <c r="H737" s="394">
        <v>16</v>
      </c>
      <c r="I737" s="232">
        <v>21</v>
      </c>
      <c r="J737" s="232"/>
      <c r="K737" s="232">
        <v>5</v>
      </c>
      <c r="L737" s="232">
        <f>IF(K770=K735,L772+AK737,K737)</f>
        <v>5</v>
      </c>
      <c r="M737" s="232">
        <f>IF(K770=K735,0,L772+AK737-K737)</f>
        <v>0</v>
      </c>
      <c r="N737" s="267">
        <v>10</v>
      </c>
      <c r="O737" s="241">
        <f>N737-G737</f>
        <v>-11</v>
      </c>
      <c r="P737" s="277">
        <v>13</v>
      </c>
      <c r="Q737" s="278">
        <v>2</v>
      </c>
      <c r="R737" s="279">
        <v>6</v>
      </c>
      <c r="S737" s="279">
        <v>6</v>
      </c>
      <c r="T737" s="279">
        <v>10</v>
      </c>
      <c r="U737" s="279">
        <v>4</v>
      </c>
      <c r="V737" s="279">
        <v>6</v>
      </c>
      <c r="W737" s="279">
        <v>16</v>
      </c>
      <c r="X737" s="241"/>
      <c r="Y737" s="241">
        <v>6</v>
      </c>
      <c r="Z737" s="241">
        <v>4</v>
      </c>
      <c r="AA737" s="241">
        <v>6</v>
      </c>
      <c r="AB737" s="241">
        <v>14</v>
      </c>
      <c r="AC737" s="241"/>
      <c r="AD737" s="241"/>
      <c r="AE737" s="241"/>
      <c r="AF737" s="241"/>
      <c r="AG737" s="241"/>
      <c r="AH737" s="241"/>
      <c r="AI737" s="241"/>
      <c r="AJ737" s="241">
        <f>N737-V737</f>
        <v>4</v>
      </c>
      <c r="AK737" s="235">
        <f>G772+AL737-G737</f>
        <v>0</v>
      </c>
      <c r="AL737" s="236">
        <v>10</v>
      </c>
      <c r="AM737" s="298">
        <v>4.2</v>
      </c>
      <c r="AN737" s="295">
        <v>9</v>
      </c>
      <c r="AO737" s="296">
        <f>G737/(AN737)</f>
        <v>2.3333333333333335</v>
      </c>
      <c r="AP737" s="297">
        <f>AN737*6</f>
        <v>54</v>
      </c>
      <c r="AQ737" s="290">
        <f>G737+K737</f>
        <v>26</v>
      </c>
      <c r="AR737" s="290">
        <f>IF(G737&lt;G772,(G772-G737+K772-K737),K772-K737)</f>
        <v>0</v>
      </c>
      <c r="AS737" s="290">
        <f>21-8</f>
        <v>13</v>
      </c>
    </row>
    <row r="738" spans="1:45" ht="17.25" thickBot="1" x14ac:dyDescent="0.3">
      <c r="A738" s="464"/>
      <c r="B738" s="285">
        <v>273702</v>
      </c>
      <c r="C738" s="286">
        <v>1135753</v>
      </c>
      <c r="D738" s="286" t="s">
        <v>10</v>
      </c>
      <c r="E738" s="287">
        <v>301000000000</v>
      </c>
      <c r="F738" s="253">
        <f>G773-AK738+AL738</f>
        <v>0</v>
      </c>
      <c r="G738" s="235">
        <v>0</v>
      </c>
      <c r="H738" s="394">
        <v>1</v>
      </c>
      <c r="I738" s="232">
        <v>0</v>
      </c>
      <c r="J738" s="232"/>
      <c r="K738" s="232">
        <v>2</v>
      </c>
      <c r="L738" s="232">
        <f>IF(K770=K735,L773+AK738,K738)</f>
        <v>2</v>
      </c>
      <c r="M738" s="232">
        <f>IF(K770=K735,0,L773+AK738-K738)</f>
        <v>0</v>
      </c>
      <c r="N738" s="232">
        <v>2</v>
      </c>
      <c r="O738" s="241">
        <f>N738-G738</f>
        <v>2</v>
      </c>
      <c r="P738" s="277"/>
      <c r="Q738" s="278"/>
      <c r="R738" s="279"/>
      <c r="S738" s="279"/>
      <c r="T738" s="279"/>
      <c r="U738" s="279"/>
      <c r="V738" s="279"/>
      <c r="W738" s="279"/>
      <c r="X738" s="241"/>
      <c r="Y738" s="241"/>
      <c r="Z738" s="241"/>
      <c r="AA738" s="241"/>
      <c r="AB738" s="241">
        <v>2</v>
      </c>
      <c r="AC738" s="241"/>
      <c r="AD738" s="241"/>
      <c r="AE738" s="241"/>
      <c r="AF738" s="241"/>
      <c r="AG738" s="241"/>
      <c r="AH738" s="241"/>
      <c r="AI738" s="241"/>
      <c r="AJ738" s="241">
        <f>N738-V738</f>
        <v>2</v>
      </c>
      <c r="AK738" s="235">
        <f>G773+AL738-G738</f>
        <v>0</v>
      </c>
      <c r="AL738" s="236"/>
      <c r="AM738" s="294">
        <f>4/12</f>
        <v>0.33333333333333331</v>
      </c>
      <c r="AN738" s="295">
        <v>2</v>
      </c>
      <c r="AO738" s="296">
        <f>G738/(AN738)</f>
        <v>0</v>
      </c>
      <c r="AP738" s="297">
        <f>AN738*6</f>
        <v>12</v>
      </c>
      <c r="AQ738" s="290">
        <f>G738+K738</f>
        <v>2</v>
      </c>
      <c r="AR738" s="290">
        <f>IF(G738&lt;G773,(G773-G738+K773-K738),K773-K738)</f>
        <v>0</v>
      </c>
      <c r="AS738" s="290">
        <f>21-8</f>
        <v>13</v>
      </c>
    </row>
    <row r="739" spans="1:45" ht="17.25" thickBot="1" x14ac:dyDescent="0.3">
      <c r="A739" s="464"/>
      <c r="B739" s="285">
        <v>273698</v>
      </c>
      <c r="C739" s="286">
        <v>1135752</v>
      </c>
      <c r="D739" s="286" t="s">
        <v>11</v>
      </c>
      <c r="E739" s="287">
        <v>701000000000</v>
      </c>
      <c r="F739" s="253">
        <f>G774-AK739+AL739</f>
        <v>0</v>
      </c>
      <c r="G739" s="235">
        <v>0</v>
      </c>
      <c r="H739" s="394">
        <v>2</v>
      </c>
      <c r="I739" s="232">
        <v>0</v>
      </c>
      <c r="J739" s="232"/>
      <c r="K739" s="232">
        <v>0</v>
      </c>
      <c r="L739" s="232">
        <f>IF(K770=K735,L774+AK739,K739)</f>
        <v>0</v>
      </c>
      <c r="M739" s="232">
        <f>IF(K770=K735,0,L774+AK739-K739)</f>
        <v>0</v>
      </c>
      <c r="N739" s="232">
        <v>3</v>
      </c>
      <c r="O739" s="241">
        <f>N739-G739</f>
        <v>3</v>
      </c>
      <c r="P739" s="277">
        <v>2</v>
      </c>
      <c r="Q739" s="278"/>
      <c r="R739" s="279"/>
      <c r="S739" s="279"/>
      <c r="T739" s="279"/>
      <c r="U739" s="279"/>
      <c r="V739" s="279"/>
      <c r="W739" s="279">
        <v>1</v>
      </c>
      <c r="X739" s="241"/>
      <c r="Y739" s="241"/>
      <c r="Z739" s="241"/>
      <c r="AA739" s="241"/>
      <c r="AB739" s="241">
        <v>2</v>
      </c>
      <c r="AC739" s="241"/>
      <c r="AD739" s="241"/>
      <c r="AE739" s="241"/>
      <c r="AF739" s="241"/>
      <c r="AG739" s="241"/>
      <c r="AH739" s="241"/>
      <c r="AI739" s="241"/>
      <c r="AJ739" s="241">
        <f>N739-V739</f>
        <v>3</v>
      </c>
      <c r="AK739" s="235">
        <f>G774+AL739-G739</f>
        <v>0</v>
      </c>
      <c r="AL739" s="236"/>
      <c r="AM739" s="294">
        <f>4/12</f>
        <v>0.33333333333333331</v>
      </c>
      <c r="AN739" s="295">
        <v>2</v>
      </c>
      <c r="AO739" s="296">
        <f>G739/(AN739)</f>
        <v>0</v>
      </c>
      <c r="AP739" s="297">
        <f>AN739*6</f>
        <v>12</v>
      </c>
      <c r="AQ739" s="290">
        <f>G739+K739</f>
        <v>0</v>
      </c>
      <c r="AR739" s="290">
        <f>IF(G739&lt;G774,(G774-G739+K774-K739),K774-K739)</f>
        <v>0</v>
      </c>
      <c r="AS739" s="290">
        <f>21-8</f>
        <v>13</v>
      </c>
    </row>
    <row r="740" spans="1:45" ht="17.25" thickBot="1" x14ac:dyDescent="0.3">
      <c r="A740" s="465"/>
      <c r="B740" s="285">
        <v>273680</v>
      </c>
      <c r="C740" s="286">
        <v>1135751</v>
      </c>
      <c r="D740" s="286" t="s">
        <v>12</v>
      </c>
      <c r="E740" s="286" t="s">
        <v>13</v>
      </c>
      <c r="F740" s="254">
        <f>G775-AK740+AL740</f>
        <v>9</v>
      </c>
      <c r="G740" s="237">
        <v>9</v>
      </c>
      <c r="H740" s="395">
        <v>8</v>
      </c>
      <c r="I740" s="238">
        <v>9</v>
      </c>
      <c r="J740" s="238"/>
      <c r="K740" s="238">
        <v>6</v>
      </c>
      <c r="L740" s="238">
        <f>IF(K770=K735,L775+AK740,K740)</f>
        <v>6</v>
      </c>
      <c r="M740" s="238">
        <f>IF(K770=K735,0,L775+AK740-K740)</f>
        <v>0</v>
      </c>
      <c r="N740" s="238">
        <v>9</v>
      </c>
      <c r="O740" s="242">
        <f>N740-G740</f>
        <v>0</v>
      </c>
      <c r="P740" s="280"/>
      <c r="Q740" s="281"/>
      <c r="R740" s="282"/>
      <c r="S740" s="282"/>
      <c r="T740" s="282">
        <v>11</v>
      </c>
      <c r="U740" s="282"/>
      <c r="V740" s="282"/>
      <c r="W740" s="282">
        <v>9</v>
      </c>
      <c r="X740" s="242"/>
      <c r="Y740" s="242">
        <v>9</v>
      </c>
      <c r="Z740" s="242"/>
      <c r="AA740" s="242"/>
      <c r="AB740" s="242">
        <v>5</v>
      </c>
      <c r="AC740" s="242"/>
      <c r="AD740" s="242"/>
      <c r="AE740" s="242"/>
      <c r="AF740" s="242"/>
      <c r="AG740" s="242"/>
      <c r="AH740" s="242"/>
      <c r="AI740" s="242"/>
      <c r="AJ740" s="242">
        <f>N740-V740</f>
        <v>9</v>
      </c>
      <c r="AK740" s="235">
        <f>G775+AL740-G740</f>
        <v>0</v>
      </c>
      <c r="AL740" s="239"/>
      <c r="AM740" s="299">
        <f>30/12</f>
        <v>2.5</v>
      </c>
      <c r="AN740" s="300">
        <f>AM740*2</f>
        <v>5</v>
      </c>
      <c r="AO740" s="301">
        <f>G740/(AN740)</f>
        <v>1.8</v>
      </c>
      <c r="AP740" s="302">
        <f>AN740*6</f>
        <v>30</v>
      </c>
      <c r="AQ740" s="290">
        <f>G740+K740</f>
        <v>15</v>
      </c>
      <c r="AR740" s="290">
        <f>IF(G740&lt;G775,(G775-G740+K775-K740),K775-K740)</f>
        <v>0</v>
      </c>
      <c r="AS740" s="290">
        <f>21-8</f>
        <v>13</v>
      </c>
    </row>
    <row r="741" spans="1:45" ht="17.25" thickBot="1" x14ac:dyDescent="0.3">
      <c r="A741" s="466" t="s">
        <v>417</v>
      </c>
      <c r="B741" s="355" t="s">
        <v>129</v>
      </c>
      <c r="C741" s="356"/>
      <c r="D741" s="356"/>
      <c r="E741" s="359"/>
      <c r="F741" s="359"/>
      <c r="G741" s="356"/>
      <c r="H741" s="396"/>
      <c r="I741" s="356"/>
      <c r="J741" s="356"/>
      <c r="K741" s="356"/>
      <c r="L741" s="356"/>
      <c r="M741" s="356"/>
      <c r="N741" s="356"/>
      <c r="O741" s="356"/>
      <c r="P741" s="356"/>
      <c r="Q741" s="356"/>
      <c r="R741" s="356"/>
      <c r="S741" s="356"/>
      <c r="T741" s="356"/>
      <c r="U741" s="356"/>
      <c r="V741" s="356"/>
      <c r="W741" s="356"/>
      <c r="X741" s="356"/>
      <c r="Y741" s="356"/>
      <c r="Z741" s="356"/>
      <c r="AA741" s="356"/>
      <c r="AB741" s="356"/>
      <c r="AC741" s="356"/>
      <c r="AD741" s="356"/>
      <c r="AE741" s="356"/>
      <c r="AF741" s="356"/>
      <c r="AG741" s="356"/>
      <c r="AH741" s="356"/>
      <c r="AI741" s="356"/>
      <c r="AJ741" s="356"/>
      <c r="AK741" s="356"/>
      <c r="AL741" s="367"/>
      <c r="AM741" s="356"/>
      <c r="AN741" s="356"/>
      <c r="AO741" s="356"/>
      <c r="AP741" s="356"/>
      <c r="AQ741" s="356"/>
      <c r="AR741" s="356"/>
      <c r="AS741" s="357"/>
    </row>
    <row r="742" spans="1:45" ht="17.25" thickBot="1" x14ac:dyDescent="0.3">
      <c r="A742" s="467"/>
      <c r="B742" s="354"/>
      <c r="C742" s="354">
        <v>1140327</v>
      </c>
      <c r="D742" s="358" t="s">
        <v>394</v>
      </c>
      <c r="E742" s="360"/>
      <c r="F742" s="361">
        <f>G777-AK742+AL742</f>
        <v>11</v>
      </c>
      <c r="G742" s="218">
        <v>11</v>
      </c>
      <c r="H742" s="397">
        <v>23</v>
      </c>
      <c r="I742" s="218">
        <v>11</v>
      </c>
      <c r="J742" s="218"/>
      <c r="K742" s="218">
        <v>6</v>
      </c>
      <c r="L742" s="218">
        <f>IF(K770=K735,L777+AK742,K742)</f>
        <v>6</v>
      </c>
      <c r="M742" s="218">
        <f>IF(K770=K735,0,L777+AK742-K742)</f>
        <v>1</v>
      </c>
      <c r="N742" s="218"/>
      <c r="O742" s="218"/>
      <c r="P742" s="352"/>
      <c r="Q742" s="352"/>
      <c r="R742" s="352"/>
      <c r="S742" s="352"/>
      <c r="T742" s="352"/>
      <c r="U742" s="352"/>
      <c r="V742" s="218"/>
      <c r="W742" s="218"/>
      <c r="X742" s="218">
        <v>4</v>
      </c>
      <c r="Y742" s="218">
        <v>9</v>
      </c>
      <c r="Z742" s="218">
        <v>14</v>
      </c>
      <c r="AA742" s="218">
        <v>8</v>
      </c>
      <c r="AB742" s="218">
        <f>14+6</f>
        <v>20</v>
      </c>
      <c r="AC742" s="218">
        <v>6</v>
      </c>
      <c r="AD742" s="218"/>
      <c r="AE742" s="218"/>
      <c r="AF742" s="218"/>
      <c r="AG742" s="218"/>
      <c r="AH742" s="218"/>
      <c r="AI742" s="218"/>
      <c r="AJ742" s="242">
        <f>N742-V742</f>
        <v>0</v>
      </c>
      <c r="AK742" s="274">
        <f>G777+AL742-G742</f>
        <v>0</v>
      </c>
      <c r="AL742" s="232">
        <v>10</v>
      </c>
      <c r="AM742" s="353"/>
      <c r="AN742" s="295"/>
      <c r="AO742" s="296"/>
      <c r="AP742" s="353"/>
      <c r="AQ742" s="290"/>
      <c r="AR742" s="290"/>
      <c r="AS742" s="290"/>
    </row>
    <row r="743" spans="1:45" ht="17.25" thickBot="1" x14ac:dyDescent="0.3">
      <c r="A743" s="467"/>
      <c r="B743" s="354"/>
      <c r="C743" s="285">
        <v>1151231</v>
      </c>
      <c r="D743" s="358" t="s">
        <v>395</v>
      </c>
      <c r="E743" s="360"/>
      <c r="F743" s="361">
        <f>G778-AK743+AL743</f>
        <v>14</v>
      </c>
      <c r="G743" s="369">
        <v>14</v>
      </c>
      <c r="H743" s="397">
        <v>13</v>
      </c>
      <c r="I743" s="218">
        <f>8+6</f>
        <v>14</v>
      </c>
      <c r="J743" s="218"/>
      <c r="K743" s="218">
        <v>4</v>
      </c>
      <c r="L743" s="218">
        <f>IF(K770=K735,L778+AK743,K743)</f>
        <v>4</v>
      </c>
      <c r="M743" s="218">
        <f>IF(K770=K735,0,L778+AK743-K743)</f>
        <v>3</v>
      </c>
      <c r="N743" s="218"/>
      <c r="O743" s="218"/>
      <c r="P743" s="352"/>
      <c r="Q743" s="352"/>
      <c r="R743" s="352"/>
      <c r="S743" s="352"/>
      <c r="T743" s="352"/>
      <c r="U743" s="352"/>
      <c r="V743" s="218"/>
      <c r="W743" s="218"/>
      <c r="X743" s="218">
        <v>3</v>
      </c>
      <c r="Y743" s="218">
        <v>8</v>
      </c>
      <c r="Z743" s="218">
        <v>6</v>
      </c>
      <c r="AA743" s="218"/>
      <c r="AB743" s="218">
        <v>4</v>
      </c>
      <c r="AC743" s="218"/>
      <c r="AD743" s="218"/>
      <c r="AE743" s="218"/>
      <c r="AF743" s="218"/>
      <c r="AG743" s="218"/>
      <c r="AH743" s="218"/>
      <c r="AI743" s="218"/>
      <c r="AJ743" s="242">
        <f>N743-V743</f>
        <v>0</v>
      </c>
      <c r="AK743" s="274">
        <f>G778+AL743-G743</f>
        <v>0</v>
      </c>
      <c r="AL743" s="232"/>
      <c r="AM743" s="353"/>
      <c r="AN743" s="295"/>
      <c r="AO743" s="296"/>
      <c r="AP743" s="353"/>
      <c r="AQ743" s="290"/>
      <c r="AR743" s="290"/>
      <c r="AS743" s="290"/>
    </row>
    <row r="744" spans="1:45" ht="17.25" thickBot="1" x14ac:dyDescent="0.3">
      <c r="A744" s="467"/>
      <c r="B744" s="355" t="s">
        <v>420</v>
      </c>
      <c r="C744" s="356"/>
      <c r="D744" s="356"/>
      <c r="E744" s="359"/>
      <c r="F744" s="359"/>
      <c r="G744" s="356"/>
      <c r="H744" s="396"/>
      <c r="I744" s="356"/>
      <c r="J744" s="356"/>
      <c r="K744" s="356"/>
      <c r="L744" s="356"/>
      <c r="M744" s="356"/>
      <c r="N744" s="356"/>
      <c r="O744" s="356"/>
      <c r="P744" s="356"/>
      <c r="Q744" s="356"/>
      <c r="R744" s="356"/>
      <c r="S744" s="356"/>
      <c r="T744" s="356"/>
      <c r="U744" s="356"/>
      <c r="V744" s="356"/>
      <c r="W744" s="356"/>
      <c r="X744" s="356"/>
      <c r="Y744" s="356"/>
      <c r="Z744" s="356"/>
      <c r="AA744" s="356"/>
      <c r="AB744" s="356"/>
      <c r="AC744" s="356"/>
      <c r="AD744" s="356"/>
      <c r="AE744" s="356"/>
      <c r="AF744" s="356"/>
      <c r="AG744" s="356"/>
      <c r="AH744" s="356"/>
      <c r="AI744" s="356"/>
      <c r="AJ744" s="356"/>
      <c r="AK744" s="356"/>
      <c r="AL744" s="368"/>
      <c r="AM744" s="356"/>
      <c r="AN744" s="356"/>
      <c r="AO744" s="356"/>
      <c r="AP744" s="356"/>
      <c r="AQ744" s="356"/>
      <c r="AR744" s="356"/>
      <c r="AS744" s="357"/>
    </row>
    <row r="745" spans="1:45" ht="17.25" thickBot="1" x14ac:dyDescent="0.3">
      <c r="A745" s="467"/>
      <c r="B745" s="354"/>
      <c r="C745" s="285">
        <v>1146032</v>
      </c>
      <c r="D745" s="358" t="s">
        <v>396</v>
      </c>
      <c r="E745" s="360"/>
      <c r="F745" s="361">
        <f>G780-AK745+AL745</f>
        <v>0</v>
      </c>
      <c r="G745" s="364">
        <v>0</v>
      </c>
      <c r="H745" s="397">
        <v>1</v>
      </c>
      <c r="I745" s="364">
        <v>0</v>
      </c>
      <c r="J745" s="364"/>
      <c r="K745" s="364">
        <v>2</v>
      </c>
      <c r="L745" s="218"/>
      <c r="M745" s="218"/>
      <c r="N745" s="218"/>
      <c r="O745" s="218"/>
      <c r="P745" s="352"/>
      <c r="Q745" s="352"/>
      <c r="R745" s="352"/>
      <c r="S745" s="352"/>
      <c r="T745" s="352"/>
      <c r="U745" s="352"/>
      <c r="V745" s="218"/>
      <c r="W745" s="218"/>
      <c r="X745" s="218"/>
      <c r="Y745" s="218"/>
      <c r="Z745" s="218"/>
      <c r="AA745" s="218"/>
      <c r="AB745" s="218"/>
      <c r="AC745" s="218"/>
      <c r="AD745" s="218"/>
      <c r="AE745" s="218"/>
      <c r="AF745" s="218"/>
      <c r="AG745" s="218"/>
      <c r="AH745" s="218"/>
      <c r="AI745" s="218"/>
      <c r="AJ745" s="218"/>
      <c r="AK745" s="218">
        <f>G780+AL745-G745</f>
        <v>0</v>
      </c>
      <c r="AL745" s="218"/>
      <c r="AM745" s="353"/>
      <c r="AN745" s="295"/>
      <c r="AO745" s="296"/>
      <c r="AP745" s="353"/>
      <c r="AQ745" s="290"/>
      <c r="AR745" s="290"/>
      <c r="AS745" s="290"/>
    </row>
    <row r="746" spans="1:45" ht="17.25" thickBot="1" x14ac:dyDescent="0.3">
      <c r="A746" s="467"/>
      <c r="B746" s="354"/>
      <c r="C746" s="285">
        <v>1146021</v>
      </c>
      <c r="D746" s="358" t="s">
        <v>397</v>
      </c>
      <c r="E746" s="360"/>
      <c r="F746" s="361">
        <f>G781-AK746+AL746</f>
        <v>0</v>
      </c>
      <c r="G746" s="364">
        <v>0</v>
      </c>
      <c r="H746" s="397">
        <v>2</v>
      </c>
      <c r="I746" s="364">
        <v>0</v>
      </c>
      <c r="J746" s="364"/>
      <c r="K746" s="364">
        <v>0</v>
      </c>
      <c r="L746" s="218"/>
      <c r="M746" s="218"/>
      <c r="N746" s="218"/>
      <c r="O746" s="218"/>
      <c r="P746" s="352"/>
      <c r="Q746" s="352"/>
      <c r="R746" s="352"/>
      <c r="S746" s="352"/>
      <c r="T746" s="352"/>
      <c r="U746" s="352"/>
      <c r="V746" s="218"/>
      <c r="W746" s="218"/>
      <c r="X746" s="218"/>
      <c r="Y746" s="218"/>
      <c r="Z746" s="218"/>
      <c r="AA746" s="218"/>
      <c r="AB746" s="218"/>
      <c r="AC746" s="218"/>
      <c r="AD746" s="218"/>
      <c r="AE746" s="218"/>
      <c r="AF746" s="218"/>
      <c r="AG746" s="218"/>
      <c r="AH746" s="218"/>
      <c r="AI746" s="218"/>
      <c r="AJ746" s="218"/>
      <c r="AK746" s="218">
        <f>G781+AL746-G746</f>
        <v>0</v>
      </c>
      <c r="AL746" s="218"/>
      <c r="AM746" s="353"/>
      <c r="AN746" s="295"/>
      <c r="AO746" s="296"/>
      <c r="AP746" s="353"/>
      <c r="AQ746" s="290"/>
      <c r="AR746" s="290"/>
      <c r="AS746" s="290"/>
    </row>
    <row r="747" spans="1:45" ht="17.25" thickBot="1" x14ac:dyDescent="0.3">
      <c r="A747" s="467"/>
      <c r="B747" s="354"/>
      <c r="C747" s="285">
        <v>1146018</v>
      </c>
      <c r="D747" s="358" t="s">
        <v>398</v>
      </c>
      <c r="E747" s="360"/>
      <c r="F747" s="361">
        <f>G782-AK747+AL747</f>
        <v>0</v>
      </c>
      <c r="G747" s="369">
        <v>0</v>
      </c>
      <c r="H747" s="397">
        <v>1</v>
      </c>
      <c r="I747" s="364">
        <v>0</v>
      </c>
      <c r="J747" s="364"/>
      <c r="K747" s="364">
        <v>2</v>
      </c>
      <c r="L747" s="218"/>
      <c r="M747" s="218"/>
      <c r="N747" s="218"/>
      <c r="O747" s="218"/>
      <c r="P747" s="352"/>
      <c r="Q747" s="352"/>
      <c r="R747" s="352"/>
      <c r="S747" s="352"/>
      <c r="T747" s="352"/>
      <c r="U747" s="352"/>
      <c r="V747" s="218"/>
      <c r="W747" s="218"/>
      <c r="X747" s="218"/>
      <c r="Y747" s="218"/>
      <c r="Z747" s="218"/>
      <c r="AA747" s="218"/>
      <c r="AB747" s="218">
        <v>2</v>
      </c>
      <c r="AC747" s="218"/>
      <c r="AD747" s="218"/>
      <c r="AE747" s="218"/>
      <c r="AF747" s="218"/>
      <c r="AG747" s="218"/>
      <c r="AH747" s="218"/>
      <c r="AI747" s="218"/>
      <c r="AJ747" s="218"/>
      <c r="AK747" s="218">
        <f>G782+AL747-G747</f>
        <v>0</v>
      </c>
      <c r="AL747" s="218"/>
      <c r="AM747" s="353"/>
      <c r="AN747" s="295"/>
      <c r="AO747" s="296"/>
      <c r="AP747" s="353"/>
      <c r="AQ747" s="290"/>
      <c r="AR747" s="290"/>
      <c r="AS747" s="290"/>
    </row>
    <row r="748" spans="1:45" ht="17.25" thickBot="1" x14ac:dyDescent="0.3">
      <c r="A748" s="467"/>
      <c r="B748" s="354"/>
      <c r="C748" s="285">
        <v>1146024</v>
      </c>
      <c r="D748" s="358" t="s">
        <v>399</v>
      </c>
      <c r="E748" s="360"/>
      <c r="F748" s="361">
        <v>1</v>
      </c>
      <c r="G748" s="369">
        <v>1</v>
      </c>
      <c r="H748" s="369">
        <v>2</v>
      </c>
      <c r="I748" s="369">
        <v>1</v>
      </c>
      <c r="J748" s="369"/>
      <c r="K748" s="369">
        <v>0</v>
      </c>
      <c r="L748" s="218"/>
      <c r="M748" s="218"/>
      <c r="N748" s="218"/>
      <c r="O748" s="218"/>
      <c r="P748" s="352"/>
      <c r="Q748" s="352"/>
      <c r="R748" s="352"/>
      <c r="S748" s="352"/>
      <c r="T748" s="352"/>
      <c r="U748" s="352"/>
      <c r="V748" s="218"/>
      <c r="W748" s="218"/>
      <c r="X748" s="218"/>
      <c r="Y748" s="218"/>
      <c r="Z748" s="218"/>
      <c r="AA748" s="218">
        <v>1</v>
      </c>
      <c r="AB748" s="218">
        <v>1</v>
      </c>
      <c r="AC748" s="218"/>
      <c r="AD748" s="218"/>
      <c r="AE748" s="218"/>
      <c r="AF748" s="218"/>
      <c r="AG748" s="218"/>
      <c r="AH748" s="218"/>
      <c r="AI748" s="218"/>
      <c r="AJ748" s="218"/>
      <c r="AK748" s="218">
        <f>G783+AL748-G748</f>
        <v>0</v>
      </c>
      <c r="AL748" s="218"/>
      <c r="AM748" s="353"/>
      <c r="AN748" s="295"/>
      <c r="AO748" s="296"/>
      <c r="AP748" s="353"/>
      <c r="AQ748" s="290"/>
      <c r="AR748" s="290"/>
      <c r="AS748" s="290"/>
    </row>
    <row r="749" spans="1:45" ht="17.25" thickBot="1" x14ac:dyDescent="0.3">
      <c r="A749" s="467"/>
      <c r="B749" s="354"/>
      <c r="C749" s="285">
        <v>1146028</v>
      </c>
      <c r="D749" s="358" t="s">
        <v>400</v>
      </c>
      <c r="E749" s="360"/>
      <c r="F749" s="361">
        <f>G784-AK749+AL749</f>
        <v>0</v>
      </c>
      <c r="G749" s="364">
        <v>0</v>
      </c>
      <c r="H749" s="397">
        <v>2</v>
      </c>
      <c r="I749" s="364">
        <v>0</v>
      </c>
      <c r="J749" s="364"/>
      <c r="K749" s="364">
        <v>0</v>
      </c>
      <c r="L749" s="218"/>
      <c r="M749" s="218"/>
      <c r="N749" s="218"/>
      <c r="O749" s="218"/>
      <c r="P749" s="352"/>
      <c r="Q749" s="352"/>
      <c r="R749" s="352"/>
      <c r="S749" s="352"/>
      <c r="T749" s="352"/>
      <c r="U749" s="352"/>
      <c r="V749" s="218"/>
      <c r="W749" s="218"/>
      <c r="X749" s="218"/>
      <c r="Y749" s="218"/>
      <c r="Z749" s="218"/>
      <c r="AA749" s="218"/>
      <c r="AB749" s="218"/>
      <c r="AC749" s="218"/>
      <c r="AD749" s="218"/>
      <c r="AE749" s="218"/>
      <c r="AF749" s="218"/>
      <c r="AG749" s="218"/>
      <c r="AH749" s="218"/>
      <c r="AI749" s="218"/>
      <c r="AJ749" s="218"/>
      <c r="AK749" s="218">
        <f>G784+AL749-G749</f>
        <v>0</v>
      </c>
      <c r="AL749" s="218"/>
      <c r="AM749" s="353"/>
      <c r="AN749" s="295"/>
      <c r="AO749" s="296"/>
      <c r="AP749" s="353"/>
      <c r="AQ749" s="290"/>
      <c r="AR749" s="290"/>
      <c r="AS749" s="290"/>
    </row>
    <row r="750" spans="1:45" ht="17.25" thickBot="1" x14ac:dyDescent="0.3">
      <c r="A750" s="467"/>
      <c r="B750" s="355" t="s">
        <v>419</v>
      </c>
      <c r="C750" s="356"/>
      <c r="D750" s="356"/>
      <c r="E750" s="359"/>
      <c r="F750" s="359"/>
      <c r="G750" s="356"/>
      <c r="H750" s="396"/>
      <c r="I750" s="356"/>
      <c r="J750" s="356"/>
      <c r="K750" s="356"/>
      <c r="L750" s="356"/>
      <c r="M750" s="356"/>
      <c r="N750" s="356"/>
      <c r="O750" s="356"/>
      <c r="P750" s="356"/>
      <c r="Q750" s="356"/>
      <c r="R750" s="356"/>
      <c r="S750" s="356"/>
      <c r="T750" s="356"/>
      <c r="U750" s="356"/>
      <c r="V750" s="356"/>
      <c r="W750" s="356"/>
      <c r="X750" s="356"/>
      <c r="Y750" s="356"/>
      <c r="Z750" s="356"/>
      <c r="AA750" s="356"/>
      <c r="AB750" s="356"/>
      <c r="AC750" s="356"/>
      <c r="AD750" s="356"/>
      <c r="AE750" s="356"/>
      <c r="AF750" s="356"/>
      <c r="AG750" s="356"/>
      <c r="AH750" s="356"/>
      <c r="AI750" s="356"/>
      <c r="AJ750" s="356"/>
      <c r="AK750" s="356"/>
      <c r="AL750" s="356"/>
      <c r="AM750" s="356"/>
      <c r="AN750" s="356"/>
      <c r="AO750" s="356"/>
      <c r="AP750" s="356"/>
      <c r="AQ750" s="356"/>
      <c r="AR750" s="356"/>
      <c r="AS750" s="357"/>
    </row>
    <row r="751" spans="1:45" ht="17.25" thickBot="1" x14ac:dyDescent="0.3">
      <c r="A751" s="467"/>
      <c r="B751" s="372"/>
      <c r="C751" s="373">
        <v>1146031</v>
      </c>
      <c r="D751" s="374" t="s">
        <v>401</v>
      </c>
      <c r="E751" s="375"/>
      <c r="F751" s="376">
        <f>G786-AK751+AL751</f>
        <v>0</v>
      </c>
      <c r="G751" s="377">
        <v>0</v>
      </c>
      <c r="H751" s="397">
        <v>1</v>
      </c>
      <c r="I751" s="377">
        <v>1</v>
      </c>
      <c r="J751" s="377"/>
      <c r="K751" s="377">
        <v>2</v>
      </c>
      <c r="L751" s="377"/>
      <c r="M751" s="377"/>
      <c r="N751" s="377"/>
      <c r="O751" s="377"/>
      <c r="P751" s="377"/>
      <c r="Q751" s="377"/>
      <c r="R751" s="377"/>
      <c r="S751" s="377"/>
      <c r="T751" s="377"/>
      <c r="U751" s="377"/>
      <c r="V751" s="377"/>
      <c r="W751" s="377"/>
      <c r="X751" s="377"/>
      <c r="Y751" s="377"/>
      <c r="Z751" s="377"/>
      <c r="AA751" s="377"/>
      <c r="AB751" s="377"/>
      <c r="AC751" s="377"/>
      <c r="AD751" s="377"/>
      <c r="AE751" s="377"/>
      <c r="AF751" s="377"/>
      <c r="AG751" s="377"/>
      <c r="AH751" s="377"/>
      <c r="AI751" s="377"/>
      <c r="AJ751" s="377"/>
      <c r="AK751" s="377">
        <f>G786+AL751-G751</f>
        <v>0</v>
      </c>
      <c r="AL751" s="377"/>
      <c r="AM751" s="378"/>
      <c r="AN751" s="379"/>
      <c r="AO751" s="380"/>
      <c r="AP751" s="378"/>
      <c r="AQ751" s="381"/>
      <c r="AR751" s="381"/>
      <c r="AS751" s="381"/>
    </row>
    <row r="752" spans="1:45" ht="17.25" thickBot="1" x14ac:dyDescent="0.3">
      <c r="A752" s="467"/>
      <c r="B752" s="372"/>
      <c r="C752" s="373">
        <v>1146020</v>
      </c>
      <c r="D752" s="374" t="s">
        <v>402</v>
      </c>
      <c r="E752" s="375"/>
      <c r="F752" s="376">
        <f>G787-AK752+AL752</f>
        <v>0</v>
      </c>
      <c r="G752" s="377">
        <v>0</v>
      </c>
      <c r="H752" s="397">
        <v>1</v>
      </c>
      <c r="I752" s="377">
        <v>0</v>
      </c>
      <c r="J752" s="377"/>
      <c r="K752" s="377">
        <v>0</v>
      </c>
      <c r="L752" s="377"/>
      <c r="M752" s="377"/>
      <c r="N752" s="377"/>
      <c r="O752" s="377"/>
      <c r="P752" s="377"/>
      <c r="Q752" s="377"/>
      <c r="R752" s="377"/>
      <c r="S752" s="377"/>
      <c r="T752" s="377"/>
      <c r="U752" s="377"/>
      <c r="V752" s="377"/>
      <c r="W752" s="377"/>
      <c r="X752" s="377"/>
      <c r="Y752" s="377"/>
      <c r="Z752" s="377"/>
      <c r="AA752" s="377"/>
      <c r="AB752" s="377"/>
      <c r="AC752" s="377"/>
      <c r="AD752" s="377"/>
      <c r="AE752" s="377"/>
      <c r="AF752" s="377"/>
      <c r="AG752" s="377"/>
      <c r="AH752" s="377"/>
      <c r="AI752" s="377"/>
      <c r="AJ752" s="377"/>
      <c r="AK752" s="377">
        <f>G787+AL752-G752</f>
        <v>0</v>
      </c>
      <c r="AL752" s="377"/>
      <c r="AM752" s="378"/>
      <c r="AN752" s="379"/>
      <c r="AO752" s="380"/>
      <c r="AP752" s="378"/>
      <c r="AQ752" s="381"/>
      <c r="AR752" s="381"/>
      <c r="AS752" s="381"/>
    </row>
    <row r="753" spans="1:45" ht="17.25" thickBot="1" x14ac:dyDescent="0.3">
      <c r="A753" s="467"/>
      <c r="B753" s="372"/>
      <c r="C753" s="373">
        <v>1146016</v>
      </c>
      <c r="D753" s="374" t="s">
        <v>398</v>
      </c>
      <c r="E753" s="375"/>
      <c r="F753" s="376">
        <f>G788-AK753+AL753</f>
        <v>0</v>
      </c>
      <c r="G753" s="377">
        <v>0</v>
      </c>
      <c r="H753" s="397">
        <v>1</v>
      </c>
      <c r="I753" s="377">
        <v>0</v>
      </c>
      <c r="J753" s="377"/>
      <c r="K753" s="377">
        <v>0</v>
      </c>
      <c r="L753" s="377"/>
      <c r="M753" s="377"/>
      <c r="N753" s="377"/>
      <c r="O753" s="377"/>
      <c r="P753" s="377"/>
      <c r="Q753" s="377"/>
      <c r="R753" s="377"/>
      <c r="S753" s="377"/>
      <c r="T753" s="377"/>
      <c r="U753" s="377"/>
      <c r="V753" s="377"/>
      <c r="W753" s="377"/>
      <c r="X753" s="377"/>
      <c r="Y753" s="377"/>
      <c r="Z753" s="377"/>
      <c r="AA753" s="377"/>
      <c r="AB753" s="377"/>
      <c r="AC753" s="377"/>
      <c r="AD753" s="377"/>
      <c r="AE753" s="377"/>
      <c r="AF753" s="377"/>
      <c r="AG753" s="377"/>
      <c r="AH753" s="377"/>
      <c r="AI753" s="377"/>
      <c r="AJ753" s="377"/>
      <c r="AK753" s="377">
        <f>G788+AL753-G753</f>
        <v>0</v>
      </c>
      <c r="AL753" s="377"/>
      <c r="AM753" s="378"/>
      <c r="AN753" s="379"/>
      <c r="AO753" s="380"/>
      <c r="AP753" s="378"/>
      <c r="AQ753" s="381"/>
      <c r="AR753" s="381"/>
      <c r="AS753" s="381"/>
    </row>
    <row r="754" spans="1:45" ht="17.25" thickBot="1" x14ac:dyDescent="0.3">
      <c r="A754" s="467"/>
      <c r="B754" s="372"/>
      <c r="C754" s="373">
        <v>1146022</v>
      </c>
      <c r="D754" s="374" t="s">
        <v>403</v>
      </c>
      <c r="E754" s="375"/>
      <c r="F754" s="376">
        <f>G789-AK754+AL754</f>
        <v>0</v>
      </c>
      <c r="G754" s="377">
        <v>0</v>
      </c>
      <c r="H754" s="397">
        <v>2</v>
      </c>
      <c r="I754" s="377">
        <v>0</v>
      </c>
      <c r="J754" s="377"/>
      <c r="K754" s="377">
        <v>0</v>
      </c>
      <c r="L754" s="377"/>
      <c r="M754" s="377"/>
      <c r="N754" s="377"/>
      <c r="O754" s="377"/>
      <c r="P754" s="377"/>
      <c r="Q754" s="377"/>
      <c r="R754" s="377"/>
      <c r="S754" s="377"/>
      <c r="T754" s="377"/>
      <c r="U754" s="377"/>
      <c r="V754" s="377"/>
      <c r="W754" s="377"/>
      <c r="X754" s="377"/>
      <c r="Y754" s="377"/>
      <c r="Z754" s="377"/>
      <c r="AA754" s="377"/>
      <c r="AB754" s="377"/>
      <c r="AC754" s="377"/>
      <c r="AD754" s="377"/>
      <c r="AE754" s="377"/>
      <c r="AF754" s="377"/>
      <c r="AG754" s="377"/>
      <c r="AH754" s="377"/>
      <c r="AI754" s="377"/>
      <c r="AJ754" s="377"/>
      <c r="AK754" s="377">
        <f>G789+AL754-G754</f>
        <v>0</v>
      </c>
      <c r="AL754" s="377"/>
      <c r="AM754" s="378"/>
      <c r="AN754" s="379"/>
      <c r="AO754" s="380"/>
      <c r="AP754" s="378"/>
      <c r="AQ754" s="381"/>
      <c r="AR754" s="381"/>
      <c r="AS754" s="381"/>
    </row>
    <row r="755" spans="1:45" ht="17.25" thickBot="1" x14ac:dyDescent="0.3">
      <c r="A755" s="467"/>
      <c r="B755" s="372"/>
      <c r="C755" s="373">
        <v>1146027</v>
      </c>
      <c r="D755" s="374" t="s">
        <v>404</v>
      </c>
      <c r="E755" s="375"/>
      <c r="F755" s="376">
        <f>G790-AK755+AL755</f>
        <v>0</v>
      </c>
      <c r="G755" s="377">
        <v>0</v>
      </c>
      <c r="H755" s="397">
        <v>2</v>
      </c>
      <c r="I755" s="377">
        <v>1</v>
      </c>
      <c r="J755" s="377"/>
      <c r="K755" s="377">
        <v>1</v>
      </c>
      <c r="L755" s="377"/>
      <c r="M755" s="377"/>
      <c r="N755" s="377"/>
      <c r="O755" s="377"/>
      <c r="P755" s="377"/>
      <c r="Q755" s="377"/>
      <c r="R755" s="377"/>
      <c r="S755" s="377"/>
      <c r="T755" s="377"/>
      <c r="U755" s="377"/>
      <c r="V755" s="377"/>
      <c r="W755" s="377"/>
      <c r="X755" s="377"/>
      <c r="Y755" s="377"/>
      <c r="Z755" s="377"/>
      <c r="AA755" s="377"/>
      <c r="AB755" s="377"/>
      <c r="AC755" s="377"/>
      <c r="AD755" s="377"/>
      <c r="AE755" s="377"/>
      <c r="AF755" s="377"/>
      <c r="AG755" s="377"/>
      <c r="AH755" s="377"/>
      <c r="AI755" s="377"/>
      <c r="AJ755" s="377"/>
      <c r="AK755" s="377">
        <f>G790+AL755-G755</f>
        <v>0</v>
      </c>
      <c r="AL755" s="377"/>
      <c r="AM755" s="378"/>
      <c r="AN755" s="379"/>
      <c r="AO755" s="380"/>
      <c r="AP755" s="378"/>
      <c r="AQ755" s="381"/>
      <c r="AR755" s="381"/>
      <c r="AS755" s="381"/>
    </row>
    <row r="756" spans="1:45" ht="17.25" thickBot="1" x14ac:dyDescent="0.3">
      <c r="A756" s="467"/>
      <c r="B756" s="355" t="s">
        <v>418</v>
      </c>
      <c r="C756" s="356"/>
      <c r="D756" s="356"/>
      <c r="E756" s="359"/>
      <c r="F756" s="359"/>
      <c r="G756" s="356"/>
      <c r="H756" s="396"/>
      <c r="I756" s="356"/>
      <c r="J756" s="356"/>
      <c r="K756" s="356"/>
      <c r="L756" s="356"/>
      <c r="M756" s="356"/>
      <c r="N756" s="356"/>
      <c r="O756" s="356"/>
      <c r="P756" s="356"/>
      <c r="Q756" s="356"/>
      <c r="R756" s="356"/>
      <c r="S756" s="356"/>
      <c r="T756" s="356"/>
      <c r="U756" s="356"/>
      <c r="V756" s="356"/>
      <c r="W756" s="356"/>
      <c r="X756" s="356"/>
      <c r="Y756" s="356"/>
      <c r="Z756" s="356"/>
      <c r="AA756" s="356"/>
      <c r="AB756" s="356"/>
      <c r="AC756" s="356"/>
      <c r="AD756" s="356"/>
      <c r="AE756" s="356"/>
      <c r="AF756" s="356"/>
      <c r="AG756" s="356"/>
      <c r="AH756" s="356"/>
      <c r="AI756" s="356"/>
      <c r="AJ756" s="356"/>
      <c r="AK756" s="356"/>
      <c r="AL756" s="356"/>
      <c r="AM756" s="356"/>
      <c r="AN756" s="356"/>
      <c r="AO756" s="356"/>
      <c r="AP756" s="356"/>
      <c r="AQ756" s="356"/>
      <c r="AR756" s="356"/>
      <c r="AS756" s="357"/>
    </row>
    <row r="757" spans="1:45" ht="17.25" thickBot="1" x14ac:dyDescent="0.3">
      <c r="A757" s="467"/>
      <c r="B757" s="354"/>
      <c r="C757" s="285">
        <v>1151653</v>
      </c>
      <c r="D757" s="358" t="s">
        <v>405</v>
      </c>
      <c r="E757" s="360"/>
      <c r="F757" s="361">
        <f>G792-AK757+AL757</f>
        <v>0</v>
      </c>
      <c r="G757" s="364">
        <v>0</v>
      </c>
      <c r="H757" s="397">
        <v>1</v>
      </c>
      <c r="I757" s="364">
        <v>0</v>
      </c>
      <c r="J757" s="364"/>
      <c r="K757" s="364">
        <v>1</v>
      </c>
      <c r="L757" s="218"/>
      <c r="M757" s="218"/>
      <c r="N757" s="218"/>
      <c r="O757" s="218"/>
      <c r="P757" s="352"/>
      <c r="Q757" s="352"/>
      <c r="R757" s="352"/>
      <c r="S757" s="352"/>
      <c r="T757" s="352"/>
      <c r="U757" s="352"/>
      <c r="V757" s="218"/>
      <c r="W757" s="218"/>
      <c r="X757" s="218"/>
      <c r="Y757" s="218"/>
      <c r="Z757" s="218"/>
      <c r="AA757" s="218"/>
      <c r="AB757" s="218"/>
      <c r="AC757" s="218"/>
      <c r="AD757" s="218"/>
      <c r="AE757" s="218"/>
      <c r="AF757" s="218"/>
      <c r="AG757" s="218"/>
      <c r="AH757" s="218"/>
      <c r="AI757" s="218"/>
      <c r="AJ757" s="218"/>
      <c r="AK757" s="218">
        <f>G792+AL757-G757</f>
        <v>0</v>
      </c>
      <c r="AL757" s="218"/>
      <c r="AM757" s="353"/>
      <c r="AN757" s="295"/>
      <c r="AO757" s="296"/>
      <c r="AP757" s="353"/>
      <c r="AQ757" s="290"/>
      <c r="AR757" s="290"/>
      <c r="AS757" s="290"/>
    </row>
    <row r="758" spans="1:45" ht="17.25" thickBot="1" x14ac:dyDescent="0.3">
      <c r="A758" s="467"/>
      <c r="B758" s="354"/>
      <c r="C758" s="285">
        <v>1151650</v>
      </c>
      <c r="D758" s="358" t="s">
        <v>406</v>
      </c>
      <c r="E758" s="360"/>
      <c r="F758" s="361">
        <f>G793-AK758+AL758</f>
        <v>0</v>
      </c>
      <c r="G758" s="364">
        <v>0</v>
      </c>
      <c r="H758" s="397">
        <v>2</v>
      </c>
      <c r="I758" s="364">
        <v>0</v>
      </c>
      <c r="J758" s="364"/>
      <c r="K758" s="364">
        <v>5</v>
      </c>
      <c r="L758" s="218"/>
      <c r="M758" s="218"/>
      <c r="N758" s="218"/>
      <c r="O758" s="218"/>
      <c r="P758" s="352"/>
      <c r="Q758" s="352"/>
      <c r="R758" s="352"/>
      <c r="S758" s="352"/>
      <c r="T758" s="352"/>
      <c r="U758" s="352"/>
      <c r="V758" s="218"/>
      <c r="W758" s="218"/>
      <c r="X758" s="218"/>
      <c r="Y758" s="218"/>
      <c r="Z758" s="218"/>
      <c r="AA758" s="218"/>
      <c r="AB758" s="218"/>
      <c r="AC758" s="218"/>
      <c r="AD758" s="218"/>
      <c r="AE758" s="218"/>
      <c r="AF758" s="218"/>
      <c r="AG758" s="218"/>
      <c r="AH758" s="218"/>
      <c r="AI758" s="218"/>
      <c r="AJ758" s="218"/>
      <c r="AK758" s="218">
        <f>G793+AL758-G758</f>
        <v>0</v>
      </c>
      <c r="AL758" s="218"/>
      <c r="AM758" s="353"/>
      <c r="AN758" s="295"/>
      <c r="AO758" s="296"/>
      <c r="AP758" s="353"/>
      <c r="AQ758" s="290"/>
      <c r="AR758" s="290"/>
      <c r="AS758" s="290"/>
    </row>
    <row r="759" spans="1:45" ht="17.25" thickBot="1" x14ac:dyDescent="0.3">
      <c r="A759" s="467"/>
      <c r="B759" s="354"/>
      <c r="C759" s="285">
        <v>1151649</v>
      </c>
      <c r="D759" s="358" t="s">
        <v>407</v>
      </c>
      <c r="E759" s="360"/>
      <c r="F759" s="361">
        <f>G794-AK759+AL759</f>
        <v>0</v>
      </c>
      <c r="G759" s="369">
        <v>0</v>
      </c>
      <c r="H759" s="369">
        <v>4</v>
      </c>
      <c r="I759" s="369">
        <v>0</v>
      </c>
      <c r="J759" s="369"/>
      <c r="K759" s="369">
        <v>2</v>
      </c>
      <c r="L759" s="218"/>
      <c r="M759" s="218"/>
      <c r="N759" s="218"/>
      <c r="O759" s="218"/>
      <c r="P759" s="352"/>
      <c r="Q759" s="352"/>
      <c r="R759" s="352"/>
      <c r="S759" s="352"/>
      <c r="T759" s="352"/>
      <c r="U759" s="352"/>
      <c r="V759" s="218"/>
      <c r="W759" s="218"/>
      <c r="X759" s="218"/>
      <c r="Y759" s="218"/>
      <c r="Z759" s="218"/>
      <c r="AA759" s="218"/>
      <c r="AB759" s="218">
        <v>2</v>
      </c>
      <c r="AC759" s="218"/>
      <c r="AD759" s="218"/>
      <c r="AE759" s="218"/>
      <c r="AF759" s="218"/>
      <c r="AG759" s="218"/>
      <c r="AH759" s="218"/>
      <c r="AI759" s="218"/>
      <c r="AJ759" s="218"/>
      <c r="AK759" s="218">
        <f>G794+AL759-G759</f>
        <v>0</v>
      </c>
      <c r="AL759" s="218"/>
      <c r="AM759" s="353"/>
      <c r="AN759" s="295"/>
      <c r="AO759" s="296"/>
      <c r="AP759" s="353"/>
      <c r="AQ759" s="290"/>
      <c r="AR759" s="290"/>
      <c r="AS759" s="290"/>
    </row>
    <row r="760" spans="1:45" ht="17.25" thickBot="1" x14ac:dyDescent="0.3">
      <c r="A760" s="467"/>
      <c r="B760" s="354"/>
      <c r="C760" s="285">
        <v>1151651</v>
      </c>
      <c r="D760" s="358" t="s">
        <v>408</v>
      </c>
      <c r="E760" s="360"/>
      <c r="F760" s="361">
        <f>G795-AK760+AL760</f>
        <v>1</v>
      </c>
      <c r="G760" s="369">
        <v>1</v>
      </c>
      <c r="H760" s="369">
        <v>1</v>
      </c>
      <c r="I760" s="369">
        <v>1</v>
      </c>
      <c r="J760" s="369"/>
      <c r="K760" s="369">
        <v>2</v>
      </c>
      <c r="L760" s="218"/>
      <c r="M760" s="218"/>
      <c r="N760" s="218"/>
      <c r="O760" s="218"/>
      <c r="P760" s="352"/>
      <c r="Q760" s="352"/>
      <c r="R760" s="352"/>
      <c r="S760" s="352"/>
      <c r="T760" s="352"/>
      <c r="U760" s="352"/>
      <c r="V760" s="218"/>
      <c r="W760" s="218"/>
      <c r="X760" s="218"/>
      <c r="Y760" s="218"/>
      <c r="Z760" s="218">
        <v>2</v>
      </c>
      <c r="AA760" s="218"/>
      <c r="AB760" s="218">
        <v>2</v>
      </c>
      <c r="AC760" s="218"/>
      <c r="AD760" s="218"/>
      <c r="AE760" s="218"/>
      <c r="AF760" s="218"/>
      <c r="AG760" s="218"/>
      <c r="AH760" s="218"/>
      <c r="AI760" s="218"/>
      <c r="AJ760" s="218"/>
      <c r="AK760" s="218">
        <f>G795+AL760-G760</f>
        <v>0</v>
      </c>
      <c r="AL760" s="218"/>
      <c r="AM760" s="353"/>
      <c r="AN760" s="295"/>
      <c r="AO760" s="296"/>
      <c r="AP760" s="353"/>
      <c r="AQ760" s="290"/>
      <c r="AR760" s="290"/>
      <c r="AS760" s="290"/>
    </row>
    <row r="761" spans="1:45" ht="17.25" thickBot="1" x14ac:dyDescent="0.3">
      <c r="A761" s="467"/>
      <c r="B761" s="354"/>
      <c r="C761" s="285">
        <v>1146029</v>
      </c>
      <c r="D761" s="358" t="s">
        <v>409</v>
      </c>
      <c r="E761" s="360"/>
      <c r="F761" s="361">
        <f>G796-AK761+AL761</f>
        <v>2</v>
      </c>
      <c r="G761" s="369">
        <v>2</v>
      </c>
      <c r="H761" s="369">
        <v>2</v>
      </c>
      <c r="I761" s="369">
        <v>2</v>
      </c>
      <c r="J761" s="369"/>
      <c r="K761" s="369">
        <v>0</v>
      </c>
      <c r="L761" s="218"/>
      <c r="M761" s="218"/>
      <c r="N761" s="218"/>
      <c r="O761" s="218"/>
      <c r="P761" s="352"/>
      <c r="Q761" s="352"/>
      <c r="R761" s="352"/>
      <c r="S761" s="352"/>
      <c r="T761" s="352"/>
      <c r="U761" s="352"/>
      <c r="V761" s="218"/>
      <c r="W761" s="218"/>
      <c r="X761" s="218"/>
      <c r="Y761" s="218"/>
      <c r="Z761" s="218"/>
      <c r="AA761" s="218"/>
      <c r="AB761" s="218"/>
      <c r="AC761" s="218"/>
      <c r="AD761" s="218"/>
      <c r="AE761" s="218"/>
      <c r="AF761" s="218"/>
      <c r="AG761" s="218"/>
      <c r="AH761" s="218"/>
      <c r="AI761" s="218"/>
      <c r="AJ761" s="218"/>
      <c r="AK761" s="218">
        <f>G796+AL761-G761</f>
        <v>0</v>
      </c>
      <c r="AL761" s="218"/>
      <c r="AM761" s="353"/>
      <c r="AN761" s="295"/>
      <c r="AO761" s="296"/>
      <c r="AP761" s="353"/>
      <c r="AQ761" s="290"/>
      <c r="AR761" s="290"/>
      <c r="AS761" s="290"/>
    </row>
    <row r="762" spans="1:45" ht="17.25" thickBot="1" x14ac:dyDescent="0.3">
      <c r="A762" s="467"/>
      <c r="B762" s="355" t="s">
        <v>410</v>
      </c>
      <c r="C762" s="356"/>
      <c r="D762" s="356"/>
      <c r="E762" s="359"/>
      <c r="F762" s="359"/>
      <c r="G762" s="356"/>
      <c r="H762" s="396"/>
      <c r="I762" s="356"/>
      <c r="J762" s="356"/>
      <c r="K762" s="356"/>
      <c r="L762" s="356"/>
      <c r="M762" s="356"/>
      <c r="N762" s="356"/>
      <c r="O762" s="356"/>
      <c r="P762" s="356"/>
      <c r="Q762" s="356"/>
      <c r="R762" s="356"/>
      <c r="S762" s="356"/>
      <c r="T762" s="356"/>
      <c r="U762" s="356"/>
      <c r="V762" s="356"/>
      <c r="W762" s="356"/>
      <c r="X762" s="356"/>
      <c r="Y762" s="356"/>
      <c r="Z762" s="356"/>
      <c r="AA762" s="356"/>
      <c r="AB762" s="356"/>
      <c r="AC762" s="356"/>
      <c r="AD762" s="356"/>
      <c r="AE762" s="356"/>
      <c r="AF762" s="356"/>
      <c r="AG762" s="356"/>
      <c r="AH762" s="356"/>
      <c r="AI762" s="356"/>
      <c r="AJ762" s="356"/>
      <c r="AK762" s="356"/>
      <c r="AL762" s="356"/>
      <c r="AM762" s="356"/>
      <c r="AN762" s="356"/>
      <c r="AO762" s="356"/>
      <c r="AP762" s="356"/>
      <c r="AQ762" s="356"/>
      <c r="AR762" s="356"/>
      <c r="AS762" s="357"/>
    </row>
    <row r="763" spans="1:45" ht="17.25" thickBot="1" x14ac:dyDescent="0.3">
      <c r="A763" s="467"/>
      <c r="B763" s="354"/>
      <c r="C763" s="285">
        <v>1699118</v>
      </c>
      <c r="D763" s="358" t="s">
        <v>411</v>
      </c>
      <c r="E763" s="360"/>
      <c r="F763" s="361">
        <f>G798-AK763+AL763</f>
        <v>0</v>
      </c>
      <c r="G763" s="369">
        <v>0</v>
      </c>
      <c r="H763" s="369">
        <v>1</v>
      </c>
      <c r="I763" s="369">
        <v>0</v>
      </c>
      <c r="J763" s="369"/>
      <c r="K763" s="369">
        <v>1</v>
      </c>
      <c r="L763" s="218"/>
      <c r="M763" s="218"/>
      <c r="N763" s="218"/>
      <c r="O763" s="218"/>
      <c r="P763" s="352"/>
      <c r="Q763" s="352"/>
      <c r="R763" s="352"/>
      <c r="S763" s="352"/>
      <c r="T763" s="352"/>
      <c r="U763" s="352"/>
      <c r="V763" s="218"/>
      <c r="W763" s="218"/>
      <c r="X763" s="218"/>
      <c r="Y763" s="218"/>
      <c r="Z763" s="218"/>
      <c r="AA763" s="218"/>
      <c r="AB763" s="218">
        <v>1</v>
      </c>
      <c r="AC763" s="218"/>
      <c r="AD763" s="218"/>
      <c r="AE763" s="218"/>
      <c r="AF763" s="218"/>
      <c r="AG763" s="218"/>
      <c r="AH763" s="218"/>
      <c r="AI763" s="218"/>
      <c r="AJ763" s="218"/>
      <c r="AK763" s="218">
        <f>G798+AL763-G763</f>
        <v>0</v>
      </c>
      <c r="AL763" s="218"/>
      <c r="AM763" s="353"/>
      <c r="AN763" s="295"/>
      <c r="AO763" s="296"/>
      <c r="AP763" s="353"/>
      <c r="AQ763" s="290"/>
      <c r="AR763" s="290"/>
      <c r="AS763" s="290"/>
    </row>
    <row r="764" spans="1:45" ht="17.25" thickBot="1" x14ac:dyDescent="0.3">
      <c r="A764" s="467"/>
      <c r="B764" s="354"/>
      <c r="C764" s="285">
        <v>1699119</v>
      </c>
      <c r="D764" s="358" t="s">
        <v>412</v>
      </c>
      <c r="E764" s="360"/>
      <c r="F764" s="361">
        <f>G799-AK764+AL764</f>
        <v>0</v>
      </c>
      <c r="G764" s="369">
        <v>0</v>
      </c>
      <c r="H764" s="369">
        <v>1</v>
      </c>
      <c r="I764" s="369">
        <v>0</v>
      </c>
      <c r="J764" s="369"/>
      <c r="K764" s="369">
        <v>2</v>
      </c>
      <c r="L764" s="218"/>
      <c r="M764" s="218"/>
      <c r="N764" s="218"/>
      <c r="O764" s="218"/>
      <c r="P764" s="352"/>
      <c r="Q764" s="352"/>
      <c r="R764" s="352"/>
      <c r="S764" s="352"/>
      <c r="T764" s="352"/>
      <c r="U764" s="352"/>
      <c r="V764" s="218"/>
      <c r="W764" s="218"/>
      <c r="X764" s="218"/>
      <c r="Y764" s="218"/>
      <c r="Z764" s="218"/>
      <c r="AA764" s="218"/>
      <c r="AB764" s="218">
        <v>2</v>
      </c>
      <c r="AC764" s="218"/>
      <c r="AD764" s="218"/>
      <c r="AE764" s="218"/>
      <c r="AF764" s="218"/>
      <c r="AG764" s="218"/>
      <c r="AH764" s="218"/>
      <c r="AI764" s="218"/>
      <c r="AJ764" s="218"/>
      <c r="AK764" s="218">
        <f>G799+AL764-G764</f>
        <v>0</v>
      </c>
      <c r="AL764" s="218"/>
      <c r="AM764" s="353"/>
      <c r="AN764" s="295"/>
      <c r="AO764" s="296"/>
      <c r="AP764" s="353"/>
      <c r="AQ764" s="290"/>
      <c r="AR764" s="290"/>
      <c r="AS764" s="290"/>
    </row>
    <row r="765" spans="1:45" ht="17.25" thickBot="1" x14ac:dyDescent="0.3">
      <c r="A765" s="467"/>
      <c r="B765" s="354"/>
      <c r="C765" s="285">
        <v>1699130</v>
      </c>
      <c r="D765" s="358" t="s">
        <v>413</v>
      </c>
      <c r="E765" s="360"/>
      <c r="F765" s="361">
        <f>G800-AK765+AL765</f>
        <v>4</v>
      </c>
      <c r="G765" s="369">
        <v>4</v>
      </c>
      <c r="H765" s="369">
        <v>4</v>
      </c>
      <c r="I765" s="369">
        <v>4</v>
      </c>
      <c r="J765" s="369"/>
      <c r="K765" s="369">
        <v>0</v>
      </c>
      <c r="L765" s="218"/>
      <c r="M765" s="218"/>
      <c r="N765" s="218"/>
      <c r="O765" s="218"/>
      <c r="P765" s="352"/>
      <c r="Q765" s="352"/>
      <c r="R765" s="352"/>
      <c r="S765" s="352"/>
      <c r="T765" s="352"/>
      <c r="U765" s="352"/>
      <c r="V765" s="218"/>
      <c r="W765" s="218"/>
      <c r="X765" s="218"/>
      <c r="Y765" s="218"/>
      <c r="Z765" s="218"/>
      <c r="AA765" s="218">
        <v>2</v>
      </c>
      <c r="AB765" s="218"/>
      <c r="AC765" s="218"/>
      <c r="AD765" s="218"/>
      <c r="AE765" s="218"/>
      <c r="AF765" s="218"/>
      <c r="AG765" s="218"/>
      <c r="AH765" s="218"/>
      <c r="AI765" s="218"/>
      <c r="AJ765" s="218"/>
      <c r="AK765" s="218">
        <f>G800+AL765-G765</f>
        <v>0</v>
      </c>
      <c r="AL765" s="218">
        <v>4</v>
      </c>
      <c r="AM765" s="353"/>
      <c r="AN765" s="295"/>
      <c r="AO765" s="296"/>
      <c r="AP765" s="353"/>
      <c r="AQ765" s="290"/>
      <c r="AR765" s="290"/>
      <c r="AS765" s="290"/>
    </row>
    <row r="766" spans="1:45" ht="17.25" thickBot="1" x14ac:dyDescent="0.3">
      <c r="A766" s="467"/>
      <c r="B766" s="354"/>
      <c r="C766" s="285">
        <v>1699131</v>
      </c>
      <c r="D766" s="358" t="s">
        <v>414</v>
      </c>
      <c r="E766" s="360"/>
      <c r="F766" s="361">
        <f>G801-AK766+AL766</f>
        <v>1</v>
      </c>
      <c r="G766" s="369">
        <v>1</v>
      </c>
      <c r="H766" s="397">
        <v>3</v>
      </c>
      <c r="I766" s="369">
        <v>1</v>
      </c>
      <c r="J766" s="369"/>
      <c r="K766" s="364">
        <v>2</v>
      </c>
      <c r="L766" s="218"/>
      <c r="M766" s="218"/>
      <c r="N766" s="218"/>
      <c r="O766" s="218"/>
      <c r="P766" s="352"/>
      <c r="Q766" s="352"/>
      <c r="R766" s="352"/>
      <c r="S766" s="352"/>
      <c r="T766" s="352"/>
      <c r="U766" s="352"/>
      <c r="V766" s="218"/>
      <c r="W766" s="218"/>
      <c r="X766" s="218"/>
      <c r="Y766" s="218"/>
      <c r="Z766" s="218"/>
      <c r="AA766" s="218"/>
      <c r="AB766" s="218">
        <v>1</v>
      </c>
      <c r="AC766" s="218"/>
      <c r="AD766" s="218"/>
      <c r="AE766" s="218"/>
      <c r="AF766" s="218"/>
      <c r="AG766" s="218"/>
      <c r="AH766" s="218"/>
      <c r="AI766" s="218"/>
      <c r="AJ766" s="218"/>
      <c r="AK766" s="218">
        <f>G801+AL766-G766</f>
        <v>0</v>
      </c>
      <c r="AL766" s="218"/>
      <c r="AM766" s="353"/>
      <c r="AN766" s="295"/>
      <c r="AO766" s="296"/>
      <c r="AP766" s="353"/>
      <c r="AQ766" s="290"/>
      <c r="AR766" s="290"/>
      <c r="AS766" s="290"/>
    </row>
    <row r="767" spans="1:45" ht="17.25" thickBot="1" x14ac:dyDescent="0.3">
      <c r="A767" s="468"/>
      <c r="B767" s="354"/>
      <c r="C767" s="285">
        <v>1699132</v>
      </c>
      <c r="D767" s="358" t="s">
        <v>415</v>
      </c>
      <c r="E767" s="285"/>
      <c r="F767" s="362">
        <f>G802-AK767+AL767</f>
        <v>0</v>
      </c>
      <c r="G767" s="364">
        <v>0</v>
      </c>
      <c r="H767" s="397">
        <v>3</v>
      </c>
      <c r="I767" s="364">
        <v>2</v>
      </c>
      <c r="J767" s="364"/>
      <c r="K767" s="364">
        <v>1</v>
      </c>
      <c r="L767" s="218"/>
      <c r="M767" s="218"/>
      <c r="N767" s="218"/>
      <c r="O767" s="218"/>
      <c r="P767" s="352"/>
      <c r="Q767" s="352"/>
      <c r="R767" s="352"/>
      <c r="S767" s="352"/>
      <c r="T767" s="352"/>
      <c r="U767" s="352"/>
      <c r="V767" s="218"/>
      <c r="W767" s="218"/>
      <c r="X767" s="218"/>
      <c r="Y767" s="218"/>
      <c r="Z767" s="218"/>
      <c r="AA767" s="218"/>
      <c r="AB767" s="218"/>
      <c r="AC767" s="218"/>
      <c r="AD767" s="218"/>
      <c r="AE767" s="218"/>
      <c r="AF767" s="218"/>
      <c r="AG767" s="218"/>
      <c r="AH767" s="218"/>
      <c r="AI767" s="218"/>
      <c r="AJ767" s="218"/>
      <c r="AK767" s="218">
        <f>G802+AL767-G767</f>
        <v>0</v>
      </c>
      <c r="AL767" s="218"/>
      <c r="AM767" s="353"/>
      <c r="AN767" s="295"/>
      <c r="AO767" s="296"/>
      <c r="AP767" s="353"/>
      <c r="AQ767" s="290"/>
      <c r="AR767" s="290"/>
      <c r="AS767" s="290"/>
    </row>
    <row r="768" spans="1:45" x14ac:dyDescent="0.25">
      <c r="AL768" s="290"/>
      <c r="AM768" s="290"/>
      <c r="AN768" s="290"/>
      <c r="AO768" s="290"/>
      <c r="AP768" s="290"/>
    </row>
    <row r="769" spans="1:45" ht="14.25" thickBot="1" x14ac:dyDescent="0.3">
      <c r="B769" s="338" t="s">
        <v>18</v>
      </c>
      <c r="C769" s="339">
        <v>45698</v>
      </c>
      <c r="AA769" s="290">
        <v>0</v>
      </c>
      <c r="AL769" s="290"/>
      <c r="AM769" s="290"/>
      <c r="AN769" s="290"/>
      <c r="AO769" s="290"/>
      <c r="AP769" s="290"/>
      <c r="AQ769" s="290"/>
    </row>
    <row r="770" spans="1:45" ht="41.25" thickBot="1" x14ac:dyDescent="0.3">
      <c r="B770" s="283" t="s">
        <v>0</v>
      </c>
      <c r="C770" s="284" t="s">
        <v>1</v>
      </c>
      <c r="D770" s="284" t="s">
        <v>2</v>
      </c>
      <c r="E770" s="284" t="s">
        <v>3</v>
      </c>
      <c r="F770" s="4" t="s">
        <v>318</v>
      </c>
      <c r="G770" s="351" t="s">
        <v>518</v>
      </c>
      <c r="H770" s="382" t="s">
        <v>460</v>
      </c>
      <c r="I770" s="234" t="s">
        <v>516</v>
      </c>
      <c r="J770" s="234"/>
      <c r="K770" s="258" t="s">
        <v>521</v>
      </c>
      <c r="L770" s="258" t="s">
        <v>328</v>
      </c>
      <c r="M770" s="258" t="s">
        <v>327</v>
      </c>
      <c r="N770" s="234" t="s">
        <v>389</v>
      </c>
      <c r="O770" s="240" t="s">
        <v>130</v>
      </c>
      <c r="P770" s="243" t="s">
        <v>303</v>
      </c>
      <c r="Q770" s="244" t="s">
        <v>304</v>
      </c>
      <c r="R770" s="244" t="s">
        <v>314</v>
      </c>
      <c r="S770" s="245" t="s">
        <v>338</v>
      </c>
      <c r="T770" s="245" t="s">
        <v>345</v>
      </c>
      <c r="U770" s="245" t="s">
        <v>361</v>
      </c>
      <c r="V770" s="245" t="s">
        <v>387</v>
      </c>
      <c r="W770" s="245" t="s">
        <v>421</v>
      </c>
      <c r="X770" s="245" t="s">
        <v>452</v>
      </c>
      <c r="Y770" s="245" t="s">
        <v>463</v>
      </c>
      <c r="Z770" s="245" t="s">
        <v>481</v>
      </c>
      <c r="AA770" s="245" t="s">
        <v>498</v>
      </c>
      <c r="AB770" s="245" t="s">
        <v>303</v>
      </c>
      <c r="AC770" s="245" t="s">
        <v>304</v>
      </c>
      <c r="AD770" s="245"/>
      <c r="AE770" s="245"/>
      <c r="AF770" s="245"/>
      <c r="AG770" s="245"/>
      <c r="AH770" s="245"/>
      <c r="AI770" s="245"/>
      <c r="AJ770" s="245" t="s">
        <v>360</v>
      </c>
      <c r="AK770" s="246" t="s">
        <v>268</v>
      </c>
      <c r="AL770" s="247" t="s">
        <v>269</v>
      </c>
      <c r="AM770" s="291" t="s">
        <v>288</v>
      </c>
      <c r="AN770" s="292" t="s">
        <v>289</v>
      </c>
      <c r="AO770" s="292" t="s">
        <v>287</v>
      </c>
      <c r="AP770" s="293" t="s">
        <v>290</v>
      </c>
      <c r="AQ770" s="290" t="s">
        <v>306</v>
      </c>
      <c r="AR770" s="290" t="s">
        <v>310</v>
      </c>
      <c r="AS770" s="290" t="s">
        <v>311</v>
      </c>
    </row>
    <row r="771" spans="1:45" ht="17.25" thickBot="1" x14ac:dyDescent="0.3">
      <c r="A771" s="463" t="s">
        <v>416</v>
      </c>
      <c r="B771" s="285">
        <v>273664</v>
      </c>
      <c r="C771" s="286">
        <v>1135749</v>
      </c>
      <c r="D771" s="286" t="s">
        <v>7</v>
      </c>
      <c r="E771" s="286">
        <v>6060050026</v>
      </c>
      <c r="F771" s="253">
        <f>G806-AK771+AL771</f>
        <v>2</v>
      </c>
      <c r="G771" s="235">
        <v>2</v>
      </c>
      <c r="H771" s="394">
        <v>5</v>
      </c>
      <c r="I771" s="232">
        <v>2</v>
      </c>
      <c r="J771" s="232"/>
      <c r="K771" s="232">
        <v>2</v>
      </c>
      <c r="L771" s="232">
        <f>IF(K805=K770,L806+AK771,K771)</f>
        <v>2</v>
      </c>
      <c r="M771" s="232">
        <f>IF(K805=K770,0,L806+AK771-K771)</f>
        <v>2</v>
      </c>
      <c r="N771" s="267">
        <v>5</v>
      </c>
      <c r="O771" s="241">
        <f>N771-G771</f>
        <v>3</v>
      </c>
      <c r="P771" s="277">
        <v>4</v>
      </c>
      <c r="Q771" s="278">
        <v>4</v>
      </c>
      <c r="R771" s="279"/>
      <c r="S771" s="279">
        <v>3</v>
      </c>
      <c r="T771" s="279">
        <v>4</v>
      </c>
      <c r="U771" s="279">
        <v>2</v>
      </c>
      <c r="V771" s="279"/>
      <c r="W771" s="279">
        <f>2+3</f>
        <v>5</v>
      </c>
      <c r="X771" s="241"/>
      <c r="Y771" s="241"/>
      <c r="Z771" s="241"/>
      <c r="AA771" s="241">
        <v>4</v>
      </c>
      <c r="AB771" s="241">
        <v>5</v>
      </c>
      <c r="AC771" s="241"/>
      <c r="AD771" s="241"/>
      <c r="AE771" s="241"/>
      <c r="AF771" s="241"/>
      <c r="AG771" s="241"/>
      <c r="AH771" s="241"/>
      <c r="AI771" s="241"/>
      <c r="AJ771" s="241">
        <f>N771-V771</f>
        <v>5</v>
      </c>
      <c r="AK771" s="235">
        <f>G806+AL771-G771</f>
        <v>0</v>
      </c>
      <c r="AL771" s="350"/>
      <c r="AM771" s="294">
        <v>1.5</v>
      </c>
      <c r="AN771" s="295">
        <v>4</v>
      </c>
      <c r="AO771" s="296">
        <f>G771/(AN771)</f>
        <v>0.5</v>
      </c>
      <c r="AP771" s="297">
        <f>AN771*6</f>
        <v>24</v>
      </c>
      <c r="AQ771" s="290">
        <f>G771+K771</f>
        <v>4</v>
      </c>
      <c r="AR771" s="290">
        <f>IF(G771&lt;G806,(G806-G771+K806-K771),K806-K771)</f>
        <v>2</v>
      </c>
      <c r="AS771" s="290">
        <f>21-8</f>
        <v>13</v>
      </c>
    </row>
    <row r="772" spans="1:45" ht="17.25" thickBot="1" x14ac:dyDescent="0.3">
      <c r="A772" s="464"/>
      <c r="B772" s="285">
        <v>273672</v>
      </c>
      <c r="C772" s="286">
        <v>1135750</v>
      </c>
      <c r="D772" s="286" t="s">
        <v>9</v>
      </c>
      <c r="E772" s="287">
        <v>204000000000</v>
      </c>
      <c r="F772" s="253">
        <f>G807-AK772+AL772</f>
        <v>11</v>
      </c>
      <c r="G772" s="235">
        <v>11</v>
      </c>
      <c r="H772" s="394">
        <v>16</v>
      </c>
      <c r="I772" s="232">
        <v>11</v>
      </c>
      <c r="J772" s="232"/>
      <c r="K772" s="232">
        <v>5</v>
      </c>
      <c r="L772" s="232">
        <f>IF(K805=K770,L807+AK772,K772)</f>
        <v>5</v>
      </c>
      <c r="M772" s="232">
        <f>IF(K805=K770,0,L807+AK772-K772)</f>
        <v>2</v>
      </c>
      <c r="N772" s="267">
        <v>10</v>
      </c>
      <c r="O772" s="241">
        <f>N772-G772</f>
        <v>-1</v>
      </c>
      <c r="P772" s="277">
        <v>13</v>
      </c>
      <c r="Q772" s="278">
        <v>2</v>
      </c>
      <c r="R772" s="279">
        <v>6</v>
      </c>
      <c r="S772" s="279">
        <v>6</v>
      </c>
      <c r="T772" s="279">
        <v>10</v>
      </c>
      <c r="U772" s="279">
        <v>4</v>
      </c>
      <c r="V772" s="279">
        <v>6</v>
      </c>
      <c r="W772" s="279">
        <v>16</v>
      </c>
      <c r="X772" s="241"/>
      <c r="Y772" s="241">
        <v>6</v>
      </c>
      <c r="Z772" s="241">
        <v>4</v>
      </c>
      <c r="AA772" s="241">
        <v>6</v>
      </c>
      <c r="AB772" s="241">
        <v>14</v>
      </c>
      <c r="AC772" s="241"/>
      <c r="AD772" s="241"/>
      <c r="AE772" s="241"/>
      <c r="AF772" s="241"/>
      <c r="AG772" s="241"/>
      <c r="AH772" s="241"/>
      <c r="AI772" s="241"/>
      <c r="AJ772" s="241">
        <f>N772-V772</f>
        <v>4</v>
      </c>
      <c r="AK772" s="235">
        <f>G807+AL772-G772</f>
        <v>0</v>
      </c>
      <c r="AL772" s="236"/>
      <c r="AM772" s="298">
        <v>4.2</v>
      </c>
      <c r="AN772" s="295">
        <v>9</v>
      </c>
      <c r="AO772" s="296">
        <f>G772/(AN772)</f>
        <v>1.2222222222222223</v>
      </c>
      <c r="AP772" s="297">
        <f>AN772*6</f>
        <v>54</v>
      </c>
      <c r="AQ772" s="290">
        <f>G772+K772</f>
        <v>16</v>
      </c>
      <c r="AR772" s="290">
        <f>IF(G772&lt;G807,(G807-G772+K807-K772),K807-K772)</f>
        <v>2</v>
      </c>
      <c r="AS772" s="290">
        <f>21-8</f>
        <v>13</v>
      </c>
    </row>
    <row r="773" spans="1:45" ht="17.25" thickBot="1" x14ac:dyDescent="0.3">
      <c r="A773" s="464"/>
      <c r="B773" s="285">
        <v>273702</v>
      </c>
      <c r="C773" s="286">
        <v>1135753</v>
      </c>
      <c r="D773" s="286" t="s">
        <v>10</v>
      </c>
      <c r="E773" s="287">
        <v>301000000000</v>
      </c>
      <c r="F773" s="253">
        <f>G808-AK773+AL773</f>
        <v>0</v>
      </c>
      <c r="G773" s="235">
        <v>0</v>
      </c>
      <c r="H773" s="394">
        <v>1</v>
      </c>
      <c r="I773" s="232">
        <v>0</v>
      </c>
      <c r="J773" s="232"/>
      <c r="K773" s="232">
        <v>2</v>
      </c>
      <c r="L773" s="232">
        <f>IF(K805=K770,L808+AK773,K773)</f>
        <v>2</v>
      </c>
      <c r="M773" s="232">
        <f>IF(K805=K770,0,L808+AK773-K773)</f>
        <v>0</v>
      </c>
      <c r="N773" s="232">
        <v>2</v>
      </c>
      <c r="O773" s="241">
        <f>N773-G773</f>
        <v>2</v>
      </c>
      <c r="P773" s="277"/>
      <c r="Q773" s="278"/>
      <c r="R773" s="279"/>
      <c r="S773" s="279"/>
      <c r="T773" s="279"/>
      <c r="U773" s="279"/>
      <c r="V773" s="279"/>
      <c r="W773" s="279"/>
      <c r="X773" s="241"/>
      <c r="Y773" s="241"/>
      <c r="Z773" s="241"/>
      <c r="AA773" s="241"/>
      <c r="AB773" s="241">
        <v>2</v>
      </c>
      <c r="AC773" s="241"/>
      <c r="AD773" s="241"/>
      <c r="AE773" s="241"/>
      <c r="AF773" s="241"/>
      <c r="AG773" s="241"/>
      <c r="AH773" s="241"/>
      <c r="AI773" s="241"/>
      <c r="AJ773" s="241">
        <f>N773-V773</f>
        <v>2</v>
      </c>
      <c r="AK773" s="235">
        <f>G808+AL773-G773</f>
        <v>0</v>
      </c>
      <c r="AL773" s="236"/>
      <c r="AM773" s="294">
        <f>4/12</f>
        <v>0.33333333333333331</v>
      </c>
      <c r="AN773" s="295">
        <v>2</v>
      </c>
      <c r="AO773" s="296">
        <f>G773/(AN773)</f>
        <v>0</v>
      </c>
      <c r="AP773" s="297">
        <f>AN773*6</f>
        <v>12</v>
      </c>
      <c r="AQ773" s="290">
        <f>G773+K773</f>
        <v>2</v>
      </c>
      <c r="AR773" s="290">
        <f>IF(G773&lt;G808,(G808-G773+K808-K773),K808-K773)</f>
        <v>0</v>
      </c>
      <c r="AS773" s="290">
        <f>21-8</f>
        <v>13</v>
      </c>
    </row>
    <row r="774" spans="1:45" ht="17.25" thickBot="1" x14ac:dyDescent="0.3">
      <c r="A774" s="464"/>
      <c r="B774" s="285">
        <v>273698</v>
      </c>
      <c r="C774" s="286">
        <v>1135752</v>
      </c>
      <c r="D774" s="286" t="s">
        <v>11</v>
      </c>
      <c r="E774" s="287">
        <v>701000000000</v>
      </c>
      <c r="F774" s="253">
        <f>G809-AK774+AL774</f>
        <v>0</v>
      </c>
      <c r="G774" s="235">
        <v>0</v>
      </c>
      <c r="H774" s="394">
        <v>2</v>
      </c>
      <c r="I774" s="232">
        <v>0</v>
      </c>
      <c r="J774" s="232"/>
      <c r="K774" s="232">
        <v>0</v>
      </c>
      <c r="L774" s="232">
        <f>IF(K805=K770,L809+AK774,K774)</f>
        <v>0</v>
      </c>
      <c r="M774" s="232">
        <f>IF(K805=K770,0,L809+AK774-K774)</f>
        <v>0</v>
      </c>
      <c r="N774" s="232">
        <v>3</v>
      </c>
      <c r="O774" s="241">
        <f>N774-G774</f>
        <v>3</v>
      </c>
      <c r="P774" s="277">
        <v>2</v>
      </c>
      <c r="Q774" s="278"/>
      <c r="R774" s="279"/>
      <c r="S774" s="279"/>
      <c r="T774" s="279"/>
      <c r="U774" s="279"/>
      <c r="V774" s="279"/>
      <c r="W774" s="279">
        <v>1</v>
      </c>
      <c r="X774" s="241"/>
      <c r="Y774" s="241"/>
      <c r="Z774" s="241"/>
      <c r="AA774" s="241"/>
      <c r="AB774" s="241">
        <v>2</v>
      </c>
      <c r="AC774" s="241"/>
      <c r="AD774" s="241"/>
      <c r="AE774" s="241"/>
      <c r="AF774" s="241"/>
      <c r="AG774" s="241"/>
      <c r="AH774" s="241"/>
      <c r="AI774" s="241"/>
      <c r="AJ774" s="241">
        <f>N774-V774</f>
        <v>3</v>
      </c>
      <c r="AK774" s="235">
        <f>G809+AL774-G774</f>
        <v>0</v>
      </c>
      <c r="AL774" s="236"/>
      <c r="AM774" s="294">
        <f>4/12</f>
        <v>0.33333333333333331</v>
      </c>
      <c r="AN774" s="295">
        <v>2</v>
      </c>
      <c r="AO774" s="296">
        <f>G774/(AN774)</f>
        <v>0</v>
      </c>
      <c r="AP774" s="297">
        <f>AN774*6</f>
        <v>12</v>
      </c>
      <c r="AQ774" s="290">
        <f>G774+K774</f>
        <v>0</v>
      </c>
      <c r="AR774" s="290">
        <f>IF(G774&lt;G809,(G809-G774+K809-K774),K809-K774)</f>
        <v>0</v>
      </c>
      <c r="AS774" s="290">
        <f>21-8</f>
        <v>13</v>
      </c>
    </row>
    <row r="775" spans="1:45" ht="17.25" thickBot="1" x14ac:dyDescent="0.3">
      <c r="A775" s="465"/>
      <c r="B775" s="285">
        <v>273680</v>
      </c>
      <c r="C775" s="286">
        <v>1135751</v>
      </c>
      <c r="D775" s="286" t="s">
        <v>12</v>
      </c>
      <c r="E775" s="286" t="s">
        <v>13</v>
      </c>
      <c r="F775" s="254">
        <f>G810-AK775+AL775</f>
        <v>9</v>
      </c>
      <c r="G775" s="237">
        <v>9</v>
      </c>
      <c r="H775" s="395">
        <v>8</v>
      </c>
      <c r="I775" s="238">
        <v>9</v>
      </c>
      <c r="J775" s="238"/>
      <c r="K775" s="238">
        <v>6</v>
      </c>
      <c r="L775" s="238">
        <f>IF(K805=K770,L810+AK775,K775)</f>
        <v>6</v>
      </c>
      <c r="M775" s="238">
        <f>IF(K805=K770,0,L810+AK775-K775)</f>
        <v>0</v>
      </c>
      <c r="N775" s="238">
        <v>9</v>
      </c>
      <c r="O775" s="242">
        <f>N775-G775</f>
        <v>0</v>
      </c>
      <c r="P775" s="280"/>
      <c r="Q775" s="281"/>
      <c r="R775" s="282"/>
      <c r="S775" s="282"/>
      <c r="T775" s="282">
        <v>11</v>
      </c>
      <c r="U775" s="282"/>
      <c r="V775" s="282"/>
      <c r="W775" s="282">
        <v>9</v>
      </c>
      <c r="X775" s="242"/>
      <c r="Y775" s="242">
        <v>9</v>
      </c>
      <c r="Z775" s="242"/>
      <c r="AA775" s="242"/>
      <c r="AB775" s="242">
        <v>5</v>
      </c>
      <c r="AC775" s="242"/>
      <c r="AD775" s="242"/>
      <c r="AE775" s="242"/>
      <c r="AF775" s="242"/>
      <c r="AG775" s="242"/>
      <c r="AH775" s="242"/>
      <c r="AI775" s="242"/>
      <c r="AJ775" s="242">
        <f>N775-V775</f>
        <v>9</v>
      </c>
      <c r="AK775" s="235">
        <f>G810+AL775-G775</f>
        <v>0</v>
      </c>
      <c r="AL775" s="239"/>
      <c r="AM775" s="299">
        <f>30/12</f>
        <v>2.5</v>
      </c>
      <c r="AN775" s="300">
        <f>AM775*2</f>
        <v>5</v>
      </c>
      <c r="AO775" s="301">
        <f>G775/(AN775)</f>
        <v>1.8</v>
      </c>
      <c r="AP775" s="302">
        <f>AN775*6</f>
        <v>30</v>
      </c>
      <c r="AQ775" s="290">
        <f>G775+K775</f>
        <v>15</v>
      </c>
      <c r="AR775" s="290">
        <f>IF(G775&lt;G810,(G810-G775+K810-K775),K810-K775)</f>
        <v>0</v>
      </c>
      <c r="AS775" s="290">
        <f>21-8</f>
        <v>13</v>
      </c>
    </row>
    <row r="776" spans="1:45" ht="17.25" thickBot="1" x14ac:dyDescent="0.3">
      <c r="A776" s="466" t="s">
        <v>417</v>
      </c>
      <c r="B776" s="355" t="s">
        <v>129</v>
      </c>
      <c r="C776" s="356"/>
      <c r="D776" s="356"/>
      <c r="E776" s="359"/>
      <c r="F776" s="359"/>
      <c r="G776" s="356"/>
      <c r="H776" s="396"/>
      <c r="I776" s="356"/>
      <c r="J776" s="356"/>
      <c r="K776" s="356"/>
      <c r="L776" s="356"/>
      <c r="M776" s="356"/>
      <c r="N776" s="356"/>
      <c r="O776" s="356"/>
      <c r="P776" s="356"/>
      <c r="Q776" s="356"/>
      <c r="R776" s="356"/>
      <c r="S776" s="356"/>
      <c r="T776" s="356"/>
      <c r="U776" s="356"/>
      <c r="V776" s="356"/>
      <c r="W776" s="356"/>
      <c r="X776" s="356"/>
      <c r="Y776" s="356"/>
      <c r="Z776" s="356"/>
      <c r="AA776" s="356"/>
      <c r="AB776" s="356"/>
      <c r="AC776" s="356"/>
      <c r="AD776" s="356"/>
      <c r="AE776" s="356"/>
      <c r="AF776" s="356"/>
      <c r="AG776" s="356"/>
      <c r="AH776" s="356"/>
      <c r="AI776" s="356"/>
      <c r="AJ776" s="356"/>
      <c r="AK776" s="356"/>
      <c r="AL776" s="367"/>
      <c r="AM776" s="356"/>
      <c r="AN776" s="356"/>
      <c r="AO776" s="356"/>
      <c r="AP776" s="356"/>
      <c r="AQ776" s="356"/>
      <c r="AR776" s="356"/>
      <c r="AS776" s="357"/>
    </row>
    <row r="777" spans="1:45" ht="17.25" thickBot="1" x14ac:dyDescent="0.3">
      <c r="A777" s="467"/>
      <c r="B777" s="354"/>
      <c r="C777" s="354">
        <v>1140327</v>
      </c>
      <c r="D777" s="358" t="s">
        <v>394</v>
      </c>
      <c r="E777" s="360"/>
      <c r="F777" s="361">
        <f>G812-AK777+AL777</f>
        <v>1</v>
      </c>
      <c r="G777" s="218">
        <v>1</v>
      </c>
      <c r="H777" s="397">
        <v>23</v>
      </c>
      <c r="I777" s="218">
        <v>1</v>
      </c>
      <c r="J777" s="218"/>
      <c r="K777" s="218">
        <v>7</v>
      </c>
      <c r="L777" s="218">
        <f>IF(K805=K770,L812+AK777,K777)</f>
        <v>7</v>
      </c>
      <c r="M777" s="218">
        <f>IF(K805=K770,0,L812+AK777-K777)</f>
        <v>4</v>
      </c>
      <c r="N777" s="218"/>
      <c r="O777" s="218"/>
      <c r="P777" s="352"/>
      <c r="Q777" s="352"/>
      <c r="R777" s="352"/>
      <c r="S777" s="352"/>
      <c r="T777" s="352"/>
      <c r="U777" s="352"/>
      <c r="V777" s="218"/>
      <c r="W777" s="218"/>
      <c r="X777" s="218">
        <v>4</v>
      </c>
      <c r="Y777" s="218">
        <v>9</v>
      </c>
      <c r="Z777" s="218">
        <v>14</v>
      </c>
      <c r="AA777" s="218">
        <v>8</v>
      </c>
      <c r="AB777" s="218">
        <f>14+6</f>
        <v>20</v>
      </c>
      <c r="AC777" s="218">
        <v>6</v>
      </c>
      <c r="AD777" s="218"/>
      <c r="AE777" s="218"/>
      <c r="AF777" s="218"/>
      <c r="AG777" s="218"/>
      <c r="AH777" s="218"/>
      <c r="AI777" s="218"/>
      <c r="AJ777" s="242">
        <f>N777-V777</f>
        <v>0</v>
      </c>
      <c r="AK777" s="274">
        <f>G812+AL777-G777</f>
        <v>6</v>
      </c>
      <c r="AL777" s="232"/>
      <c r="AM777" s="353"/>
      <c r="AN777" s="295"/>
      <c r="AO777" s="296"/>
      <c r="AP777" s="353"/>
      <c r="AQ777" s="290"/>
      <c r="AR777" s="290"/>
      <c r="AS777" s="290"/>
    </row>
    <row r="778" spans="1:45" ht="17.25" thickBot="1" x14ac:dyDescent="0.3">
      <c r="A778" s="467"/>
      <c r="B778" s="354"/>
      <c r="C778" s="285">
        <v>1151231</v>
      </c>
      <c r="D778" s="358" t="s">
        <v>395</v>
      </c>
      <c r="E778" s="360"/>
      <c r="F778" s="361">
        <f>G813-AK778+AL778</f>
        <v>14</v>
      </c>
      <c r="G778" s="369">
        <v>14</v>
      </c>
      <c r="H778" s="397">
        <v>13</v>
      </c>
      <c r="I778" s="218">
        <v>14</v>
      </c>
      <c r="J778" s="218"/>
      <c r="K778" s="218">
        <v>7</v>
      </c>
      <c r="L778" s="218">
        <f>IF(K805=K770,L813+AK778,K778)</f>
        <v>7</v>
      </c>
      <c r="M778" s="218">
        <f>IF(K805=K770,0,L813+AK778-K778)</f>
        <v>0</v>
      </c>
      <c r="N778" s="218"/>
      <c r="O778" s="218"/>
      <c r="P778" s="352"/>
      <c r="Q778" s="352"/>
      <c r="R778" s="352"/>
      <c r="S778" s="352"/>
      <c r="T778" s="352"/>
      <c r="U778" s="352"/>
      <c r="V778" s="218"/>
      <c r="W778" s="218"/>
      <c r="X778" s="218">
        <v>3</v>
      </c>
      <c r="Y778" s="218">
        <v>8</v>
      </c>
      <c r="Z778" s="218">
        <v>6</v>
      </c>
      <c r="AA778" s="218"/>
      <c r="AB778" s="218">
        <v>4</v>
      </c>
      <c r="AC778" s="218"/>
      <c r="AD778" s="218"/>
      <c r="AE778" s="218"/>
      <c r="AF778" s="218"/>
      <c r="AG778" s="218"/>
      <c r="AH778" s="218"/>
      <c r="AI778" s="218"/>
      <c r="AJ778" s="242">
        <f>N778-V778</f>
        <v>0</v>
      </c>
      <c r="AK778" s="274">
        <f>G813+AL778-G778</f>
        <v>0</v>
      </c>
      <c r="AL778" s="232"/>
      <c r="AM778" s="353"/>
      <c r="AN778" s="295"/>
      <c r="AO778" s="296"/>
      <c r="AP778" s="353"/>
      <c r="AQ778" s="290"/>
      <c r="AR778" s="290"/>
      <c r="AS778" s="290"/>
    </row>
    <row r="779" spans="1:45" ht="17.25" thickBot="1" x14ac:dyDescent="0.3">
      <c r="A779" s="467"/>
      <c r="B779" s="355" t="s">
        <v>420</v>
      </c>
      <c r="C779" s="356"/>
      <c r="D779" s="356"/>
      <c r="E779" s="359"/>
      <c r="F779" s="359"/>
      <c r="G779" s="356"/>
      <c r="H779" s="396"/>
      <c r="I779" s="356"/>
      <c r="J779" s="356"/>
      <c r="K779" s="356"/>
      <c r="L779" s="356"/>
      <c r="M779" s="356"/>
      <c r="N779" s="356"/>
      <c r="O779" s="356"/>
      <c r="P779" s="356"/>
      <c r="Q779" s="356"/>
      <c r="R779" s="356"/>
      <c r="S779" s="356"/>
      <c r="T779" s="356"/>
      <c r="U779" s="356"/>
      <c r="V779" s="356"/>
      <c r="W779" s="356"/>
      <c r="X779" s="356"/>
      <c r="Y779" s="356"/>
      <c r="Z779" s="356"/>
      <c r="AA779" s="356"/>
      <c r="AB779" s="356"/>
      <c r="AC779" s="356"/>
      <c r="AD779" s="356"/>
      <c r="AE779" s="356"/>
      <c r="AF779" s="356"/>
      <c r="AG779" s="356"/>
      <c r="AH779" s="356"/>
      <c r="AI779" s="356"/>
      <c r="AJ779" s="356"/>
      <c r="AK779" s="356"/>
      <c r="AL779" s="368"/>
      <c r="AM779" s="356"/>
      <c r="AN779" s="356"/>
      <c r="AO779" s="356"/>
      <c r="AP779" s="356"/>
      <c r="AQ779" s="356"/>
      <c r="AR779" s="356"/>
      <c r="AS779" s="357"/>
    </row>
    <row r="780" spans="1:45" ht="17.25" thickBot="1" x14ac:dyDescent="0.3">
      <c r="A780" s="467"/>
      <c r="B780" s="354"/>
      <c r="C780" s="285">
        <v>1146032</v>
      </c>
      <c r="D780" s="358" t="s">
        <v>396</v>
      </c>
      <c r="E780" s="360"/>
      <c r="F780" s="361">
        <f>G815-AK780+AL780</f>
        <v>0</v>
      </c>
      <c r="G780" s="364">
        <v>0</v>
      </c>
      <c r="H780" s="397">
        <v>1</v>
      </c>
      <c r="I780" s="364">
        <v>0</v>
      </c>
      <c r="J780" s="364"/>
      <c r="K780" s="364">
        <v>2</v>
      </c>
      <c r="L780" s="218"/>
      <c r="M780" s="218"/>
      <c r="N780" s="218"/>
      <c r="O780" s="218"/>
      <c r="P780" s="352"/>
      <c r="Q780" s="352"/>
      <c r="R780" s="352"/>
      <c r="S780" s="352"/>
      <c r="T780" s="352"/>
      <c r="U780" s="352"/>
      <c r="V780" s="218"/>
      <c r="W780" s="218"/>
      <c r="X780" s="218"/>
      <c r="Y780" s="218"/>
      <c r="Z780" s="218"/>
      <c r="AA780" s="218"/>
      <c r="AB780" s="218"/>
      <c r="AC780" s="218"/>
      <c r="AD780" s="218"/>
      <c r="AE780" s="218"/>
      <c r="AF780" s="218"/>
      <c r="AG780" s="218"/>
      <c r="AH780" s="218"/>
      <c r="AI780" s="218"/>
      <c r="AJ780" s="218"/>
      <c r="AK780" s="218">
        <f>G815+AL780-G780</f>
        <v>0</v>
      </c>
      <c r="AL780" s="218"/>
      <c r="AM780" s="353"/>
      <c r="AN780" s="295"/>
      <c r="AO780" s="296"/>
      <c r="AP780" s="353"/>
      <c r="AQ780" s="290"/>
      <c r="AR780" s="290"/>
      <c r="AS780" s="290"/>
    </row>
    <row r="781" spans="1:45" ht="17.25" thickBot="1" x14ac:dyDescent="0.3">
      <c r="A781" s="467"/>
      <c r="B781" s="354"/>
      <c r="C781" s="285">
        <v>1146021</v>
      </c>
      <c r="D781" s="358" t="s">
        <v>397</v>
      </c>
      <c r="E781" s="360"/>
      <c r="F781" s="361">
        <f>G816-AK781+AL781</f>
        <v>0</v>
      </c>
      <c r="G781" s="364">
        <v>0</v>
      </c>
      <c r="H781" s="397">
        <v>2</v>
      </c>
      <c r="I781" s="364">
        <v>0</v>
      </c>
      <c r="J781" s="364"/>
      <c r="K781" s="364">
        <v>0</v>
      </c>
      <c r="L781" s="218"/>
      <c r="M781" s="218"/>
      <c r="N781" s="218"/>
      <c r="O781" s="218"/>
      <c r="P781" s="352"/>
      <c r="Q781" s="352"/>
      <c r="R781" s="352"/>
      <c r="S781" s="352"/>
      <c r="T781" s="352"/>
      <c r="U781" s="352"/>
      <c r="V781" s="218"/>
      <c r="W781" s="218"/>
      <c r="X781" s="218"/>
      <c r="Y781" s="218"/>
      <c r="Z781" s="218"/>
      <c r="AA781" s="218"/>
      <c r="AB781" s="218"/>
      <c r="AC781" s="218"/>
      <c r="AD781" s="218"/>
      <c r="AE781" s="218"/>
      <c r="AF781" s="218"/>
      <c r="AG781" s="218"/>
      <c r="AH781" s="218"/>
      <c r="AI781" s="218"/>
      <c r="AJ781" s="218"/>
      <c r="AK781" s="218">
        <f>G816+AL781-G781</f>
        <v>0</v>
      </c>
      <c r="AL781" s="218"/>
      <c r="AM781" s="353"/>
      <c r="AN781" s="295"/>
      <c r="AO781" s="296"/>
      <c r="AP781" s="353"/>
      <c r="AQ781" s="290"/>
      <c r="AR781" s="290"/>
      <c r="AS781" s="290"/>
    </row>
    <row r="782" spans="1:45" ht="17.25" thickBot="1" x14ac:dyDescent="0.3">
      <c r="A782" s="467"/>
      <c r="B782" s="354"/>
      <c r="C782" s="285">
        <v>1146018</v>
      </c>
      <c r="D782" s="358" t="s">
        <v>398</v>
      </c>
      <c r="E782" s="360"/>
      <c r="F782" s="361">
        <f>G817-AK782+AL782</f>
        <v>0</v>
      </c>
      <c r="G782" s="369">
        <v>0</v>
      </c>
      <c r="H782" s="397">
        <v>1</v>
      </c>
      <c r="I782" s="364">
        <v>0</v>
      </c>
      <c r="J782" s="364"/>
      <c r="K782" s="364">
        <v>2</v>
      </c>
      <c r="L782" s="218"/>
      <c r="M782" s="218"/>
      <c r="N782" s="218"/>
      <c r="O782" s="218"/>
      <c r="P782" s="352"/>
      <c r="Q782" s="352"/>
      <c r="R782" s="352"/>
      <c r="S782" s="352"/>
      <c r="T782" s="352"/>
      <c r="U782" s="352"/>
      <c r="V782" s="218"/>
      <c r="W782" s="218"/>
      <c r="X782" s="218"/>
      <c r="Y782" s="218"/>
      <c r="Z782" s="218"/>
      <c r="AA782" s="218"/>
      <c r="AB782" s="218">
        <v>2</v>
      </c>
      <c r="AC782" s="218"/>
      <c r="AD782" s="218"/>
      <c r="AE782" s="218"/>
      <c r="AF782" s="218"/>
      <c r="AG782" s="218"/>
      <c r="AH782" s="218"/>
      <c r="AI782" s="218"/>
      <c r="AJ782" s="218"/>
      <c r="AK782" s="218">
        <f>G817+AL782-G782</f>
        <v>0</v>
      </c>
      <c r="AL782" s="218"/>
      <c r="AM782" s="353"/>
      <c r="AN782" s="295"/>
      <c r="AO782" s="296"/>
      <c r="AP782" s="353"/>
      <c r="AQ782" s="290"/>
      <c r="AR782" s="290"/>
      <c r="AS782" s="290"/>
    </row>
    <row r="783" spans="1:45" ht="17.25" thickBot="1" x14ac:dyDescent="0.3">
      <c r="A783" s="467"/>
      <c r="B783" s="354"/>
      <c r="C783" s="285">
        <v>1146024</v>
      </c>
      <c r="D783" s="358" t="s">
        <v>399</v>
      </c>
      <c r="E783" s="360"/>
      <c r="F783" s="361">
        <v>1</v>
      </c>
      <c r="G783" s="369">
        <v>1</v>
      </c>
      <c r="H783" s="369">
        <v>2</v>
      </c>
      <c r="I783" s="369">
        <v>1</v>
      </c>
      <c r="J783" s="369"/>
      <c r="K783" s="369">
        <v>0</v>
      </c>
      <c r="L783" s="218"/>
      <c r="M783" s="218"/>
      <c r="N783" s="218"/>
      <c r="O783" s="218"/>
      <c r="P783" s="352"/>
      <c r="Q783" s="352"/>
      <c r="R783" s="352"/>
      <c r="S783" s="352"/>
      <c r="T783" s="352"/>
      <c r="U783" s="352"/>
      <c r="V783" s="218"/>
      <c r="W783" s="218"/>
      <c r="X783" s="218"/>
      <c r="Y783" s="218"/>
      <c r="Z783" s="218"/>
      <c r="AA783" s="218">
        <v>1</v>
      </c>
      <c r="AB783" s="218">
        <v>1</v>
      </c>
      <c r="AC783" s="218"/>
      <c r="AD783" s="218"/>
      <c r="AE783" s="218"/>
      <c r="AF783" s="218"/>
      <c r="AG783" s="218"/>
      <c r="AH783" s="218"/>
      <c r="AI783" s="218"/>
      <c r="AJ783" s="218"/>
      <c r="AK783" s="218">
        <f>G818+AL783-G783</f>
        <v>0</v>
      </c>
      <c r="AL783" s="218"/>
      <c r="AM783" s="353"/>
      <c r="AN783" s="295"/>
      <c r="AO783" s="296"/>
      <c r="AP783" s="353"/>
      <c r="AQ783" s="290"/>
      <c r="AR783" s="290"/>
      <c r="AS783" s="290"/>
    </row>
    <row r="784" spans="1:45" ht="17.25" thickBot="1" x14ac:dyDescent="0.3">
      <c r="A784" s="467"/>
      <c r="B784" s="354"/>
      <c r="C784" s="285">
        <v>1146028</v>
      </c>
      <c r="D784" s="358" t="s">
        <v>400</v>
      </c>
      <c r="E784" s="360"/>
      <c r="F784" s="361">
        <f>G819-AK784+AL784</f>
        <v>0</v>
      </c>
      <c r="G784" s="364">
        <v>0</v>
      </c>
      <c r="H784" s="397">
        <v>2</v>
      </c>
      <c r="I784" s="364">
        <v>0</v>
      </c>
      <c r="J784" s="364"/>
      <c r="K784" s="364">
        <v>0</v>
      </c>
      <c r="L784" s="218"/>
      <c r="M784" s="218"/>
      <c r="N784" s="218"/>
      <c r="O784" s="218"/>
      <c r="P784" s="352"/>
      <c r="Q784" s="352"/>
      <c r="R784" s="352"/>
      <c r="S784" s="352"/>
      <c r="T784" s="352"/>
      <c r="U784" s="352"/>
      <c r="V784" s="218"/>
      <c r="W784" s="218"/>
      <c r="X784" s="218"/>
      <c r="Y784" s="218"/>
      <c r="Z784" s="218"/>
      <c r="AA784" s="218"/>
      <c r="AB784" s="218"/>
      <c r="AC784" s="218"/>
      <c r="AD784" s="218"/>
      <c r="AE784" s="218"/>
      <c r="AF784" s="218"/>
      <c r="AG784" s="218"/>
      <c r="AH784" s="218"/>
      <c r="AI784" s="218"/>
      <c r="AJ784" s="218"/>
      <c r="AK784" s="218">
        <f>G819+AL784-G784</f>
        <v>0</v>
      </c>
      <c r="AL784" s="218"/>
      <c r="AM784" s="353"/>
      <c r="AN784" s="295"/>
      <c r="AO784" s="296"/>
      <c r="AP784" s="353"/>
      <c r="AQ784" s="290"/>
      <c r="AR784" s="290"/>
      <c r="AS784" s="290"/>
    </row>
    <row r="785" spans="1:45" ht="17.25" thickBot="1" x14ac:dyDescent="0.3">
      <c r="A785" s="467"/>
      <c r="B785" s="355" t="s">
        <v>419</v>
      </c>
      <c r="C785" s="356"/>
      <c r="D785" s="356"/>
      <c r="E785" s="359"/>
      <c r="F785" s="359"/>
      <c r="G785" s="356"/>
      <c r="H785" s="396"/>
      <c r="I785" s="356"/>
      <c r="J785" s="356"/>
      <c r="K785" s="356"/>
      <c r="L785" s="356"/>
      <c r="M785" s="356"/>
      <c r="N785" s="356"/>
      <c r="O785" s="356"/>
      <c r="P785" s="356"/>
      <c r="Q785" s="356"/>
      <c r="R785" s="356"/>
      <c r="S785" s="356"/>
      <c r="T785" s="356"/>
      <c r="U785" s="356"/>
      <c r="V785" s="356"/>
      <c r="W785" s="356"/>
      <c r="X785" s="356"/>
      <c r="Y785" s="356"/>
      <c r="Z785" s="356"/>
      <c r="AA785" s="356"/>
      <c r="AB785" s="356"/>
      <c r="AC785" s="356"/>
      <c r="AD785" s="356"/>
      <c r="AE785" s="356"/>
      <c r="AF785" s="356"/>
      <c r="AG785" s="356"/>
      <c r="AH785" s="356"/>
      <c r="AI785" s="356"/>
      <c r="AJ785" s="356"/>
      <c r="AK785" s="356"/>
      <c r="AL785" s="356"/>
      <c r="AM785" s="356"/>
      <c r="AN785" s="356"/>
      <c r="AO785" s="356"/>
      <c r="AP785" s="356"/>
      <c r="AQ785" s="356"/>
      <c r="AR785" s="356"/>
      <c r="AS785" s="357"/>
    </row>
    <row r="786" spans="1:45" ht="17.25" thickBot="1" x14ac:dyDescent="0.3">
      <c r="A786" s="467"/>
      <c r="B786" s="372"/>
      <c r="C786" s="373">
        <v>1146031</v>
      </c>
      <c r="D786" s="374" t="s">
        <v>401</v>
      </c>
      <c r="E786" s="375"/>
      <c r="F786" s="376">
        <f>G821-AK786+AL786</f>
        <v>0</v>
      </c>
      <c r="G786" s="377">
        <v>0</v>
      </c>
      <c r="H786" s="397">
        <v>1</v>
      </c>
      <c r="I786" s="377">
        <v>1</v>
      </c>
      <c r="J786" s="377"/>
      <c r="K786" s="377">
        <v>2</v>
      </c>
      <c r="L786" s="377"/>
      <c r="M786" s="377"/>
      <c r="N786" s="377"/>
      <c r="O786" s="377"/>
      <c r="P786" s="377"/>
      <c r="Q786" s="377"/>
      <c r="R786" s="377"/>
      <c r="S786" s="377"/>
      <c r="T786" s="377"/>
      <c r="U786" s="377"/>
      <c r="V786" s="377"/>
      <c r="W786" s="377"/>
      <c r="X786" s="377"/>
      <c r="Y786" s="377"/>
      <c r="Z786" s="377"/>
      <c r="AA786" s="377"/>
      <c r="AB786" s="377"/>
      <c r="AC786" s="377"/>
      <c r="AD786" s="377"/>
      <c r="AE786" s="377"/>
      <c r="AF786" s="377"/>
      <c r="AG786" s="377"/>
      <c r="AH786" s="377"/>
      <c r="AI786" s="377"/>
      <c r="AJ786" s="377"/>
      <c r="AK786" s="377">
        <f>G821+AL786-G786</f>
        <v>2</v>
      </c>
      <c r="AL786" s="377"/>
      <c r="AM786" s="378"/>
      <c r="AN786" s="379"/>
      <c r="AO786" s="380"/>
      <c r="AP786" s="378"/>
      <c r="AQ786" s="381"/>
      <c r="AR786" s="381"/>
      <c r="AS786" s="381"/>
    </row>
    <row r="787" spans="1:45" ht="17.25" thickBot="1" x14ac:dyDescent="0.3">
      <c r="A787" s="467"/>
      <c r="B787" s="372"/>
      <c r="C787" s="373">
        <v>1146020</v>
      </c>
      <c r="D787" s="374" t="s">
        <v>402</v>
      </c>
      <c r="E787" s="375"/>
      <c r="F787" s="376">
        <f>G822-AK787+AL787</f>
        <v>0</v>
      </c>
      <c r="G787" s="377">
        <v>0</v>
      </c>
      <c r="H787" s="397">
        <v>1</v>
      </c>
      <c r="I787" s="377">
        <v>0</v>
      </c>
      <c r="J787" s="377"/>
      <c r="K787" s="377">
        <v>0</v>
      </c>
      <c r="L787" s="377"/>
      <c r="M787" s="377"/>
      <c r="N787" s="377"/>
      <c r="O787" s="377"/>
      <c r="P787" s="377"/>
      <c r="Q787" s="377"/>
      <c r="R787" s="377"/>
      <c r="S787" s="377"/>
      <c r="T787" s="377"/>
      <c r="U787" s="377"/>
      <c r="V787" s="377"/>
      <c r="W787" s="377"/>
      <c r="X787" s="377"/>
      <c r="Y787" s="377"/>
      <c r="Z787" s="377"/>
      <c r="AA787" s="377"/>
      <c r="AB787" s="377"/>
      <c r="AC787" s="377"/>
      <c r="AD787" s="377"/>
      <c r="AE787" s="377"/>
      <c r="AF787" s="377"/>
      <c r="AG787" s="377"/>
      <c r="AH787" s="377"/>
      <c r="AI787" s="377"/>
      <c r="AJ787" s="377"/>
      <c r="AK787" s="377">
        <f>G822+AL787-G787</f>
        <v>0</v>
      </c>
      <c r="AL787" s="377"/>
      <c r="AM787" s="378"/>
      <c r="AN787" s="379"/>
      <c r="AO787" s="380"/>
      <c r="AP787" s="378"/>
      <c r="AQ787" s="381"/>
      <c r="AR787" s="381"/>
      <c r="AS787" s="381"/>
    </row>
    <row r="788" spans="1:45" ht="17.25" thickBot="1" x14ac:dyDescent="0.3">
      <c r="A788" s="467"/>
      <c r="B788" s="372"/>
      <c r="C788" s="373">
        <v>1146016</v>
      </c>
      <c r="D788" s="374" t="s">
        <v>398</v>
      </c>
      <c r="E788" s="375"/>
      <c r="F788" s="376">
        <f>G823-AK788+AL788</f>
        <v>0</v>
      </c>
      <c r="G788" s="377">
        <v>0</v>
      </c>
      <c r="H788" s="397">
        <v>1</v>
      </c>
      <c r="I788" s="377">
        <v>0</v>
      </c>
      <c r="J788" s="377"/>
      <c r="K788" s="377">
        <v>0</v>
      </c>
      <c r="L788" s="377"/>
      <c r="M788" s="377"/>
      <c r="N788" s="377"/>
      <c r="O788" s="377"/>
      <c r="P788" s="377"/>
      <c r="Q788" s="377"/>
      <c r="R788" s="377"/>
      <c r="S788" s="377"/>
      <c r="T788" s="377"/>
      <c r="U788" s="377"/>
      <c r="V788" s="377"/>
      <c r="W788" s="377"/>
      <c r="X788" s="377"/>
      <c r="Y788" s="377"/>
      <c r="Z788" s="377"/>
      <c r="AA788" s="377"/>
      <c r="AB788" s="377"/>
      <c r="AC788" s="377"/>
      <c r="AD788" s="377"/>
      <c r="AE788" s="377"/>
      <c r="AF788" s="377"/>
      <c r="AG788" s="377"/>
      <c r="AH788" s="377"/>
      <c r="AI788" s="377"/>
      <c r="AJ788" s="377"/>
      <c r="AK788" s="377">
        <f>G823+AL788-G788</f>
        <v>0</v>
      </c>
      <c r="AL788" s="377"/>
      <c r="AM788" s="378"/>
      <c r="AN788" s="379"/>
      <c r="AO788" s="380"/>
      <c r="AP788" s="378"/>
      <c r="AQ788" s="381"/>
      <c r="AR788" s="381"/>
      <c r="AS788" s="381"/>
    </row>
    <row r="789" spans="1:45" ht="17.25" thickBot="1" x14ac:dyDescent="0.3">
      <c r="A789" s="467"/>
      <c r="B789" s="372"/>
      <c r="C789" s="373">
        <v>1146022</v>
      </c>
      <c r="D789" s="374" t="s">
        <v>403</v>
      </c>
      <c r="E789" s="375"/>
      <c r="F789" s="376">
        <f>G824-AK789+AL789</f>
        <v>0</v>
      </c>
      <c r="G789" s="377">
        <v>0</v>
      </c>
      <c r="H789" s="397">
        <v>2</v>
      </c>
      <c r="I789" s="377">
        <v>0</v>
      </c>
      <c r="J789" s="377"/>
      <c r="K789" s="377">
        <v>0</v>
      </c>
      <c r="L789" s="377"/>
      <c r="M789" s="377"/>
      <c r="N789" s="377"/>
      <c r="O789" s="377"/>
      <c r="P789" s="377"/>
      <c r="Q789" s="377"/>
      <c r="R789" s="377"/>
      <c r="S789" s="377"/>
      <c r="T789" s="377"/>
      <c r="U789" s="377"/>
      <c r="V789" s="377"/>
      <c r="W789" s="377"/>
      <c r="X789" s="377"/>
      <c r="Y789" s="377"/>
      <c r="Z789" s="377"/>
      <c r="AA789" s="377"/>
      <c r="AB789" s="377"/>
      <c r="AC789" s="377"/>
      <c r="AD789" s="377"/>
      <c r="AE789" s="377"/>
      <c r="AF789" s="377"/>
      <c r="AG789" s="377"/>
      <c r="AH789" s="377"/>
      <c r="AI789" s="377"/>
      <c r="AJ789" s="377"/>
      <c r="AK789" s="377">
        <f>G824+AL789-G789</f>
        <v>0</v>
      </c>
      <c r="AL789" s="377"/>
      <c r="AM789" s="378"/>
      <c r="AN789" s="379"/>
      <c r="AO789" s="380"/>
      <c r="AP789" s="378"/>
      <c r="AQ789" s="381"/>
      <c r="AR789" s="381"/>
      <c r="AS789" s="381"/>
    </row>
    <row r="790" spans="1:45" ht="17.25" thickBot="1" x14ac:dyDescent="0.3">
      <c r="A790" s="467"/>
      <c r="B790" s="372"/>
      <c r="C790" s="373">
        <v>1146027</v>
      </c>
      <c r="D790" s="374" t="s">
        <v>404</v>
      </c>
      <c r="E790" s="375"/>
      <c r="F790" s="376">
        <f>G825-AK790+AL790</f>
        <v>0</v>
      </c>
      <c r="G790" s="377">
        <v>0</v>
      </c>
      <c r="H790" s="397">
        <v>2</v>
      </c>
      <c r="I790" s="377">
        <v>1</v>
      </c>
      <c r="J790" s="377"/>
      <c r="K790" s="377">
        <v>0</v>
      </c>
      <c r="L790" s="377"/>
      <c r="M790" s="377"/>
      <c r="N790" s="377"/>
      <c r="O790" s="377"/>
      <c r="P790" s="377"/>
      <c r="Q790" s="377"/>
      <c r="R790" s="377"/>
      <c r="S790" s="377"/>
      <c r="T790" s="377"/>
      <c r="U790" s="377"/>
      <c r="V790" s="377"/>
      <c r="W790" s="377"/>
      <c r="X790" s="377"/>
      <c r="Y790" s="377"/>
      <c r="Z790" s="377"/>
      <c r="AA790" s="377"/>
      <c r="AB790" s="377"/>
      <c r="AC790" s="377"/>
      <c r="AD790" s="377"/>
      <c r="AE790" s="377"/>
      <c r="AF790" s="377"/>
      <c r="AG790" s="377"/>
      <c r="AH790" s="377"/>
      <c r="AI790" s="377"/>
      <c r="AJ790" s="377"/>
      <c r="AK790" s="377">
        <f>G825+AL790-G790</f>
        <v>0</v>
      </c>
      <c r="AL790" s="377"/>
      <c r="AM790" s="378"/>
      <c r="AN790" s="379"/>
      <c r="AO790" s="380"/>
      <c r="AP790" s="378"/>
      <c r="AQ790" s="381"/>
      <c r="AR790" s="381"/>
      <c r="AS790" s="381"/>
    </row>
    <row r="791" spans="1:45" ht="17.25" thickBot="1" x14ac:dyDescent="0.3">
      <c r="A791" s="467"/>
      <c r="B791" s="355" t="s">
        <v>418</v>
      </c>
      <c r="C791" s="356"/>
      <c r="D791" s="356"/>
      <c r="E791" s="359"/>
      <c r="F791" s="359"/>
      <c r="G791" s="356"/>
      <c r="H791" s="396"/>
      <c r="I791" s="356"/>
      <c r="J791" s="356"/>
      <c r="K791" s="356"/>
      <c r="L791" s="356"/>
      <c r="M791" s="356"/>
      <c r="N791" s="356"/>
      <c r="O791" s="356"/>
      <c r="P791" s="356"/>
      <c r="Q791" s="356"/>
      <c r="R791" s="356"/>
      <c r="S791" s="356"/>
      <c r="T791" s="356"/>
      <c r="U791" s="356"/>
      <c r="V791" s="356"/>
      <c r="W791" s="356"/>
      <c r="X791" s="356"/>
      <c r="Y791" s="356"/>
      <c r="Z791" s="356"/>
      <c r="AA791" s="356"/>
      <c r="AB791" s="356"/>
      <c r="AC791" s="356"/>
      <c r="AD791" s="356"/>
      <c r="AE791" s="356"/>
      <c r="AF791" s="356"/>
      <c r="AG791" s="356"/>
      <c r="AH791" s="356"/>
      <c r="AI791" s="356"/>
      <c r="AJ791" s="356"/>
      <c r="AK791" s="356"/>
      <c r="AL791" s="356"/>
      <c r="AM791" s="356"/>
      <c r="AN791" s="356"/>
      <c r="AO791" s="356"/>
      <c r="AP791" s="356"/>
      <c r="AQ791" s="356"/>
      <c r="AR791" s="356"/>
      <c r="AS791" s="357"/>
    </row>
    <row r="792" spans="1:45" ht="17.25" thickBot="1" x14ac:dyDescent="0.3">
      <c r="A792" s="467"/>
      <c r="B792" s="354"/>
      <c r="C792" s="285">
        <v>1151653</v>
      </c>
      <c r="D792" s="358" t="s">
        <v>405</v>
      </c>
      <c r="E792" s="360"/>
      <c r="F792" s="361">
        <f>G827-AK792+AL792</f>
        <v>0</v>
      </c>
      <c r="G792" s="364">
        <v>0</v>
      </c>
      <c r="H792" s="397">
        <v>1</v>
      </c>
      <c r="I792" s="364">
        <v>0</v>
      </c>
      <c r="J792" s="364"/>
      <c r="K792" s="364">
        <v>1</v>
      </c>
      <c r="L792" s="218"/>
      <c r="M792" s="218"/>
      <c r="N792" s="218"/>
      <c r="O792" s="218"/>
      <c r="P792" s="352"/>
      <c r="Q792" s="352"/>
      <c r="R792" s="352"/>
      <c r="S792" s="352"/>
      <c r="T792" s="352"/>
      <c r="U792" s="352"/>
      <c r="V792" s="218"/>
      <c r="W792" s="218"/>
      <c r="X792" s="218"/>
      <c r="Y792" s="218"/>
      <c r="Z792" s="218"/>
      <c r="AA792" s="218"/>
      <c r="AB792" s="218"/>
      <c r="AC792" s="218"/>
      <c r="AD792" s="218"/>
      <c r="AE792" s="218"/>
      <c r="AF792" s="218"/>
      <c r="AG792" s="218"/>
      <c r="AH792" s="218"/>
      <c r="AI792" s="218"/>
      <c r="AJ792" s="218"/>
      <c r="AK792" s="218">
        <f>G827+AL792-G792</f>
        <v>0</v>
      </c>
      <c r="AL792" s="218"/>
      <c r="AM792" s="353"/>
      <c r="AN792" s="295"/>
      <c r="AO792" s="296"/>
      <c r="AP792" s="353"/>
      <c r="AQ792" s="290"/>
      <c r="AR792" s="290"/>
      <c r="AS792" s="290"/>
    </row>
    <row r="793" spans="1:45" ht="17.25" thickBot="1" x14ac:dyDescent="0.3">
      <c r="A793" s="467"/>
      <c r="B793" s="354"/>
      <c r="C793" s="285">
        <v>1151650</v>
      </c>
      <c r="D793" s="358" t="s">
        <v>406</v>
      </c>
      <c r="E793" s="360"/>
      <c r="F793" s="361">
        <f>G828-AK793+AL793</f>
        <v>0</v>
      </c>
      <c r="G793" s="364">
        <v>0</v>
      </c>
      <c r="H793" s="397">
        <v>2</v>
      </c>
      <c r="I793" s="364">
        <v>0</v>
      </c>
      <c r="J793" s="364"/>
      <c r="K793" s="364">
        <v>5</v>
      </c>
      <c r="L793" s="218"/>
      <c r="M793" s="218"/>
      <c r="N793" s="218"/>
      <c r="O793" s="218"/>
      <c r="P793" s="352"/>
      <c r="Q793" s="352"/>
      <c r="R793" s="352"/>
      <c r="S793" s="352"/>
      <c r="T793" s="352"/>
      <c r="U793" s="352"/>
      <c r="V793" s="218"/>
      <c r="W793" s="218"/>
      <c r="X793" s="218"/>
      <c r="Y793" s="218"/>
      <c r="Z793" s="218"/>
      <c r="AA793" s="218"/>
      <c r="AB793" s="218"/>
      <c r="AC793" s="218"/>
      <c r="AD793" s="218"/>
      <c r="AE793" s="218"/>
      <c r="AF793" s="218"/>
      <c r="AG793" s="218"/>
      <c r="AH793" s="218"/>
      <c r="AI793" s="218"/>
      <c r="AJ793" s="218"/>
      <c r="AK793" s="218">
        <f>G828+AL793-G793</f>
        <v>0</v>
      </c>
      <c r="AL793" s="218"/>
      <c r="AM793" s="353"/>
      <c r="AN793" s="295"/>
      <c r="AO793" s="296"/>
      <c r="AP793" s="353"/>
      <c r="AQ793" s="290"/>
      <c r="AR793" s="290"/>
      <c r="AS793" s="290"/>
    </row>
    <row r="794" spans="1:45" ht="17.25" thickBot="1" x14ac:dyDescent="0.3">
      <c r="A794" s="467"/>
      <c r="B794" s="354"/>
      <c r="C794" s="285">
        <v>1151649</v>
      </c>
      <c r="D794" s="358" t="s">
        <v>407</v>
      </c>
      <c r="E794" s="360"/>
      <c r="F794" s="361">
        <f>G829-AK794+AL794</f>
        <v>0</v>
      </c>
      <c r="G794" s="369">
        <v>0</v>
      </c>
      <c r="H794" s="369">
        <v>4</v>
      </c>
      <c r="I794" s="369">
        <v>0</v>
      </c>
      <c r="J794" s="369"/>
      <c r="K794" s="369">
        <v>2</v>
      </c>
      <c r="L794" s="218"/>
      <c r="M794" s="218"/>
      <c r="N794" s="218"/>
      <c r="O794" s="218"/>
      <c r="P794" s="352"/>
      <c r="Q794" s="352"/>
      <c r="R794" s="352"/>
      <c r="S794" s="352"/>
      <c r="T794" s="352"/>
      <c r="U794" s="352"/>
      <c r="V794" s="218"/>
      <c r="W794" s="218"/>
      <c r="X794" s="218"/>
      <c r="Y794" s="218"/>
      <c r="Z794" s="218"/>
      <c r="AA794" s="218"/>
      <c r="AB794" s="218">
        <v>2</v>
      </c>
      <c r="AC794" s="218"/>
      <c r="AD794" s="218"/>
      <c r="AE794" s="218"/>
      <c r="AF794" s="218"/>
      <c r="AG794" s="218"/>
      <c r="AH794" s="218"/>
      <c r="AI794" s="218"/>
      <c r="AJ794" s="218"/>
      <c r="AK794" s="218">
        <f>G829+AL794-G794</f>
        <v>0</v>
      </c>
      <c r="AL794" s="218"/>
      <c r="AM794" s="353"/>
      <c r="AN794" s="295"/>
      <c r="AO794" s="296"/>
      <c r="AP794" s="353"/>
      <c r="AQ794" s="290"/>
      <c r="AR794" s="290"/>
      <c r="AS794" s="290"/>
    </row>
    <row r="795" spans="1:45" ht="17.25" thickBot="1" x14ac:dyDescent="0.3">
      <c r="A795" s="467"/>
      <c r="B795" s="354"/>
      <c r="C795" s="285">
        <v>1151651</v>
      </c>
      <c r="D795" s="358" t="s">
        <v>408</v>
      </c>
      <c r="E795" s="360"/>
      <c r="F795" s="361">
        <f>G830-AK795+AL795</f>
        <v>1</v>
      </c>
      <c r="G795" s="369">
        <v>1</v>
      </c>
      <c r="H795" s="369">
        <v>1</v>
      </c>
      <c r="I795" s="369">
        <v>1</v>
      </c>
      <c r="J795" s="369"/>
      <c r="K795" s="369">
        <v>2</v>
      </c>
      <c r="L795" s="218"/>
      <c r="M795" s="218"/>
      <c r="N795" s="218"/>
      <c r="O795" s="218"/>
      <c r="P795" s="352"/>
      <c r="Q795" s="352"/>
      <c r="R795" s="352"/>
      <c r="S795" s="352"/>
      <c r="T795" s="352"/>
      <c r="U795" s="352"/>
      <c r="V795" s="218"/>
      <c r="W795" s="218"/>
      <c r="X795" s="218"/>
      <c r="Y795" s="218"/>
      <c r="Z795" s="218">
        <v>2</v>
      </c>
      <c r="AA795" s="218"/>
      <c r="AB795" s="218">
        <v>2</v>
      </c>
      <c r="AC795" s="218"/>
      <c r="AD795" s="218"/>
      <c r="AE795" s="218"/>
      <c r="AF795" s="218"/>
      <c r="AG795" s="218"/>
      <c r="AH795" s="218"/>
      <c r="AI795" s="218"/>
      <c r="AJ795" s="218"/>
      <c r="AK795" s="218">
        <f>G830+AL795-G795</f>
        <v>0</v>
      </c>
      <c r="AL795" s="218"/>
      <c r="AM795" s="353"/>
      <c r="AN795" s="295"/>
      <c r="AO795" s="296"/>
      <c r="AP795" s="353"/>
      <c r="AQ795" s="290"/>
      <c r="AR795" s="290"/>
      <c r="AS795" s="290"/>
    </row>
    <row r="796" spans="1:45" ht="17.25" thickBot="1" x14ac:dyDescent="0.3">
      <c r="A796" s="467"/>
      <c r="B796" s="354"/>
      <c r="C796" s="285">
        <v>1146029</v>
      </c>
      <c r="D796" s="358" t="s">
        <v>409</v>
      </c>
      <c r="E796" s="360"/>
      <c r="F796" s="361">
        <f>G831-AK796+AL796</f>
        <v>2</v>
      </c>
      <c r="G796" s="369">
        <v>2</v>
      </c>
      <c r="H796" s="369">
        <v>2</v>
      </c>
      <c r="I796" s="369">
        <v>2</v>
      </c>
      <c r="J796" s="369"/>
      <c r="K796" s="369">
        <v>0</v>
      </c>
      <c r="L796" s="218"/>
      <c r="M796" s="218"/>
      <c r="N796" s="218"/>
      <c r="O796" s="218"/>
      <c r="P796" s="352"/>
      <c r="Q796" s="352"/>
      <c r="R796" s="352"/>
      <c r="S796" s="352"/>
      <c r="T796" s="352"/>
      <c r="U796" s="352"/>
      <c r="V796" s="218"/>
      <c r="W796" s="218"/>
      <c r="X796" s="218"/>
      <c r="Y796" s="218"/>
      <c r="Z796" s="218"/>
      <c r="AA796" s="218"/>
      <c r="AB796" s="218"/>
      <c r="AC796" s="218"/>
      <c r="AD796" s="218"/>
      <c r="AE796" s="218"/>
      <c r="AF796" s="218"/>
      <c r="AG796" s="218"/>
      <c r="AH796" s="218"/>
      <c r="AI796" s="218"/>
      <c r="AJ796" s="218"/>
      <c r="AK796" s="218">
        <f>G831+AL796-G796</f>
        <v>0</v>
      </c>
      <c r="AL796" s="218"/>
      <c r="AM796" s="353"/>
      <c r="AN796" s="295"/>
      <c r="AO796" s="296"/>
      <c r="AP796" s="353"/>
      <c r="AQ796" s="290"/>
      <c r="AR796" s="290"/>
      <c r="AS796" s="290"/>
    </row>
    <row r="797" spans="1:45" ht="17.25" thickBot="1" x14ac:dyDescent="0.3">
      <c r="A797" s="467"/>
      <c r="B797" s="355" t="s">
        <v>410</v>
      </c>
      <c r="C797" s="356"/>
      <c r="D797" s="356"/>
      <c r="E797" s="359"/>
      <c r="F797" s="359"/>
      <c r="G797" s="356"/>
      <c r="H797" s="396"/>
      <c r="I797" s="356"/>
      <c r="J797" s="356"/>
      <c r="K797" s="356"/>
      <c r="L797" s="356"/>
      <c r="M797" s="356"/>
      <c r="N797" s="356"/>
      <c r="O797" s="356"/>
      <c r="P797" s="356"/>
      <c r="Q797" s="356"/>
      <c r="R797" s="356"/>
      <c r="S797" s="356"/>
      <c r="T797" s="356"/>
      <c r="U797" s="356"/>
      <c r="V797" s="356"/>
      <c r="W797" s="356"/>
      <c r="X797" s="356"/>
      <c r="Y797" s="356"/>
      <c r="Z797" s="356"/>
      <c r="AA797" s="356"/>
      <c r="AB797" s="356"/>
      <c r="AC797" s="356"/>
      <c r="AD797" s="356"/>
      <c r="AE797" s="356"/>
      <c r="AF797" s="356"/>
      <c r="AG797" s="356"/>
      <c r="AH797" s="356"/>
      <c r="AI797" s="356"/>
      <c r="AJ797" s="356"/>
      <c r="AK797" s="356"/>
      <c r="AL797" s="356"/>
      <c r="AM797" s="356"/>
      <c r="AN797" s="356"/>
      <c r="AO797" s="356"/>
      <c r="AP797" s="356"/>
      <c r="AQ797" s="356"/>
      <c r="AR797" s="356"/>
      <c r="AS797" s="357"/>
    </row>
    <row r="798" spans="1:45" ht="17.25" thickBot="1" x14ac:dyDescent="0.3">
      <c r="A798" s="467"/>
      <c r="B798" s="354"/>
      <c r="C798" s="285">
        <v>1699118</v>
      </c>
      <c r="D798" s="358" t="s">
        <v>411</v>
      </c>
      <c r="E798" s="360"/>
      <c r="F798" s="361">
        <f>G833-AK798+AL798</f>
        <v>0</v>
      </c>
      <c r="G798" s="369">
        <v>0</v>
      </c>
      <c r="H798" s="369">
        <v>1</v>
      </c>
      <c r="I798" s="369">
        <v>0</v>
      </c>
      <c r="J798" s="369"/>
      <c r="K798" s="369">
        <v>1</v>
      </c>
      <c r="L798" s="218"/>
      <c r="M798" s="218"/>
      <c r="N798" s="218"/>
      <c r="O798" s="218"/>
      <c r="P798" s="352"/>
      <c r="Q798" s="352"/>
      <c r="R798" s="352"/>
      <c r="S798" s="352"/>
      <c r="T798" s="352"/>
      <c r="U798" s="352"/>
      <c r="V798" s="218"/>
      <c r="W798" s="218"/>
      <c r="X798" s="218"/>
      <c r="Y798" s="218"/>
      <c r="Z798" s="218"/>
      <c r="AA798" s="218"/>
      <c r="AB798" s="218">
        <v>1</v>
      </c>
      <c r="AC798" s="218"/>
      <c r="AD798" s="218"/>
      <c r="AE798" s="218"/>
      <c r="AF798" s="218"/>
      <c r="AG798" s="218"/>
      <c r="AH798" s="218"/>
      <c r="AI798" s="218"/>
      <c r="AJ798" s="218"/>
      <c r="AK798" s="218">
        <f>G833+AL798-G798</f>
        <v>0</v>
      </c>
      <c r="AL798" s="218"/>
      <c r="AM798" s="353"/>
      <c r="AN798" s="295"/>
      <c r="AO798" s="296"/>
      <c r="AP798" s="353"/>
      <c r="AQ798" s="290"/>
      <c r="AR798" s="290"/>
      <c r="AS798" s="290"/>
    </row>
    <row r="799" spans="1:45" ht="17.25" thickBot="1" x14ac:dyDescent="0.3">
      <c r="A799" s="467"/>
      <c r="B799" s="354"/>
      <c r="C799" s="285">
        <v>1699119</v>
      </c>
      <c r="D799" s="358" t="s">
        <v>412</v>
      </c>
      <c r="E799" s="360"/>
      <c r="F799" s="361">
        <f>G834-AK799+AL799</f>
        <v>0</v>
      </c>
      <c r="G799" s="369">
        <v>0</v>
      </c>
      <c r="H799" s="369">
        <v>1</v>
      </c>
      <c r="I799" s="369">
        <v>0</v>
      </c>
      <c r="J799" s="369"/>
      <c r="K799" s="369">
        <v>2</v>
      </c>
      <c r="L799" s="218"/>
      <c r="M799" s="218"/>
      <c r="N799" s="218"/>
      <c r="O799" s="218"/>
      <c r="P799" s="352"/>
      <c r="Q799" s="352"/>
      <c r="R799" s="352"/>
      <c r="S799" s="352"/>
      <c r="T799" s="352"/>
      <c r="U799" s="352"/>
      <c r="V799" s="218"/>
      <c r="W799" s="218"/>
      <c r="X799" s="218"/>
      <c r="Y799" s="218"/>
      <c r="Z799" s="218"/>
      <c r="AA799" s="218"/>
      <c r="AB799" s="218">
        <v>2</v>
      </c>
      <c r="AC799" s="218"/>
      <c r="AD799" s="218"/>
      <c r="AE799" s="218"/>
      <c r="AF799" s="218"/>
      <c r="AG799" s="218"/>
      <c r="AH799" s="218"/>
      <c r="AI799" s="218"/>
      <c r="AJ799" s="218"/>
      <c r="AK799" s="218">
        <f>G834+AL799-G799</f>
        <v>0</v>
      </c>
      <c r="AL799" s="218"/>
      <c r="AM799" s="353"/>
      <c r="AN799" s="295"/>
      <c r="AO799" s="296"/>
      <c r="AP799" s="353"/>
      <c r="AQ799" s="290"/>
      <c r="AR799" s="290"/>
      <c r="AS799" s="290"/>
    </row>
    <row r="800" spans="1:45" ht="17.25" thickBot="1" x14ac:dyDescent="0.3">
      <c r="A800" s="467"/>
      <c r="B800" s="354"/>
      <c r="C800" s="285">
        <v>1699130</v>
      </c>
      <c r="D800" s="358" t="s">
        <v>413</v>
      </c>
      <c r="E800" s="360"/>
      <c r="F800" s="361">
        <f>G835-AK800+AL800</f>
        <v>0</v>
      </c>
      <c r="G800" s="369">
        <v>0</v>
      </c>
      <c r="H800" s="369">
        <v>4</v>
      </c>
      <c r="I800" s="369">
        <v>0</v>
      </c>
      <c r="J800" s="369"/>
      <c r="K800" s="369">
        <v>0</v>
      </c>
      <c r="L800" s="218"/>
      <c r="M800" s="218"/>
      <c r="N800" s="218"/>
      <c r="O800" s="218"/>
      <c r="P800" s="352"/>
      <c r="Q800" s="352"/>
      <c r="R800" s="352"/>
      <c r="S800" s="352"/>
      <c r="T800" s="352"/>
      <c r="U800" s="352"/>
      <c r="V800" s="218"/>
      <c r="W800" s="218"/>
      <c r="X800" s="218"/>
      <c r="Y800" s="218"/>
      <c r="Z800" s="218"/>
      <c r="AA800" s="218">
        <v>2</v>
      </c>
      <c r="AB800" s="218"/>
      <c r="AC800" s="218"/>
      <c r="AD800" s="218"/>
      <c r="AE800" s="218"/>
      <c r="AF800" s="218"/>
      <c r="AG800" s="218"/>
      <c r="AH800" s="218"/>
      <c r="AI800" s="218"/>
      <c r="AJ800" s="218"/>
      <c r="AK800" s="218">
        <f>G835+AL800-G800</f>
        <v>0</v>
      </c>
      <c r="AL800" s="218"/>
      <c r="AM800" s="353"/>
      <c r="AN800" s="295"/>
      <c r="AO800" s="296"/>
      <c r="AP800" s="353"/>
      <c r="AQ800" s="290"/>
      <c r="AR800" s="290"/>
      <c r="AS800" s="290"/>
    </row>
    <row r="801" spans="1:45" ht="17.25" thickBot="1" x14ac:dyDescent="0.3">
      <c r="A801" s="467"/>
      <c r="B801" s="354"/>
      <c r="C801" s="285">
        <v>1699131</v>
      </c>
      <c r="D801" s="358" t="s">
        <v>414</v>
      </c>
      <c r="E801" s="360"/>
      <c r="F801" s="361">
        <f>G836-AK801+AL801</f>
        <v>1</v>
      </c>
      <c r="G801" s="369">
        <v>1</v>
      </c>
      <c r="H801" s="397">
        <v>3</v>
      </c>
      <c r="I801" s="369">
        <v>1</v>
      </c>
      <c r="J801" s="369"/>
      <c r="K801" s="364">
        <v>2</v>
      </c>
      <c r="L801" s="218"/>
      <c r="M801" s="218"/>
      <c r="N801" s="218"/>
      <c r="O801" s="218"/>
      <c r="P801" s="352"/>
      <c r="Q801" s="352"/>
      <c r="R801" s="352"/>
      <c r="S801" s="352"/>
      <c r="T801" s="352"/>
      <c r="U801" s="352"/>
      <c r="V801" s="218"/>
      <c r="W801" s="218"/>
      <c r="X801" s="218"/>
      <c r="Y801" s="218"/>
      <c r="Z801" s="218"/>
      <c r="AA801" s="218"/>
      <c r="AB801" s="218">
        <v>1</v>
      </c>
      <c r="AC801" s="218"/>
      <c r="AD801" s="218"/>
      <c r="AE801" s="218"/>
      <c r="AF801" s="218"/>
      <c r="AG801" s="218"/>
      <c r="AH801" s="218"/>
      <c r="AI801" s="218"/>
      <c r="AJ801" s="218"/>
      <c r="AK801" s="218">
        <f>G836+AL801-G801</f>
        <v>0</v>
      </c>
      <c r="AL801" s="218"/>
      <c r="AM801" s="353"/>
      <c r="AN801" s="295"/>
      <c r="AO801" s="296"/>
      <c r="AP801" s="353"/>
      <c r="AQ801" s="290"/>
      <c r="AR801" s="290"/>
      <c r="AS801" s="290"/>
    </row>
    <row r="802" spans="1:45" ht="17.25" thickBot="1" x14ac:dyDescent="0.3">
      <c r="A802" s="468"/>
      <c r="B802" s="354"/>
      <c r="C802" s="285">
        <v>1699132</v>
      </c>
      <c r="D802" s="358" t="s">
        <v>415</v>
      </c>
      <c r="E802" s="285"/>
      <c r="F802" s="362">
        <f>G837-AK802+AL802</f>
        <v>0</v>
      </c>
      <c r="G802" s="364">
        <v>0</v>
      </c>
      <c r="H802" s="397">
        <v>3</v>
      </c>
      <c r="I802" s="364">
        <v>2</v>
      </c>
      <c r="J802" s="364"/>
      <c r="K802" s="364">
        <v>1</v>
      </c>
      <c r="L802" s="218"/>
      <c r="M802" s="218"/>
      <c r="N802" s="218"/>
      <c r="O802" s="218"/>
      <c r="P802" s="352"/>
      <c r="Q802" s="352"/>
      <c r="R802" s="352"/>
      <c r="S802" s="352"/>
      <c r="T802" s="352"/>
      <c r="U802" s="352"/>
      <c r="V802" s="218"/>
      <c r="W802" s="218"/>
      <c r="X802" s="218"/>
      <c r="Y802" s="218"/>
      <c r="Z802" s="218"/>
      <c r="AA802" s="218"/>
      <c r="AB802" s="218"/>
      <c r="AC802" s="218"/>
      <c r="AD802" s="218"/>
      <c r="AE802" s="218"/>
      <c r="AF802" s="218"/>
      <c r="AG802" s="218"/>
      <c r="AH802" s="218"/>
      <c r="AI802" s="218"/>
      <c r="AJ802" s="218"/>
      <c r="AK802" s="218">
        <f>G837+AL802-G802</f>
        <v>0</v>
      </c>
      <c r="AL802" s="218"/>
      <c r="AM802" s="353"/>
      <c r="AN802" s="295"/>
      <c r="AO802" s="296"/>
      <c r="AP802" s="353"/>
      <c r="AQ802" s="290"/>
      <c r="AR802" s="290"/>
      <c r="AS802" s="290"/>
    </row>
    <row r="803" spans="1:45" x14ac:dyDescent="0.25">
      <c r="AL803" s="290"/>
      <c r="AM803" s="290"/>
      <c r="AN803" s="290"/>
      <c r="AO803" s="290"/>
      <c r="AP803" s="290"/>
    </row>
    <row r="804" spans="1:45" ht="14.25" thickBot="1" x14ac:dyDescent="0.3">
      <c r="B804" s="338" t="s">
        <v>18</v>
      </c>
      <c r="C804" s="339">
        <v>45691</v>
      </c>
      <c r="AA804" s="290">
        <v>0</v>
      </c>
      <c r="AL804" s="290"/>
      <c r="AM804" s="290"/>
      <c r="AN804" s="290"/>
      <c r="AO804" s="290"/>
      <c r="AP804" s="290"/>
      <c r="AQ804" s="290"/>
    </row>
    <row r="805" spans="1:45" ht="41.25" thickBot="1" x14ac:dyDescent="0.3">
      <c r="B805" s="283" t="s">
        <v>0</v>
      </c>
      <c r="C805" s="284" t="s">
        <v>1</v>
      </c>
      <c r="D805" s="284" t="s">
        <v>2</v>
      </c>
      <c r="E805" s="284" t="s">
        <v>3</v>
      </c>
      <c r="F805" s="4" t="s">
        <v>318</v>
      </c>
      <c r="G805" s="351" t="s">
        <v>515</v>
      </c>
      <c r="H805" s="382" t="s">
        <v>460</v>
      </c>
      <c r="I805" s="234" t="s">
        <v>516</v>
      </c>
      <c r="J805" s="234"/>
      <c r="K805" s="258" t="s">
        <v>514</v>
      </c>
      <c r="L805" s="258" t="s">
        <v>328</v>
      </c>
      <c r="M805" s="258" t="s">
        <v>327</v>
      </c>
      <c r="N805" s="234" t="s">
        <v>389</v>
      </c>
      <c r="O805" s="240" t="s">
        <v>130</v>
      </c>
      <c r="P805" s="243" t="s">
        <v>303</v>
      </c>
      <c r="Q805" s="244" t="s">
        <v>304</v>
      </c>
      <c r="R805" s="244" t="s">
        <v>314</v>
      </c>
      <c r="S805" s="245" t="s">
        <v>338</v>
      </c>
      <c r="T805" s="245" t="s">
        <v>345</v>
      </c>
      <c r="U805" s="245" t="s">
        <v>361</v>
      </c>
      <c r="V805" s="245" t="s">
        <v>387</v>
      </c>
      <c r="W805" s="245" t="s">
        <v>421</v>
      </c>
      <c r="X805" s="245" t="s">
        <v>452</v>
      </c>
      <c r="Y805" s="245" t="s">
        <v>463</v>
      </c>
      <c r="Z805" s="245" t="s">
        <v>481</v>
      </c>
      <c r="AA805" s="245" t="s">
        <v>498</v>
      </c>
      <c r="AB805" s="245" t="s">
        <v>303</v>
      </c>
      <c r="AC805" s="245"/>
      <c r="AD805" s="245"/>
      <c r="AE805" s="245"/>
      <c r="AF805" s="245"/>
      <c r="AG805" s="245"/>
      <c r="AH805" s="245"/>
      <c r="AI805" s="245"/>
      <c r="AJ805" s="245" t="s">
        <v>360</v>
      </c>
      <c r="AK805" s="246" t="s">
        <v>268</v>
      </c>
      <c r="AL805" s="247" t="s">
        <v>269</v>
      </c>
      <c r="AM805" s="291" t="s">
        <v>288</v>
      </c>
      <c r="AN805" s="292" t="s">
        <v>289</v>
      </c>
      <c r="AO805" s="292" t="s">
        <v>287</v>
      </c>
      <c r="AP805" s="293" t="s">
        <v>290</v>
      </c>
      <c r="AQ805" s="290" t="s">
        <v>306</v>
      </c>
      <c r="AR805" s="290" t="s">
        <v>310</v>
      </c>
      <c r="AS805" s="290" t="s">
        <v>311</v>
      </c>
    </row>
    <row r="806" spans="1:45" ht="17.25" thickBot="1" x14ac:dyDescent="0.3">
      <c r="A806" s="463" t="s">
        <v>416</v>
      </c>
      <c r="B806" s="285">
        <v>273664</v>
      </c>
      <c r="C806" s="286">
        <v>1135749</v>
      </c>
      <c r="D806" s="286" t="s">
        <v>7</v>
      </c>
      <c r="E806" s="286">
        <v>6060050026</v>
      </c>
      <c r="F806" s="253">
        <f>G841-AK806+AL806</f>
        <v>2</v>
      </c>
      <c r="G806" s="235">
        <v>2</v>
      </c>
      <c r="H806" s="394">
        <v>5</v>
      </c>
      <c r="I806" s="232">
        <v>2</v>
      </c>
      <c r="J806" s="232"/>
      <c r="K806" s="232">
        <v>4</v>
      </c>
      <c r="L806" s="232">
        <f>IF(K840=K805,L841+AK806,K806)</f>
        <v>4</v>
      </c>
      <c r="M806" s="232">
        <f>IF(K840=K805,0,L841+AK806-K806)</f>
        <v>0</v>
      </c>
      <c r="N806" s="267">
        <v>5</v>
      </c>
      <c r="O806" s="241">
        <f>N806-G806</f>
        <v>3</v>
      </c>
      <c r="P806" s="277">
        <v>4</v>
      </c>
      <c r="Q806" s="278">
        <v>4</v>
      </c>
      <c r="R806" s="279"/>
      <c r="S806" s="279">
        <v>3</v>
      </c>
      <c r="T806" s="279">
        <v>4</v>
      </c>
      <c r="U806" s="279">
        <v>2</v>
      </c>
      <c r="V806" s="279"/>
      <c r="W806" s="279">
        <f>2+3</f>
        <v>5</v>
      </c>
      <c r="X806" s="241"/>
      <c r="Y806" s="241"/>
      <c r="Z806" s="241"/>
      <c r="AA806" s="241">
        <v>4</v>
      </c>
      <c r="AB806" s="241">
        <v>5</v>
      </c>
      <c r="AC806" s="241"/>
      <c r="AD806" s="241"/>
      <c r="AE806" s="241"/>
      <c r="AF806" s="241"/>
      <c r="AG806" s="241"/>
      <c r="AH806" s="241"/>
      <c r="AI806" s="241"/>
      <c r="AJ806" s="241">
        <f>N806-V806</f>
        <v>5</v>
      </c>
      <c r="AK806" s="235">
        <f>G841+AL806-G806</f>
        <v>2</v>
      </c>
      <c r="AL806" s="350"/>
      <c r="AM806" s="294">
        <v>1.5</v>
      </c>
      <c r="AN806" s="295">
        <v>4</v>
      </c>
      <c r="AO806" s="296">
        <f>G806/(AN806)</f>
        <v>0.5</v>
      </c>
      <c r="AP806" s="297">
        <f>AN806*6</f>
        <v>24</v>
      </c>
      <c r="AQ806" s="290">
        <f>G806+K806</f>
        <v>6</v>
      </c>
      <c r="AR806" s="290">
        <f>IF(G806&lt;G841,(G841-G806+K841-K806),K841-K806)</f>
        <v>0</v>
      </c>
      <c r="AS806" s="290">
        <f>21-8</f>
        <v>13</v>
      </c>
    </row>
    <row r="807" spans="1:45" ht="17.25" thickBot="1" x14ac:dyDescent="0.3">
      <c r="A807" s="464"/>
      <c r="B807" s="285">
        <v>273672</v>
      </c>
      <c r="C807" s="286">
        <v>1135750</v>
      </c>
      <c r="D807" s="286" t="s">
        <v>9</v>
      </c>
      <c r="E807" s="287">
        <v>204000000000</v>
      </c>
      <c r="F807" s="253">
        <f>G842-AK807+AL807</f>
        <v>11</v>
      </c>
      <c r="G807" s="235">
        <v>11</v>
      </c>
      <c r="H807" s="394">
        <v>16</v>
      </c>
      <c r="I807" s="232">
        <v>11</v>
      </c>
      <c r="J807" s="232"/>
      <c r="K807" s="232">
        <v>7</v>
      </c>
      <c r="L807" s="232">
        <f>IF(K840=K805,L842+AK807,K807)</f>
        <v>7</v>
      </c>
      <c r="M807" s="232">
        <f>IF(K840=K805,0,L842+AK807-K807)</f>
        <v>1</v>
      </c>
      <c r="N807" s="267">
        <v>10</v>
      </c>
      <c r="O807" s="241">
        <f>N807-G807</f>
        <v>-1</v>
      </c>
      <c r="P807" s="277">
        <v>13</v>
      </c>
      <c r="Q807" s="278">
        <v>2</v>
      </c>
      <c r="R807" s="279">
        <v>6</v>
      </c>
      <c r="S807" s="279">
        <v>6</v>
      </c>
      <c r="T807" s="279">
        <v>10</v>
      </c>
      <c r="U807" s="279">
        <v>4</v>
      </c>
      <c r="V807" s="279">
        <v>6</v>
      </c>
      <c r="W807" s="279">
        <v>16</v>
      </c>
      <c r="X807" s="241"/>
      <c r="Y807" s="241">
        <v>6</v>
      </c>
      <c r="Z807" s="241">
        <v>4</v>
      </c>
      <c r="AA807" s="241">
        <v>6</v>
      </c>
      <c r="AB807" s="241">
        <v>14</v>
      </c>
      <c r="AC807" s="241"/>
      <c r="AD807" s="241"/>
      <c r="AE807" s="241"/>
      <c r="AF807" s="241"/>
      <c r="AG807" s="241"/>
      <c r="AH807" s="241"/>
      <c r="AI807" s="241"/>
      <c r="AJ807" s="241">
        <f>N807-V807</f>
        <v>4</v>
      </c>
      <c r="AK807" s="235">
        <f>G842+AL807-G807</f>
        <v>0</v>
      </c>
      <c r="AL807" s="236"/>
      <c r="AM807" s="298">
        <v>4.2</v>
      </c>
      <c r="AN807" s="295">
        <v>9</v>
      </c>
      <c r="AO807" s="296">
        <f>G807/(AN807)</f>
        <v>1.2222222222222223</v>
      </c>
      <c r="AP807" s="297">
        <f>AN807*6</f>
        <v>54</v>
      </c>
      <c r="AQ807" s="290">
        <f>G807+K807</f>
        <v>18</v>
      </c>
      <c r="AR807" s="290">
        <f>IF(G807&lt;G842,(G842-G807+K842-K807),K842-K807)</f>
        <v>1</v>
      </c>
      <c r="AS807" s="290">
        <f>21-8</f>
        <v>13</v>
      </c>
    </row>
    <row r="808" spans="1:45" ht="17.25" thickBot="1" x14ac:dyDescent="0.3">
      <c r="A808" s="464"/>
      <c r="B808" s="285">
        <v>273702</v>
      </c>
      <c r="C808" s="286">
        <v>1135753</v>
      </c>
      <c r="D808" s="286" t="s">
        <v>10</v>
      </c>
      <c r="E808" s="287">
        <v>301000000000</v>
      </c>
      <c r="F808" s="253">
        <f>G843-AK808+AL808</f>
        <v>0</v>
      </c>
      <c r="G808" s="235">
        <v>0</v>
      </c>
      <c r="H808" s="394">
        <v>1</v>
      </c>
      <c r="I808" s="232">
        <v>0</v>
      </c>
      <c r="J808" s="232"/>
      <c r="K808" s="232">
        <v>2</v>
      </c>
      <c r="L808" s="232">
        <f>IF(K840=K805,L843+AK808,K808)</f>
        <v>2</v>
      </c>
      <c r="M808" s="232">
        <f>IF(K840=K805,0,L843+AK808-K808)</f>
        <v>0</v>
      </c>
      <c r="N808" s="232">
        <v>2</v>
      </c>
      <c r="O808" s="241">
        <f>N808-G808</f>
        <v>2</v>
      </c>
      <c r="P808" s="277"/>
      <c r="Q808" s="278"/>
      <c r="R808" s="279"/>
      <c r="S808" s="279"/>
      <c r="T808" s="279"/>
      <c r="U808" s="279"/>
      <c r="V808" s="279"/>
      <c r="W808" s="279"/>
      <c r="X808" s="241"/>
      <c r="Y808" s="241"/>
      <c r="Z808" s="241"/>
      <c r="AA808" s="241"/>
      <c r="AB808" s="241">
        <v>2</v>
      </c>
      <c r="AC808" s="241"/>
      <c r="AD808" s="241"/>
      <c r="AE808" s="241"/>
      <c r="AF808" s="241"/>
      <c r="AG808" s="241"/>
      <c r="AH808" s="241"/>
      <c r="AI808" s="241"/>
      <c r="AJ808" s="241">
        <f>N808-V808</f>
        <v>2</v>
      </c>
      <c r="AK808" s="235">
        <f>G843+AL808-G808</f>
        <v>0</v>
      </c>
      <c r="AL808" s="236"/>
      <c r="AM808" s="294">
        <f>4/12</f>
        <v>0.33333333333333331</v>
      </c>
      <c r="AN808" s="295">
        <v>2</v>
      </c>
      <c r="AO808" s="296">
        <f>G808/(AN808)</f>
        <v>0</v>
      </c>
      <c r="AP808" s="297">
        <f>AN808*6</f>
        <v>12</v>
      </c>
      <c r="AQ808" s="290">
        <f>G808+K808</f>
        <v>2</v>
      </c>
      <c r="AR808" s="290">
        <f>IF(G808&lt;G843,(G843-G808+K843-K808),K843-K808)</f>
        <v>0</v>
      </c>
      <c r="AS808" s="290">
        <f>21-8</f>
        <v>13</v>
      </c>
    </row>
    <row r="809" spans="1:45" ht="17.25" thickBot="1" x14ac:dyDescent="0.3">
      <c r="A809" s="464"/>
      <c r="B809" s="285">
        <v>273698</v>
      </c>
      <c r="C809" s="286">
        <v>1135752</v>
      </c>
      <c r="D809" s="286" t="s">
        <v>11</v>
      </c>
      <c r="E809" s="287">
        <v>701000000000</v>
      </c>
      <c r="F809" s="253">
        <f>G844-AK809+AL809</f>
        <v>0</v>
      </c>
      <c r="G809" s="235">
        <v>0</v>
      </c>
      <c r="H809" s="394">
        <v>2</v>
      </c>
      <c r="I809" s="232">
        <v>0</v>
      </c>
      <c r="J809" s="232"/>
      <c r="K809" s="232">
        <v>0</v>
      </c>
      <c r="L809" s="232">
        <f>IF(K840=K805,L844+AK809,K809)</f>
        <v>0</v>
      </c>
      <c r="M809" s="232">
        <f>IF(K840=K805,0,L844+AK809-K809)</f>
        <v>1</v>
      </c>
      <c r="N809" s="232">
        <v>3</v>
      </c>
      <c r="O809" s="241">
        <f>N809-G809</f>
        <v>3</v>
      </c>
      <c r="P809" s="277">
        <v>2</v>
      </c>
      <c r="Q809" s="278"/>
      <c r="R809" s="279"/>
      <c r="S809" s="279"/>
      <c r="T809" s="279"/>
      <c r="U809" s="279"/>
      <c r="V809" s="279"/>
      <c r="W809" s="279">
        <v>1</v>
      </c>
      <c r="X809" s="241"/>
      <c r="Y809" s="241"/>
      <c r="Z809" s="241"/>
      <c r="AA809" s="241"/>
      <c r="AB809" s="241">
        <v>2</v>
      </c>
      <c r="AC809" s="241"/>
      <c r="AD809" s="241"/>
      <c r="AE809" s="241"/>
      <c r="AF809" s="241"/>
      <c r="AG809" s="241"/>
      <c r="AH809" s="241"/>
      <c r="AI809" s="241"/>
      <c r="AJ809" s="241">
        <f>N809-V809</f>
        <v>3</v>
      </c>
      <c r="AK809" s="235">
        <f>G844+AL809-G809</f>
        <v>0</v>
      </c>
      <c r="AL809" s="236"/>
      <c r="AM809" s="294">
        <f>4/12</f>
        <v>0.33333333333333331</v>
      </c>
      <c r="AN809" s="295">
        <v>2</v>
      </c>
      <c r="AO809" s="296">
        <f>G809/(AN809)</f>
        <v>0</v>
      </c>
      <c r="AP809" s="297">
        <f>AN809*6</f>
        <v>12</v>
      </c>
      <c r="AQ809" s="290">
        <f>G809+K809</f>
        <v>0</v>
      </c>
      <c r="AR809" s="290">
        <f>IF(G809&lt;G844,(G844-G809+K844-K809),K844-K809)</f>
        <v>1</v>
      </c>
      <c r="AS809" s="290">
        <f>21-8</f>
        <v>13</v>
      </c>
    </row>
    <row r="810" spans="1:45" ht="17.25" thickBot="1" x14ac:dyDescent="0.3">
      <c r="A810" s="465"/>
      <c r="B810" s="285">
        <v>273680</v>
      </c>
      <c r="C810" s="286">
        <v>1135751</v>
      </c>
      <c r="D810" s="286" t="s">
        <v>12</v>
      </c>
      <c r="E810" s="286" t="s">
        <v>13</v>
      </c>
      <c r="F810" s="254">
        <f>G845-AK810+AL810</f>
        <v>9</v>
      </c>
      <c r="G810" s="237">
        <v>9</v>
      </c>
      <c r="H810" s="395">
        <v>8</v>
      </c>
      <c r="I810" s="238">
        <v>9</v>
      </c>
      <c r="J810" s="238"/>
      <c r="K810" s="238">
        <v>6</v>
      </c>
      <c r="L810" s="238">
        <f>IF(K840=K805,L845+AK810,K810)</f>
        <v>6</v>
      </c>
      <c r="M810" s="238">
        <f>IF(K840=K805,0,L845+AK810-K810)</f>
        <v>10</v>
      </c>
      <c r="N810" s="238">
        <v>9</v>
      </c>
      <c r="O810" s="242">
        <f>N810-G810</f>
        <v>0</v>
      </c>
      <c r="P810" s="280"/>
      <c r="Q810" s="281"/>
      <c r="R810" s="282"/>
      <c r="S810" s="282"/>
      <c r="T810" s="282">
        <v>11</v>
      </c>
      <c r="U810" s="282"/>
      <c r="V810" s="282"/>
      <c r="W810" s="282">
        <v>9</v>
      </c>
      <c r="X810" s="242"/>
      <c r="Y810" s="242">
        <v>9</v>
      </c>
      <c r="Z810" s="242"/>
      <c r="AA810" s="242"/>
      <c r="AB810" s="242">
        <v>5</v>
      </c>
      <c r="AC810" s="242"/>
      <c r="AD810" s="242"/>
      <c r="AE810" s="242"/>
      <c r="AF810" s="242"/>
      <c r="AG810" s="242"/>
      <c r="AH810" s="242"/>
      <c r="AI810" s="242"/>
      <c r="AJ810" s="242">
        <f>N810-V810</f>
        <v>9</v>
      </c>
      <c r="AK810" s="235">
        <f>G845+AL810-G810</f>
        <v>5</v>
      </c>
      <c r="AL810" s="239"/>
      <c r="AM810" s="299">
        <f>30/12</f>
        <v>2.5</v>
      </c>
      <c r="AN810" s="300">
        <f>AM810*2</f>
        <v>5</v>
      </c>
      <c r="AO810" s="301">
        <f>G810/(AN810)</f>
        <v>1.8</v>
      </c>
      <c r="AP810" s="302">
        <f>AN810*6</f>
        <v>30</v>
      </c>
      <c r="AQ810" s="290">
        <f>G810+K810</f>
        <v>15</v>
      </c>
      <c r="AR810" s="290">
        <f>IF(G810&lt;G845,(G845-G810+K845-K810),K845-K810)</f>
        <v>10</v>
      </c>
      <c r="AS810" s="290">
        <f>21-8</f>
        <v>13</v>
      </c>
    </row>
    <row r="811" spans="1:45" ht="17.25" thickBot="1" x14ac:dyDescent="0.3">
      <c r="A811" s="466" t="s">
        <v>417</v>
      </c>
      <c r="B811" s="355" t="s">
        <v>129</v>
      </c>
      <c r="C811" s="356"/>
      <c r="D811" s="356"/>
      <c r="E811" s="359"/>
      <c r="F811" s="359"/>
      <c r="G811" s="356"/>
      <c r="H811" s="396"/>
      <c r="I811" s="356"/>
      <c r="J811" s="356"/>
      <c r="K811" s="356"/>
      <c r="L811" s="356"/>
      <c r="M811" s="356"/>
      <c r="N811" s="356"/>
      <c r="O811" s="356"/>
      <c r="P811" s="356"/>
      <c r="Q811" s="356"/>
      <c r="R811" s="356"/>
      <c r="S811" s="356"/>
      <c r="T811" s="356"/>
      <c r="U811" s="356"/>
      <c r="V811" s="356"/>
      <c r="W811" s="356"/>
      <c r="X811" s="356"/>
      <c r="Y811" s="356"/>
      <c r="Z811" s="356"/>
      <c r="AA811" s="356"/>
      <c r="AB811" s="356"/>
      <c r="AC811" s="356"/>
      <c r="AD811" s="356"/>
      <c r="AE811" s="356"/>
      <c r="AF811" s="356"/>
      <c r="AG811" s="356"/>
      <c r="AH811" s="356"/>
      <c r="AI811" s="356"/>
      <c r="AJ811" s="356"/>
      <c r="AK811" s="356"/>
      <c r="AL811" s="367"/>
      <c r="AM811" s="356"/>
      <c r="AN811" s="356"/>
      <c r="AO811" s="356"/>
      <c r="AP811" s="356"/>
      <c r="AQ811" s="356"/>
      <c r="AR811" s="356"/>
      <c r="AS811" s="357"/>
    </row>
    <row r="812" spans="1:45" ht="17.25" thickBot="1" x14ac:dyDescent="0.3">
      <c r="A812" s="467"/>
      <c r="B812" s="354"/>
      <c r="C812" s="354">
        <v>1140327</v>
      </c>
      <c r="D812" s="358" t="s">
        <v>394</v>
      </c>
      <c r="E812" s="360"/>
      <c r="F812" s="361">
        <f>G847-AK812+AL812</f>
        <v>7</v>
      </c>
      <c r="G812" s="218">
        <v>7</v>
      </c>
      <c r="H812" s="397">
        <v>23</v>
      </c>
      <c r="I812" s="218">
        <v>7</v>
      </c>
      <c r="J812" s="218"/>
      <c r="K812" s="218">
        <v>5</v>
      </c>
      <c r="L812" s="218">
        <f>IF(K840=K805,L847+AK812,K812)</f>
        <v>5</v>
      </c>
      <c r="M812" s="218">
        <f>IF(K840=K805,0,L847+AK812-K812)</f>
        <v>6</v>
      </c>
      <c r="N812" s="218"/>
      <c r="O812" s="218"/>
      <c r="P812" s="352"/>
      <c r="Q812" s="352"/>
      <c r="R812" s="352"/>
      <c r="S812" s="352"/>
      <c r="T812" s="352"/>
      <c r="U812" s="352"/>
      <c r="V812" s="218"/>
      <c r="W812" s="218"/>
      <c r="X812" s="218">
        <v>4</v>
      </c>
      <c r="Y812" s="218">
        <v>9</v>
      </c>
      <c r="Z812" s="218">
        <v>14</v>
      </c>
      <c r="AA812" s="218">
        <v>8</v>
      </c>
      <c r="AB812" s="218">
        <f>14+6</f>
        <v>20</v>
      </c>
      <c r="AC812" s="218"/>
      <c r="AD812" s="218"/>
      <c r="AE812" s="218"/>
      <c r="AF812" s="218"/>
      <c r="AG812" s="218"/>
      <c r="AH812" s="218"/>
      <c r="AI812" s="218"/>
      <c r="AJ812" s="242">
        <f>N812-V812</f>
        <v>0</v>
      </c>
      <c r="AK812" s="274">
        <f>G847+AL812-G812</f>
        <v>6</v>
      </c>
      <c r="AL812" s="232"/>
      <c r="AM812" s="353"/>
      <c r="AN812" s="295"/>
      <c r="AO812" s="296"/>
      <c r="AP812" s="353"/>
      <c r="AQ812" s="290"/>
      <c r="AR812" s="290"/>
      <c r="AS812" s="290"/>
    </row>
    <row r="813" spans="1:45" ht="17.25" thickBot="1" x14ac:dyDescent="0.3">
      <c r="A813" s="467"/>
      <c r="B813" s="354"/>
      <c r="C813" s="285">
        <v>1151231</v>
      </c>
      <c r="D813" s="358" t="s">
        <v>395</v>
      </c>
      <c r="E813" s="360"/>
      <c r="F813" s="361">
        <f>G848-AK813+AL813</f>
        <v>14</v>
      </c>
      <c r="G813" s="369">
        <v>14</v>
      </c>
      <c r="H813" s="397">
        <v>13</v>
      </c>
      <c r="I813" s="218">
        <v>14</v>
      </c>
      <c r="J813" s="218"/>
      <c r="K813" s="218">
        <v>7</v>
      </c>
      <c r="L813" s="218">
        <f>IF(K840=K805,L848+AK813,K813)</f>
        <v>7</v>
      </c>
      <c r="M813" s="218">
        <f>IF(K840=K805,0,L848+AK813-K813)</f>
        <v>0</v>
      </c>
      <c r="N813" s="218"/>
      <c r="O813" s="218"/>
      <c r="P813" s="352"/>
      <c r="Q813" s="352"/>
      <c r="R813" s="352"/>
      <c r="S813" s="352"/>
      <c r="T813" s="352"/>
      <c r="U813" s="352"/>
      <c r="V813" s="218"/>
      <c r="W813" s="218"/>
      <c r="X813" s="218">
        <v>3</v>
      </c>
      <c r="Y813" s="218">
        <v>8</v>
      </c>
      <c r="Z813" s="218">
        <v>6</v>
      </c>
      <c r="AA813" s="218"/>
      <c r="AB813" s="218">
        <v>4</v>
      </c>
      <c r="AC813" s="218"/>
      <c r="AD813" s="218"/>
      <c r="AE813" s="218"/>
      <c r="AF813" s="218"/>
      <c r="AG813" s="218"/>
      <c r="AH813" s="218"/>
      <c r="AI813" s="218"/>
      <c r="AJ813" s="242">
        <f>N813-V813</f>
        <v>0</v>
      </c>
      <c r="AK813" s="274">
        <f>G848+AL813-G813</f>
        <v>0</v>
      </c>
      <c r="AL813" s="232"/>
      <c r="AM813" s="353"/>
      <c r="AN813" s="295"/>
      <c r="AO813" s="296"/>
      <c r="AP813" s="353"/>
      <c r="AQ813" s="290"/>
      <c r="AR813" s="290"/>
      <c r="AS813" s="290"/>
    </row>
    <row r="814" spans="1:45" ht="17.25" thickBot="1" x14ac:dyDescent="0.3">
      <c r="A814" s="467"/>
      <c r="B814" s="355" t="s">
        <v>420</v>
      </c>
      <c r="C814" s="356"/>
      <c r="D814" s="356"/>
      <c r="E814" s="359"/>
      <c r="F814" s="359"/>
      <c r="G814" s="356"/>
      <c r="H814" s="396"/>
      <c r="I814" s="356"/>
      <c r="J814" s="356"/>
      <c r="K814" s="356"/>
      <c r="L814" s="356"/>
      <c r="M814" s="356"/>
      <c r="N814" s="356"/>
      <c r="O814" s="356"/>
      <c r="P814" s="356"/>
      <c r="Q814" s="356"/>
      <c r="R814" s="356"/>
      <c r="S814" s="356"/>
      <c r="T814" s="356"/>
      <c r="U814" s="356"/>
      <c r="V814" s="356"/>
      <c r="W814" s="356"/>
      <c r="X814" s="356"/>
      <c r="Y814" s="356"/>
      <c r="Z814" s="356"/>
      <c r="AA814" s="356"/>
      <c r="AB814" s="356"/>
      <c r="AC814" s="356"/>
      <c r="AD814" s="356"/>
      <c r="AE814" s="356"/>
      <c r="AF814" s="356"/>
      <c r="AG814" s="356"/>
      <c r="AH814" s="356"/>
      <c r="AI814" s="356"/>
      <c r="AJ814" s="356"/>
      <c r="AK814" s="356"/>
      <c r="AL814" s="368"/>
      <c r="AM814" s="356"/>
      <c r="AN814" s="356"/>
      <c r="AO814" s="356"/>
      <c r="AP814" s="356"/>
      <c r="AQ814" s="356"/>
      <c r="AR814" s="356"/>
      <c r="AS814" s="357"/>
    </row>
    <row r="815" spans="1:45" ht="17.25" thickBot="1" x14ac:dyDescent="0.3">
      <c r="A815" s="467"/>
      <c r="B815" s="354"/>
      <c r="C815" s="285">
        <v>1146032</v>
      </c>
      <c r="D815" s="358" t="s">
        <v>396</v>
      </c>
      <c r="E815" s="360"/>
      <c r="F815" s="361">
        <f>G850-AK815+AL815</f>
        <v>0</v>
      </c>
      <c r="G815" s="364">
        <v>0</v>
      </c>
      <c r="H815" s="397">
        <v>1</v>
      </c>
      <c r="I815" s="364">
        <v>0</v>
      </c>
      <c r="J815" s="364"/>
      <c r="K815" s="364">
        <v>2</v>
      </c>
      <c r="L815" s="218"/>
      <c r="M815" s="218"/>
      <c r="N815" s="218"/>
      <c r="O815" s="218"/>
      <c r="P815" s="352"/>
      <c r="Q815" s="352"/>
      <c r="R815" s="352"/>
      <c r="S815" s="352"/>
      <c r="T815" s="352"/>
      <c r="U815" s="352"/>
      <c r="V815" s="218"/>
      <c r="W815" s="218"/>
      <c r="X815" s="218"/>
      <c r="Y815" s="218"/>
      <c r="Z815" s="218"/>
      <c r="AA815" s="218"/>
      <c r="AB815" s="218"/>
      <c r="AC815" s="218"/>
      <c r="AD815" s="218"/>
      <c r="AE815" s="218"/>
      <c r="AF815" s="218"/>
      <c r="AG815" s="218"/>
      <c r="AH815" s="218"/>
      <c r="AI815" s="218"/>
      <c r="AJ815" s="218"/>
      <c r="AK815" s="218">
        <f>G850+AL815-G815</f>
        <v>0</v>
      </c>
      <c r="AL815" s="218"/>
      <c r="AM815" s="353"/>
      <c r="AN815" s="295"/>
      <c r="AO815" s="296"/>
      <c r="AP815" s="353"/>
      <c r="AQ815" s="290"/>
      <c r="AR815" s="290"/>
      <c r="AS815" s="290"/>
    </row>
    <row r="816" spans="1:45" ht="17.25" thickBot="1" x14ac:dyDescent="0.3">
      <c r="A816" s="467"/>
      <c r="B816" s="354"/>
      <c r="C816" s="285">
        <v>1146021</v>
      </c>
      <c r="D816" s="358" t="s">
        <v>397</v>
      </c>
      <c r="E816" s="360"/>
      <c r="F816" s="361">
        <f>G851-AK816+AL816</f>
        <v>0</v>
      </c>
      <c r="G816" s="364">
        <v>0</v>
      </c>
      <c r="H816" s="397">
        <v>2</v>
      </c>
      <c r="I816" s="364">
        <v>0</v>
      </c>
      <c r="J816" s="364"/>
      <c r="K816" s="364">
        <v>0</v>
      </c>
      <c r="L816" s="218"/>
      <c r="M816" s="218"/>
      <c r="N816" s="218"/>
      <c r="O816" s="218"/>
      <c r="P816" s="352"/>
      <c r="Q816" s="352"/>
      <c r="R816" s="352"/>
      <c r="S816" s="352"/>
      <c r="T816" s="352"/>
      <c r="U816" s="352"/>
      <c r="V816" s="218"/>
      <c r="W816" s="218"/>
      <c r="X816" s="218"/>
      <c r="Y816" s="218"/>
      <c r="Z816" s="218"/>
      <c r="AA816" s="218"/>
      <c r="AB816" s="218"/>
      <c r="AC816" s="218"/>
      <c r="AD816" s="218"/>
      <c r="AE816" s="218"/>
      <c r="AF816" s="218"/>
      <c r="AG816" s="218"/>
      <c r="AH816" s="218"/>
      <c r="AI816" s="218"/>
      <c r="AJ816" s="218"/>
      <c r="AK816" s="218">
        <f>G851+AL816-G816</f>
        <v>0</v>
      </c>
      <c r="AL816" s="218"/>
      <c r="AM816" s="353"/>
      <c r="AN816" s="295"/>
      <c r="AO816" s="296"/>
      <c r="AP816" s="353"/>
      <c r="AQ816" s="290"/>
      <c r="AR816" s="290"/>
      <c r="AS816" s="290"/>
    </row>
    <row r="817" spans="1:45" ht="17.25" thickBot="1" x14ac:dyDescent="0.3">
      <c r="A817" s="467"/>
      <c r="B817" s="354"/>
      <c r="C817" s="285">
        <v>1146018</v>
      </c>
      <c r="D817" s="358" t="s">
        <v>398</v>
      </c>
      <c r="E817" s="360"/>
      <c r="F817" s="361">
        <f>G852-AK817+AL817</f>
        <v>0</v>
      </c>
      <c r="G817" s="369">
        <v>0</v>
      </c>
      <c r="H817" s="397">
        <v>1</v>
      </c>
      <c r="I817" s="364">
        <v>0</v>
      </c>
      <c r="J817" s="364"/>
      <c r="K817" s="364">
        <v>2</v>
      </c>
      <c r="L817" s="218"/>
      <c r="M817" s="218"/>
      <c r="N817" s="218"/>
      <c r="O817" s="218"/>
      <c r="P817" s="352"/>
      <c r="Q817" s="352"/>
      <c r="R817" s="352"/>
      <c r="S817" s="352"/>
      <c r="T817" s="352"/>
      <c r="U817" s="352"/>
      <c r="V817" s="218"/>
      <c r="W817" s="218"/>
      <c r="X817" s="218"/>
      <c r="Y817" s="218"/>
      <c r="Z817" s="218"/>
      <c r="AA817" s="218"/>
      <c r="AB817" s="218">
        <v>2</v>
      </c>
      <c r="AC817" s="218"/>
      <c r="AD817" s="218"/>
      <c r="AE817" s="218"/>
      <c r="AF817" s="218"/>
      <c r="AG817" s="218"/>
      <c r="AH817" s="218"/>
      <c r="AI817" s="218"/>
      <c r="AJ817" s="218"/>
      <c r="AK817" s="218">
        <f>G852+AL817-G817</f>
        <v>2</v>
      </c>
      <c r="AL817" s="218"/>
      <c r="AM817" s="353"/>
      <c r="AN817" s="295"/>
      <c r="AO817" s="296"/>
      <c r="AP817" s="353"/>
      <c r="AQ817" s="290"/>
      <c r="AR817" s="290"/>
      <c r="AS817" s="290"/>
    </row>
    <row r="818" spans="1:45" ht="17.25" thickBot="1" x14ac:dyDescent="0.3">
      <c r="A818" s="467"/>
      <c r="B818" s="354"/>
      <c r="C818" s="285">
        <v>1146024</v>
      </c>
      <c r="D818" s="358" t="s">
        <v>399</v>
      </c>
      <c r="E818" s="360"/>
      <c r="F818" s="361">
        <v>1</v>
      </c>
      <c r="G818" s="369">
        <v>1</v>
      </c>
      <c r="H818" s="369">
        <v>2</v>
      </c>
      <c r="I818" s="369">
        <v>0</v>
      </c>
      <c r="J818" s="369"/>
      <c r="K818" s="369">
        <v>0</v>
      </c>
      <c r="L818" s="218"/>
      <c r="M818" s="218"/>
      <c r="N818" s="218"/>
      <c r="O818" s="218"/>
      <c r="P818" s="352"/>
      <c r="Q818" s="352"/>
      <c r="R818" s="352"/>
      <c r="S818" s="352"/>
      <c r="T818" s="352"/>
      <c r="U818" s="352"/>
      <c r="V818" s="218"/>
      <c r="W818" s="218"/>
      <c r="X818" s="218"/>
      <c r="Y818" s="218"/>
      <c r="Z818" s="218"/>
      <c r="AA818" s="218">
        <v>1</v>
      </c>
      <c r="AB818" s="218">
        <v>1</v>
      </c>
      <c r="AC818" s="218"/>
      <c r="AD818" s="218"/>
      <c r="AE818" s="218"/>
      <c r="AF818" s="218"/>
      <c r="AG818" s="218"/>
      <c r="AH818" s="218"/>
      <c r="AI818" s="218"/>
      <c r="AJ818" s="218"/>
      <c r="AK818" s="218">
        <f>G853+AL818-G818</f>
        <v>1</v>
      </c>
      <c r="AL818" s="218"/>
      <c r="AM818" s="353"/>
      <c r="AN818" s="295"/>
      <c r="AO818" s="296"/>
      <c r="AP818" s="353"/>
      <c r="AQ818" s="290"/>
      <c r="AR818" s="290"/>
      <c r="AS818" s="290"/>
    </row>
    <row r="819" spans="1:45" ht="17.25" thickBot="1" x14ac:dyDescent="0.3">
      <c r="A819" s="467"/>
      <c r="B819" s="354"/>
      <c r="C819" s="285">
        <v>1146028</v>
      </c>
      <c r="D819" s="358" t="s">
        <v>400</v>
      </c>
      <c r="E819" s="360"/>
      <c r="F819" s="361">
        <f>G854-AK819+AL819</f>
        <v>0</v>
      </c>
      <c r="G819" s="364">
        <v>0</v>
      </c>
      <c r="H819" s="397">
        <v>2</v>
      </c>
      <c r="I819" s="364">
        <v>0</v>
      </c>
      <c r="J819" s="364"/>
      <c r="K819" s="364">
        <v>0</v>
      </c>
      <c r="L819" s="218"/>
      <c r="M819" s="218"/>
      <c r="N819" s="218"/>
      <c r="O819" s="218"/>
      <c r="P819" s="352"/>
      <c r="Q819" s="352"/>
      <c r="R819" s="352"/>
      <c r="S819" s="352"/>
      <c r="T819" s="352"/>
      <c r="U819" s="352"/>
      <c r="V819" s="218"/>
      <c r="W819" s="218"/>
      <c r="X819" s="218"/>
      <c r="Y819" s="218"/>
      <c r="Z819" s="218"/>
      <c r="AA819" s="218"/>
      <c r="AB819" s="218"/>
      <c r="AC819" s="218"/>
      <c r="AD819" s="218"/>
      <c r="AE819" s="218"/>
      <c r="AF819" s="218"/>
      <c r="AG819" s="218"/>
      <c r="AH819" s="218"/>
      <c r="AI819" s="218"/>
      <c r="AJ819" s="218"/>
      <c r="AK819" s="218">
        <f>G854+AL819-G819</f>
        <v>0</v>
      </c>
      <c r="AL819" s="218"/>
      <c r="AM819" s="353"/>
      <c r="AN819" s="295"/>
      <c r="AO819" s="296"/>
      <c r="AP819" s="353"/>
      <c r="AQ819" s="290"/>
      <c r="AR819" s="290"/>
      <c r="AS819" s="290"/>
    </row>
    <row r="820" spans="1:45" ht="17.25" thickBot="1" x14ac:dyDescent="0.3">
      <c r="A820" s="467"/>
      <c r="B820" s="355" t="s">
        <v>419</v>
      </c>
      <c r="C820" s="356"/>
      <c r="D820" s="356"/>
      <c r="E820" s="359"/>
      <c r="F820" s="359"/>
      <c r="G820" s="356"/>
      <c r="H820" s="396"/>
      <c r="I820" s="356"/>
      <c r="J820" s="356"/>
      <c r="K820" s="356"/>
      <c r="L820" s="356"/>
      <c r="M820" s="356"/>
      <c r="N820" s="356"/>
      <c r="O820" s="356"/>
      <c r="P820" s="356"/>
      <c r="Q820" s="356"/>
      <c r="R820" s="356"/>
      <c r="S820" s="356"/>
      <c r="T820" s="356"/>
      <c r="U820" s="356"/>
      <c r="V820" s="356"/>
      <c r="W820" s="356"/>
      <c r="X820" s="356"/>
      <c r="Y820" s="356"/>
      <c r="Z820" s="356"/>
      <c r="AA820" s="356"/>
      <c r="AB820" s="356"/>
      <c r="AC820" s="356"/>
      <c r="AD820" s="356"/>
      <c r="AE820" s="356"/>
      <c r="AF820" s="356"/>
      <c r="AG820" s="356"/>
      <c r="AH820" s="356"/>
      <c r="AI820" s="356"/>
      <c r="AJ820" s="356"/>
      <c r="AK820" s="356"/>
      <c r="AL820" s="356"/>
      <c r="AM820" s="356"/>
      <c r="AN820" s="356"/>
      <c r="AO820" s="356"/>
      <c r="AP820" s="356"/>
      <c r="AQ820" s="356"/>
      <c r="AR820" s="356"/>
      <c r="AS820" s="357"/>
    </row>
    <row r="821" spans="1:45" ht="17.25" thickBot="1" x14ac:dyDescent="0.3">
      <c r="A821" s="467"/>
      <c r="B821" s="372"/>
      <c r="C821" s="373">
        <v>1146031</v>
      </c>
      <c r="D821" s="374" t="s">
        <v>401</v>
      </c>
      <c r="E821" s="375"/>
      <c r="F821" s="376">
        <f>G856-AK821+AL821</f>
        <v>2</v>
      </c>
      <c r="G821" s="377">
        <v>2</v>
      </c>
      <c r="H821" s="397">
        <v>1</v>
      </c>
      <c r="I821" s="377">
        <v>0</v>
      </c>
      <c r="J821" s="377"/>
      <c r="K821" s="377">
        <v>2</v>
      </c>
      <c r="L821" s="377"/>
      <c r="M821" s="377"/>
      <c r="N821" s="377"/>
      <c r="O821" s="377"/>
      <c r="P821" s="377"/>
      <c r="Q821" s="377"/>
      <c r="R821" s="377"/>
      <c r="S821" s="377"/>
      <c r="T821" s="377"/>
      <c r="U821" s="377"/>
      <c r="V821" s="377"/>
      <c r="W821" s="377"/>
      <c r="X821" s="377"/>
      <c r="Y821" s="377"/>
      <c r="Z821" s="377"/>
      <c r="AA821" s="377"/>
      <c r="AB821" s="377"/>
      <c r="AC821" s="377"/>
      <c r="AD821" s="377"/>
      <c r="AE821" s="377"/>
      <c r="AF821" s="377"/>
      <c r="AG821" s="377"/>
      <c r="AH821" s="377"/>
      <c r="AI821" s="377"/>
      <c r="AJ821" s="377"/>
      <c r="AK821" s="377">
        <f>G856+AL821-G821</f>
        <v>0</v>
      </c>
      <c r="AL821" s="377"/>
      <c r="AM821" s="378"/>
      <c r="AN821" s="379"/>
      <c r="AO821" s="380"/>
      <c r="AP821" s="378"/>
      <c r="AQ821" s="381"/>
      <c r="AR821" s="381"/>
      <c r="AS821" s="381"/>
    </row>
    <row r="822" spans="1:45" ht="17.25" thickBot="1" x14ac:dyDescent="0.3">
      <c r="A822" s="467"/>
      <c r="B822" s="372"/>
      <c r="C822" s="373">
        <v>1146020</v>
      </c>
      <c r="D822" s="374" t="s">
        <v>402</v>
      </c>
      <c r="E822" s="375"/>
      <c r="F822" s="376">
        <f>G857-AK822+AL822</f>
        <v>0</v>
      </c>
      <c r="G822" s="377">
        <v>0</v>
      </c>
      <c r="H822" s="397">
        <v>1</v>
      </c>
      <c r="I822" s="377">
        <v>0</v>
      </c>
      <c r="J822" s="377"/>
      <c r="K822" s="377">
        <v>0</v>
      </c>
      <c r="L822" s="377"/>
      <c r="M822" s="377"/>
      <c r="N822" s="377"/>
      <c r="O822" s="377"/>
      <c r="P822" s="377"/>
      <c r="Q822" s="377"/>
      <c r="R822" s="377"/>
      <c r="S822" s="377"/>
      <c r="T822" s="377"/>
      <c r="U822" s="377"/>
      <c r="V822" s="377"/>
      <c r="W822" s="377"/>
      <c r="X822" s="377"/>
      <c r="Y822" s="377"/>
      <c r="Z822" s="377"/>
      <c r="AA822" s="377"/>
      <c r="AB822" s="377"/>
      <c r="AC822" s="377"/>
      <c r="AD822" s="377"/>
      <c r="AE822" s="377"/>
      <c r="AF822" s="377"/>
      <c r="AG822" s="377"/>
      <c r="AH822" s="377"/>
      <c r="AI822" s="377"/>
      <c r="AJ822" s="377"/>
      <c r="AK822" s="377">
        <f>G857+AL822-G822</f>
        <v>0</v>
      </c>
      <c r="AL822" s="377"/>
      <c r="AM822" s="378"/>
      <c r="AN822" s="379"/>
      <c r="AO822" s="380"/>
      <c r="AP822" s="378"/>
      <c r="AQ822" s="381"/>
      <c r="AR822" s="381"/>
      <c r="AS822" s="381"/>
    </row>
    <row r="823" spans="1:45" ht="17.25" thickBot="1" x14ac:dyDescent="0.3">
      <c r="A823" s="467"/>
      <c r="B823" s="372"/>
      <c r="C823" s="373">
        <v>1146016</v>
      </c>
      <c r="D823" s="374" t="s">
        <v>398</v>
      </c>
      <c r="E823" s="375"/>
      <c r="F823" s="376">
        <f>G858-AK823+AL823</f>
        <v>0</v>
      </c>
      <c r="G823" s="377">
        <v>0</v>
      </c>
      <c r="H823" s="397">
        <v>1</v>
      </c>
      <c r="I823" s="377">
        <v>0</v>
      </c>
      <c r="J823" s="377"/>
      <c r="K823" s="377">
        <v>0</v>
      </c>
      <c r="L823" s="377"/>
      <c r="M823" s="377"/>
      <c r="N823" s="377"/>
      <c r="O823" s="377"/>
      <c r="P823" s="377"/>
      <c r="Q823" s="377"/>
      <c r="R823" s="377"/>
      <c r="S823" s="377"/>
      <c r="T823" s="377"/>
      <c r="U823" s="377"/>
      <c r="V823" s="377"/>
      <c r="W823" s="377"/>
      <c r="X823" s="377"/>
      <c r="Y823" s="377"/>
      <c r="Z823" s="377"/>
      <c r="AA823" s="377"/>
      <c r="AB823" s="377"/>
      <c r="AC823" s="377"/>
      <c r="AD823" s="377"/>
      <c r="AE823" s="377"/>
      <c r="AF823" s="377"/>
      <c r="AG823" s="377"/>
      <c r="AH823" s="377"/>
      <c r="AI823" s="377"/>
      <c r="AJ823" s="377"/>
      <c r="AK823" s="377">
        <f>G858+AL823-G823</f>
        <v>0</v>
      </c>
      <c r="AL823" s="377"/>
      <c r="AM823" s="378"/>
      <c r="AN823" s="379"/>
      <c r="AO823" s="380"/>
      <c r="AP823" s="378"/>
      <c r="AQ823" s="381"/>
      <c r="AR823" s="381"/>
      <c r="AS823" s="381"/>
    </row>
    <row r="824" spans="1:45" ht="17.25" thickBot="1" x14ac:dyDescent="0.3">
      <c r="A824" s="467"/>
      <c r="B824" s="372"/>
      <c r="C824" s="373">
        <v>1146022</v>
      </c>
      <c r="D824" s="374" t="s">
        <v>403</v>
      </c>
      <c r="E824" s="375"/>
      <c r="F824" s="376">
        <f>G859-AK824+AL824</f>
        <v>0</v>
      </c>
      <c r="G824" s="377">
        <v>0</v>
      </c>
      <c r="H824" s="397">
        <v>2</v>
      </c>
      <c r="I824" s="377">
        <v>0</v>
      </c>
      <c r="J824" s="377"/>
      <c r="K824" s="377">
        <v>0</v>
      </c>
      <c r="L824" s="377"/>
      <c r="M824" s="377"/>
      <c r="N824" s="377"/>
      <c r="O824" s="377"/>
      <c r="P824" s="377"/>
      <c r="Q824" s="377"/>
      <c r="R824" s="377"/>
      <c r="S824" s="377"/>
      <c r="T824" s="377"/>
      <c r="U824" s="377"/>
      <c r="V824" s="377"/>
      <c r="W824" s="377"/>
      <c r="X824" s="377"/>
      <c r="Y824" s="377"/>
      <c r="Z824" s="377"/>
      <c r="AA824" s="377"/>
      <c r="AB824" s="377"/>
      <c r="AC824" s="377"/>
      <c r="AD824" s="377"/>
      <c r="AE824" s="377"/>
      <c r="AF824" s="377"/>
      <c r="AG824" s="377"/>
      <c r="AH824" s="377"/>
      <c r="AI824" s="377"/>
      <c r="AJ824" s="377"/>
      <c r="AK824" s="377">
        <f>G859+AL824-G824</f>
        <v>0</v>
      </c>
      <c r="AL824" s="377"/>
      <c r="AM824" s="378"/>
      <c r="AN824" s="379"/>
      <c r="AO824" s="380"/>
      <c r="AP824" s="378"/>
      <c r="AQ824" s="381"/>
      <c r="AR824" s="381"/>
      <c r="AS824" s="381"/>
    </row>
    <row r="825" spans="1:45" ht="17.25" thickBot="1" x14ac:dyDescent="0.3">
      <c r="A825" s="467"/>
      <c r="B825" s="372"/>
      <c r="C825" s="373">
        <v>1146027</v>
      </c>
      <c r="D825" s="374" t="s">
        <v>404</v>
      </c>
      <c r="E825" s="375"/>
      <c r="F825" s="376">
        <f>G860-AK825+AL825</f>
        <v>0</v>
      </c>
      <c r="G825" s="377">
        <v>0</v>
      </c>
      <c r="H825" s="397">
        <v>2</v>
      </c>
      <c r="I825" s="377">
        <v>1</v>
      </c>
      <c r="J825" s="377"/>
      <c r="K825" s="377">
        <v>0</v>
      </c>
      <c r="L825" s="377"/>
      <c r="M825" s="377"/>
      <c r="N825" s="377"/>
      <c r="O825" s="377"/>
      <c r="P825" s="377"/>
      <c r="Q825" s="377"/>
      <c r="R825" s="377"/>
      <c r="S825" s="377"/>
      <c r="T825" s="377"/>
      <c r="U825" s="377"/>
      <c r="V825" s="377"/>
      <c r="W825" s="377"/>
      <c r="X825" s="377"/>
      <c r="Y825" s="377"/>
      <c r="Z825" s="377"/>
      <c r="AA825" s="377"/>
      <c r="AB825" s="377"/>
      <c r="AC825" s="377"/>
      <c r="AD825" s="377"/>
      <c r="AE825" s="377"/>
      <c r="AF825" s="377"/>
      <c r="AG825" s="377"/>
      <c r="AH825" s="377"/>
      <c r="AI825" s="377"/>
      <c r="AJ825" s="377"/>
      <c r="AK825" s="377">
        <f>G860+AL825-G825</f>
        <v>0</v>
      </c>
      <c r="AL825" s="377"/>
      <c r="AM825" s="378"/>
      <c r="AN825" s="379"/>
      <c r="AO825" s="380"/>
      <c r="AP825" s="378"/>
      <c r="AQ825" s="381"/>
      <c r="AR825" s="381"/>
      <c r="AS825" s="381"/>
    </row>
    <row r="826" spans="1:45" ht="17.25" thickBot="1" x14ac:dyDescent="0.3">
      <c r="A826" s="467"/>
      <c r="B826" s="355" t="s">
        <v>418</v>
      </c>
      <c r="C826" s="356"/>
      <c r="D826" s="356"/>
      <c r="E826" s="359"/>
      <c r="F826" s="359"/>
      <c r="G826" s="356"/>
      <c r="H826" s="396"/>
      <c r="I826" s="356"/>
      <c r="J826" s="356"/>
      <c r="K826" s="356"/>
      <c r="L826" s="356"/>
      <c r="M826" s="356"/>
      <c r="N826" s="356"/>
      <c r="O826" s="356"/>
      <c r="P826" s="356"/>
      <c r="Q826" s="356"/>
      <c r="R826" s="356"/>
      <c r="S826" s="356"/>
      <c r="T826" s="356"/>
      <c r="U826" s="356"/>
      <c r="V826" s="356"/>
      <c r="W826" s="356"/>
      <c r="X826" s="356"/>
      <c r="Y826" s="356"/>
      <c r="Z826" s="356"/>
      <c r="AA826" s="356"/>
      <c r="AB826" s="356"/>
      <c r="AC826" s="356"/>
      <c r="AD826" s="356"/>
      <c r="AE826" s="356"/>
      <c r="AF826" s="356"/>
      <c r="AG826" s="356"/>
      <c r="AH826" s="356"/>
      <c r="AI826" s="356"/>
      <c r="AJ826" s="356"/>
      <c r="AK826" s="356"/>
      <c r="AL826" s="356"/>
      <c r="AM826" s="356"/>
      <c r="AN826" s="356"/>
      <c r="AO826" s="356"/>
      <c r="AP826" s="356"/>
      <c r="AQ826" s="356"/>
      <c r="AR826" s="356"/>
      <c r="AS826" s="357"/>
    </row>
    <row r="827" spans="1:45" ht="17.25" thickBot="1" x14ac:dyDescent="0.3">
      <c r="A827" s="467"/>
      <c r="B827" s="354"/>
      <c r="C827" s="285">
        <v>1151653</v>
      </c>
      <c r="D827" s="358" t="s">
        <v>405</v>
      </c>
      <c r="E827" s="360"/>
      <c r="F827" s="361">
        <f>G862-AK827+AL827</f>
        <v>0</v>
      </c>
      <c r="G827" s="364">
        <v>0</v>
      </c>
      <c r="H827" s="397">
        <v>1</v>
      </c>
      <c r="I827" s="364">
        <v>0</v>
      </c>
      <c r="J827" s="364"/>
      <c r="K827" s="364">
        <v>1</v>
      </c>
      <c r="L827" s="218"/>
      <c r="M827" s="218"/>
      <c r="N827" s="218"/>
      <c r="O827" s="218"/>
      <c r="P827" s="352"/>
      <c r="Q827" s="352"/>
      <c r="R827" s="352"/>
      <c r="S827" s="352"/>
      <c r="T827" s="352"/>
      <c r="U827" s="352"/>
      <c r="V827" s="218"/>
      <c r="W827" s="218"/>
      <c r="X827" s="218"/>
      <c r="Y827" s="218"/>
      <c r="Z827" s="218"/>
      <c r="AA827" s="218"/>
      <c r="AB827" s="218"/>
      <c r="AC827" s="218"/>
      <c r="AD827" s="218"/>
      <c r="AE827" s="218"/>
      <c r="AF827" s="218"/>
      <c r="AG827" s="218"/>
      <c r="AH827" s="218"/>
      <c r="AI827" s="218"/>
      <c r="AJ827" s="218"/>
      <c r="AK827" s="218">
        <f>G862+AL827-G827</f>
        <v>0</v>
      </c>
      <c r="AL827" s="218"/>
      <c r="AM827" s="353"/>
      <c r="AN827" s="295"/>
      <c r="AO827" s="296"/>
      <c r="AP827" s="353"/>
      <c r="AQ827" s="290"/>
      <c r="AR827" s="290"/>
      <c r="AS827" s="290"/>
    </row>
    <row r="828" spans="1:45" ht="17.25" thickBot="1" x14ac:dyDescent="0.3">
      <c r="A828" s="467"/>
      <c r="B828" s="354"/>
      <c r="C828" s="285">
        <v>1151650</v>
      </c>
      <c r="D828" s="358" t="s">
        <v>406</v>
      </c>
      <c r="E828" s="360"/>
      <c r="F828" s="361">
        <f>G863-AK828+AL828</f>
        <v>0</v>
      </c>
      <c r="G828" s="364">
        <v>0</v>
      </c>
      <c r="H828" s="397">
        <v>2</v>
      </c>
      <c r="I828" s="364">
        <v>0</v>
      </c>
      <c r="J828" s="364"/>
      <c r="K828" s="364">
        <v>5</v>
      </c>
      <c r="L828" s="218"/>
      <c r="M828" s="218"/>
      <c r="N828" s="218"/>
      <c r="O828" s="218"/>
      <c r="P828" s="352"/>
      <c r="Q828" s="352"/>
      <c r="R828" s="352"/>
      <c r="S828" s="352"/>
      <c r="T828" s="352"/>
      <c r="U828" s="352"/>
      <c r="V828" s="218"/>
      <c r="W828" s="218"/>
      <c r="X828" s="218"/>
      <c r="Y828" s="218"/>
      <c r="Z828" s="218"/>
      <c r="AA828" s="218"/>
      <c r="AB828" s="218"/>
      <c r="AC828" s="218"/>
      <c r="AD828" s="218"/>
      <c r="AE828" s="218"/>
      <c r="AF828" s="218"/>
      <c r="AG828" s="218"/>
      <c r="AH828" s="218"/>
      <c r="AI828" s="218"/>
      <c r="AJ828" s="218"/>
      <c r="AK828" s="218">
        <f>G863+AL828-G828</f>
        <v>0</v>
      </c>
      <c r="AL828" s="218"/>
      <c r="AM828" s="353"/>
      <c r="AN828" s="295"/>
      <c r="AO828" s="296"/>
      <c r="AP828" s="353"/>
      <c r="AQ828" s="290"/>
      <c r="AR828" s="290"/>
      <c r="AS828" s="290"/>
    </row>
    <row r="829" spans="1:45" ht="17.25" thickBot="1" x14ac:dyDescent="0.3">
      <c r="A829" s="467"/>
      <c r="B829" s="354"/>
      <c r="C829" s="285">
        <v>1151649</v>
      </c>
      <c r="D829" s="358" t="s">
        <v>407</v>
      </c>
      <c r="E829" s="360"/>
      <c r="F829" s="361">
        <f>G864-AK829+AL829</f>
        <v>0</v>
      </c>
      <c r="G829" s="369">
        <v>0</v>
      </c>
      <c r="H829" s="369">
        <v>4</v>
      </c>
      <c r="I829" s="369">
        <v>0</v>
      </c>
      <c r="J829" s="369"/>
      <c r="K829" s="369">
        <v>2</v>
      </c>
      <c r="L829" s="218"/>
      <c r="M829" s="218"/>
      <c r="N829" s="218"/>
      <c r="O829" s="218"/>
      <c r="P829" s="352"/>
      <c r="Q829" s="352"/>
      <c r="R829" s="352"/>
      <c r="S829" s="352"/>
      <c r="T829" s="352"/>
      <c r="U829" s="352"/>
      <c r="V829" s="218"/>
      <c r="W829" s="218"/>
      <c r="X829" s="218"/>
      <c r="Y829" s="218"/>
      <c r="Z829" s="218"/>
      <c r="AA829" s="218"/>
      <c r="AB829" s="218">
        <v>2</v>
      </c>
      <c r="AC829" s="218"/>
      <c r="AD829" s="218"/>
      <c r="AE829" s="218"/>
      <c r="AF829" s="218"/>
      <c r="AG829" s="218"/>
      <c r="AH829" s="218"/>
      <c r="AI829" s="218"/>
      <c r="AJ829" s="218"/>
      <c r="AK829" s="218">
        <f>G864+AL829-G829</f>
        <v>2</v>
      </c>
      <c r="AL829" s="218"/>
      <c r="AM829" s="353"/>
      <c r="AN829" s="295"/>
      <c r="AO829" s="296"/>
      <c r="AP829" s="353"/>
      <c r="AQ829" s="290"/>
      <c r="AR829" s="290"/>
      <c r="AS829" s="290"/>
    </row>
    <row r="830" spans="1:45" ht="17.25" thickBot="1" x14ac:dyDescent="0.3">
      <c r="A830" s="467"/>
      <c r="B830" s="354"/>
      <c r="C830" s="285">
        <v>1151651</v>
      </c>
      <c r="D830" s="358" t="s">
        <v>408</v>
      </c>
      <c r="E830" s="360"/>
      <c r="F830" s="361">
        <f>G865-AK830+AL830</f>
        <v>1</v>
      </c>
      <c r="G830" s="369">
        <v>1</v>
      </c>
      <c r="H830" s="369">
        <v>1</v>
      </c>
      <c r="I830" s="369">
        <v>1</v>
      </c>
      <c r="J830" s="369"/>
      <c r="K830" s="369">
        <v>2</v>
      </c>
      <c r="L830" s="218"/>
      <c r="M830" s="218"/>
      <c r="N830" s="218"/>
      <c r="O830" s="218"/>
      <c r="P830" s="352"/>
      <c r="Q830" s="352"/>
      <c r="R830" s="352"/>
      <c r="S830" s="352"/>
      <c r="T830" s="352"/>
      <c r="U830" s="352"/>
      <c r="V830" s="218"/>
      <c r="W830" s="218"/>
      <c r="X830" s="218"/>
      <c r="Y830" s="218"/>
      <c r="Z830" s="218">
        <v>2</v>
      </c>
      <c r="AA830" s="218"/>
      <c r="AB830" s="218">
        <v>2</v>
      </c>
      <c r="AC830" s="218"/>
      <c r="AD830" s="218"/>
      <c r="AE830" s="218"/>
      <c r="AF830" s="218"/>
      <c r="AG830" s="218"/>
      <c r="AH830" s="218"/>
      <c r="AI830" s="218"/>
      <c r="AJ830" s="218"/>
      <c r="AK830" s="218">
        <f>G865+AL830-G830</f>
        <v>2</v>
      </c>
      <c r="AL830" s="218"/>
      <c r="AM830" s="353"/>
      <c r="AN830" s="295"/>
      <c r="AO830" s="296"/>
      <c r="AP830" s="353"/>
      <c r="AQ830" s="290"/>
      <c r="AR830" s="290"/>
      <c r="AS830" s="290"/>
    </row>
    <row r="831" spans="1:45" ht="17.25" thickBot="1" x14ac:dyDescent="0.3">
      <c r="A831" s="467"/>
      <c r="B831" s="354"/>
      <c r="C831" s="285">
        <v>1146029</v>
      </c>
      <c r="D831" s="358" t="s">
        <v>409</v>
      </c>
      <c r="E831" s="360"/>
      <c r="F831" s="361">
        <f>G866-AK831+AL831</f>
        <v>2</v>
      </c>
      <c r="G831" s="369">
        <v>2</v>
      </c>
      <c r="H831" s="369">
        <v>2</v>
      </c>
      <c r="I831" s="369">
        <v>2</v>
      </c>
      <c r="J831" s="369"/>
      <c r="K831" s="369">
        <v>0</v>
      </c>
      <c r="L831" s="218"/>
      <c r="M831" s="218"/>
      <c r="N831" s="218"/>
      <c r="O831" s="218"/>
      <c r="P831" s="352"/>
      <c r="Q831" s="352"/>
      <c r="R831" s="352"/>
      <c r="S831" s="352"/>
      <c r="T831" s="352"/>
      <c r="U831" s="352"/>
      <c r="V831" s="218"/>
      <c r="W831" s="218"/>
      <c r="X831" s="218"/>
      <c r="Y831" s="218"/>
      <c r="Z831" s="218"/>
      <c r="AA831" s="218"/>
      <c r="AB831" s="218"/>
      <c r="AC831" s="218"/>
      <c r="AD831" s="218"/>
      <c r="AE831" s="218"/>
      <c r="AF831" s="218"/>
      <c r="AG831" s="218"/>
      <c r="AH831" s="218"/>
      <c r="AI831" s="218"/>
      <c r="AJ831" s="218"/>
      <c r="AK831" s="218">
        <f>G866+AL831-G831</f>
        <v>0</v>
      </c>
      <c r="AL831" s="218"/>
      <c r="AM831" s="353"/>
      <c r="AN831" s="295"/>
      <c r="AO831" s="296"/>
      <c r="AP831" s="353"/>
      <c r="AQ831" s="290"/>
      <c r="AR831" s="290"/>
      <c r="AS831" s="290"/>
    </row>
    <row r="832" spans="1:45" ht="17.25" thickBot="1" x14ac:dyDescent="0.3">
      <c r="A832" s="467"/>
      <c r="B832" s="355" t="s">
        <v>410</v>
      </c>
      <c r="C832" s="356"/>
      <c r="D832" s="356"/>
      <c r="E832" s="359"/>
      <c r="F832" s="359"/>
      <c r="G832" s="356"/>
      <c r="H832" s="396"/>
      <c r="I832" s="356"/>
      <c r="J832" s="356"/>
      <c r="K832" s="356"/>
      <c r="L832" s="356"/>
      <c r="M832" s="356"/>
      <c r="N832" s="356"/>
      <c r="O832" s="356"/>
      <c r="P832" s="356"/>
      <c r="Q832" s="356"/>
      <c r="R832" s="356"/>
      <c r="S832" s="356"/>
      <c r="T832" s="356"/>
      <c r="U832" s="356"/>
      <c r="V832" s="356"/>
      <c r="W832" s="356"/>
      <c r="X832" s="356"/>
      <c r="Y832" s="356"/>
      <c r="Z832" s="356"/>
      <c r="AA832" s="356"/>
      <c r="AB832" s="356"/>
      <c r="AC832" s="356"/>
      <c r="AD832" s="356"/>
      <c r="AE832" s="356"/>
      <c r="AF832" s="356"/>
      <c r="AG832" s="356"/>
      <c r="AH832" s="356"/>
      <c r="AI832" s="356"/>
      <c r="AJ832" s="356"/>
      <c r="AK832" s="356"/>
      <c r="AL832" s="356"/>
      <c r="AM832" s="356"/>
      <c r="AN832" s="356"/>
      <c r="AO832" s="356"/>
      <c r="AP832" s="356"/>
      <c r="AQ832" s="356"/>
      <c r="AR832" s="356"/>
      <c r="AS832" s="357"/>
    </row>
    <row r="833" spans="1:45" ht="17.25" thickBot="1" x14ac:dyDescent="0.3">
      <c r="A833" s="467"/>
      <c r="B833" s="354"/>
      <c r="C833" s="285">
        <v>1699118</v>
      </c>
      <c r="D833" s="358" t="s">
        <v>411</v>
      </c>
      <c r="E833" s="360"/>
      <c r="F833" s="361">
        <f>G868-AK833+AL833</f>
        <v>0</v>
      </c>
      <c r="G833" s="369">
        <v>0</v>
      </c>
      <c r="H833" s="369">
        <v>1</v>
      </c>
      <c r="I833" s="369">
        <v>0</v>
      </c>
      <c r="J833" s="369"/>
      <c r="K833" s="369">
        <v>1</v>
      </c>
      <c r="L833" s="218"/>
      <c r="M833" s="218"/>
      <c r="N833" s="218"/>
      <c r="O833" s="218"/>
      <c r="P833" s="352"/>
      <c r="Q833" s="352"/>
      <c r="R833" s="352"/>
      <c r="S833" s="352"/>
      <c r="T833" s="352"/>
      <c r="U833" s="352"/>
      <c r="V833" s="218"/>
      <c r="W833" s="218"/>
      <c r="X833" s="218"/>
      <c r="Y833" s="218"/>
      <c r="Z833" s="218"/>
      <c r="AA833" s="218"/>
      <c r="AB833" s="218">
        <v>1</v>
      </c>
      <c r="AC833" s="218"/>
      <c r="AD833" s="218"/>
      <c r="AE833" s="218"/>
      <c r="AF833" s="218"/>
      <c r="AG833" s="218"/>
      <c r="AH833" s="218"/>
      <c r="AI833" s="218"/>
      <c r="AJ833" s="218"/>
      <c r="AK833" s="218">
        <f>G868+AL833-G833</f>
        <v>1</v>
      </c>
      <c r="AL833" s="218"/>
      <c r="AM833" s="353"/>
      <c r="AN833" s="295"/>
      <c r="AO833" s="296"/>
      <c r="AP833" s="353"/>
      <c r="AQ833" s="290"/>
      <c r="AR833" s="290"/>
      <c r="AS833" s="290"/>
    </row>
    <row r="834" spans="1:45" ht="17.25" thickBot="1" x14ac:dyDescent="0.3">
      <c r="A834" s="467"/>
      <c r="B834" s="354"/>
      <c r="C834" s="285">
        <v>1699119</v>
      </c>
      <c r="D834" s="358" t="s">
        <v>412</v>
      </c>
      <c r="E834" s="360"/>
      <c r="F834" s="361">
        <f>G869-AK834+AL834</f>
        <v>0</v>
      </c>
      <c r="G834" s="369">
        <v>0</v>
      </c>
      <c r="H834" s="369">
        <v>1</v>
      </c>
      <c r="I834" s="369">
        <v>0</v>
      </c>
      <c r="J834" s="369"/>
      <c r="K834" s="369">
        <v>2</v>
      </c>
      <c r="L834" s="218"/>
      <c r="M834" s="218"/>
      <c r="N834" s="218"/>
      <c r="O834" s="218"/>
      <c r="P834" s="352"/>
      <c r="Q834" s="352"/>
      <c r="R834" s="352"/>
      <c r="S834" s="352"/>
      <c r="T834" s="352"/>
      <c r="U834" s="352"/>
      <c r="V834" s="218"/>
      <c r="W834" s="218"/>
      <c r="X834" s="218"/>
      <c r="Y834" s="218"/>
      <c r="Z834" s="218"/>
      <c r="AA834" s="218"/>
      <c r="AB834" s="218">
        <v>2</v>
      </c>
      <c r="AC834" s="218"/>
      <c r="AD834" s="218"/>
      <c r="AE834" s="218"/>
      <c r="AF834" s="218"/>
      <c r="AG834" s="218"/>
      <c r="AH834" s="218"/>
      <c r="AI834" s="218"/>
      <c r="AJ834" s="218"/>
      <c r="AK834" s="218">
        <f>G869+AL834-G834</f>
        <v>2</v>
      </c>
      <c r="AL834" s="218"/>
      <c r="AM834" s="353"/>
      <c r="AN834" s="295"/>
      <c r="AO834" s="296"/>
      <c r="AP834" s="353"/>
      <c r="AQ834" s="290"/>
      <c r="AR834" s="290"/>
      <c r="AS834" s="290"/>
    </row>
    <row r="835" spans="1:45" ht="17.25" thickBot="1" x14ac:dyDescent="0.3">
      <c r="A835" s="467"/>
      <c r="B835" s="354"/>
      <c r="C835" s="285">
        <v>1699130</v>
      </c>
      <c r="D835" s="358" t="s">
        <v>413</v>
      </c>
      <c r="E835" s="360"/>
      <c r="F835" s="361">
        <f>G870-AK835+AL835</f>
        <v>0</v>
      </c>
      <c r="G835" s="369">
        <v>0</v>
      </c>
      <c r="H835" s="369">
        <v>4</v>
      </c>
      <c r="I835" s="369">
        <v>0</v>
      </c>
      <c r="J835" s="369"/>
      <c r="K835" s="369">
        <v>0</v>
      </c>
      <c r="L835" s="218"/>
      <c r="M835" s="218"/>
      <c r="N835" s="218"/>
      <c r="O835" s="218"/>
      <c r="P835" s="352"/>
      <c r="Q835" s="352"/>
      <c r="R835" s="352"/>
      <c r="S835" s="352"/>
      <c r="T835" s="352"/>
      <c r="U835" s="352"/>
      <c r="V835" s="218"/>
      <c r="W835" s="218"/>
      <c r="X835" s="218"/>
      <c r="Y835" s="218"/>
      <c r="Z835" s="218"/>
      <c r="AA835" s="218">
        <v>2</v>
      </c>
      <c r="AB835" s="218"/>
      <c r="AC835" s="218"/>
      <c r="AD835" s="218"/>
      <c r="AE835" s="218"/>
      <c r="AF835" s="218"/>
      <c r="AG835" s="218"/>
      <c r="AH835" s="218"/>
      <c r="AI835" s="218"/>
      <c r="AJ835" s="218"/>
      <c r="AK835" s="218">
        <f>G870+AL835-G835</f>
        <v>0</v>
      </c>
      <c r="AL835" s="218"/>
      <c r="AM835" s="353"/>
      <c r="AN835" s="295"/>
      <c r="AO835" s="296"/>
      <c r="AP835" s="353"/>
      <c r="AQ835" s="290"/>
      <c r="AR835" s="290"/>
      <c r="AS835" s="290"/>
    </row>
    <row r="836" spans="1:45" ht="17.25" thickBot="1" x14ac:dyDescent="0.3">
      <c r="A836" s="467"/>
      <c r="B836" s="354"/>
      <c r="C836" s="285">
        <v>1699131</v>
      </c>
      <c r="D836" s="358" t="s">
        <v>414</v>
      </c>
      <c r="E836" s="360"/>
      <c r="F836" s="361">
        <f>G871-AK836+AL836</f>
        <v>1</v>
      </c>
      <c r="G836" s="369">
        <v>1</v>
      </c>
      <c r="H836" s="397">
        <v>3</v>
      </c>
      <c r="I836" s="369">
        <v>2</v>
      </c>
      <c r="J836" s="369"/>
      <c r="K836" s="364">
        <v>2</v>
      </c>
      <c r="L836" s="218"/>
      <c r="M836" s="218"/>
      <c r="N836" s="218"/>
      <c r="O836" s="218"/>
      <c r="P836" s="352"/>
      <c r="Q836" s="352"/>
      <c r="R836" s="352"/>
      <c r="S836" s="352"/>
      <c r="T836" s="352"/>
      <c r="U836" s="352"/>
      <c r="V836" s="218"/>
      <c r="W836" s="218"/>
      <c r="X836" s="218"/>
      <c r="Y836" s="218"/>
      <c r="Z836" s="218"/>
      <c r="AA836" s="218"/>
      <c r="AB836" s="218">
        <v>1</v>
      </c>
      <c r="AC836" s="218"/>
      <c r="AD836" s="218"/>
      <c r="AE836" s="218"/>
      <c r="AF836" s="218"/>
      <c r="AG836" s="218"/>
      <c r="AH836" s="218"/>
      <c r="AI836" s="218"/>
      <c r="AJ836" s="218"/>
      <c r="AK836" s="218">
        <f>G871+AL836-G836</f>
        <v>1</v>
      </c>
      <c r="AL836" s="218"/>
      <c r="AM836" s="353"/>
      <c r="AN836" s="295"/>
      <c r="AO836" s="296"/>
      <c r="AP836" s="353"/>
      <c r="AQ836" s="290"/>
      <c r="AR836" s="290"/>
      <c r="AS836" s="290"/>
    </row>
    <row r="837" spans="1:45" ht="17.25" thickBot="1" x14ac:dyDescent="0.3">
      <c r="A837" s="468"/>
      <c r="B837" s="354"/>
      <c r="C837" s="285">
        <v>1699132</v>
      </c>
      <c r="D837" s="358" t="s">
        <v>415</v>
      </c>
      <c r="E837" s="285"/>
      <c r="F837" s="362">
        <f>G872-AK837+AL837</f>
        <v>0</v>
      </c>
      <c r="G837" s="364">
        <v>0</v>
      </c>
      <c r="H837" s="397">
        <v>3</v>
      </c>
      <c r="I837" s="364">
        <v>2</v>
      </c>
      <c r="J837" s="364"/>
      <c r="K837" s="364">
        <v>1</v>
      </c>
      <c r="L837" s="218"/>
      <c r="M837" s="218"/>
      <c r="N837" s="218"/>
      <c r="O837" s="218"/>
      <c r="P837" s="352"/>
      <c r="Q837" s="352"/>
      <c r="R837" s="352"/>
      <c r="S837" s="352"/>
      <c r="T837" s="352"/>
      <c r="U837" s="352"/>
      <c r="V837" s="218"/>
      <c r="W837" s="218"/>
      <c r="X837" s="218"/>
      <c r="Y837" s="218"/>
      <c r="Z837" s="218"/>
      <c r="AA837" s="218"/>
      <c r="AB837" s="218"/>
      <c r="AC837" s="218"/>
      <c r="AD837" s="218"/>
      <c r="AE837" s="218"/>
      <c r="AF837" s="218"/>
      <c r="AG837" s="218"/>
      <c r="AH837" s="218"/>
      <c r="AI837" s="218"/>
      <c r="AJ837" s="218"/>
      <c r="AK837" s="218">
        <f>G872+AL837-G837</f>
        <v>0</v>
      </c>
      <c r="AL837" s="218"/>
      <c r="AM837" s="353"/>
      <c r="AN837" s="295"/>
      <c r="AO837" s="296"/>
      <c r="AP837" s="353"/>
      <c r="AQ837" s="290"/>
      <c r="AR837" s="290"/>
      <c r="AS837" s="290"/>
    </row>
    <row r="838" spans="1:45" x14ac:dyDescent="0.25">
      <c r="AL838" s="290"/>
      <c r="AM838" s="290"/>
      <c r="AN838" s="290"/>
      <c r="AO838" s="290"/>
      <c r="AP838" s="290"/>
    </row>
    <row r="839" spans="1:45" ht="14.25" thickBot="1" x14ac:dyDescent="0.3">
      <c r="B839" s="338" t="s">
        <v>18</v>
      </c>
      <c r="C839" s="339">
        <v>45684</v>
      </c>
      <c r="AA839" s="290">
        <v>0</v>
      </c>
      <c r="AL839" s="290"/>
      <c r="AM839" s="290"/>
      <c r="AN839" s="290"/>
      <c r="AO839" s="290"/>
      <c r="AP839" s="290"/>
      <c r="AQ839" s="290"/>
    </row>
    <row r="840" spans="1:45" ht="41.25" thickBot="1" x14ac:dyDescent="0.3">
      <c r="B840" s="283" t="s">
        <v>0</v>
      </c>
      <c r="C840" s="284" t="s">
        <v>1</v>
      </c>
      <c r="D840" s="284" t="s">
        <v>2</v>
      </c>
      <c r="E840" s="284" t="s">
        <v>3</v>
      </c>
      <c r="F840" s="4" t="s">
        <v>318</v>
      </c>
      <c r="G840" s="351" t="s">
        <v>517</v>
      </c>
      <c r="H840" s="382" t="s">
        <v>460</v>
      </c>
      <c r="I840" s="234" t="s">
        <v>512</v>
      </c>
      <c r="J840" s="234"/>
      <c r="K840" s="258" t="s">
        <v>513</v>
      </c>
      <c r="L840" s="258" t="s">
        <v>328</v>
      </c>
      <c r="M840" s="258" t="s">
        <v>327</v>
      </c>
      <c r="N840" s="234" t="s">
        <v>389</v>
      </c>
      <c r="O840" s="240" t="s">
        <v>130</v>
      </c>
      <c r="P840" s="243" t="s">
        <v>303</v>
      </c>
      <c r="Q840" s="244" t="s">
        <v>304</v>
      </c>
      <c r="R840" s="244" t="s">
        <v>314</v>
      </c>
      <c r="S840" s="245" t="s">
        <v>338</v>
      </c>
      <c r="T840" s="245" t="s">
        <v>345</v>
      </c>
      <c r="U840" s="245" t="s">
        <v>361</v>
      </c>
      <c r="V840" s="245" t="s">
        <v>387</v>
      </c>
      <c r="W840" s="245" t="s">
        <v>421</v>
      </c>
      <c r="X840" s="245" t="s">
        <v>452</v>
      </c>
      <c r="Y840" s="245" t="s">
        <v>463</v>
      </c>
      <c r="Z840" s="245" t="s">
        <v>481</v>
      </c>
      <c r="AA840" s="245" t="s">
        <v>498</v>
      </c>
      <c r="AB840" s="245" t="s">
        <v>303</v>
      </c>
      <c r="AC840" s="245"/>
      <c r="AD840" s="245"/>
      <c r="AE840" s="245"/>
      <c r="AF840" s="245"/>
      <c r="AG840" s="245"/>
      <c r="AH840" s="245"/>
      <c r="AI840" s="245"/>
      <c r="AJ840" s="245" t="s">
        <v>360</v>
      </c>
      <c r="AK840" s="246" t="s">
        <v>268</v>
      </c>
      <c r="AL840" s="247" t="s">
        <v>269</v>
      </c>
      <c r="AM840" s="291" t="s">
        <v>288</v>
      </c>
      <c r="AN840" s="292" t="s">
        <v>289</v>
      </c>
      <c r="AO840" s="292" t="s">
        <v>287</v>
      </c>
      <c r="AP840" s="293" t="s">
        <v>290</v>
      </c>
      <c r="AQ840" s="290" t="s">
        <v>306</v>
      </c>
      <c r="AR840" s="290" t="s">
        <v>310</v>
      </c>
      <c r="AS840" s="290" t="s">
        <v>311</v>
      </c>
    </row>
    <row r="841" spans="1:45" ht="17.25" thickBot="1" x14ac:dyDescent="0.3">
      <c r="A841" s="463" t="s">
        <v>416</v>
      </c>
      <c r="B841" s="285">
        <v>273664</v>
      </c>
      <c r="C841" s="286">
        <v>1135749</v>
      </c>
      <c r="D841" s="286" t="s">
        <v>7</v>
      </c>
      <c r="E841" s="286">
        <v>6060050026</v>
      </c>
      <c r="F841" s="253">
        <f>G876-AK841+AL841</f>
        <v>4</v>
      </c>
      <c r="G841" s="235">
        <v>4</v>
      </c>
      <c r="H841" s="394">
        <v>5</v>
      </c>
      <c r="I841" s="232">
        <v>4</v>
      </c>
      <c r="J841" s="232"/>
      <c r="K841" s="232">
        <v>2</v>
      </c>
      <c r="L841" s="232">
        <f>IF(K875=K840,L876+AK841,K841)</f>
        <v>2</v>
      </c>
      <c r="M841" s="232">
        <f>IF(K875=K840,0,L876+AK841-K841)</f>
        <v>1</v>
      </c>
      <c r="N841" s="267">
        <v>5</v>
      </c>
      <c r="O841" s="241">
        <f>N841-G841</f>
        <v>1</v>
      </c>
      <c r="P841" s="277">
        <v>4</v>
      </c>
      <c r="Q841" s="278">
        <v>4</v>
      </c>
      <c r="R841" s="279"/>
      <c r="S841" s="279">
        <v>3</v>
      </c>
      <c r="T841" s="279">
        <v>4</v>
      </c>
      <c r="U841" s="279">
        <v>2</v>
      </c>
      <c r="V841" s="279"/>
      <c r="W841" s="279">
        <f>2+3</f>
        <v>5</v>
      </c>
      <c r="X841" s="241"/>
      <c r="Y841" s="241"/>
      <c r="Z841" s="241"/>
      <c r="AA841" s="241">
        <v>4</v>
      </c>
      <c r="AB841" s="241">
        <v>3</v>
      </c>
      <c r="AC841" s="241"/>
      <c r="AD841" s="241"/>
      <c r="AE841" s="241"/>
      <c r="AF841" s="241"/>
      <c r="AG841" s="241"/>
      <c r="AH841" s="241"/>
      <c r="AI841" s="241"/>
      <c r="AJ841" s="241">
        <f>N841-V841</f>
        <v>5</v>
      </c>
      <c r="AK841" s="235">
        <f>G876+AL841-G841</f>
        <v>0</v>
      </c>
      <c r="AL841" s="350">
        <v>4</v>
      </c>
      <c r="AM841" s="294">
        <v>1.5</v>
      </c>
      <c r="AN841" s="295">
        <v>4</v>
      </c>
      <c r="AO841" s="296">
        <f>G841/(AN841)</f>
        <v>1</v>
      </c>
      <c r="AP841" s="297">
        <f>AN841*6</f>
        <v>24</v>
      </c>
      <c r="AQ841" s="290">
        <f>G841+K841</f>
        <v>6</v>
      </c>
      <c r="AR841" s="290">
        <f>IF(G841&lt;G876,(G876-G841+K876-K841),K876-K841)</f>
        <v>1</v>
      </c>
      <c r="AS841" s="290">
        <f>21-8</f>
        <v>13</v>
      </c>
    </row>
    <row r="842" spans="1:45" ht="17.25" thickBot="1" x14ac:dyDescent="0.3">
      <c r="A842" s="464"/>
      <c r="B842" s="285">
        <v>273672</v>
      </c>
      <c r="C842" s="286">
        <v>1135750</v>
      </c>
      <c r="D842" s="286" t="s">
        <v>9</v>
      </c>
      <c r="E842" s="287">
        <v>204000000000</v>
      </c>
      <c r="F842" s="253">
        <f>G877-AK842+AL842</f>
        <v>11</v>
      </c>
      <c r="G842" s="235">
        <v>11</v>
      </c>
      <c r="H842" s="394">
        <v>16</v>
      </c>
      <c r="I842" s="232">
        <v>11</v>
      </c>
      <c r="J842" s="232"/>
      <c r="K842" s="232">
        <v>8</v>
      </c>
      <c r="L842" s="232">
        <f>IF(K875=K840,L877+AK842,K842)</f>
        <v>8</v>
      </c>
      <c r="M842" s="232">
        <f>IF(K875=K840,0,L877+AK842-K842)</f>
        <v>2</v>
      </c>
      <c r="N842" s="267">
        <v>10</v>
      </c>
      <c r="O842" s="241">
        <f>N842-G842</f>
        <v>-1</v>
      </c>
      <c r="P842" s="277">
        <v>13</v>
      </c>
      <c r="Q842" s="278">
        <v>2</v>
      </c>
      <c r="R842" s="279">
        <v>6</v>
      </c>
      <c r="S842" s="279">
        <v>6</v>
      </c>
      <c r="T842" s="279">
        <v>10</v>
      </c>
      <c r="U842" s="279">
        <v>4</v>
      </c>
      <c r="V842" s="279">
        <v>6</v>
      </c>
      <c r="W842" s="279">
        <v>16</v>
      </c>
      <c r="X842" s="241"/>
      <c r="Y842" s="241">
        <v>6</v>
      </c>
      <c r="Z842" s="241">
        <v>4</v>
      </c>
      <c r="AA842" s="241">
        <v>6</v>
      </c>
      <c r="AB842" s="241">
        <v>14</v>
      </c>
      <c r="AC842" s="241"/>
      <c r="AD842" s="241"/>
      <c r="AE842" s="241"/>
      <c r="AF842" s="241"/>
      <c r="AG842" s="241"/>
      <c r="AH842" s="241"/>
      <c r="AI842" s="241"/>
      <c r="AJ842" s="241">
        <f>N842-V842</f>
        <v>4</v>
      </c>
      <c r="AK842" s="235">
        <f>G877+AL842-G842</f>
        <v>0</v>
      </c>
      <c r="AL842" s="236"/>
      <c r="AM842" s="298">
        <v>4.2</v>
      </c>
      <c r="AN842" s="295">
        <v>9</v>
      </c>
      <c r="AO842" s="296">
        <f>G842/(AN842)</f>
        <v>1.2222222222222223</v>
      </c>
      <c r="AP842" s="297">
        <f>AN842*6</f>
        <v>54</v>
      </c>
      <c r="AQ842" s="290">
        <f>G842+K842</f>
        <v>19</v>
      </c>
      <c r="AR842" s="290">
        <f>IF(G842&lt;G877,(G877-G842+K877-K842),K877-K842)</f>
        <v>2</v>
      </c>
      <c r="AS842" s="290">
        <f>21-8</f>
        <v>13</v>
      </c>
    </row>
    <row r="843" spans="1:45" ht="17.25" thickBot="1" x14ac:dyDescent="0.3">
      <c r="A843" s="464"/>
      <c r="B843" s="285">
        <v>273702</v>
      </c>
      <c r="C843" s="286">
        <v>1135753</v>
      </c>
      <c r="D843" s="286" t="s">
        <v>10</v>
      </c>
      <c r="E843" s="287">
        <v>301000000000</v>
      </c>
      <c r="F843" s="253">
        <f>G878-AK843+AL843</f>
        <v>0</v>
      </c>
      <c r="G843" s="235">
        <v>0</v>
      </c>
      <c r="H843" s="394">
        <v>1</v>
      </c>
      <c r="I843" s="232">
        <v>0</v>
      </c>
      <c r="J843" s="232"/>
      <c r="K843" s="232">
        <v>2</v>
      </c>
      <c r="L843" s="232">
        <f>IF(K875=K840,L878+AK843,K843)</f>
        <v>2</v>
      </c>
      <c r="M843" s="232">
        <f>IF(K875=K840,0,L878+AK843-K843)</f>
        <v>2</v>
      </c>
      <c r="N843" s="232">
        <v>2</v>
      </c>
      <c r="O843" s="241">
        <f>N843-G843</f>
        <v>2</v>
      </c>
      <c r="P843" s="277"/>
      <c r="Q843" s="278"/>
      <c r="R843" s="279"/>
      <c r="S843" s="279"/>
      <c r="T843" s="279"/>
      <c r="U843" s="279"/>
      <c r="V843" s="279"/>
      <c r="W843" s="279"/>
      <c r="X843" s="241"/>
      <c r="Y843" s="241"/>
      <c r="Z843" s="241"/>
      <c r="AA843" s="241"/>
      <c r="AB843" s="241">
        <v>2</v>
      </c>
      <c r="AC843" s="241"/>
      <c r="AD843" s="241"/>
      <c r="AE843" s="241"/>
      <c r="AF843" s="241"/>
      <c r="AG843" s="241"/>
      <c r="AH843" s="241"/>
      <c r="AI843" s="241"/>
      <c r="AJ843" s="241">
        <f>N843-V843</f>
        <v>2</v>
      </c>
      <c r="AK843" s="235">
        <f>G878+AL843-G843</f>
        <v>2</v>
      </c>
      <c r="AL843" s="236"/>
      <c r="AM843" s="294">
        <f>4/12</f>
        <v>0.33333333333333331</v>
      </c>
      <c r="AN843" s="295">
        <v>2</v>
      </c>
      <c r="AO843" s="296">
        <f>G843/(AN843)</f>
        <v>0</v>
      </c>
      <c r="AP843" s="297">
        <f>AN843*6</f>
        <v>12</v>
      </c>
      <c r="AQ843" s="290">
        <f>G843+K843</f>
        <v>2</v>
      </c>
      <c r="AR843" s="290">
        <f>IF(G843&lt;G878,(G878-G843+K878-K843),K878-K843)</f>
        <v>2</v>
      </c>
      <c r="AS843" s="290">
        <f>21-8</f>
        <v>13</v>
      </c>
    </row>
    <row r="844" spans="1:45" ht="17.25" thickBot="1" x14ac:dyDescent="0.3">
      <c r="A844" s="464"/>
      <c r="B844" s="285">
        <v>273698</v>
      </c>
      <c r="C844" s="286">
        <v>1135752</v>
      </c>
      <c r="D844" s="286" t="s">
        <v>11</v>
      </c>
      <c r="E844" s="287">
        <v>701000000000</v>
      </c>
      <c r="F844" s="253">
        <f>G879-AK844+AL844</f>
        <v>0</v>
      </c>
      <c r="G844" s="235">
        <v>0</v>
      </c>
      <c r="H844" s="394">
        <v>2</v>
      </c>
      <c r="I844" s="232">
        <v>0</v>
      </c>
      <c r="J844" s="232"/>
      <c r="K844" s="232">
        <v>1</v>
      </c>
      <c r="L844" s="232">
        <f>IF(K875=K840,L879+AK844,K844)</f>
        <v>1</v>
      </c>
      <c r="M844" s="232">
        <f>IF(K875=K840,0,L879+AK844-K844)</f>
        <v>1</v>
      </c>
      <c r="N844" s="232">
        <v>3</v>
      </c>
      <c r="O844" s="241">
        <f>N844-G844</f>
        <v>3</v>
      </c>
      <c r="P844" s="277">
        <v>2</v>
      </c>
      <c r="Q844" s="278"/>
      <c r="R844" s="279"/>
      <c r="S844" s="279"/>
      <c r="T844" s="279"/>
      <c r="U844" s="279"/>
      <c r="V844" s="279"/>
      <c r="W844" s="279">
        <v>1</v>
      </c>
      <c r="X844" s="241"/>
      <c r="Y844" s="241"/>
      <c r="Z844" s="241"/>
      <c r="AA844" s="241"/>
      <c r="AB844" s="241">
        <v>1</v>
      </c>
      <c r="AC844" s="241"/>
      <c r="AD844" s="241"/>
      <c r="AE844" s="241"/>
      <c r="AF844" s="241"/>
      <c r="AG844" s="241"/>
      <c r="AH844" s="241"/>
      <c r="AI844" s="241"/>
      <c r="AJ844" s="241">
        <f>N844-V844</f>
        <v>3</v>
      </c>
      <c r="AK844" s="235">
        <f>G879+AL844-G844</f>
        <v>1</v>
      </c>
      <c r="AL844" s="236"/>
      <c r="AM844" s="294">
        <f>4/12</f>
        <v>0.33333333333333331</v>
      </c>
      <c r="AN844" s="295">
        <v>2</v>
      </c>
      <c r="AO844" s="296">
        <f>G844/(AN844)</f>
        <v>0</v>
      </c>
      <c r="AP844" s="297">
        <f>AN844*6</f>
        <v>12</v>
      </c>
      <c r="AQ844" s="290">
        <f>G844+K844</f>
        <v>1</v>
      </c>
      <c r="AR844" s="290">
        <f>IF(G844&lt;G879,(G879-G844+K879-K844),K879-K844)</f>
        <v>1</v>
      </c>
      <c r="AS844" s="290">
        <f>21-8</f>
        <v>13</v>
      </c>
    </row>
    <row r="845" spans="1:45" ht="17.25" thickBot="1" x14ac:dyDescent="0.3">
      <c r="A845" s="465"/>
      <c r="B845" s="285">
        <v>273680</v>
      </c>
      <c r="C845" s="286">
        <v>1135751</v>
      </c>
      <c r="D845" s="286" t="s">
        <v>12</v>
      </c>
      <c r="E845" s="286" t="s">
        <v>13</v>
      </c>
      <c r="F845" s="254">
        <f>G880-AK845+AL845</f>
        <v>14</v>
      </c>
      <c r="G845" s="237">
        <v>14</v>
      </c>
      <c r="H845" s="395">
        <v>8</v>
      </c>
      <c r="I845" s="238">
        <v>14</v>
      </c>
      <c r="J845" s="238"/>
      <c r="K845" s="238">
        <v>11</v>
      </c>
      <c r="L845" s="238">
        <f>IF(K875=K840,L880+AK845,K845)</f>
        <v>11</v>
      </c>
      <c r="M845" s="238">
        <f>IF(K875=K840,0,L880+AK845-K845)</f>
        <v>0</v>
      </c>
      <c r="N845" s="238">
        <v>9</v>
      </c>
      <c r="O845" s="242">
        <f>N845-G845</f>
        <v>-5</v>
      </c>
      <c r="P845" s="280"/>
      <c r="Q845" s="281"/>
      <c r="R845" s="282"/>
      <c r="S845" s="282"/>
      <c r="T845" s="282">
        <v>11</v>
      </c>
      <c r="U845" s="282"/>
      <c r="V845" s="282"/>
      <c r="W845" s="282">
        <v>9</v>
      </c>
      <c r="X845" s="242"/>
      <c r="Y845" s="242">
        <v>9</v>
      </c>
      <c r="Z845" s="242"/>
      <c r="AA845" s="242"/>
      <c r="AB845" s="242"/>
      <c r="AC845" s="242"/>
      <c r="AD845" s="242"/>
      <c r="AE845" s="242"/>
      <c r="AF845" s="242"/>
      <c r="AG845" s="242"/>
      <c r="AH845" s="242"/>
      <c r="AI845" s="242"/>
      <c r="AJ845" s="242">
        <f>N845-V845</f>
        <v>9</v>
      </c>
      <c r="AK845" s="235">
        <f>G880+AL845-G845</f>
        <v>0</v>
      </c>
      <c r="AL845" s="239"/>
      <c r="AM845" s="299">
        <f>30/12</f>
        <v>2.5</v>
      </c>
      <c r="AN845" s="300">
        <f>AM845*2</f>
        <v>5</v>
      </c>
      <c r="AO845" s="301">
        <f>G845/(AN845)</f>
        <v>2.8</v>
      </c>
      <c r="AP845" s="302">
        <f>AN845*6</f>
        <v>30</v>
      </c>
      <c r="AQ845" s="290">
        <f>G845+K845</f>
        <v>25</v>
      </c>
      <c r="AR845" s="290">
        <f>IF(G845&lt;G880,(G880-G845+K880-K845),K880-K845)</f>
        <v>0</v>
      </c>
      <c r="AS845" s="290">
        <f>21-8</f>
        <v>13</v>
      </c>
    </row>
    <row r="846" spans="1:45" ht="17.25" thickBot="1" x14ac:dyDescent="0.3">
      <c r="A846" s="466" t="s">
        <v>417</v>
      </c>
      <c r="B846" s="355" t="s">
        <v>129</v>
      </c>
      <c r="C846" s="356"/>
      <c r="D846" s="356"/>
      <c r="E846" s="359"/>
      <c r="F846" s="359"/>
      <c r="G846" s="356"/>
      <c r="H846" s="396"/>
      <c r="I846" s="356"/>
      <c r="J846" s="356"/>
      <c r="K846" s="356"/>
      <c r="L846" s="356"/>
      <c r="M846" s="356"/>
      <c r="N846" s="356"/>
      <c r="O846" s="356"/>
      <c r="P846" s="356"/>
      <c r="Q846" s="356"/>
      <c r="R846" s="356"/>
      <c r="S846" s="356"/>
      <c r="T846" s="356"/>
      <c r="U846" s="356"/>
      <c r="V846" s="356"/>
      <c r="W846" s="356"/>
      <c r="X846" s="356"/>
      <c r="Y846" s="356"/>
      <c r="Z846" s="356"/>
      <c r="AA846" s="356"/>
      <c r="AB846" s="356"/>
      <c r="AC846" s="356"/>
      <c r="AD846" s="356"/>
      <c r="AE846" s="356"/>
      <c r="AF846" s="356"/>
      <c r="AG846" s="356"/>
      <c r="AH846" s="356"/>
      <c r="AI846" s="356"/>
      <c r="AJ846" s="356"/>
      <c r="AK846" s="356"/>
      <c r="AL846" s="367"/>
      <c r="AM846" s="356"/>
      <c r="AN846" s="356"/>
      <c r="AO846" s="356"/>
      <c r="AP846" s="356"/>
      <c r="AQ846" s="356"/>
      <c r="AR846" s="356"/>
      <c r="AS846" s="357"/>
    </row>
    <row r="847" spans="1:45" ht="17.25" thickBot="1" x14ac:dyDescent="0.3">
      <c r="A847" s="467"/>
      <c r="B847" s="354"/>
      <c r="C847" s="354">
        <v>1140327</v>
      </c>
      <c r="D847" s="358" t="s">
        <v>394</v>
      </c>
      <c r="E847" s="360"/>
      <c r="F847" s="361">
        <f>G882-AK847+AL847</f>
        <v>13</v>
      </c>
      <c r="G847" s="218">
        <v>13</v>
      </c>
      <c r="H847" s="397">
        <v>23</v>
      </c>
      <c r="I847" s="218">
        <v>13</v>
      </c>
      <c r="J847" s="218"/>
      <c r="K847" s="218">
        <v>5</v>
      </c>
      <c r="L847" s="218">
        <f>IF(K875=K840,L882+AK847,K847)</f>
        <v>5</v>
      </c>
      <c r="M847" s="218">
        <f>IF(K875=K840,0,L882+AK847-K847)</f>
        <v>1</v>
      </c>
      <c r="N847" s="218"/>
      <c r="O847" s="218"/>
      <c r="P847" s="352"/>
      <c r="Q847" s="352"/>
      <c r="R847" s="352"/>
      <c r="S847" s="352"/>
      <c r="T847" s="352"/>
      <c r="U847" s="352"/>
      <c r="V847" s="218"/>
      <c r="W847" s="218"/>
      <c r="X847" s="218">
        <v>4</v>
      </c>
      <c r="Y847" s="218">
        <v>9</v>
      </c>
      <c r="Z847" s="218">
        <v>14</v>
      </c>
      <c r="AA847" s="218">
        <v>8</v>
      </c>
      <c r="AB847" s="218">
        <v>14</v>
      </c>
      <c r="AC847" s="218"/>
      <c r="AD847" s="218"/>
      <c r="AE847" s="218"/>
      <c r="AF847" s="218"/>
      <c r="AG847" s="218"/>
      <c r="AH847" s="218"/>
      <c r="AI847" s="218"/>
      <c r="AJ847" s="242">
        <f>N847-V847</f>
        <v>0</v>
      </c>
      <c r="AK847" s="274">
        <f>G882+AL847-G847</f>
        <v>0</v>
      </c>
      <c r="AL847" s="232">
        <v>13</v>
      </c>
      <c r="AM847" s="353"/>
      <c r="AN847" s="295"/>
      <c r="AO847" s="296"/>
      <c r="AP847" s="353"/>
      <c r="AQ847" s="290"/>
      <c r="AR847" s="290"/>
      <c r="AS847" s="290"/>
    </row>
    <row r="848" spans="1:45" ht="17.25" thickBot="1" x14ac:dyDescent="0.3">
      <c r="A848" s="467"/>
      <c r="B848" s="354"/>
      <c r="C848" s="285">
        <v>1151231</v>
      </c>
      <c r="D848" s="358" t="s">
        <v>395</v>
      </c>
      <c r="E848" s="360"/>
      <c r="F848" s="361">
        <f>G883-AK848+AL848</f>
        <v>14</v>
      </c>
      <c r="G848" s="369">
        <v>14</v>
      </c>
      <c r="H848" s="397">
        <v>13</v>
      </c>
      <c r="I848" s="218">
        <v>14</v>
      </c>
      <c r="J848" s="218"/>
      <c r="K848" s="218">
        <v>7</v>
      </c>
      <c r="L848" s="218">
        <f>IF(K875=K840,L883+AK848,K848)</f>
        <v>7</v>
      </c>
      <c r="M848" s="218">
        <f>IF(K875=K840,0,L883+AK848-K848)</f>
        <v>2</v>
      </c>
      <c r="N848" s="218"/>
      <c r="O848" s="218"/>
      <c r="P848" s="352"/>
      <c r="Q848" s="352"/>
      <c r="R848" s="352"/>
      <c r="S848" s="352"/>
      <c r="T848" s="352"/>
      <c r="U848" s="352"/>
      <c r="V848" s="218"/>
      <c r="W848" s="218"/>
      <c r="X848" s="218">
        <v>3</v>
      </c>
      <c r="Y848" s="218">
        <v>8</v>
      </c>
      <c r="Z848" s="218">
        <v>6</v>
      </c>
      <c r="AA848" s="218"/>
      <c r="AB848" s="218">
        <v>4</v>
      </c>
      <c r="AC848" s="218"/>
      <c r="AD848" s="218"/>
      <c r="AE848" s="218"/>
      <c r="AF848" s="218"/>
      <c r="AG848" s="218"/>
      <c r="AH848" s="218"/>
      <c r="AI848" s="218"/>
      <c r="AJ848" s="242">
        <f>N848-V848</f>
        <v>0</v>
      </c>
      <c r="AK848" s="274">
        <f>G883+AL848-G848</f>
        <v>0</v>
      </c>
      <c r="AL848" s="232">
        <v>6</v>
      </c>
      <c r="AM848" s="353"/>
      <c r="AN848" s="295"/>
      <c r="AO848" s="296"/>
      <c r="AP848" s="353"/>
      <c r="AQ848" s="290"/>
      <c r="AR848" s="290"/>
      <c r="AS848" s="290"/>
    </row>
    <row r="849" spans="1:45" ht="17.25" thickBot="1" x14ac:dyDescent="0.3">
      <c r="A849" s="467"/>
      <c r="B849" s="355" t="s">
        <v>420</v>
      </c>
      <c r="C849" s="356"/>
      <c r="D849" s="356"/>
      <c r="E849" s="359"/>
      <c r="F849" s="359"/>
      <c r="G849" s="356"/>
      <c r="H849" s="396"/>
      <c r="I849" s="356"/>
      <c r="J849" s="356"/>
      <c r="K849" s="356"/>
      <c r="L849" s="356"/>
      <c r="M849" s="356"/>
      <c r="N849" s="356"/>
      <c r="O849" s="356"/>
      <c r="P849" s="356"/>
      <c r="Q849" s="356"/>
      <c r="R849" s="356"/>
      <c r="S849" s="356"/>
      <c r="T849" s="356"/>
      <c r="U849" s="356"/>
      <c r="V849" s="356"/>
      <c r="W849" s="356"/>
      <c r="X849" s="356"/>
      <c r="Y849" s="356"/>
      <c r="Z849" s="356"/>
      <c r="AA849" s="356"/>
      <c r="AB849" s="356"/>
      <c r="AC849" s="356"/>
      <c r="AD849" s="356"/>
      <c r="AE849" s="356"/>
      <c r="AF849" s="356"/>
      <c r="AG849" s="356"/>
      <c r="AH849" s="356"/>
      <c r="AI849" s="356"/>
      <c r="AJ849" s="356"/>
      <c r="AK849" s="356"/>
      <c r="AL849" s="368"/>
      <c r="AM849" s="356"/>
      <c r="AN849" s="356"/>
      <c r="AO849" s="356"/>
      <c r="AP849" s="356"/>
      <c r="AQ849" s="356"/>
      <c r="AR849" s="356"/>
      <c r="AS849" s="357"/>
    </row>
    <row r="850" spans="1:45" ht="17.25" thickBot="1" x14ac:dyDescent="0.3">
      <c r="A850" s="467"/>
      <c r="B850" s="354"/>
      <c r="C850" s="285">
        <v>1146032</v>
      </c>
      <c r="D850" s="358" t="s">
        <v>396</v>
      </c>
      <c r="E850" s="360"/>
      <c r="F850" s="361">
        <f>G885-AK850+AL850</f>
        <v>0</v>
      </c>
      <c r="G850" s="364">
        <v>0</v>
      </c>
      <c r="H850" s="397">
        <v>1</v>
      </c>
      <c r="I850" s="364">
        <v>1</v>
      </c>
      <c r="J850" s="364"/>
      <c r="K850" s="364">
        <v>1</v>
      </c>
      <c r="L850" s="218"/>
      <c r="M850" s="218"/>
      <c r="N850" s="218"/>
      <c r="O850" s="218"/>
      <c r="P850" s="352"/>
      <c r="Q850" s="352"/>
      <c r="R850" s="352"/>
      <c r="S850" s="352"/>
      <c r="T850" s="352"/>
      <c r="U850" s="352"/>
      <c r="V850" s="218"/>
      <c r="W850" s="218"/>
      <c r="X850" s="218"/>
      <c r="Y850" s="218"/>
      <c r="Z850" s="218"/>
      <c r="AA850" s="218"/>
      <c r="AB850" s="218"/>
      <c r="AC850" s="218"/>
      <c r="AD850" s="218"/>
      <c r="AE850" s="218"/>
      <c r="AF850" s="218"/>
      <c r="AG850" s="218"/>
      <c r="AH850" s="218"/>
      <c r="AI850" s="218"/>
      <c r="AJ850" s="218"/>
      <c r="AK850" s="218">
        <f>G885+AL850-G850</f>
        <v>0</v>
      </c>
      <c r="AL850" s="218"/>
      <c r="AM850" s="353"/>
      <c r="AN850" s="295"/>
      <c r="AO850" s="296"/>
      <c r="AP850" s="353"/>
      <c r="AQ850" s="290"/>
      <c r="AR850" s="290"/>
      <c r="AS850" s="290"/>
    </row>
    <row r="851" spans="1:45" ht="17.25" thickBot="1" x14ac:dyDescent="0.3">
      <c r="A851" s="467"/>
      <c r="B851" s="354"/>
      <c r="C851" s="285">
        <v>1146021</v>
      </c>
      <c r="D851" s="358" t="s">
        <v>397</v>
      </c>
      <c r="E851" s="360"/>
      <c r="F851" s="361">
        <f>G886-AK851+AL851</f>
        <v>0</v>
      </c>
      <c r="G851" s="364">
        <v>0</v>
      </c>
      <c r="H851" s="397">
        <v>2</v>
      </c>
      <c r="I851" s="364">
        <v>0</v>
      </c>
      <c r="J851" s="364"/>
      <c r="K851" s="364">
        <v>2</v>
      </c>
      <c r="L851" s="218"/>
      <c r="M851" s="218"/>
      <c r="N851" s="218"/>
      <c r="O851" s="218"/>
      <c r="P851" s="352"/>
      <c r="Q851" s="352"/>
      <c r="R851" s="352"/>
      <c r="S851" s="352"/>
      <c r="T851" s="352"/>
      <c r="U851" s="352"/>
      <c r="V851" s="218"/>
      <c r="W851" s="218"/>
      <c r="X851" s="218"/>
      <c r="Y851" s="218"/>
      <c r="Z851" s="218"/>
      <c r="AA851" s="218"/>
      <c r="AB851" s="218"/>
      <c r="AC851" s="218"/>
      <c r="AD851" s="218"/>
      <c r="AE851" s="218"/>
      <c r="AF851" s="218"/>
      <c r="AG851" s="218"/>
      <c r="AH851" s="218"/>
      <c r="AI851" s="218"/>
      <c r="AJ851" s="218"/>
      <c r="AK851" s="218">
        <f>G886+AL851-G851</f>
        <v>0</v>
      </c>
      <c r="AL851" s="218"/>
      <c r="AM851" s="353"/>
      <c r="AN851" s="295"/>
      <c r="AO851" s="296"/>
      <c r="AP851" s="353"/>
      <c r="AQ851" s="290"/>
      <c r="AR851" s="290"/>
      <c r="AS851" s="290"/>
    </row>
    <row r="852" spans="1:45" ht="17.25" thickBot="1" x14ac:dyDescent="0.3">
      <c r="A852" s="467"/>
      <c r="B852" s="354"/>
      <c r="C852" s="285">
        <v>1146018</v>
      </c>
      <c r="D852" s="358" t="s">
        <v>398</v>
      </c>
      <c r="E852" s="360"/>
      <c r="F852" s="361">
        <f>G887-AK852+AL852</f>
        <v>2</v>
      </c>
      <c r="G852" s="369">
        <v>2</v>
      </c>
      <c r="H852" s="397">
        <v>1</v>
      </c>
      <c r="I852" s="364">
        <v>4</v>
      </c>
      <c r="J852" s="364"/>
      <c r="K852" s="364">
        <v>0</v>
      </c>
      <c r="L852" s="218"/>
      <c r="M852" s="218"/>
      <c r="N852" s="218"/>
      <c r="O852" s="218"/>
      <c r="P852" s="352"/>
      <c r="Q852" s="352"/>
      <c r="R852" s="352"/>
      <c r="S852" s="352"/>
      <c r="T852" s="352"/>
      <c r="U852" s="352"/>
      <c r="V852" s="218"/>
      <c r="W852" s="218"/>
      <c r="X852" s="218"/>
      <c r="Y852" s="218"/>
      <c r="Z852" s="218"/>
      <c r="AA852" s="218"/>
      <c r="AB852" s="218"/>
      <c r="AC852" s="218"/>
      <c r="AD852" s="218"/>
      <c r="AE852" s="218"/>
      <c r="AF852" s="218"/>
      <c r="AG852" s="218"/>
      <c r="AH852" s="218"/>
      <c r="AI852" s="218"/>
      <c r="AJ852" s="218"/>
      <c r="AK852" s="218">
        <f>G887+AL852-G852</f>
        <v>0</v>
      </c>
      <c r="AL852" s="218"/>
      <c r="AM852" s="353"/>
      <c r="AN852" s="295"/>
      <c r="AO852" s="296"/>
      <c r="AP852" s="353"/>
      <c r="AQ852" s="290"/>
      <c r="AR852" s="290"/>
      <c r="AS852" s="290"/>
    </row>
    <row r="853" spans="1:45" ht="17.25" thickBot="1" x14ac:dyDescent="0.3">
      <c r="A853" s="467"/>
      <c r="B853" s="354"/>
      <c r="C853" s="285">
        <v>1146024</v>
      </c>
      <c r="D853" s="358" t="s">
        <v>399</v>
      </c>
      <c r="E853" s="360"/>
      <c r="F853" s="361">
        <v>1</v>
      </c>
      <c r="G853" s="369">
        <v>2</v>
      </c>
      <c r="H853" s="369">
        <v>2</v>
      </c>
      <c r="I853" s="369">
        <v>2</v>
      </c>
      <c r="J853" s="369"/>
      <c r="K853" s="369">
        <v>0</v>
      </c>
      <c r="L853" s="218"/>
      <c r="M853" s="218"/>
      <c r="N853" s="218"/>
      <c r="O853" s="218"/>
      <c r="P853" s="352"/>
      <c r="Q853" s="352"/>
      <c r="R853" s="352"/>
      <c r="S853" s="352"/>
      <c r="T853" s="352"/>
      <c r="U853" s="352"/>
      <c r="V853" s="218"/>
      <c r="W853" s="218"/>
      <c r="X853" s="218"/>
      <c r="Y853" s="218"/>
      <c r="Z853" s="218"/>
      <c r="AA853" s="218">
        <v>1</v>
      </c>
      <c r="AB853" s="218"/>
      <c r="AC853" s="218"/>
      <c r="AD853" s="218"/>
      <c r="AE853" s="218"/>
      <c r="AF853" s="218"/>
      <c r="AG853" s="218"/>
      <c r="AH853" s="218"/>
      <c r="AI853" s="218"/>
      <c r="AJ853" s="218"/>
      <c r="AK853" s="218">
        <f>G888+AL853-G853</f>
        <v>0</v>
      </c>
      <c r="AL853" s="218"/>
      <c r="AM853" s="353"/>
      <c r="AN853" s="295"/>
      <c r="AO853" s="296"/>
      <c r="AP853" s="353"/>
      <c r="AQ853" s="290"/>
      <c r="AR853" s="290"/>
      <c r="AS853" s="290"/>
    </row>
    <row r="854" spans="1:45" ht="17.25" thickBot="1" x14ac:dyDescent="0.3">
      <c r="A854" s="467"/>
      <c r="B854" s="354"/>
      <c r="C854" s="285">
        <v>1146028</v>
      </c>
      <c r="D854" s="358" t="s">
        <v>400</v>
      </c>
      <c r="E854" s="360"/>
      <c r="F854" s="361">
        <f>G889-AK854+AL854</f>
        <v>0</v>
      </c>
      <c r="G854" s="364">
        <v>0</v>
      </c>
      <c r="H854" s="397">
        <v>2</v>
      </c>
      <c r="I854" s="364">
        <v>0</v>
      </c>
      <c r="J854" s="364"/>
      <c r="K854" s="364">
        <v>0</v>
      </c>
      <c r="L854" s="218"/>
      <c r="M854" s="218"/>
      <c r="N854" s="218"/>
      <c r="O854" s="218"/>
      <c r="P854" s="352"/>
      <c r="Q854" s="352"/>
      <c r="R854" s="352"/>
      <c r="S854" s="352"/>
      <c r="T854" s="352"/>
      <c r="U854" s="352"/>
      <c r="V854" s="218"/>
      <c r="W854" s="218"/>
      <c r="X854" s="218"/>
      <c r="Y854" s="218"/>
      <c r="Z854" s="218"/>
      <c r="AA854" s="218"/>
      <c r="AB854" s="218"/>
      <c r="AC854" s="218"/>
      <c r="AD854" s="218"/>
      <c r="AE854" s="218"/>
      <c r="AF854" s="218"/>
      <c r="AG854" s="218"/>
      <c r="AH854" s="218"/>
      <c r="AI854" s="218"/>
      <c r="AJ854" s="218"/>
      <c r="AK854" s="218">
        <f>G889+AL854-G854</f>
        <v>0</v>
      </c>
      <c r="AL854" s="218"/>
      <c r="AM854" s="353"/>
      <c r="AN854" s="295"/>
      <c r="AO854" s="296"/>
      <c r="AP854" s="353"/>
      <c r="AQ854" s="290"/>
      <c r="AR854" s="290"/>
      <c r="AS854" s="290"/>
    </row>
    <row r="855" spans="1:45" ht="17.25" thickBot="1" x14ac:dyDescent="0.3">
      <c r="A855" s="467"/>
      <c r="B855" s="355" t="s">
        <v>419</v>
      </c>
      <c r="C855" s="356"/>
      <c r="D855" s="356"/>
      <c r="E855" s="359"/>
      <c r="F855" s="359"/>
      <c r="G855" s="356"/>
      <c r="H855" s="396"/>
      <c r="I855" s="356"/>
      <c r="J855" s="356"/>
      <c r="K855" s="356"/>
      <c r="L855" s="356"/>
      <c r="M855" s="356"/>
      <c r="N855" s="356"/>
      <c r="O855" s="356"/>
      <c r="P855" s="356"/>
      <c r="Q855" s="356"/>
      <c r="R855" s="356"/>
      <c r="S855" s="356"/>
      <c r="T855" s="356"/>
      <c r="U855" s="356"/>
      <c r="V855" s="356"/>
      <c r="W855" s="356"/>
      <c r="X855" s="356"/>
      <c r="Y855" s="356"/>
      <c r="Z855" s="356"/>
      <c r="AA855" s="356"/>
      <c r="AB855" s="356"/>
      <c r="AC855" s="356"/>
      <c r="AD855" s="356"/>
      <c r="AE855" s="356"/>
      <c r="AF855" s="356"/>
      <c r="AG855" s="356"/>
      <c r="AH855" s="356"/>
      <c r="AI855" s="356"/>
      <c r="AJ855" s="356"/>
      <c r="AK855" s="356"/>
      <c r="AL855" s="356"/>
      <c r="AM855" s="356"/>
      <c r="AN855" s="356"/>
      <c r="AO855" s="356"/>
      <c r="AP855" s="356"/>
      <c r="AQ855" s="356"/>
      <c r="AR855" s="356"/>
      <c r="AS855" s="357"/>
    </row>
    <row r="856" spans="1:45" ht="17.25" thickBot="1" x14ac:dyDescent="0.3">
      <c r="A856" s="467"/>
      <c r="B856" s="372"/>
      <c r="C856" s="373">
        <v>1146031</v>
      </c>
      <c r="D856" s="374" t="s">
        <v>401</v>
      </c>
      <c r="E856" s="375"/>
      <c r="F856" s="376">
        <f>G891-AK856+AL856</f>
        <v>2</v>
      </c>
      <c r="G856" s="377">
        <v>2</v>
      </c>
      <c r="H856" s="397">
        <v>1</v>
      </c>
      <c r="I856" s="377">
        <v>1</v>
      </c>
      <c r="J856" s="377"/>
      <c r="K856" s="377">
        <v>2</v>
      </c>
      <c r="L856" s="377"/>
      <c r="M856" s="377"/>
      <c r="N856" s="377"/>
      <c r="O856" s="377"/>
      <c r="P856" s="377"/>
      <c r="Q856" s="377"/>
      <c r="R856" s="377"/>
      <c r="S856" s="377"/>
      <c r="T856" s="377"/>
      <c r="U856" s="377"/>
      <c r="V856" s="377"/>
      <c r="W856" s="377"/>
      <c r="X856" s="377"/>
      <c r="Y856" s="377"/>
      <c r="Z856" s="377"/>
      <c r="AA856" s="377"/>
      <c r="AB856" s="377"/>
      <c r="AC856" s="377"/>
      <c r="AD856" s="377"/>
      <c r="AE856" s="377"/>
      <c r="AF856" s="377"/>
      <c r="AG856" s="377"/>
      <c r="AH856" s="377"/>
      <c r="AI856" s="377"/>
      <c r="AJ856" s="377"/>
      <c r="AK856" s="377">
        <f>G891+AL856-G856</f>
        <v>0</v>
      </c>
      <c r="AL856" s="377"/>
      <c r="AM856" s="378"/>
      <c r="AN856" s="379"/>
      <c r="AO856" s="380"/>
      <c r="AP856" s="378"/>
      <c r="AQ856" s="381"/>
      <c r="AR856" s="381"/>
      <c r="AS856" s="381"/>
    </row>
    <row r="857" spans="1:45" ht="17.25" thickBot="1" x14ac:dyDescent="0.3">
      <c r="A857" s="467"/>
      <c r="B857" s="372"/>
      <c r="C857" s="373">
        <v>1146020</v>
      </c>
      <c r="D857" s="374" t="s">
        <v>402</v>
      </c>
      <c r="E857" s="375"/>
      <c r="F857" s="376">
        <f>G892-AK857+AL857</f>
        <v>0</v>
      </c>
      <c r="G857" s="377">
        <v>0</v>
      </c>
      <c r="H857" s="397">
        <v>1</v>
      </c>
      <c r="I857" s="377">
        <v>0</v>
      </c>
      <c r="J857" s="377"/>
      <c r="K857" s="377">
        <v>0</v>
      </c>
      <c r="L857" s="377"/>
      <c r="M857" s="377"/>
      <c r="N857" s="377"/>
      <c r="O857" s="377"/>
      <c r="P857" s="377"/>
      <c r="Q857" s="377"/>
      <c r="R857" s="377"/>
      <c r="S857" s="377"/>
      <c r="T857" s="377"/>
      <c r="U857" s="377"/>
      <c r="V857" s="377"/>
      <c r="W857" s="377"/>
      <c r="X857" s="377"/>
      <c r="Y857" s="377"/>
      <c r="Z857" s="377"/>
      <c r="AA857" s="377"/>
      <c r="AB857" s="377"/>
      <c r="AC857" s="377"/>
      <c r="AD857" s="377"/>
      <c r="AE857" s="377"/>
      <c r="AF857" s="377"/>
      <c r="AG857" s="377"/>
      <c r="AH857" s="377"/>
      <c r="AI857" s="377"/>
      <c r="AJ857" s="377"/>
      <c r="AK857" s="377">
        <f>G892+AL857-G857</f>
        <v>0</v>
      </c>
      <c r="AL857" s="377"/>
      <c r="AM857" s="378"/>
      <c r="AN857" s="379"/>
      <c r="AO857" s="380"/>
      <c r="AP857" s="378"/>
      <c r="AQ857" s="381"/>
      <c r="AR857" s="381"/>
      <c r="AS857" s="381"/>
    </row>
    <row r="858" spans="1:45" ht="17.25" thickBot="1" x14ac:dyDescent="0.3">
      <c r="A858" s="467"/>
      <c r="B858" s="372"/>
      <c r="C858" s="373">
        <v>1146016</v>
      </c>
      <c r="D858" s="374" t="s">
        <v>398</v>
      </c>
      <c r="E858" s="375"/>
      <c r="F858" s="376">
        <f>G893-AK858+AL858</f>
        <v>0</v>
      </c>
      <c r="G858" s="377">
        <v>0</v>
      </c>
      <c r="H858" s="397">
        <v>1</v>
      </c>
      <c r="I858" s="377">
        <v>0</v>
      </c>
      <c r="J858" s="377"/>
      <c r="K858" s="377">
        <v>0</v>
      </c>
      <c r="L858" s="377"/>
      <c r="M858" s="377"/>
      <c r="N858" s="377"/>
      <c r="O858" s="377"/>
      <c r="P858" s="377"/>
      <c r="Q858" s="377"/>
      <c r="R858" s="377"/>
      <c r="S858" s="377"/>
      <c r="T858" s="377"/>
      <c r="U858" s="377"/>
      <c r="V858" s="377"/>
      <c r="W858" s="377"/>
      <c r="X858" s="377"/>
      <c r="Y858" s="377"/>
      <c r="Z858" s="377"/>
      <c r="AA858" s="377"/>
      <c r="AB858" s="377"/>
      <c r="AC858" s="377"/>
      <c r="AD858" s="377"/>
      <c r="AE858" s="377"/>
      <c r="AF858" s="377"/>
      <c r="AG858" s="377"/>
      <c r="AH858" s="377"/>
      <c r="AI858" s="377"/>
      <c r="AJ858" s="377"/>
      <c r="AK858" s="377">
        <f>G893+AL858-G858</f>
        <v>0</v>
      </c>
      <c r="AL858" s="377"/>
      <c r="AM858" s="378"/>
      <c r="AN858" s="379"/>
      <c r="AO858" s="380"/>
      <c r="AP858" s="378"/>
      <c r="AQ858" s="381"/>
      <c r="AR858" s="381"/>
      <c r="AS858" s="381"/>
    </row>
    <row r="859" spans="1:45" ht="17.25" thickBot="1" x14ac:dyDescent="0.3">
      <c r="A859" s="467"/>
      <c r="B859" s="372"/>
      <c r="C859" s="373">
        <v>1146022</v>
      </c>
      <c r="D859" s="374" t="s">
        <v>403</v>
      </c>
      <c r="E859" s="375"/>
      <c r="F859" s="376">
        <f>G894-AK859+AL859</f>
        <v>0</v>
      </c>
      <c r="G859" s="377">
        <v>0</v>
      </c>
      <c r="H859" s="397">
        <v>2</v>
      </c>
      <c r="I859" s="377">
        <v>0</v>
      </c>
      <c r="J859" s="377"/>
      <c r="K859" s="377">
        <v>0</v>
      </c>
      <c r="L859" s="377"/>
      <c r="M859" s="377"/>
      <c r="N859" s="377"/>
      <c r="O859" s="377"/>
      <c r="P859" s="377"/>
      <c r="Q859" s="377"/>
      <c r="R859" s="377"/>
      <c r="S859" s="377"/>
      <c r="T859" s="377"/>
      <c r="U859" s="377"/>
      <c r="V859" s="377"/>
      <c r="W859" s="377"/>
      <c r="X859" s="377"/>
      <c r="Y859" s="377"/>
      <c r="Z859" s="377"/>
      <c r="AA859" s="377"/>
      <c r="AB859" s="377"/>
      <c r="AC859" s="377"/>
      <c r="AD859" s="377"/>
      <c r="AE859" s="377"/>
      <c r="AF859" s="377"/>
      <c r="AG859" s="377"/>
      <c r="AH859" s="377"/>
      <c r="AI859" s="377"/>
      <c r="AJ859" s="377"/>
      <c r="AK859" s="377">
        <f>G894+AL859-G859</f>
        <v>0</v>
      </c>
      <c r="AL859" s="377"/>
      <c r="AM859" s="378"/>
      <c r="AN859" s="379"/>
      <c r="AO859" s="380"/>
      <c r="AP859" s="378"/>
      <c r="AQ859" s="381"/>
      <c r="AR859" s="381"/>
      <c r="AS859" s="381"/>
    </row>
    <row r="860" spans="1:45" ht="17.25" thickBot="1" x14ac:dyDescent="0.3">
      <c r="A860" s="467"/>
      <c r="B860" s="372"/>
      <c r="C860" s="373">
        <v>1146027</v>
      </c>
      <c r="D860" s="374" t="s">
        <v>404</v>
      </c>
      <c r="E860" s="375"/>
      <c r="F860" s="376">
        <f>G895-AK860+AL860</f>
        <v>0</v>
      </c>
      <c r="G860" s="377">
        <v>0</v>
      </c>
      <c r="H860" s="397">
        <v>2</v>
      </c>
      <c r="I860" s="377">
        <v>1</v>
      </c>
      <c r="J860" s="377"/>
      <c r="K860" s="377">
        <v>0</v>
      </c>
      <c r="L860" s="377"/>
      <c r="M860" s="377"/>
      <c r="N860" s="377"/>
      <c r="O860" s="377"/>
      <c r="P860" s="377"/>
      <c r="Q860" s="377"/>
      <c r="R860" s="377"/>
      <c r="S860" s="377"/>
      <c r="T860" s="377"/>
      <c r="U860" s="377"/>
      <c r="V860" s="377"/>
      <c r="W860" s="377"/>
      <c r="X860" s="377"/>
      <c r="Y860" s="377"/>
      <c r="Z860" s="377"/>
      <c r="AA860" s="377"/>
      <c r="AB860" s="377"/>
      <c r="AC860" s="377"/>
      <c r="AD860" s="377"/>
      <c r="AE860" s="377"/>
      <c r="AF860" s="377"/>
      <c r="AG860" s="377"/>
      <c r="AH860" s="377"/>
      <c r="AI860" s="377"/>
      <c r="AJ860" s="377"/>
      <c r="AK860" s="377">
        <f>G895+AL860-G860</f>
        <v>0</v>
      </c>
      <c r="AL860" s="377"/>
      <c r="AM860" s="378"/>
      <c r="AN860" s="379"/>
      <c r="AO860" s="380"/>
      <c r="AP860" s="378"/>
      <c r="AQ860" s="381"/>
      <c r="AR860" s="381"/>
      <c r="AS860" s="381"/>
    </row>
    <row r="861" spans="1:45" ht="17.25" thickBot="1" x14ac:dyDescent="0.3">
      <c r="A861" s="467"/>
      <c r="B861" s="355" t="s">
        <v>418</v>
      </c>
      <c r="C861" s="356"/>
      <c r="D861" s="356"/>
      <c r="E861" s="359"/>
      <c r="F861" s="359"/>
      <c r="G861" s="356"/>
      <c r="H861" s="396"/>
      <c r="I861" s="356"/>
      <c r="J861" s="356"/>
      <c r="K861" s="356"/>
      <c r="L861" s="356"/>
      <c r="M861" s="356"/>
      <c r="N861" s="356"/>
      <c r="O861" s="356"/>
      <c r="P861" s="356"/>
      <c r="Q861" s="356"/>
      <c r="R861" s="356"/>
      <c r="S861" s="356"/>
      <c r="T861" s="356"/>
      <c r="U861" s="356"/>
      <c r="V861" s="356"/>
      <c r="W861" s="356"/>
      <c r="X861" s="356"/>
      <c r="Y861" s="356"/>
      <c r="Z861" s="356"/>
      <c r="AA861" s="356"/>
      <c r="AB861" s="356"/>
      <c r="AC861" s="356"/>
      <c r="AD861" s="356"/>
      <c r="AE861" s="356"/>
      <c r="AF861" s="356"/>
      <c r="AG861" s="356"/>
      <c r="AH861" s="356"/>
      <c r="AI861" s="356"/>
      <c r="AJ861" s="356"/>
      <c r="AK861" s="356"/>
      <c r="AL861" s="356"/>
      <c r="AM861" s="356"/>
      <c r="AN861" s="356"/>
      <c r="AO861" s="356"/>
      <c r="AP861" s="356"/>
      <c r="AQ861" s="356"/>
      <c r="AR861" s="356"/>
      <c r="AS861" s="357"/>
    </row>
    <row r="862" spans="1:45" ht="17.25" thickBot="1" x14ac:dyDescent="0.3">
      <c r="A862" s="467"/>
      <c r="B862" s="354"/>
      <c r="C862" s="285">
        <v>1151653</v>
      </c>
      <c r="D862" s="358" t="s">
        <v>405</v>
      </c>
      <c r="E862" s="360"/>
      <c r="F862" s="361">
        <f>G897-AK862+AL862</f>
        <v>0</v>
      </c>
      <c r="G862" s="364">
        <v>0</v>
      </c>
      <c r="H862" s="397">
        <v>1</v>
      </c>
      <c r="I862" s="364">
        <v>1</v>
      </c>
      <c r="J862" s="364"/>
      <c r="K862" s="364">
        <v>0</v>
      </c>
      <c r="L862" s="218"/>
      <c r="M862" s="218"/>
      <c r="N862" s="218"/>
      <c r="O862" s="218"/>
      <c r="P862" s="352"/>
      <c r="Q862" s="352"/>
      <c r="R862" s="352"/>
      <c r="S862" s="352"/>
      <c r="T862" s="352"/>
      <c r="U862" s="352"/>
      <c r="V862" s="218"/>
      <c r="W862" s="218"/>
      <c r="X862" s="218"/>
      <c r="Y862" s="218"/>
      <c r="Z862" s="218"/>
      <c r="AA862" s="218"/>
      <c r="AB862" s="218"/>
      <c r="AC862" s="218"/>
      <c r="AD862" s="218"/>
      <c r="AE862" s="218"/>
      <c r="AF862" s="218"/>
      <c r="AG862" s="218"/>
      <c r="AH862" s="218"/>
      <c r="AI862" s="218"/>
      <c r="AJ862" s="218"/>
      <c r="AK862" s="218">
        <f>G897+AL862-G862</f>
        <v>0</v>
      </c>
      <c r="AL862" s="218"/>
      <c r="AM862" s="353"/>
      <c r="AN862" s="295"/>
      <c r="AO862" s="296"/>
      <c r="AP862" s="353"/>
      <c r="AQ862" s="290"/>
      <c r="AR862" s="290"/>
      <c r="AS862" s="290"/>
    </row>
    <row r="863" spans="1:45" ht="17.25" thickBot="1" x14ac:dyDescent="0.3">
      <c r="A863" s="467"/>
      <c r="B863" s="354"/>
      <c r="C863" s="285">
        <v>1151650</v>
      </c>
      <c r="D863" s="358" t="s">
        <v>406</v>
      </c>
      <c r="E863" s="360"/>
      <c r="F863" s="361">
        <f>G898-AK863+AL863</f>
        <v>0</v>
      </c>
      <c r="G863" s="364">
        <v>0</v>
      </c>
      <c r="H863" s="397">
        <v>2</v>
      </c>
      <c r="I863" s="364">
        <v>0</v>
      </c>
      <c r="J863" s="364"/>
      <c r="K863" s="364">
        <v>5</v>
      </c>
      <c r="L863" s="218"/>
      <c r="M863" s="218"/>
      <c r="N863" s="218"/>
      <c r="O863" s="218"/>
      <c r="P863" s="352"/>
      <c r="Q863" s="352"/>
      <c r="R863" s="352"/>
      <c r="S863" s="352"/>
      <c r="T863" s="352"/>
      <c r="U863" s="352"/>
      <c r="V863" s="218"/>
      <c r="W863" s="218"/>
      <c r="X863" s="218"/>
      <c r="Y863" s="218"/>
      <c r="Z863" s="218"/>
      <c r="AA863" s="218"/>
      <c r="AB863" s="218"/>
      <c r="AC863" s="218"/>
      <c r="AD863" s="218"/>
      <c r="AE863" s="218"/>
      <c r="AF863" s="218"/>
      <c r="AG863" s="218"/>
      <c r="AH863" s="218"/>
      <c r="AI863" s="218"/>
      <c r="AJ863" s="218"/>
      <c r="AK863" s="218">
        <f>G898+AL863-G863</f>
        <v>0</v>
      </c>
      <c r="AL863" s="218"/>
      <c r="AM863" s="353"/>
      <c r="AN863" s="295"/>
      <c r="AO863" s="296"/>
      <c r="AP863" s="353"/>
      <c r="AQ863" s="290"/>
      <c r="AR863" s="290"/>
      <c r="AS863" s="290"/>
    </row>
    <row r="864" spans="1:45" ht="17.25" thickBot="1" x14ac:dyDescent="0.3">
      <c r="A864" s="467"/>
      <c r="B864" s="354"/>
      <c r="C864" s="285">
        <v>1151649</v>
      </c>
      <c r="D864" s="358" t="s">
        <v>407</v>
      </c>
      <c r="E864" s="360"/>
      <c r="F864" s="361">
        <f>G899-AK864+AL864</f>
        <v>2</v>
      </c>
      <c r="G864" s="369">
        <v>2</v>
      </c>
      <c r="H864" s="369">
        <v>4</v>
      </c>
      <c r="I864" s="369">
        <v>2</v>
      </c>
      <c r="J864" s="369"/>
      <c r="K864" s="369">
        <v>0</v>
      </c>
      <c r="L864" s="218"/>
      <c r="M864" s="218"/>
      <c r="N864" s="218"/>
      <c r="O864" s="218"/>
      <c r="P864" s="352"/>
      <c r="Q864" s="352"/>
      <c r="R864" s="352"/>
      <c r="S864" s="352"/>
      <c r="T864" s="352"/>
      <c r="U864" s="352"/>
      <c r="V864" s="218"/>
      <c r="W864" s="218"/>
      <c r="X864" s="218"/>
      <c r="Y864" s="218"/>
      <c r="Z864" s="218"/>
      <c r="AA864" s="218"/>
      <c r="AB864" s="218"/>
      <c r="AC864" s="218"/>
      <c r="AD864" s="218"/>
      <c r="AE864" s="218"/>
      <c r="AF864" s="218"/>
      <c r="AG864" s="218"/>
      <c r="AH864" s="218"/>
      <c r="AI864" s="218"/>
      <c r="AJ864" s="218"/>
      <c r="AK864" s="218">
        <f>G899+AL864-G864</f>
        <v>0</v>
      </c>
      <c r="AL864" s="218"/>
      <c r="AM864" s="353"/>
      <c r="AN864" s="295"/>
      <c r="AO864" s="296"/>
      <c r="AP864" s="353"/>
      <c r="AQ864" s="290"/>
      <c r="AR864" s="290"/>
      <c r="AS864" s="290"/>
    </row>
    <row r="865" spans="1:45" ht="17.25" thickBot="1" x14ac:dyDescent="0.3">
      <c r="A865" s="467"/>
      <c r="B865" s="354"/>
      <c r="C865" s="285">
        <v>1151651</v>
      </c>
      <c r="D865" s="358" t="s">
        <v>408</v>
      </c>
      <c r="E865" s="360"/>
      <c r="F865" s="361">
        <f>G900-AK865+AL865</f>
        <v>3</v>
      </c>
      <c r="G865" s="369">
        <v>3</v>
      </c>
      <c r="H865" s="369">
        <v>1</v>
      </c>
      <c r="I865" s="369">
        <v>3</v>
      </c>
      <c r="J865" s="369"/>
      <c r="K865" s="369">
        <v>0</v>
      </c>
      <c r="L865" s="218"/>
      <c r="M865" s="218"/>
      <c r="N865" s="218"/>
      <c r="O865" s="218"/>
      <c r="P865" s="352"/>
      <c r="Q865" s="352"/>
      <c r="R865" s="352"/>
      <c r="S865" s="352"/>
      <c r="T865" s="352"/>
      <c r="U865" s="352"/>
      <c r="V865" s="218"/>
      <c r="W865" s="218"/>
      <c r="X865" s="218"/>
      <c r="Y865" s="218"/>
      <c r="Z865" s="218">
        <v>2</v>
      </c>
      <c r="AA865" s="218"/>
      <c r="AB865" s="218"/>
      <c r="AC865" s="218"/>
      <c r="AD865" s="218"/>
      <c r="AE865" s="218"/>
      <c r="AF865" s="218"/>
      <c r="AG865" s="218"/>
      <c r="AH865" s="218"/>
      <c r="AI865" s="218"/>
      <c r="AJ865" s="218"/>
      <c r="AK865" s="218">
        <f>G900+AL865-G865</f>
        <v>0</v>
      </c>
      <c r="AL865" s="218"/>
      <c r="AM865" s="353"/>
      <c r="AN865" s="295"/>
      <c r="AO865" s="296"/>
      <c r="AP865" s="353"/>
      <c r="AQ865" s="290"/>
      <c r="AR865" s="290"/>
      <c r="AS865" s="290"/>
    </row>
    <row r="866" spans="1:45" ht="17.25" thickBot="1" x14ac:dyDescent="0.3">
      <c r="A866" s="467"/>
      <c r="B866" s="354"/>
      <c r="C866" s="285">
        <v>1146029</v>
      </c>
      <c r="D866" s="358" t="s">
        <v>409</v>
      </c>
      <c r="E866" s="360"/>
      <c r="F866" s="361">
        <f>G901-AK866+AL866</f>
        <v>2</v>
      </c>
      <c r="G866" s="369">
        <v>2</v>
      </c>
      <c r="H866" s="369">
        <v>2</v>
      </c>
      <c r="I866" s="369">
        <v>2</v>
      </c>
      <c r="J866" s="369"/>
      <c r="K866" s="369">
        <v>0</v>
      </c>
      <c r="L866" s="218"/>
      <c r="M866" s="218"/>
      <c r="N866" s="218"/>
      <c r="O866" s="218"/>
      <c r="P866" s="352"/>
      <c r="Q866" s="352"/>
      <c r="R866" s="352"/>
      <c r="S866" s="352"/>
      <c r="T866" s="352"/>
      <c r="U866" s="352"/>
      <c r="V866" s="218"/>
      <c r="W866" s="218"/>
      <c r="X866" s="218"/>
      <c r="Y866" s="218"/>
      <c r="Z866" s="218"/>
      <c r="AA866" s="218"/>
      <c r="AB866" s="218"/>
      <c r="AC866" s="218"/>
      <c r="AD866" s="218"/>
      <c r="AE866" s="218"/>
      <c r="AF866" s="218"/>
      <c r="AG866" s="218"/>
      <c r="AH866" s="218"/>
      <c r="AI866" s="218"/>
      <c r="AJ866" s="218"/>
      <c r="AK866" s="218">
        <f>G901+AL866-G866</f>
        <v>0</v>
      </c>
      <c r="AL866" s="218"/>
      <c r="AM866" s="353"/>
      <c r="AN866" s="295"/>
      <c r="AO866" s="296"/>
      <c r="AP866" s="353"/>
      <c r="AQ866" s="290"/>
      <c r="AR866" s="290"/>
      <c r="AS866" s="290"/>
    </row>
    <row r="867" spans="1:45" ht="17.25" thickBot="1" x14ac:dyDescent="0.3">
      <c r="A867" s="467"/>
      <c r="B867" s="355" t="s">
        <v>410</v>
      </c>
      <c r="C867" s="356"/>
      <c r="D867" s="356"/>
      <c r="E867" s="359"/>
      <c r="F867" s="359"/>
      <c r="G867" s="356"/>
      <c r="H867" s="396"/>
      <c r="I867" s="356"/>
      <c r="J867" s="356"/>
      <c r="K867" s="356"/>
      <c r="L867" s="356"/>
      <c r="M867" s="356"/>
      <c r="N867" s="356"/>
      <c r="O867" s="356"/>
      <c r="P867" s="356"/>
      <c r="Q867" s="356"/>
      <c r="R867" s="356"/>
      <c r="S867" s="356"/>
      <c r="T867" s="356"/>
      <c r="U867" s="356"/>
      <c r="V867" s="356"/>
      <c r="W867" s="356"/>
      <c r="X867" s="356"/>
      <c r="Y867" s="356"/>
      <c r="Z867" s="356"/>
      <c r="AA867" s="356"/>
      <c r="AB867" s="356"/>
      <c r="AC867" s="356"/>
      <c r="AD867" s="356"/>
      <c r="AE867" s="356"/>
      <c r="AF867" s="356"/>
      <c r="AG867" s="356"/>
      <c r="AH867" s="356"/>
      <c r="AI867" s="356"/>
      <c r="AJ867" s="356"/>
      <c r="AK867" s="356"/>
      <c r="AL867" s="356"/>
      <c r="AM867" s="356"/>
      <c r="AN867" s="356"/>
      <c r="AO867" s="356"/>
      <c r="AP867" s="356"/>
      <c r="AQ867" s="356"/>
      <c r="AR867" s="356"/>
      <c r="AS867" s="357"/>
    </row>
    <row r="868" spans="1:45" ht="17.25" thickBot="1" x14ac:dyDescent="0.3">
      <c r="A868" s="467"/>
      <c r="B868" s="354"/>
      <c r="C868" s="285">
        <v>1699118</v>
      </c>
      <c r="D868" s="358" t="s">
        <v>411</v>
      </c>
      <c r="E868" s="360"/>
      <c r="F868" s="361">
        <f>G903-AK868+AL868</f>
        <v>1</v>
      </c>
      <c r="G868" s="369">
        <v>1</v>
      </c>
      <c r="H868" s="369">
        <v>1</v>
      </c>
      <c r="I868" s="369">
        <v>1</v>
      </c>
      <c r="J868" s="369"/>
      <c r="K868" s="369">
        <v>0</v>
      </c>
      <c r="L868" s="218"/>
      <c r="M868" s="218"/>
      <c r="N868" s="218"/>
      <c r="O868" s="218"/>
      <c r="P868" s="352"/>
      <c r="Q868" s="352"/>
      <c r="R868" s="352"/>
      <c r="S868" s="352"/>
      <c r="T868" s="352"/>
      <c r="U868" s="352"/>
      <c r="V868" s="218"/>
      <c r="W868" s="218"/>
      <c r="X868" s="218"/>
      <c r="Y868" s="218"/>
      <c r="Z868" s="218"/>
      <c r="AA868" s="218"/>
      <c r="AB868" s="218"/>
      <c r="AC868" s="218"/>
      <c r="AD868" s="218"/>
      <c r="AE868" s="218"/>
      <c r="AF868" s="218"/>
      <c r="AG868" s="218"/>
      <c r="AH868" s="218"/>
      <c r="AI868" s="218"/>
      <c r="AJ868" s="218"/>
      <c r="AK868" s="218">
        <f>G903+AL868-G868</f>
        <v>0</v>
      </c>
      <c r="AL868" s="218"/>
      <c r="AM868" s="353"/>
      <c r="AN868" s="295"/>
      <c r="AO868" s="296"/>
      <c r="AP868" s="353"/>
      <c r="AQ868" s="290"/>
      <c r="AR868" s="290"/>
      <c r="AS868" s="290"/>
    </row>
    <row r="869" spans="1:45" ht="17.25" thickBot="1" x14ac:dyDescent="0.3">
      <c r="A869" s="467"/>
      <c r="B869" s="354"/>
      <c r="C869" s="285">
        <v>1699119</v>
      </c>
      <c r="D869" s="358" t="s">
        <v>412</v>
      </c>
      <c r="E869" s="360"/>
      <c r="F869" s="361">
        <f>G904-AK869+AL869</f>
        <v>2</v>
      </c>
      <c r="G869" s="369">
        <v>2</v>
      </c>
      <c r="H869" s="369">
        <v>1</v>
      </c>
      <c r="I869" s="369">
        <v>2</v>
      </c>
      <c r="J869" s="369"/>
      <c r="K869" s="369">
        <v>0</v>
      </c>
      <c r="L869" s="218"/>
      <c r="M869" s="218"/>
      <c r="N869" s="218"/>
      <c r="O869" s="218"/>
      <c r="P869" s="352"/>
      <c r="Q869" s="352"/>
      <c r="R869" s="352"/>
      <c r="S869" s="352"/>
      <c r="T869" s="352"/>
      <c r="U869" s="352"/>
      <c r="V869" s="218"/>
      <c r="W869" s="218"/>
      <c r="X869" s="218"/>
      <c r="Y869" s="218"/>
      <c r="Z869" s="218"/>
      <c r="AA869" s="218"/>
      <c r="AB869" s="218"/>
      <c r="AC869" s="218"/>
      <c r="AD869" s="218"/>
      <c r="AE869" s="218"/>
      <c r="AF869" s="218"/>
      <c r="AG869" s="218"/>
      <c r="AH869" s="218"/>
      <c r="AI869" s="218"/>
      <c r="AJ869" s="218"/>
      <c r="AK869" s="218">
        <f>G904+AL869-G869</f>
        <v>0</v>
      </c>
      <c r="AL869" s="218"/>
      <c r="AM869" s="353"/>
      <c r="AN869" s="295"/>
      <c r="AO869" s="296"/>
      <c r="AP869" s="353"/>
      <c r="AQ869" s="290"/>
      <c r="AR869" s="290"/>
      <c r="AS869" s="290"/>
    </row>
    <row r="870" spans="1:45" ht="17.25" thickBot="1" x14ac:dyDescent="0.3">
      <c r="A870" s="467"/>
      <c r="B870" s="354"/>
      <c r="C870" s="285">
        <v>1699130</v>
      </c>
      <c r="D870" s="358" t="s">
        <v>413</v>
      </c>
      <c r="E870" s="360"/>
      <c r="F870" s="361">
        <f>G905-AK870+AL870</f>
        <v>0</v>
      </c>
      <c r="G870" s="369">
        <v>0</v>
      </c>
      <c r="H870" s="369">
        <v>4</v>
      </c>
      <c r="I870" s="369">
        <v>0</v>
      </c>
      <c r="J870" s="369"/>
      <c r="K870" s="369">
        <v>0</v>
      </c>
      <c r="L870" s="218"/>
      <c r="M870" s="218"/>
      <c r="N870" s="218"/>
      <c r="O870" s="218"/>
      <c r="P870" s="352"/>
      <c r="Q870" s="352"/>
      <c r="R870" s="352"/>
      <c r="S870" s="352"/>
      <c r="T870" s="352"/>
      <c r="U870" s="352"/>
      <c r="V870" s="218"/>
      <c r="W870" s="218"/>
      <c r="X870" s="218"/>
      <c r="Y870" s="218"/>
      <c r="Z870" s="218"/>
      <c r="AA870" s="218">
        <v>2</v>
      </c>
      <c r="AB870" s="218"/>
      <c r="AC870" s="218"/>
      <c r="AD870" s="218"/>
      <c r="AE870" s="218"/>
      <c r="AF870" s="218"/>
      <c r="AG870" s="218"/>
      <c r="AH870" s="218"/>
      <c r="AI870" s="218"/>
      <c r="AJ870" s="218"/>
      <c r="AK870" s="218">
        <f>G905+AL870-G870</f>
        <v>0</v>
      </c>
      <c r="AL870" s="218"/>
      <c r="AM870" s="353"/>
      <c r="AN870" s="295"/>
      <c r="AO870" s="296"/>
      <c r="AP870" s="353"/>
      <c r="AQ870" s="290"/>
      <c r="AR870" s="290"/>
      <c r="AS870" s="290"/>
    </row>
    <row r="871" spans="1:45" ht="17.25" thickBot="1" x14ac:dyDescent="0.3">
      <c r="A871" s="467"/>
      <c r="B871" s="354"/>
      <c r="C871" s="285">
        <v>1699131</v>
      </c>
      <c r="D871" s="358" t="s">
        <v>414</v>
      </c>
      <c r="E871" s="360"/>
      <c r="F871" s="361">
        <f>G906-AK871+AL871</f>
        <v>2</v>
      </c>
      <c r="G871" s="369">
        <v>2</v>
      </c>
      <c r="H871" s="397">
        <v>3</v>
      </c>
      <c r="I871" s="369">
        <v>2</v>
      </c>
      <c r="J871" s="369"/>
      <c r="K871" s="364">
        <v>0</v>
      </c>
      <c r="L871" s="218"/>
      <c r="M871" s="218"/>
      <c r="N871" s="218"/>
      <c r="O871" s="218"/>
      <c r="P871" s="352"/>
      <c r="Q871" s="352"/>
      <c r="R871" s="352"/>
      <c r="S871" s="352"/>
      <c r="T871" s="352"/>
      <c r="U871" s="352"/>
      <c r="V871" s="218"/>
      <c r="W871" s="218"/>
      <c r="X871" s="218"/>
      <c r="Y871" s="218"/>
      <c r="Z871" s="218"/>
      <c r="AA871" s="218"/>
      <c r="AB871" s="218"/>
      <c r="AC871" s="218"/>
      <c r="AD871" s="218"/>
      <c r="AE871" s="218"/>
      <c r="AF871" s="218"/>
      <c r="AG871" s="218"/>
      <c r="AH871" s="218"/>
      <c r="AI871" s="218"/>
      <c r="AJ871" s="218"/>
      <c r="AK871" s="218">
        <f>G906+AL871-G871</f>
        <v>0</v>
      </c>
      <c r="AL871" s="218"/>
      <c r="AM871" s="353"/>
      <c r="AN871" s="295"/>
      <c r="AO871" s="296"/>
      <c r="AP871" s="353"/>
      <c r="AQ871" s="290"/>
      <c r="AR871" s="290"/>
      <c r="AS871" s="290"/>
    </row>
    <row r="872" spans="1:45" ht="17.25" thickBot="1" x14ac:dyDescent="0.3">
      <c r="A872" s="468"/>
      <c r="B872" s="354"/>
      <c r="C872" s="285">
        <v>1699132</v>
      </c>
      <c r="D872" s="358" t="s">
        <v>415</v>
      </c>
      <c r="E872" s="285"/>
      <c r="F872" s="362">
        <f>G907-AK872+AL872</f>
        <v>0</v>
      </c>
      <c r="G872" s="364">
        <v>0</v>
      </c>
      <c r="H872" s="397">
        <v>3</v>
      </c>
      <c r="I872" s="364">
        <v>2</v>
      </c>
      <c r="J872" s="364"/>
      <c r="K872" s="364">
        <v>1</v>
      </c>
      <c r="L872" s="218"/>
      <c r="M872" s="218"/>
      <c r="N872" s="218"/>
      <c r="O872" s="218"/>
      <c r="P872" s="352"/>
      <c r="Q872" s="352"/>
      <c r="R872" s="352"/>
      <c r="S872" s="352"/>
      <c r="T872" s="352"/>
      <c r="U872" s="352"/>
      <c r="V872" s="218"/>
      <c r="W872" s="218"/>
      <c r="X872" s="218"/>
      <c r="Y872" s="218"/>
      <c r="Z872" s="218"/>
      <c r="AA872" s="218"/>
      <c r="AB872" s="218"/>
      <c r="AC872" s="218"/>
      <c r="AD872" s="218"/>
      <c r="AE872" s="218"/>
      <c r="AF872" s="218"/>
      <c r="AG872" s="218"/>
      <c r="AH872" s="218"/>
      <c r="AI872" s="218"/>
      <c r="AJ872" s="218"/>
      <c r="AK872" s="218">
        <f>G907+AL872-G872</f>
        <v>0</v>
      </c>
      <c r="AL872" s="218"/>
      <c r="AM872" s="353"/>
      <c r="AN872" s="295"/>
      <c r="AO872" s="296"/>
      <c r="AP872" s="353"/>
      <c r="AQ872" s="290"/>
      <c r="AR872" s="290"/>
      <c r="AS872" s="290"/>
    </row>
    <row r="873" spans="1:45" x14ac:dyDescent="0.25">
      <c r="AL873" s="290"/>
      <c r="AM873" s="290"/>
      <c r="AN873" s="290"/>
      <c r="AO873" s="290"/>
      <c r="AP873" s="290"/>
      <c r="AQ873" s="290"/>
      <c r="AR873" s="290"/>
    </row>
    <row r="874" spans="1:45" ht="14.25" thickBot="1" x14ac:dyDescent="0.3">
      <c r="B874" s="338" t="s">
        <v>18</v>
      </c>
      <c r="C874" s="339">
        <v>45677</v>
      </c>
      <c r="AA874" s="290">
        <v>0</v>
      </c>
      <c r="AL874" s="290"/>
      <c r="AM874" s="290"/>
      <c r="AN874" s="290"/>
      <c r="AO874" s="290"/>
      <c r="AP874" s="290"/>
      <c r="AQ874" s="290"/>
    </row>
    <row r="875" spans="1:45" ht="41.25" thickBot="1" x14ac:dyDescent="0.3">
      <c r="B875" s="283" t="s">
        <v>0</v>
      </c>
      <c r="C875" s="284" t="s">
        <v>1</v>
      </c>
      <c r="D875" s="284" t="s">
        <v>2</v>
      </c>
      <c r="E875" s="284" t="s">
        <v>3</v>
      </c>
      <c r="F875" s="4" t="s">
        <v>318</v>
      </c>
      <c r="G875" s="351" t="s">
        <v>507</v>
      </c>
      <c r="H875" s="382" t="s">
        <v>460</v>
      </c>
      <c r="I875" s="234" t="s">
        <v>510</v>
      </c>
      <c r="J875" s="234"/>
      <c r="K875" s="258" t="s">
        <v>511</v>
      </c>
      <c r="L875" s="258" t="s">
        <v>328</v>
      </c>
      <c r="M875" s="258" t="s">
        <v>327</v>
      </c>
      <c r="N875" s="234" t="s">
        <v>389</v>
      </c>
      <c r="O875" s="240" t="s">
        <v>130</v>
      </c>
      <c r="P875" s="243" t="s">
        <v>303</v>
      </c>
      <c r="Q875" s="244" t="s">
        <v>304</v>
      </c>
      <c r="R875" s="244" t="s">
        <v>314</v>
      </c>
      <c r="S875" s="245" t="s">
        <v>338</v>
      </c>
      <c r="T875" s="245" t="s">
        <v>345</v>
      </c>
      <c r="U875" s="245" t="s">
        <v>361</v>
      </c>
      <c r="V875" s="245" t="s">
        <v>387</v>
      </c>
      <c r="W875" s="245" t="s">
        <v>421</v>
      </c>
      <c r="X875" s="245" t="s">
        <v>452</v>
      </c>
      <c r="Y875" s="245" t="s">
        <v>463</v>
      </c>
      <c r="Z875" s="245" t="s">
        <v>481</v>
      </c>
      <c r="AA875" s="245" t="s">
        <v>498</v>
      </c>
      <c r="AB875" s="245" t="s">
        <v>303</v>
      </c>
      <c r="AC875" s="245"/>
      <c r="AD875" s="245"/>
      <c r="AE875" s="245"/>
      <c r="AF875" s="245"/>
      <c r="AG875" s="245"/>
      <c r="AH875" s="245"/>
      <c r="AI875" s="245"/>
      <c r="AJ875" s="245" t="s">
        <v>360</v>
      </c>
      <c r="AK875" s="246" t="s">
        <v>268</v>
      </c>
      <c r="AL875" s="247" t="s">
        <v>269</v>
      </c>
      <c r="AM875" s="291" t="s">
        <v>288</v>
      </c>
      <c r="AN875" s="292" t="s">
        <v>289</v>
      </c>
      <c r="AO875" s="292" t="s">
        <v>287</v>
      </c>
      <c r="AP875" s="293" t="s">
        <v>290</v>
      </c>
      <c r="AQ875" s="290" t="s">
        <v>306</v>
      </c>
      <c r="AR875" s="290" t="s">
        <v>310</v>
      </c>
      <c r="AS875" s="290" t="s">
        <v>311</v>
      </c>
    </row>
    <row r="876" spans="1:45" ht="17.25" thickBot="1" x14ac:dyDescent="0.3">
      <c r="A876" s="463" t="s">
        <v>416</v>
      </c>
      <c r="B876" s="285">
        <v>273664</v>
      </c>
      <c r="C876" s="286">
        <v>1135749</v>
      </c>
      <c r="D876" s="286" t="s">
        <v>7</v>
      </c>
      <c r="E876" s="286">
        <v>6060050026</v>
      </c>
      <c r="F876" s="253">
        <f>G911-AK876+AL876</f>
        <v>0</v>
      </c>
      <c r="G876" s="235">
        <v>0</v>
      </c>
      <c r="H876" s="394">
        <v>5</v>
      </c>
      <c r="I876" s="232">
        <v>0</v>
      </c>
      <c r="J876" s="232"/>
      <c r="K876" s="232">
        <v>3</v>
      </c>
      <c r="L876" s="232">
        <f>IF(K910=K875,L911+AK876,K876)</f>
        <v>3</v>
      </c>
      <c r="M876" s="232">
        <f>IF(K910=K875,0,L911+AK876-K876)</f>
        <v>3</v>
      </c>
      <c r="N876" s="267">
        <v>5</v>
      </c>
      <c r="O876" s="241">
        <f>N876-G876</f>
        <v>5</v>
      </c>
      <c r="P876" s="277">
        <v>4</v>
      </c>
      <c r="Q876" s="278">
        <v>4</v>
      </c>
      <c r="R876" s="279"/>
      <c r="S876" s="279">
        <v>3</v>
      </c>
      <c r="T876" s="279">
        <v>4</v>
      </c>
      <c r="U876" s="279">
        <v>2</v>
      </c>
      <c r="V876" s="279"/>
      <c r="W876" s="279">
        <f>2+3</f>
        <v>5</v>
      </c>
      <c r="X876" s="241"/>
      <c r="Y876" s="241"/>
      <c r="Z876" s="241"/>
      <c r="AA876" s="241">
        <v>4</v>
      </c>
      <c r="AB876" s="241"/>
      <c r="AC876" s="241"/>
      <c r="AD876" s="241"/>
      <c r="AE876" s="241"/>
      <c r="AF876" s="241"/>
      <c r="AG876" s="241"/>
      <c r="AH876" s="241"/>
      <c r="AI876" s="241"/>
      <c r="AJ876" s="241">
        <f>N876-V876</f>
        <v>5</v>
      </c>
      <c r="AK876" s="235">
        <f>G911+AL876-G876</f>
        <v>3</v>
      </c>
      <c r="AL876" s="350"/>
      <c r="AM876" s="294">
        <v>1.5</v>
      </c>
      <c r="AN876" s="295">
        <v>4</v>
      </c>
      <c r="AO876" s="296">
        <f>G876/(AN876)</f>
        <v>0</v>
      </c>
      <c r="AP876" s="297">
        <f>AN876*6</f>
        <v>24</v>
      </c>
      <c r="AQ876" s="290">
        <f>G876+K876</f>
        <v>3</v>
      </c>
      <c r="AR876" s="290">
        <f>IF(G876&lt;G911,(G911-G876+K911-K876),K911-K876)</f>
        <v>3</v>
      </c>
      <c r="AS876" s="290">
        <f>21-8</f>
        <v>13</v>
      </c>
    </row>
    <row r="877" spans="1:45" ht="17.25" thickBot="1" x14ac:dyDescent="0.3">
      <c r="A877" s="464"/>
      <c r="B877" s="285">
        <v>273672</v>
      </c>
      <c r="C877" s="286">
        <v>1135750</v>
      </c>
      <c r="D877" s="286" t="s">
        <v>9</v>
      </c>
      <c r="E877" s="287">
        <v>204000000000</v>
      </c>
      <c r="F877" s="253">
        <f>G912-AK877+AL877</f>
        <v>11</v>
      </c>
      <c r="G877" s="235">
        <v>11</v>
      </c>
      <c r="H877" s="394">
        <v>16</v>
      </c>
      <c r="I877" s="232">
        <v>11</v>
      </c>
      <c r="J877" s="232"/>
      <c r="K877" s="232">
        <v>10</v>
      </c>
      <c r="L877" s="232">
        <f>IF(K910=K875,L912+AK877,K877)</f>
        <v>10</v>
      </c>
      <c r="M877" s="232">
        <f>IF(K910=K875,0,L912+AK877-K877)</f>
        <v>12</v>
      </c>
      <c r="N877" s="267">
        <v>10</v>
      </c>
      <c r="O877" s="241">
        <f>N877-G877</f>
        <v>-1</v>
      </c>
      <c r="P877" s="277">
        <v>13</v>
      </c>
      <c r="Q877" s="278">
        <v>2</v>
      </c>
      <c r="R877" s="279">
        <v>6</v>
      </c>
      <c r="S877" s="279">
        <v>6</v>
      </c>
      <c r="T877" s="279">
        <v>10</v>
      </c>
      <c r="U877" s="279">
        <v>4</v>
      </c>
      <c r="V877" s="279">
        <v>6</v>
      </c>
      <c r="W877" s="279">
        <v>16</v>
      </c>
      <c r="X877" s="241"/>
      <c r="Y877" s="241">
        <v>6</v>
      </c>
      <c r="Z877" s="241">
        <v>4</v>
      </c>
      <c r="AA877" s="241">
        <v>6</v>
      </c>
      <c r="AB877" s="241">
        <v>4</v>
      </c>
      <c r="AC877" s="241"/>
      <c r="AD877" s="241"/>
      <c r="AE877" s="241"/>
      <c r="AF877" s="241"/>
      <c r="AG877" s="241"/>
      <c r="AH877" s="241"/>
      <c r="AI877" s="241"/>
      <c r="AJ877" s="241">
        <f>N877-V877</f>
        <v>4</v>
      </c>
      <c r="AK877" s="235">
        <f>G912+AL877-G877</f>
        <v>10</v>
      </c>
      <c r="AL877" s="236"/>
      <c r="AM877" s="298">
        <v>4.2</v>
      </c>
      <c r="AN877" s="295">
        <v>9</v>
      </c>
      <c r="AO877" s="296">
        <f>G877/(AN877)</f>
        <v>1.2222222222222223</v>
      </c>
      <c r="AP877" s="297">
        <f>AN877*6</f>
        <v>54</v>
      </c>
      <c r="AQ877" s="290">
        <f>G877+K877</f>
        <v>21</v>
      </c>
      <c r="AR877" s="290">
        <f>IF(G877&lt;G912,(G912-G877+K912-K877),K912-K877)</f>
        <v>12</v>
      </c>
      <c r="AS877" s="290">
        <f>21-8</f>
        <v>13</v>
      </c>
    </row>
    <row r="878" spans="1:45" ht="17.25" thickBot="1" x14ac:dyDescent="0.3">
      <c r="A878" s="464"/>
      <c r="B878" s="285">
        <v>273702</v>
      </c>
      <c r="C878" s="286">
        <v>1135753</v>
      </c>
      <c r="D878" s="286" t="s">
        <v>10</v>
      </c>
      <c r="E878" s="287">
        <v>301000000000</v>
      </c>
      <c r="F878" s="253">
        <f>G913-AK878+AL878</f>
        <v>2</v>
      </c>
      <c r="G878" s="235">
        <v>2</v>
      </c>
      <c r="H878" s="394">
        <v>1</v>
      </c>
      <c r="I878" s="232">
        <v>0</v>
      </c>
      <c r="J878" s="232"/>
      <c r="K878" s="232">
        <v>2</v>
      </c>
      <c r="L878" s="232">
        <f>IF(K910=K875,L913+AK878,K878)</f>
        <v>2</v>
      </c>
      <c r="M878" s="232">
        <f>IF(K910=K875,0,L913+AK878-K878)</f>
        <v>0</v>
      </c>
      <c r="N878" s="232">
        <v>2</v>
      </c>
      <c r="O878" s="241">
        <f>N878-G878</f>
        <v>0</v>
      </c>
      <c r="P878" s="277"/>
      <c r="Q878" s="278"/>
      <c r="R878" s="279"/>
      <c r="S878" s="279"/>
      <c r="T878" s="279"/>
      <c r="U878" s="279"/>
      <c r="V878" s="279"/>
      <c r="W878" s="279"/>
      <c r="X878" s="241"/>
      <c r="Y878" s="241"/>
      <c r="Z878" s="241"/>
      <c r="AA878" s="241"/>
      <c r="AB878" s="241"/>
      <c r="AC878" s="241"/>
      <c r="AD878" s="241"/>
      <c r="AE878" s="241"/>
      <c r="AF878" s="241"/>
      <c r="AG878" s="241"/>
      <c r="AH878" s="241"/>
      <c r="AI878" s="241"/>
      <c r="AJ878" s="241">
        <f>N878-V878</f>
        <v>2</v>
      </c>
      <c r="AK878" s="235">
        <f>G913+AL878-G878</f>
        <v>0</v>
      </c>
      <c r="AL878" s="236"/>
      <c r="AM878" s="294">
        <f>4/12</f>
        <v>0.33333333333333331</v>
      </c>
      <c r="AN878" s="295">
        <v>2</v>
      </c>
      <c r="AO878" s="296">
        <f>G878/(AN878)</f>
        <v>1</v>
      </c>
      <c r="AP878" s="297">
        <f>AN878*6</f>
        <v>12</v>
      </c>
      <c r="AQ878" s="290">
        <f>G878+K878</f>
        <v>4</v>
      </c>
      <c r="AR878" s="290">
        <f>IF(G878&lt;G913,(G913-G878+K913-K878),K913-K878)</f>
        <v>0</v>
      </c>
      <c r="AS878" s="290">
        <f>21-8</f>
        <v>13</v>
      </c>
    </row>
    <row r="879" spans="1:45" ht="17.25" thickBot="1" x14ac:dyDescent="0.3">
      <c r="A879" s="464"/>
      <c r="B879" s="285">
        <v>273698</v>
      </c>
      <c r="C879" s="286">
        <v>1135752</v>
      </c>
      <c r="D879" s="286" t="s">
        <v>11</v>
      </c>
      <c r="E879" s="287">
        <v>701000000000</v>
      </c>
      <c r="F879" s="253">
        <f>G914-AK879+AL879</f>
        <v>1</v>
      </c>
      <c r="G879" s="235">
        <v>1</v>
      </c>
      <c r="H879" s="394">
        <v>2</v>
      </c>
      <c r="I879" s="232">
        <v>0</v>
      </c>
      <c r="J879" s="232"/>
      <c r="K879" s="232">
        <v>1</v>
      </c>
      <c r="L879" s="232">
        <f>IF(K910=K875,L914+AK879,K879)</f>
        <v>1</v>
      </c>
      <c r="M879" s="232">
        <f>IF(K910=K875,0,L914+AK879-K879)</f>
        <v>4</v>
      </c>
      <c r="N879" s="232">
        <v>3</v>
      </c>
      <c r="O879" s="241">
        <f>N879-G879</f>
        <v>2</v>
      </c>
      <c r="P879" s="277">
        <v>2</v>
      </c>
      <c r="Q879" s="278"/>
      <c r="R879" s="279"/>
      <c r="S879" s="279"/>
      <c r="T879" s="279"/>
      <c r="U879" s="279"/>
      <c r="V879" s="279"/>
      <c r="W879" s="279">
        <v>1</v>
      </c>
      <c r="X879" s="241"/>
      <c r="Y879" s="241"/>
      <c r="Z879" s="241"/>
      <c r="AA879" s="241"/>
      <c r="AB879" s="241"/>
      <c r="AC879" s="241"/>
      <c r="AD879" s="241"/>
      <c r="AE879" s="241"/>
      <c r="AF879" s="241"/>
      <c r="AG879" s="241"/>
      <c r="AH879" s="241"/>
      <c r="AI879" s="241"/>
      <c r="AJ879" s="241">
        <f>N879-V879</f>
        <v>3</v>
      </c>
      <c r="AK879" s="235">
        <f>G914+AL879-G879</f>
        <v>1</v>
      </c>
      <c r="AL879" s="236"/>
      <c r="AM879" s="294">
        <f>4/12</f>
        <v>0.33333333333333331</v>
      </c>
      <c r="AN879" s="295">
        <v>2</v>
      </c>
      <c r="AO879" s="296">
        <f>G879/(AN879)</f>
        <v>0.5</v>
      </c>
      <c r="AP879" s="297">
        <f>AN879*6</f>
        <v>12</v>
      </c>
      <c r="AQ879" s="290">
        <f>G879+K879</f>
        <v>2</v>
      </c>
      <c r="AR879" s="290">
        <f>IF(G879&lt;G914,(G914-G879+K914-K879),K914-K879)</f>
        <v>4</v>
      </c>
      <c r="AS879" s="290">
        <f>21-8</f>
        <v>13</v>
      </c>
    </row>
    <row r="880" spans="1:45" ht="17.25" thickBot="1" x14ac:dyDescent="0.3">
      <c r="A880" s="465"/>
      <c r="B880" s="285">
        <v>273680</v>
      </c>
      <c r="C880" s="286">
        <v>1135751</v>
      </c>
      <c r="D880" s="286" t="s">
        <v>12</v>
      </c>
      <c r="E880" s="286" t="s">
        <v>13</v>
      </c>
      <c r="F880" s="254">
        <f>G915-AK880+AL880</f>
        <v>14</v>
      </c>
      <c r="G880" s="237">
        <v>14</v>
      </c>
      <c r="H880" s="395">
        <v>8</v>
      </c>
      <c r="I880" s="238">
        <v>14</v>
      </c>
      <c r="J880" s="238"/>
      <c r="K880" s="238">
        <v>11</v>
      </c>
      <c r="L880" s="238">
        <f>IF(K910=K875,L915+AK880,K880)</f>
        <v>11</v>
      </c>
      <c r="M880" s="238">
        <f>IF(K910=K875,0,L915+AK880-K880)</f>
        <v>0</v>
      </c>
      <c r="N880" s="238">
        <v>9</v>
      </c>
      <c r="O880" s="242">
        <f>N880-G880</f>
        <v>-5</v>
      </c>
      <c r="P880" s="280"/>
      <c r="Q880" s="281"/>
      <c r="R880" s="282"/>
      <c r="S880" s="282"/>
      <c r="T880" s="282">
        <v>11</v>
      </c>
      <c r="U880" s="282"/>
      <c r="V880" s="282"/>
      <c r="W880" s="282">
        <v>9</v>
      </c>
      <c r="X880" s="242"/>
      <c r="Y880" s="242">
        <v>9</v>
      </c>
      <c r="Z880" s="242"/>
      <c r="AA880" s="242"/>
      <c r="AB880" s="242"/>
      <c r="AC880" s="242"/>
      <c r="AD880" s="242"/>
      <c r="AE880" s="242"/>
      <c r="AF880" s="242"/>
      <c r="AG880" s="242"/>
      <c r="AH880" s="242"/>
      <c r="AI880" s="242"/>
      <c r="AJ880" s="242">
        <f>N880-V880</f>
        <v>9</v>
      </c>
      <c r="AK880" s="235">
        <f>G915+AL880-G880</f>
        <v>0</v>
      </c>
      <c r="AL880" s="239"/>
      <c r="AM880" s="299">
        <f>30/12</f>
        <v>2.5</v>
      </c>
      <c r="AN880" s="300">
        <f>AM880*2</f>
        <v>5</v>
      </c>
      <c r="AO880" s="301">
        <f>G880/(AN880)</f>
        <v>2.8</v>
      </c>
      <c r="AP880" s="302">
        <f>AN880*6</f>
        <v>30</v>
      </c>
      <c r="AQ880" s="290">
        <f>G880+K880</f>
        <v>25</v>
      </c>
      <c r="AR880" s="290">
        <f>IF(G880&lt;G915,(G915-G880+K915-K880),K915-K880)</f>
        <v>0</v>
      </c>
      <c r="AS880" s="290">
        <f>21-8</f>
        <v>13</v>
      </c>
    </row>
    <row r="881" spans="1:45" ht="17.25" thickBot="1" x14ac:dyDescent="0.3">
      <c r="A881" s="466" t="s">
        <v>417</v>
      </c>
      <c r="B881" s="355" t="s">
        <v>129</v>
      </c>
      <c r="C881" s="356"/>
      <c r="D881" s="356"/>
      <c r="E881" s="359"/>
      <c r="F881" s="359"/>
      <c r="G881" s="356"/>
      <c r="H881" s="396"/>
      <c r="I881" s="356"/>
      <c r="J881" s="356"/>
      <c r="K881" s="356"/>
      <c r="L881" s="356"/>
      <c r="M881" s="356"/>
      <c r="N881" s="356"/>
      <c r="O881" s="356"/>
      <c r="P881" s="356"/>
      <c r="Q881" s="356"/>
      <c r="R881" s="356"/>
      <c r="S881" s="356"/>
      <c r="T881" s="356"/>
      <c r="U881" s="356"/>
      <c r="V881" s="356"/>
      <c r="W881" s="356"/>
      <c r="X881" s="356"/>
      <c r="Y881" s="356"/>
      <c r="Z881" s="356"/>
      <c r="AA881" s="356"/>
      <c r="AB881" s="356"/>
      <c r="AC881" s="356"/>
      <c r="AD881" s="356"/>
      <c r="AE881" s="356"/>
      <c r="AF881" s="356"/>
      <c r="AG881" s="356"/>
      <c r="AH881" s="356"/>
      <c r="AI881" s="356"/>
      <c r="AJ881" s="356"/>
      <c r="AK881" s="356"/>
      <c r="AL881" s="367"/>
      <c r="AM881" s="356"/>
      <c r="AN881" s="356"/>
      <c r="AO881" s="356"/>
      <c r="AP881" s="356"/>
      <c r="AQ881" s="356"/>
      <c r="AR881" s="356"/>
      <c r="AS881" s="357"/>
    </row>
    <row r="882" spans="1:45" ht="17.25" thickBot="1" x14ac:dyDescent="0.3">
      <c r="A882" s="467"/>
      <c r="B882" s="354"/>
      <c r="C882" s="354">
        <v>1140327</v>
      </c>
      <c r="D882" s="358" t="s">
        <v>394</v>
      </c>
      <c r="E882" s="360"/>
      <c r="F882" s="361">
        <f>G917-AK882+AL882</f>
        <v>0</v>
      </c>
      <c r="G882" s="218">
        <v>0</v>
      </c>
      <c r="H882" s="397">
        <v>23</v>
      </c>
      <c r="I882" s="218">
        <v>0</v>
      </c>
      <c r="J882" s="218"/>
      <c r="K882" s="218">
        <v>6</v>
      </c>
      <c r="L882" s="218">
        <f>IF(K910=K875,L917+AK882,K882)</f>
        <v>6</v>
      </c>
      <c r="M882" s="218">
        <f>IF(K910=K875,0,L917+AK882-K882)</f>
        <v>10</v>
      </c>
      <c r="N882" s="218"/>
      <c r="O882" s="218"/>
      <c r="P882" s="352"/>
      <c r="Q882" s="352"/>
      <c r="R882" s="352"/>
      <c r="S882" s="352"/>
      <c r="T882" s="352"/>
      <c r="U882" s="352"/>
      <c r="V882" s="218"/>
      <c r="W882" s="218"/>
      <c r="X882" s="218">
        <v>4</v>
      </c>
      <c r="Y882" s="218">
        <v>9</v>
      </c>
      <c r="Z882" s="218">
        <v>14</v>
      </c>
      <c r="AA882" s="218">
        <v>8</v>
      </c>
      <c r="AB882" s="218">
        <v>6</v>
      </c>
      <c r="AC882" s="218"/>
      <c r="AD882" s="218"/>
      <c r="AE882" s="218"/>
      <c r="AF882" s="218"/>
      <c r="AG882" s="218"/>
      <c r="AH882" s="218"/>
      <c r="AI882" s="218"/>
      <c r="AJ882" s="242">
        <f>N882-V882</f>
        <v>0</v>
      </c>
      <c r="AK882" s="274">
        <f>G917+AL882-G882</f>
        <v>8</v>
      </c>
      <c r="AL882" s="232"/>
      <c r="AM882" s="353"/>
      <c r="AN882" s="295"/>
      <c r="AO882" s="296"/>
      <c r="AP882" s="353"/>
      <c r="AQ882" s="290"/>
      <c r="AR882" s="290"/>
      <c r="AS882" s="290"/>
    </row>
    <row r="883" spans="1:45" ht="17.25" thickBot="1" x14ac:dyDescent="0.3">
      <c r="A883" s="467"/>
      <c r="B883" s="354"/>
      <c r="C883" s="285">
        <v>1151231</v>
      </c>
      <c r="D883" s="358" t="s">
        <v>395</v>
      </c>
      <c r="E883" s="360"/>
      <c r="F883" s="361">
        <f>G918-AK883+AL883</f>
        <v>8</v>
      </c>
      <c r="G883" s="369">
        <v>8</v>
      </c>
      <c r="H883" s="397">
        <v>13</v>
      </c>
      <c r="I883" s="218">
        <v>8</v>
      </c>
      <c r="J883" s="218"/>
      <c r="K883" s="218">
        <v>9</v>
      </c>
      <c r="L883" s="218">
        <f>IF(K910=K875,L918+AK883,K883)</f>
        <v>9</v>
      </c>
      <c r="M883" s="218">
        <f>IF(K910=K875,0,L918+AK883-K883)</f>
        <v>2</v>
      </c>
      <c r="N883" s="218"/>
      <c r="O883" s="218"/>
      <c r="P883" s="352"/>
      <c r="Q883" s="352"/>
      <c r="R883" s="352"/>
      <c r="S883" s="352"/>
      <c r="T883" s="352"/>
      <c r="U883" s="352"/>
      <c r="V883" s="218"/>
      <c r="W883" s="218"/>
      <c r="X883" s="218">
        <v>3</v>
      </c>
      <c r="Y883" s="218">
        <v>8</v>
      </c>
      <c r="Z883" s="218">
        <v>6</v>
      </c>
      <c r="AA883" s="218"/>
      <c r="AB883" s="218"/>
      <c r="AC883" s="218"/>
      <c r="AD883" s="218"/>
      <c r="AE883" s="218"/>
      <c r="AF883" s="218"/>
      <c r="AG883" s="218"/>
      <c r="AH883" s="218"/>
      <c r="AI883" s="218"/>
      <c r="AJ883" s="242">
        <f>N883-V883</f>
        <v>0</v>
      </c>
      <c r="AK883" s="274">
        <f>G918+AL883-G883</f>
        <v>4</v>
      </c>
      <c r="AL883" s="232"/>
      <c r="AM883" s="353"/>
      <c r="AN883" s="295"/>
      <c r="AO883" s="296"/>
      <c r="AP883" s="353"/>
      <c r="AQ883" s="290"/>
      <c r="AR883" s="290"/>
      <c r="AS883" s="290"/>
    </row>
    <row r="884" spans="1:45" ht="17.25" thickBot="1" x14ac:dyDescent="0.3">
      <c r="A884" s="467"/>
      <c r="B884" s="355" t="s">
        <v>420</v>
      </c>
      <c r="C884" s="356"/>
      <c r="D884" s="356"/>
      <c r="E884" s="359"/>
      <c r="F884" s="359"/>
      <c r="G884" s="356"/>
      <c r="H884" s="396"/>
      <c r="I884" s="356"/>
      <c r="J884" s="356"/>
      <c r="K884" s="356"/>
      <c r="L884" s="356"/>
      <c r="M884" s="356"/>
      <c r="N884" s="356"/>
      <c r="O884" s="356"/>
      <c r="P884" s="356"/>
      <c r="Q884" s="356"/>
      <c r="R884" s="356"/>
      <c r="S884" s="356"/>
      <c r="T884" s="356"/>
      <c r="U884" s="356"/>
      <c r="V884" s="356"/>
      <c r="W884" s="356"/>
      <c r="X884" s="356"/>
      <c r="Y884" s="356"/>
      <c r="Z884" s="356"/>
      <c r="AA884" s="356"/>
      <c r="AB884" s="356"/>
      <c r="AC884" s="356"/>
      <c r="AD884" s="356"/>
      <c r="AE884" s="356"/>
      <c r="AF884" s="356"/>
      <c r="AG884" s="356"/>
      <c r="AH884" s="356"/>
      <c r="AI884" s="356"/>
      <c r="AJ884" s="356"/>
      <c r="AK884" s="356"/>
      <c r="AL884" s="368"/>
      <c r="AM884" s="356"/>
      <c r="AN884" s="356"/>
      <c r="AO884" s="356"/>
      <c r="AP884" s="356"/>
      <c r="AQ884" s="356"/>
      <c r="AR884" s="356"/>
      <c r="AS884" s="357"/>
    </row>
    <row r="885" spans="1:45" ht="17.25" thickBot="1" x14ac:dyDescent="0.3">
      <c r="A885" s="467"/>
      <c r="B885" s="354"/>
      <c r="C885" s="285">
        <v>1146032</v>
      </c>
      <c r="D885" s="358" t="s">
        <v>396</v>
      </c>
      <c r="E885" s="360"/>
      <c r="F885" s="361">
        <f>G920-AK885+AL885</f>
        <v>0</v>
      </c>
      <c r="G885" s="364">
        <v>0</v>
      </c>
      <c r="H885" s="397">
        <v>1</v>
      </c>
      <c r="I885" s="364">
        <v>0</v>
      </c>
      <c r="J885" s="364"/>
      <c r="K885" s="364">
        <v>1</v>
      </c>
      <c r="L885" s="218"/>
      <c r="M885" s="218"/>
      <c r="N885" s="218"/>
      <c r="O885" s="218"/>
      <c r="P885" s="352"/>
      <c r="Q885" s="352"/>
      <c r="R885" s="352"/>
      <c r="S885" s="352"/>
      <c r="T885" s="352"/>
      <c r="U885" s="352"/>
      <c r="V885" s="218"/>
      <c r="W885" s="218"/>
      <c r="X885" s="218"/>
      <c r="Y885" s="218"/>
      <c r="Z885" s="218"/>
      <c r="AA885" s="218"/>
      <c r="AB885" s="218"/>
      <c r="AC885" s="218"/>
      <c r="AD885" s="218"/>
      <c r="AE885" s="218"/>
      <c r="AF885" s="218"/>
      <c r="AG885" s="218"/>
      <c r="AH885" s="218"/>
      <c r="AI885" s="218"/>
      <c r="AJ885" s="218"/>
      <c r="AK885" s="218">
        <f>G920+AL885-G885</f>
        <v>0</v>
      </c>
      <c r="AL885" s="218"/>
      <c r="AM885" s="353"/>
      <c r="AN885" s="295"/>
      <c r="AO885" s="296"/>
      <c r="AP885" s="353"/>
      <c r="AQ885" s="290"/>
      <c r="AR885" s="290"/>
      <c r="AS885" s="290"/>
    </row>
    <row r="886" spans="1:45" ht="17.25" thickBot="1" x14ac:dyDescent="0.3">
      <c r="A886" s="467"/>
      <c r="B886" s="354"/>
      <c r="C886" s="285">
        <v>1146021</v>
      </c>
      <c r="D886" s="358" t="s">
        <v>397</v>
      </c>
      <c r="E886" s="360"/>
      <c r="F886" s="361">
        <f>G921-AK886+AL886</f>
        <v>0</v>
      </c>
      <c r="G886" s="364">
        <v>0</v>
      </c>
      <c r="H886" s="397">
        <v>2</v>
      </c>
      <c r="I886" s="364">
        <v>0</v>
      </c>
      <c r="J886" s="364"/>
      <c r="K886" s="364">
        <v>2</v>
      </c>
      <c r="L886" s="218"/>
      <c r="M886" s="218"/>
      <c r="N886" s="218"/>
      <c r="O886" s="218"/>
      <c r="P886" s="352"/>
      <c r="Q886" s="352"/>
      <c r="R886" s="352"/>
      <c r="S886" s="352"/>
      <c r="T886" s="352"/>
      <c r="U886" s="352"/>
      <c r="V886" s="218"/>
      <c r="W886" s="218"/>
      <c r="X886" s="218"/>
      <c r="Y886" s="218"/>
      <c r="Z886" s="218"/>
      <c r="AA886" s="218"/>
      <c r="AB886" s="218"/>
      <c r="AC886" s="218"/>
      <c r="AD886" s="218"/>
      <c r="AE886" s="218"/>
      <c r="AF886" s="218"/>
      <c r="AG886" s="218"/>
      <c r="AH886" s="218"/>
      <c r="AI886" s="218"/>
      <c r="AJ886" s="218"/>
      <c r="AK886" s="218">
        <f>G921+AL886-G886</f>
        <v>0</v>
      </c>
      <c r="AL886" s="218"/>
      <c r="AM886" s="353"/>
      <c r="AN886" s="295"/>
      <c r="AO886" s="296"/>
      <c r="AP886" s="353"/>
      <c r="AQ886" s="290"/>
      <c r="AR886" s="290"/>
      <c r="AS886" s="290"/>
    </row>
    <row r="887" spans="1:45" ht="17.25" thickBot="1" x14ac:dyDescent="0.3">
      <c r="A887" s="467"/>
      <c r="B887" s="354"/>
      <c r="C887" s="285">
        <v>1146018</v>
      </c>
      <c r="D887" s="358" t="s">
        <v>398</v>
      </c>
      <c r="E887" s="360"/>
      <c r="F887" s="361">
        <f>G922-AK887+AL887</f>
        <v>2</v>
      </c>
      <c r="G887" s="369">
        <v>2</v>
      </c>
      <c r="H887" s="397">
        <v>1</v>
      </c>
      <c r="I887" s="364">
        <v>2</v>
      </c>
      <c r="J887" s="364"/>
      <c r="K887" s="364">
        <v>0</v>
      </c>
      <c r="L887" s="218"/>
      <c r="M887" s="218"/>
      <c r="N887" s="218"/>
      <c r="O887" s="218"/>
      <c r="P887" s="352"/>
      <c r="Q887" s="352"/>
      <c r="R887" s="352"/>
      <c r="S887" s="352"/>
      <c r="T887" s="352"/>
      <c r="U887" s="352"/>
      <c r="V887" s="218"/>
      <c r="W887" s="218"/>
      <c r="X887" s="218"/>
      <c r="Y887" s="218"/>
      <c r="Z887" s="218"/>
      <c r="AA887" s="218"/>
      <c r="AB887" s="218"/>
      <c r="AC887" s="218"/>
      <c r="AD887" s="218"/>
      <c r="AE887" s="218"/>
      <c r="AF887" s="218"/>
      <c r="AG887" s="218"/>
      <c r="AH887" s="218"/>
      <c r="AI887" s="218"/>
      <c r="AJ887" s="218"/>
      <c r="AK887" s="218">
        <f>G922+AL887-G887</f>
        <v>0</v>
      </c>
      <c r="AL887" s="218"/>
      <c r="AM887" s="353"/>
      <c r="AN887" s="295"/>
      <c r="AO887" s="296"/>
      <c r="AP887" s="353"/>
      <c r="AQ887" s="290"/>
      <c r="AR887" s="290"/>
      <c r="AS887" s="290"/>
    </row>
    <row r="888" spans="1:45" ht="17.25" thickBot="1" x14ac:dyDescent="0.3">
      <c r="A888" s="467"/>
      <c r="B888" s="354"/>
      <c r="C888" s="285">
        <v>1146024</v>
      </c>
      <c r="D888" s="358" t="s">
        <v>399</v>
      </c>
      <c r="E888" s="360"/>
      <c r="F888" s="361">
        <v>1</v>
      </c>
      <c r="G888" s="369">
        <v>2</v>
      </c>
      <c r="H888" s="369">
        <v>2</v>
      </c>
      <c r="I888" s="369">
        <v>2</v>
      </c>
      <c r="J888" s="369"/>
      <c r="K888" s="369">
        <v>0</v>
      </c>
      <c r="L888" s="218"/>
      <c r="M888" s="218"/>
      <c r="N888" s="218"/>
      <c r="O888" s="218"/>
      <c r="P888" s="352"/>
      <c r="Q888" s="352"/>
      <c r="R888" s="352"/>
      <c r="S888" s="352"/>
      <c r="T888" s="352"/>
      <c r="U888" s="352"/>
      <c r="V888" s="218"/>
      <c r="W888" s="218"/>
      <c r="X888" s="218"/>
      <c r="Y888" s="218"/>
      <c r="Z888" s="218"/>
      <c r="AA888" s="218">
        <v>1</v>
      </c>
      <c r="AB888" s="218"/>
      <c r="AC888" s="218"/>
      <c r="AD888" s="218"/>
      <c r="AE888" s="218"/>
      <c r="AF888" s="218"/>
      <c r="AG888" s="218"/>
      <c r="AH888" s="218"/>
      <c r="AI888" s="218"/>
      <c r="AJ888" s="218"/>
      <c r="AK888" s="218">
        <f>G923+AL888-G888</f>
        <v>0</v>
      </c>
      <c r="AL888" s="218"/>
      <c r="AM888" s="353"/>
      <c r="AN888" s="295"/>
      <c r="AO888" s="296"/>
      <c r="AP888" s="353"/>
      <c r="AQ888" s="290"/>
      <c r="AR888" s="290"/>
      <c r="AS888" s="290"/>
    </row>
    <row r="889" spans="1:45" ht="17.25" thickBot="1" x14ac:dyDescent="0.3">
      <c r="A889" s="467"/>
      <c r="B889" s="354"/>
      <c r="C889" s="285">
        <v>1146028</v>
      </c>
      <c r="D889" s="358" t="s">
        <v>400</v>
      </c>
      <c r="E889" s="360"/>
      <c r="F889" s="361">
        <f>G924-AK889+AL889</f>
        <v>0</v>
      </c>
      <c r="G889" s="364">
        <v>0</v>
      </c>
      <c r="H889" s="397">
        <v>2</v>
      </c>
      <c r="I889" s="364">
        <v>0</v>
      </c>
      <c r="J889" s="364"/>
      <c r="K889" s="364">
        <v>0</v>
      </c>
      <c r="L889" s="218"/>
      <c r="M889" s="218"/>
      <c r="N889" s="218"/>
      <c r="O889" s="218"/>
      <c r="P889" s="352"/>
      <c r="Q889" s="352"/>
      <c r="R889" s="352"/>
      <c r="S889" s="352"/>
      <c r="T889" s="352"/>
      <c r="U889" s="352"/>
      <c r="V889" s="218"/>
      <c r="W889" s="218"/>
      <c r="X889" s="218"/>
      <c r="Y889" s="218"/>
      <c r="Z889" s="218"/>
      <c r="AA889" s="218"/>
      <c r="AB889" s="218"/>
      <c r="AC889" s="218"/>
      <c r="AD889" s="218"/>
      <c r="AE889" s="218"/>
      <c r="AF889" s="218"/>
      <c r="AG889" s="218"/>
      <c r="AH889" s="218"/>
      <c r="AI889" s="218"/>
      <c r="AJ889" s="218"/>
      <c r="AK889" s="218">
        <f>G924+AL889-G889</f>
        <v>0</v>
      </c>
      <c r="AL889" s="218"/>
      <c r="AM889" s="353"/>
      <c r="AN889" s="295"/>
      <c r="AO889" s="296"/>
      <c r="AP889" s="353"/>
      <c r="AQ889" s="290"/>
      <c r="AR889" s="290"/>
      <c r="AS889" s="290"/>
    </row>
    <row r="890" spans="1:45" ht="17.25" thickBot="1" x14ac:dyDescent="0.3">
      <c r="A890" s="467"/>
      <c r="B890" s="355" t="s">
        <v>419</v>
      </c>
      <c r="C890" s="356"/>
      <c r="D890" s="356"/>
      <c r="E890" s="359"/>
      <c r="F890" s="359"/>
      <c r="G890" s="356"/>
      <c r="H890" s="396"/>
      <c r="I890" s="356"/>
      <c r="J890" s="356"/>
      <c r="K890" s="356"/>
      <c r="L890" s="356"/>
      <c r="M890" s="356"/>
      <c r="N890" s="356"/>
      <c r="O890" s="356"/>
      <c r="P890" s="356"/>
      <c r="Q890" s="356"/>
      <c r="R890" s="356"/>
      <c r="S890" s="356"/>
      <c r="T890" s="356"/>
      <c r="U890" s="356"/>
      <c r="V890" s="356"/>
      <c r="W890" s="356"/>
      <c r="X890" s="356"/>
      <c r="Y890" s="356"/>
      <c r="Z890" s="356"/>
      <c r="AA890" s="356"/>
      <c r="AB890" s="356"/>
      <c r="AC890" s="356"/>
      <c r="AD890" s="356"/>
      <c r="AE890" s="356"/>
      <c r="AF890" s="356"/>
      <c r="AG890" s="356"/>
      <c r="AH890" s="356"/>
      <c r="AI890" s="356"/>
      <c r="AJ890" s="356"/>
      <c r="AK890" s="356"/>
      <c r="AL890" s="356"/>
      <c r="AM890" s="356"/>
      <c r="AN890" s="356"/>
      <c r="AO890" s="356"/>
      <c r="AP890" s="356"/>
      <c r="AQ890" s="356"/>
      <c r="AR890" s="356"/>
      <c r="AS890" s="357"/>
    </row>
    <row r="891" spans="1:45" ht="17.25" thickBot="1" x14ac:dyDescent="0.3">
      <c r="A891" s="467"/>
      <c r="B891" s="372"/>
      <c r="C891" s="373">
        <v>1146031</v>
      </c>
      <c r="D891" s="374" t="s">
        <v>401</v>
      </c>
      <c r="E891" s="375"/>
      <c r="F891" s="376">
        <f>G926-AK891+AL891</f>
        <v>2</v>
      </c>
      <c r="G891" s="377">
        <v>2</v>
      </c>
      <c r="H891" s="397">
        <v>1</v>
      </c>
      <c r="I891" s="377">
        <v>2</v>
      </c>
      <c r="J891" s="377"/>
      <c r="K891" s="377">
        <v>2</v>
      </c>
      <c r="L891" s="377"/>
      <c r="M891" s="377"/>
      <c r="N891" s="377"/>
      <c r="O891" s="377"/>
      <c r="P891" s="377"/>
      <c r="Q891" s="377"/>
      <c r="R891" s="377"/>
      <c r="S891" s="377"/>
      <c r="T891" s="377"/>
      <c r="U891" s="377"/>
      <c r="V891" s="377"/>
      <c r="W891" s="377"/>
      <c r="X891" s="377"/>
      <c r="Y891" s="377"/>
      <c r="Z891" s="377"/>
      <c r="AA891" s="377"/>
      <c r="AB891" s="377"/>
      <c r="AC891" s="377"/>
      <c r="AD891" s="377"/>
      <c r="AE891" s="377"/>
      <c r="AF891" s="377"/>
      <c r="AG891" s="377"/>
      <c r="AH891" s="377"/>
      <c r="AI891" s="377"/>
      <c r="AJ891" s="377"/>
      <c r="AK891" s="377">
        <f>G926+AL891-G891</f>
        <v>0</v>
      </c>
      <c r="AL891" s="377"/>
      <c r="AM891" s="378"/>
      <c r="AN891" s="379"/>
      <c r="AO891" s="380"/>
      <c r="AP891" s="378"/>
      <c r="AQ891" s="381"/>
      <c r="AR891" s="381"/>
      <c r="AS891" s="381"/>
    </row>
    <row r="892" spans="1:45" ht="17.25" thickBot="1" x14ac:dyDescent="0.3">
      <c r="A892" s="467"/>
      <c r="B892" s="372"/>
      <c r="C892" s="373">
        <v>1146020</v>
      </c>
      <c r="D892" s="374" t="s">
        <v>402</v>
      </c>
      <c r="E892" s="375"/>
      <c r="F892" s="376">
        <f>G927-AK892+AL892</f>
        <v>0</v>
      </c>
      <c r="G892" s="377">
        <v>0</v>
      </c>
      <c r="H892" s="397">
        <v>1</v>
      </c>
      <c r="I892" s="377">
        <v>0</v>
      </c>
      <c r="J892" s="377"/>
      <c r="K892" s="377">
        <v>0</v>
      </c>
      <c r="L892" s="377"/>
      <c r="M892" s="377"/>
      <c r="N892" s="377"/>
      <c r="O892" s="377"/>
      <c r="P892" s="377"/>
      <c r="Q892" s="377"/>
      <c r="R892" s="377"/>
      <c r="S892" s="377"/>
      <c r="T892" s="377"/>
      <c r="U892" s="377"/>
      <c r="V892" s="377"/>
      <c r="W892" s="377"/>
      <c r="X892" s="377"/>
      <c r="Y892" s="377"/>
      <c r="Z892" s="377"/>
      <c r="AA892" s="377"/>
      <c r="AB892" s="377"/>
      <c r="AC892" s="377"/>
      <c r="AD892" s="377"/>
      <c r="AE892" s="377"/>
      <c r="AF892" s="377"/>
      <c r="AG892" s="377"/>
      <c r="AH892" s="377"/>
      <c r="AI892" s="377"/>
      <c r="AJ892" s="377"/>
      <c r="AK892" s="377">
        <f>G927+AL892-G892</f>
        <v>0</v>
      </c>
      <c r="AL892" s="377"/>
      <c r="AM892" s="378"/>
      <c r="AN892" s="379"/>
      <c r="AO892" s="380"/>
      <c r="AP892" s="378"/>
      <c r="AQ892" s="381"/>
      <c r="AR892" s="381"/>
      <c r="AS892" s="381"/>
    </row>
    <row r="893" spans="1:45" ht="17.25" thickBot="1" x14ac:dyDescent="0.3">
      <c r="A893" s="467"/>
      <c r="B893" s="372"/>
      <c r="C893" s="373">
        <v>1146016</v>
      </c>
      <c r="D893" s="374" t="s">
        <v>398</v>
      </c>
      <c r="E893" s="375"/>
      <c r="F893" s="376">
        <f>G928-AK893+AL893</f>
        <v>0</v>
      </c>
      <c r="G893" s="377">
        <v>0</v>
      </c>
      <c r="H893" s="397">
        <v>1</v>
      </c>
      <c r="I893" s="377">
        <v>0</v>
      </c>
      <c r="J893" s="377"/>
      <c r="K893" s="377">
        <v>0</v>
      </c>
      <c r="L893" s="377"/>
      <c r="M893" s="377"/>
      <c r="N893" s="377"/>
      <c r="O893" s="377"/>
      <c r="P893" s="377"/>
      <c r="Q893" s="377"/>
      <c r="R893" s="377"/>
      <c r="S893" s="377"/>
      <c r="T893" s="377"/>
      <c r="U893" s="377"/>
      <c r="V893" s="377"/>
      <c r="W893" s="377"/>
      <c r="X893" s="377"/>
      <c r="Y893" s="377"/>
      <c r="Z893" s="377"/>
      <c r="AA893" s="377"/>
      <c r="AB893" s="377"/>
      <c r="AC893" s="377"/>
      <c r="AD893" s="377"/>
      <c r="AE893" s="377"/>
      <c r="AF893" s="377"/>
      <c r="AG893" s="377"/>
      <c r="AH893" s="377"/>
      <c r="AI893" s="377"/>
      <c r="AJ893" s="377"/>
      <c r="AK893" s="377">
        <f>G928+AL893-G893</f>
        <v>0</v>
      </c>
      <c r="AL893" s="377"/>
      <c r="AM893" s="378"/>
      <c r="AN893" s="379"/>
      <c r="AO893" s="380"/>
      <c r="AP893" s="378"/>
      <c r="AQ893" s="381"/>
      <c r="AR893" s="381"/>
      <c r="AS893" s="381"/>
    </row>
    <row r="894" spans="1:45" ht="17.25" thickBot="1" x14ac:dyDescent="0.3">
      <c r="A894" s="467"/>
      <c r="B894" s="372"/>
      <c r="C894" s="373">
        <v>1146022</v>
      </c>
      <c r="D894" s="374" t="s">
        <v>403</v>
      </c>
      <c r="E894" s="375"/>
      <c r="F894" s="376">
        <f>G929-AK894+AL894</f>
        <v>0</v>
      </c>
      <c r="G894" s="377">
        <v>0</v>
      </c>
      <c r="H894" s="397">
        <v>2</v>
      </c>
      <c r="I894" s="377">
        <v>0</v>
      </c>
      <c r="J894" s="377"/>
      <c r="K894" s="377">
        <v>0</v>
      </c>
      <c r="L894" s="377"/>
      <c r="M894" s="377"/>
      <c r="N894" s="377"/>
      <c r="O894" s="377"/>
      <c r="P894" s="377"/>
      <c r="Q894" s="377"/>
      <c r="R894" s="377"/>
      <c r="S894" s="377"/>
      <c r="T894" s="377"/>
      <c r="U894" s="377"/>
      <c r="V894" s="377"/>
      <c r="W894" s="377"/>
      <c r="X894" s="377"/>
      <c r="Y894" s="377"/>
      <c r="Z894" s="377"/>
      <c r="AA894" s="377"/>
      <c r="AB894" s="377"/>
      <c r="AC894" s="377"/>
      <c r="AD894" s="377"/>
      <c r="AE894" s="377"/>
      <c r="AF894" s="377"/>
      <c r="AG894" s="377"/>
      <c r="AH894" s="377"/>
      <c r="AI894" s="377"/>
      <c r="AJ894" s="377"/>
      <c r="AK894" s="377">
        <f>G929+AL894-G894</f>
        <v>0</v>
      </c>
      <c r="AL894" s="377"/>
      <c r="AM894" s="378"/>
      <c r="AN894" s="379"/>
      <c r="AO894" s="380"/>
      <c r="AP894" s="378"/>
      <c r="AQ894" s="381"/>
      <c r="AR894" s="381"/>
      <c r="AS894" s="381"/>
    </row>
    <row r="895" spans="1:45" ht="17.25" thickBot="1" x14ac:dyDescent="0.3">
      <c r="A895" s="467"/>
      <c r="B895" s="372"/>
      <c r="C895" s="373">
        <v>1146027</v>
      </c>
      <c r="D895" s="374" t="s">
        <v>404</v>
      </c>
      <c r="E895" s="375"/>
      <c r="F895" s="376">
        <f>G930-AK895+AL895</f>
        <v>0</v>
      </c>
      <c r="G895" s="377">
        <v>0</v>
      </c>
      <c r="H895" s="397">
        <v>2</v>
      </c>
      <c r="I895" s="377">
        <v>0</v>
      </c>
      <c r="J895" s="377"/>
      <c r="K895" s="377">
        <v>0</v>
      </c>
      <c r="L895" s="377"/>
      <c r="M895" s="377"/>
      <c r="N895" s="377"/>
      <c r="O895" s="377"/>
      <c r="P895" s="377"/>
      <c r="Q895" s="377"/>
      <c r="R895" s="377"/>
      <c r="S895" s="377"/>
      <c r="T895" s="377"/>
      <c r="U895" s="377"/>
      <c r="V895" s="377"/>
      <c r="W895" s="377"/>
      <c r="X895" s="377"/>
      <c r="Y895" s="377"/>
      <c r="Z895" s="377"/>
      <c r="AA895" s="377"/>
      <c r="AB895" s="377"/>
      <c r="AC895" s="377"/>
      <c r="AD895" s="377"/>
      <c r="AE895" s="377"/>
      <c r="AF895" s="377"/>
      <c r="AG895" s="377"/>
      <c r="AH895" s="377"/>
      <c r="AI895" s="377"/>
      <c r="AJ895" s="377"/>
      <c r="AK895" s="377">
        <f>G930+AL895-G895</f>
        <v>0</v>
      </c>
      <c r="AL895" s="377"/>
      <c r="AM895" s="378"/>
      <c r="AN895" s="379"/>
      <c r="AO895" s="380"/>
      <c r="AP895" s="378"/>
      <c r="AQ895" s="381"/>
      <c r="AR895" s="381"/>
      <c r="AS895" s="381"/>
    </row>
    <row r="896" spans="1:45" ht="17.25" thickBot="1" x14ac:dyDescent="0.3">
      <c r="A896" s="467"/>
      <c r="B896" s="355" t="s">
        <v>418</v>
      </c>
      <c r="C896" s="356"/>
      <c r="D896" s="356"/>
      <c r="E896" s="359"/>
      <c r="F896" s="359"/>
      <c r="G896" s="356"/>
      <c r="H896" s="396"/>
      <c r="I896" s="356"/>
      <c r="J896" s="356"/>
      <c r="K896" s="356"/>
      <c r="L896" s="356"/>
      <c r="M896" s="356"/>
      <c r="N896" s="356"/>
      <c r="O896" s="356"/>
      <c r="P896" s="356"/>
      <c r="Q896" s="356"/>
      <c r="R896" s="356"/>
      <c r="S896" s="356"/>
      <c r="T896" s="356"/>
      <c r="U896" s="356"/>
      <c r="V896" s="356"/>
      <c r="W896" s="356"/>
      <c r="X896" s="356"/>
      <c r="Y896" s="356"/>
      <c r="Z896" s="356"/>
      <c r="AA896" s="356"/>
      <c r="AB896" s="356"/>
      <c r="AC896" s="356"/>
      <c r="AD896" s="356"/>
      <c r="AE896" s="356"/>
      <c r="AF896" s="356"/>
      <c r="AG896" s="356"/>
      <c r="AH896" s="356"/>
      <c r="AI896" s="356"/>
      <c r="AJ896" s="356"/>
      <c r="AK896" s="356"/>
      <c r="AL896" s="356"/>
      <c r="AM896" s="356"/>
      <c r="AN896" s="356"/>
      <c r="AO896" s="356"/>
      <c r="AP896" s="356"/>
      <c r="AQ896" s="356"/>
      <c r="AR896" s="356"/>
      <c r="AS896" s="357"/>
    </row>
    <row r="897" spans="1:45" ht="17.25" thickBot="1" x14ac:dyDescent="0.3">
      <c r="A897" s="467"/>
      <c r="B897" s="354"/>
      <c r="C897" s="285">
        <v>1151653</v>
      </c>
      <c r="D897" s="358" t="s">
        <v>405</v>
      </c>
      <c r="E897" s="360"/>
      <c r="F897" s="361">
        <f>G932-AK897+AL897</f>
        <v>0</v>
      </c>
      <c r="G897" s="364">
        <v>0</v>
      </c>
      <c r="H897" s="397">
        <v>1</v>
      </c>
      <c r="I897" s="364">
        <v>0</v>
      </c>
      <c r="J897" s="364"/>
      <c r="K897" s="364">
        <v>0</v>
      </c>
      <c r="L897" s="218"/>
      <c r="M897" s="218"/>
      <c r="N897" s="218"/>
      <c r="O897" s="218"/>
      <c r="P897" s="352"/>
      <c r="Q897" s="352"/>
      <c r="R897" s="352"/>
      <c r="S897" s="352"/>
      <c r="T897" s="352"/>
      <c r="U897" s="352"/>
      <c r="V897" s="218"/>
      <c r="W897" s="218"/>
      <c r="X897" s="218"/>
      <c r="Y897" s="218"/>
      <c r="Z897" s="218"/>
      <c r="AA897" s="218"/>
      <c r="AB897" s="218"/>
      <c r="AC897" s="218"/>
      <c r="AD897" s="218"/>
      <c r="AE897" s="218"/>
      <c r="AF897" s="218"/>
      <c r="AG897" s="218"/>
      <c r="AH897" s="218"/>
      <c r="AI897" s="218"/>
      <c r="AJ897" s="218"/>
      <c r="AK897" s="218">
        <f>G932+AL897-G897</f>
        <v>0</v>
      </c>
      <c r="AL897" s="218"/>
      <c r="AM897" s="353"/>
      <c r="AN897" s="295"/>
      <c r="AO897" s="296"/>
      <c r="AP897" s="353"/>
      <c r="AQ897" s="290"/>
      <c r="AR897" s="290"/>
      <c r="AS897" s="290"/>
    </row>
    <row r="898" spans="1:45" ht="17.25" thickBot="1" x14ac:dyDescent="0.3">
      <c r="A898" s="467"/>
      <c r="B898" s="354"/>
      <c r="C898" s="285">
        <v>1151650</v>
      </c>
      <c r="D898" s="358" t="s">
        <v>406</v>
      </c>
      <c r="E898" s="360"/>
      <c r="F898" s="361">
        <f>G933-AK898+AL898</f>
        <v>0</v>
      </c>
      <c r="G898" s="364">
        <v>0</v>
      </c>
      <c r="H898" s="397">
        <v>2</v>
      </c>
      <c r="I898" s="364">
        <v>0</v>
      </c>
      <c r="J898" s="364"/>
      <c r="K898" s="364">
        <v>5</v>
      </c>
      <c r="L898" s="218"/>
      <c r="M898" s="218"/>
      <c r="N898" s="218"/>
      <c r="O898" s="218"/>
      <c r="P898" s="352"/>
      <c r="Q898" s="352"/>
      <c r="R898" s="352"/>
      <c r="S898" s="352"/>
      <c r="T898" s="352"/>
      <c r="U898" s="352"/>
      <c r="V898" s="218"/>
      <c r="W898" s="218"/>
      <c r="X898" s="218"/>
      <c r="Y898" s="218"/>
      <c r="Z898" s="218"/>
      <c r="AA898" s="218"/>
      <c r="AB898" s="218"/>
      <c r="AC898" s="218"/>
      <c r="AD898" s="218"/>
      <c r="AE898" s="218"/>
      <c r="AF898" s="218"/>
      <c r="AG898" s="218"/>
      <c r="AH898" s="218"/>
      <c r="AI898" s="218"/>
      <c r="AJ898" s="218"/>
      <c r="AK898" s="218">
        <f>G933+AL898-G898</f>
        <v>0</v>
      </c>
      <c r="AL898" s="218"/>
      <c r="AM898" s="353"/>
      <c r="AN898" s="295"/>
      <c r="AO898" s="296"/>
      <c r="AP898" s="353"/>
      <c r="AQ898" s="290"/>
      <c r="AR898" s="290"/>
      <c r="AS898" s="290"/>
    </row>
    <row r="899" spans="1:45" ht="17.25" thickBot="1" x14ac:dyDescent="0.3">
      <c r="A899" s="467"/>
      <c r="B899" s="354"/>
      <c r="C899" s="285">
        <v>1151649</v>
      </c>
      <c r="D899" s="358" t="s">
        <v>407</v>
      </c>
      <c r="E899" s="360"/>
      <c r="F899" s="361">
        <f>G934-AK899+AL899</f>
        <v>2</v>
      </c>
      <c r="G899" s="369">
        <v>2</v>
      </c>
      <c r="H899" s="369">
        <v>4</v>
      </c>
      <c r="I899" s="369">
        <v>2</v>
      </c>
      <c r="J899" s="369"/>
      <c r="K899" s="369">
        <v>0</v>
      </c>
      <c r="L899" s="218"/>
      <c r="M899" s="218"/>
      <c r="N899" s="218"/>
      <c r="O899" s="218"/>
      <c r="P899" s="352"/>
      <c r="Q899" s="352"/>
      <c r="R899" s="352"/>
      <c r="S899" s="352"/>
      <c r="T899" s="352"/>
      <c r="U899" s="352"/>
      <c r="V899" s="218"/>
      <c r="W899" s="218"/>
      <c r="X899" s="218"/>
      <c r="Y899" s="218"/>
      <c r="Z899" s="218"/>
      <c r="AA899" s="218"/>
      <c r="AB899" s="218"/>
      <c r="AC899" s="218"/>
      <c r="AD899" s="218"/>
      <c r="AE899" s="218"/>
      <c r="AF899" s="218"/>
      <c r="AG899" s="218"/>
      <c r="AH899" s="218"/>
      <c r="AI899" s="218"/>
      <c r="AJ899" s="218"/>
      <c r="AK899" s="218">
        <f>G934+AL899-G899</f>
        <v>0</v>
      </c>
      <c r="AL899" s="218"/>
      <c r="AM899" s="353"/>
      <c r="AN899" s="295"/>
      <c r="AO899" s="296"/>
      <c r="AP899" s="353"/>
      <c r="AQ899" s="290"/>
      <c r="AR899" s="290"/>
      <c r="AS899" s="290"/>
    </row>
    <row r="900" spans="1:45" ht="17.25" thickBot="1" x14ac:dyDescent="0.3">
      <c r="A900" s="467"/>
      <c r="B900" s="354"/>
      <c r="C900" s="285">
        <v>1151651</v>
      </c>
      <c r="D900" s="358" t="s">
        <v>408</v>
      </c>
      <c r="E900" s="360"/>
      <c r="F900" s="361">
        <f>G935-AK900+AL900</f>
        <v>3</v>
      </c>
      <c r="G900" s="369">
        <v>3</v>
      </c>
      <c r="H900" s="369">
        <v>1</v>
      </c>
      <c r="I900" s="369">
        <v>3</v>
      </c>
      <c r="J900" s="369"/>
      <c r="K900" s="369">
        <v>0</v>
      </c>
      <c r="L900" s="218"/>
      <c r="M900" s="218"/>
      <c r="N900" s="218"/>
      <c r="O900" s="218"/>
      <c r="P900" s="352"/>
      <c r="Q900" s="352"/>
      <c r="R900" s="352"/>
      <c r="S900" s="352"/>
      <c r="T900" s="352"/>
      <c r="U900" s="352"/>
      <c r="V900" s="218"/>
      <c r="W900" s="218"/>
      <c r="X900" s="218"/>
      <c r="Y900" s="218"/>
      <c r="Z900" s="218">
        <v>2</v>
      </c>
      <c r="AA900" s="218"/>
      <c r="AB900" s="218"/>
      <c r="AC900" s="218"/>
      <c r="AD900" s="218"/>
      <c r="AE900" s="218"/>
      <c r="AF900" s="218"/>
      <c r="AG900" s="218"/>
      <c r="AH900" s="218"/>
      <c r="AI900" s="218"/>
      <c r="AJ900" s="218"/>
      <c r="AK900" s="218">
        <f>G935+AL900-G900</f>
        <v>0</v>
      </c>
      <c r="AL900" s="218"/>
      <c r="AM900" s="353"/>
      <c r="AN900" s="295"/>
      <c r="AO900" s="296"/>
      <c r="AP900" s="353"/>
      <c r="AQ900" s="290"/>
      <c r="AR900" s="290"/>
      <c r="AS900" s="290"/>
    </row>
    <row r="901" spans="1:45" ht="17.25" thickBot="1" x14ac:dyDescent="0.3">
      <c r="A901" s="467"/>
      <c r="B901" s="354"/>
      <c r="C901" s="285">
        <v>1146029</v>
      </c>
      <c r="D901" s="358" t="s">
        <v>409</v>
      </c>
      <c r="E901" s="360"/>
      <c r="F901" s="361">
        <f>G936-AK901+AL901</f>
        <v>2</v>
      </c>
      <c r="G901" s="369">
        <v>2</v>
      </c>
      <c r="H901" s="369">
        <v>2</v>
      </c>
      <c r="I901" s="369">
        <v>2</v>
      </c>
      <c r="J901" s="369"/>
      <c r="K901" s="369">
        <v>0</v>
      </c>
      <c r="L901" s="218"/>
      <c r="M901" s="218"/>
      <c r="N901" s="218"/>
      <c r="O901" s="218"/>
      <c r="P901" s="352"/>
      <c r="Q901" s="352"/>
      <c r="R901" s="352"/>
      <c r="S901" s="352"/>
      <c r="T901" s="352"/>
      <c r="U901" s="352"/>
      <c r="V901" s="218"/>
      <c r="W901" s="218"/>
      <c r="X901" s="218"/>
      <c r="Y901" s="218"/>
      <c r="Z901" s="218"/>
      <c r="AA901" s="218"/>
      <c r="AB901" s="218"/>
      <c r="AC901" s="218"/>
      <c r="AD901" s="218"/>
      <c r="AE901" s="218"/>
      <c r="AF901" s="218"/>
      <c r="AG901" s="218"/>
      <c r="AH901" s="218"/>
      <c r="AI901" s="218"/>
      <c r="AJ901" s="218"/>
      <c r="AK901" s="218">
        <f>G936+AL901-G901</f>
        <v>0</v>
      </c>
      <c r="AL901" s="218"/>
      <c r="AM901" s="353"/>
      <c r="AN901" s="295"/>
      <c r="AO901" s="296"/>
      <c r="AP901" s="353"/>
      <c r="AQ901" s="290"/>
      <c r="AR901" s="290"/>
      <c r="AS901" s="290"/>
    </row>
    <row r="902" spans="1:45" ht="17.25" thickBot="1" x14ac:dyDescent="0.3">
      <c r="A902" s="467"/>
      <c r="B902" s="355" t="s">
        <v>410</v>
      </c>
      <c r="C902" s="356"/>
      <c r="D902" s="356"/>
      <c r="E902" s="359"/>
      <c r="F902" s="359"/>
      <c r="G902" s="356"/>
      <c r="H902" s="396"/>
      <c r="I902" s="356"/>
      <c r="J902" s="356"/>
      <c r="K902" s="356"/>
      <c r="L902" s="356"/>
      <c r="M902" s="356"/>
      <c r="N902" s="356"/>
      <c r="O902" s="356"/>
      <c r="P902" s="356"/>
      <c r="Q902" s="356"/>
      <c r="R902" s="356"/>
      <c r="S902" s="356"/>
      <c r="T902" s="356"/>
      <c r="U902" s="356"/>
      <c r="V902" s="356"/>
      <c r="W902" s="356"/>
      <c r="X902" s="356"/>
      <c r="Y902" s="356"/>
      <c r="Z902" s="356"/>
      <c r="AA902" s="356"/>
      <c r="AB902" s="356"/>
      <c r="AC902" s="356"/>
      <c r="AD902" s="356"/>
      <c r="AE902" s="356"/>
      <c r="AF902" s="356"/>
      <c r="AG902" s="356"/>
      <c r="AH902" s="356"/>
      <c r="AI902" s="356"/>
      <c r="AJ902" s="356"/>
      <c r="AK902" s="356"/>
      <c r="AL902" s="356"/>
      <c r="AM902" s="356"/>
      <c r="AN902" s="356"/>
      <c r="AO902" s="356"/>
      <c r="AP902" s="356"/>
      <c r="AQ902" s="356"/>
      <c r="AR902" s="356"/>
      <c r="AS902" s="357"/>
    </row>
    <row r="903" spans="1:45" ht="17.25" thickBot="1" x14ac:dyDescent="0.3">
      <c r="A903" s="467"/>
      <c r="B903" s="354"/>
      <c r="C903" s="285">
        <v>1699118</v>
      </c>
      <c r="D903" s="358" t="s">
        <v>411</v>
      </c>
      <c r="E903" s="360"/>
      <c r="F903" s="361">
        <f>G938-AK903+AL903</f>
        <v>1</v>
      </c>
      <c r="G903" s="369">
        <v>1</v>
      </c>
      <c r="H903" s="369">
        <v>1</v>
      </c>
      <c r="I903" s="369">
        <v>1</v>
      </c>
      <c r="J903" s="369"/>
      <c r="K903" s="369">
        <v>0</v>
      </c>
      <c r="L903" s="218"/>
      <c r="M903" s="218"/>
      <c r="N903" s="218"/>
      <c r="O903" s="218"/>
      <c r="P903" s="352"/>
      <c r="Q903" s="352"/>
      <c r="R903" s="352"/>
      <c r="S903" s="352"/>
      <c r="T903" s="352"/>
      <c r="U903" s="352"/>
      <c r="V903" s="218"/>
      <c r="W903" s="218"/>
      <c r="X903" s="218"/>
      <c r="Y903" s="218"/>
      <c r="Z903" s="218"/>
      <c r="AA903" s="218"/>
      <c r="AB903" s="218"/>
      <c r="AC903" s="218"/>
      <c r="AD903" s="218"/>
      <c r="AE903" s="218"/>
      <c r="AF903" s="218"/>
      <c r="AG903" s="218"/>
      <c r="AH903" s="218"/>
      <c r="AI903" s="218"/>
      <c r="AJ903" s="218"/>
      <c r="AK903" s="218">
        <f>G938+AL903-G903</f>
        <v>0</v>
      </c>
      <c r="AL903" s="218"/>
      <c r="AM903" s="353"/>
      <c r="AN903" s="295"/>
      <c r="AO903" s="296"/>
      <c r="AP903" s="353"/>
      <c r="AQ903" s="290"/>
      <c r="AR903" s="290"/>
      <c r="AS903" s="290"/>
    </row>
    <row r="904" spans="1:45" ht="17.25" thickBot="1" x14ac:dyDescent="0.3">
      <c r="A904" s="467"/>
      <c r="B904" s="354"/>
      <c r="C904" s="285">
        <v>1699119</v>
      </c>
      <c r="D904" s="358" t="s">
        <v>412</v>
      </c>
      <c r="E904" s="360"/>
      <c r="F904" s="361">
        <f>G939-AK904+AL904</f>
        <v>2</v>
      </c>
      <c r="G904" s="369">
        <v>2</v>
      </c>
      <c r="H904" s="369">
        <v>1</v>
      </c>
      <c r="I904" s="369">
        <v>2</v>
      </c>
      <c r="J904" s="369"/>
      <c r="K904" s="369">
        <v>0</v>
      </c>
      <c r="L904" s="218"/>
      <c r="M904" s="218"/>
      <c r="N904" s="218"/>
      <c r="O904" s="218"/>
      <c r="P904" s="352"/>
      <c r="Q904" s="352"/>
      <c r="R904" s="352"/>
      <c r="S904" s="352"/>
      <c r="T904" s="352"/>
      <c r="U904" s="352"/>
      <c r="V904" s="218"/>
      <c r="W904" s="218"/>
      <c r="X904" s="218"/>
      <c r="Y904" s="218"/>
      <c r="Z904" s="218"/>
      <c r="AA904" s="218"/>
      <c r="AB904" s="218"/>
      <c r="AC904" s="218"/>
      <c r="AD904" s="218"/>
      <c r="AE904" s="218"/>
      <c r="AF904" s="218"/>
      <c r="AG904" s="218"/>
      <c r="AH904" s="218"/>
      <c r="AI904" s="218"/>
      <c r="AJ904" s="218"/>
      <c r="AK904" s="218">
        <f>G939+AL904-G904</f>
        <v>0</v>
      </c>
      <c r="AL904" s="218"/>
      <c r="AM904" s="353"/>
      <c r="AN904" s="295"/>
      <c r="AO904" s="296"/>
      <c r="AP904" s="353"/>
      <c r="AQ904" s="290"/>
      <c r="AR904" s="290"/>
      <c r="AS904" s="290"/>
    </row>
    <row r="905" spans="1:45" ht="17.25" thickBot="1" x14ac:dyDescent="0.3">
      <c r="A905" s="467"/>
      <c r="B905" s="354"/>
      <c r="C905" s="285">
        <v>1699130</v>
      </c>
      <c r="D905" s="358" t="s">
        <v>413</v>
      </c>
      <c r="E905" s="360"/>
      <c r="F905" s="361">
        <f>G940-AK905+AL905</f>
        <v>0</v>
      </c>
      <c r="G905" s="369">
        <v>0</v>
      </c>
      <c r="H905" s="369">
        <v>4</v>
      </c>
      <c r="I905" s="369">
        <v>0</v>
      </c>
      <c r="J905" s="369"/>
      <c r="K905" s="369">
        <v>0</v>
      </c>
      <c r="L905" s="218"/>
      <c r="M905" s="218"/>
      <c r="N905" s="218"/>
      <c r="O905" s="218"/>
      <c r="P905" s="352"/>
      <c r="Q905" s="352"/>
      <c r="R905" s="352"/>
      <c r="S905" s="352"/>
      <c r="T905" s="352"/>
      <c r="U905" s="352"/>
      <c r="V905" s="218"/>
      <c r="W905" s="218"/>
      <c r="X905" s="218"/>
      <c r="Y905" s="218"/>
      <c r="Z905" s="218"/>
      <c r="AA905" s="218">
        <v>2</v>
      </c>
      <c r="AB905" s="218"/>
      <c r="AC905" s="218"/>
      <c r="AD905" s="218"/>
      <c r="AE905" s="218"/>
      <c r="AF905" s="218"/>
      <c r="AG905" s="218"/>
      <c r="AH905" s="218"/>
      <c r="AI905" s="218"/>
      <c r="AJ905" s="218"/>
      <c r="AK905" s="218">
        <f>G940+AL905-G905</f>
        <v>0</v>
      </c>
      <c r="AL905" s="218"/>
      <c r="AM905" s="353"/>
      <c r="AN905" s="295"/>
      <c r="AO905" s="296"/>
      <c r="AP905" s="353"/>
      <c r="AQ905" s="290"/>
      <c r="AR905" s="290"/>
      <c r="AS905" s="290"/>
    </row>
    <row r="906" spans="1:45" ht="17.25" thickBot="1" x14ac:dyDescent="0.3">
      <c r="A906" s="467"/>
      <c r="B906" s="354"/>
      <c r="C906" s="285">
        <v>1699131</v>
      </c>
      <c r="D906" s="358" t="s">
        <v>414</v>
      </c>
      <c r="E906" s="360"/>
      <c r="F906" s="361">
        <f>G941-AK906+AL906</f>
        <v>2</v>
      </c>
      <c r="G906" s="369">
        <v>2</v>
      </c>
      <c r="H906" s="397">
        <v>3</v>
      </c>
      <c r="I906" s="369">
        <v>2</v>
      </c>
      <c r="J906" s="369"/>
      <c r="K906" s="364">
        <v>0</v>
      </c>
      <c r="L906" s="218"/>
      <c r="M906" s="218"/>
      <c r="N906" s="218"/>
      <c r="O906" s="218"/>
      <c r="P906" s="352"/>
      <c r="Q906" s="352"/>
      <c r="R906" s="352"/>
      <c r="S906" s="352"/>
      <c r="T906" s="352"/>
      <c r="U906" s="352"/>
      <c r="V906" s="218"/>
      <c r="W906" s="218"/>
      <c r="X906" s="218"/>
      <c r="Y906" s="218"/>
      <c r="Z906" s="218"/>
      <c r="AA906" s="218"/>
      <c r="AB906" s="218"/>
      <c r="AC906" s="218"/>
      <c r="AD906" s="218"/>
      <c r="AE906" s="218"/>
      <c r="AF906" s="218"/>
      <c r="AG906" s="218"/>
      <c r="AH906" s="218"/>
      <c r="AI906" s="218"/>
      <c r="AJ906" s="218"/>
      <c r="AK906" s="218">
        <f>G941+AL906-G906</f>
        <v>0</v>
      </c>
      <c r="AL906" s="218"/>
      <c r="AM906" s="353"/>
      <c r="AN906" s="295"/>
      <c r="AO906" s="296"/>
      <c r="AP906" s="353"/>
      <c r="AQ906" s="290"/>
      <c r="AR906" s="290"/>
      <c r="AS906" s="290"/>
    </row>
    <row r="907" spans="1:45" ht="17.25" thickBot="1" x14ac:dyDescent="0.3">
      <c r="A907" s="468"/>
      <c r="B907" s="354"/>
      <c r="C907" s="285">
        <v>1699132</v>
      </c>
      <c r="D907" s="358" t="s">
        <v>415</v>
      </c>
      <c r="E907" s="285"/>
      <c r="F907" s="362">
        <f>G942-AK907+AL907</f>
        <v>0</v>
      </c>
      <c r="G907" s="364">
        <v>0</v>
      </c>
      <c r="H907" s="397">
        <v>3</v>
      </c>
      <c r="I907" s="364">
        <v>0</v>
      </c>
      <c r="J907" s="364"/>
      <c r="K907" s="364">
        <v>1</v>
      </c>
      <c r="L907" s="218"/>
      <c r="M907" s="218"/>
      <c r="N907" s="218"/>
      <c r="O907" s="218"/>
      <c r="P907" s="352"/>
      <c r="Q907" s="352"/>
      <c r="R907" s="352"/>
      <c r="S907" s="352"/>
      <c r="T907" s="352"/>
      <c r="U907" s="352"/>
      <c r="V907" s="218"/>
      <c r="W907" s="218"/>
      <c r="X907" s="218"/>
      <c r="Y907" s="218"/>
      <c r="Z907" s="218"/>
      <c r="AA907" s="218"/>
      <c r="AB907" s="218"/>
      <c r="AC907" s="218"/>
      <c r="AD907" s="218"/>
      <c r="AE907" s="218"/>
      <c r="AF907" s="218"/>
      <c r="AG907" s="218"/>
      <c r="AH907" s="218"/>
      <c r="AI907" s="218"/>
      <c r="AJ907" s="218"/>
      <c r="AK907" s="218">
        <f>G942+AL907-G907</f>
        <v>0</v>
      </c>
      <c r="AL907" s="218"/>
      <c r="AM907" s="353"/>
      <c r="AN907" s="295"/>
      <c r="AO907" s="296"/>
      <c r="AP907" s="353"/>
      <c r="AQ907" s="290"/>
      <c r="AR907" s="290"/>
      <c r="AS907" s="290"/>
    </row>
    <row r="908" spans="1:45" x14ac:dyDescent="0.25">
      <c r="AL908" s="290"/>
      <c r="AM908" s="290"/>
      <c r="AN908" s="290"/>
      <c r="AO908" s="290"/>
      <c r="AP908" s="290"/>
      <c r="AQ908" s="290"/>
      <c r="AR908" s="290"/>
    </row>
    <row r="909" spans="1:45" ht="14.25" thickBot="1" x14ac:dyDescent="0.3">
      <c r="B909" s="338" t="s">
        <v>18</v>
      </c>
      <c r="C909" s="339">
        <v>45670</v>
      </c>
      <c r="AA909" s="290">
        <v>0</v>
      </c>
      <c r="AL909" s="290"/>
      <c r="AM909" s="290"/>
      <c r="AN909" s="290"/>
      <c r="AO909" s="290"/>
      <c r="AP909" s="290"/>
      <c r="AQ909" s="290"/>
    </row>
    <row r="910" spans="1:45" ht="41.25" thickBot="1" x14ac:dyDescent="0.3">
      <c r="B910" s="283" t="s">
        <v>0</v>
      </c>
      <c r="C910" s="284" t="s">
        <v>1</v>
      </c>
      <c r="D910" s="284" t="s">
        <v>2</v>
      </c>
      <c r="E910" s="284" t="s">
        <v>3</v>
      </c>
      <c r="F910" s="4" t="s">
        <v>318</v>
      </c>
      <c r="G910" s="351" t="s">
        <v>507</v>
      </c>
      <c r="H910" s="382" t="s">
        <v>460</v>
      </c>
      <c r="I910" s="234" t="s">
        <v>508</v>
      </c>
      <c r="J910" s="234"/>
      <c r="K910" s="258" t="s">
        <v>509</v>
      </c>
      <c r="L910" s="258" t="s">
        <v>328</v>
      </c>
      <c r="M910" s="258" t="s">
        <v>327</v>
      </c>
      <c r="N910" s="234" t="s">
        <v>389</v>
      </c>
      <c r="O910" s="240" t="s">
        <v>130</v>
      </c>
      <c r="P910" s="243" t="s">
        <v>303</v>
      </c>
      <c r="Q910" s="244" t="s">
        <v>304</v>
      </c>
      <c r="R910" s="244" t="s">
        <v>314</v>
      </c>
      <c r="S910" s="245" t="s">
        <v>338</v>
      </c>
      <c r="T910" s="245" t="s">
        <v>345</v>
      </c>
      <c r="U910" s="245" t="s">
        <v>361</v>
      </c>
      <c r="V910" s="245" t="s">
        <v>387</v>
      </c>
      <c r="W910" s="245" t="s">
        <v>421</v>
      </c>
      <c r="X910" s="245" t="s">
        <v>452</v>
      </c>
      <c r="Y910" s="245" t="s">
        <v>463</v>
      </c>
      <c r="Z910" s="245" t="s">
        <v>481</v>
      </c>
      <c r="AA910" s="245" t="s">
        <v>498</v>
      </c>
      <c r="AB910" s="245" t="s">
        <v>303</v>
      </c>
      <c r="AC910" s="245"/>
      <c r="AD910" s="245"/>
      <c r="AE910" s="245"/>
      <c r="AF910" s="245"/>
      <c r="AG910" s="245"/>
      <c r="AH910" s="245"/>
      <c r="AI910" s="245"/>
      <c r="AJ910" s="245" t="s">
        <v>360</v>
      </c>
      <c r="AK910" s="246" t="s">
        <v>268</v>
      </c>
      <c r="AL910" s="247" t="s">
        <v>269</v>
      </c>
      <c r="AM910" s="291" t="s">
        <v>288</v>
      </c>
      <c r="AN910" s="292" t="s">
        <v>289</v>
      </c>
      <c r="AO910" s="292" t="s">
        <v>287</v>
      </c>
      <c r="AP910" s="293" t="s">
        <v>290</v>
      </c>
      <c r="AQ910" s="290" t="s">
        <v>306</v>
      </c>
      <c r="AR910" s="290" t="s">
        <v>310</v>
      </c>
      <c r="AS910" s="290" t="s">
        <v>311</v>
      </c>
    </row>
    <row r="911" spans="1:45" ht="17.25" thickBot="1" x14ac:dyDescent="0.3">
      <c r="A911" s="463" t="s">
        <v>416</v>
      </c>
      <c r="B911" s="285">
        <v>273664</v>
      </c>
      <c r="C911" s="286">
        <v>1135749</v>
      </c>
      <c r="D911" s="286" t="s">
        <v>7</v>
      </c>
      <c r="E911" s="286">
        <v>6060050026</v>
      </c>
      <c r="F911" s="253">
        <f>G946-AK911+AL911</f>
        <v>3</v>
      </c>
      <c r="G911" s="235">
        <v>3</v>
      </c>
      <c r="H911" s="394">
        <v>5</v>
      </c>
      <c r="I911" s="232">
        <v>0</v>
      </c>
      <c r="J911" s="232"/>
      <c r="K911" s="232">
        <v>3</v>
      </c>
      <c r="L911" s="232">
        <f>IF(K945=K910,L946+AK911,K911)</f>
        <v>3</v>
      </c>
      <c r="M911" s="232">
        <f>IF(K945=K910,0,L946+AK911-K911)</f>
        <v>-2</v>
      </c>
      <c r="N911" s="267">
        <v>5</v>
      </c>
      <c r="O911" s="241">
        <f>N911-G911</f>
        <v>2</v>
      </c>
      <c r="P911" s="277">
        <v>4</v>
      </c>
      <c r="Q911" s="278">
        <v>4</v>
      </c>
      <c r="R911" s="279"/>
      <c r="S911" s="279">
        <v>3</v>
      </c>
      <c r="T911" s="279">
        <v>4</v>
      </c>
      <c r="U911" s="279">
        <v>2</v>
      </c>
      <c r="V911" s="279"/>
      <c r="W911" s="279">
        <f>2+3</f>
        <v>5</v>
      </c>
      <c r="X911" s="241"/>
      <c r="Y911" s="241"/>
      <c r="Z911" s="241"/>
      <c r="AA911" s="241">
        <v>4</v>
      </c>
      <c r="AB911" s="241"/>
      <c r="AC911" s="241"/>
      <c r="AD911" s="241"/>
      <c r="AE911" s="241"/>
      <c r="AF911" s="241"/>
      <c r="AG911" s="241"/>
      <c r="AH911" s="241"/>
      <c r="AI911" s="241"/>
      <c r="AJ911" s="241">
        <f>N911-V911</f>
        <v>5</v>
      </c>
      <c r="AK911" s="235">
        <f>G946+AL911-G911</f>
        <v>0</v>
      </c>
      <c r="AL911" s="350"/>
      <c r="AM911" s="294">
        <v>1.5</v>
      </c>
      <c r="AN911" s="295">
        <v>4</v>
      </c>
      <c r="AO911" s="296">
        <f>G911/(AN911)</f>
        <v>0.75</v>
      </c>
      <c r="AP911" s="297">
        <f>AN911*6</f>
        <v>24</v>
      </c>
      <c r="AQ911" s="290">
        <f>G911+K911</f>
        <v>6</v>
      </c>
      <c r="AR911" s="290">
        <f>IF(G911&lt;G946,(G946-G911+K946-K911),K946-K911)</f>
        <v>-2</v>
      </c>
      <c r="AS911" s="290">
        <f>21-8</f>
        <v>13</v>
      </c>
    </row>
    <row r="912" spans="1:45" ht="17.25" thickBot="1" x14ac:dyDescent="0.3">
      <c r="A912" s="464"/>
      <c r="B912" s="285">
        <v>273672</v>
      </c>
      <c r="C912" s="286">
        <v>1135750</v>
      </c>
      <c r="D912" s="286" t="s">
        <v>9</v>
      </c>
      <c r="E912" s="287">
        <v>204000000000</v>
      </c>
      <c r="F912" s="253">
        <f>G947-AK912+AL912</f>
        <v>21</v>
      </c>
      <c r="G912" s="235">
        <v>21</v>
      </c>
      <c r="H912" s="394">
        <v>16</v>
      </c>
      <c r="I912" s="232">
        <v>11</v>
      </c>
      <c r="J912" s="232"/>
      <c r="K912" s="232">
        <v>12</v>
      </c>
      <c r="L912" s="232">
        <f>IF(K945=K910,L947+AK912,K912)</f>
        <v>12</v>
      </c>
      <c r="M912" s="232">
        <f>IF(K945=K910,0,L947+AK912-K912)</f>
        <v>-12</v>
      </c>
      <c r="N912" s="267">
        <v>10</v>
      </c>
      <c r="O912" s="241">
        <f>N912-G912</f>
        <v>-11</v>
      </c>
      <c r="P912" s="277">
        <v>13</v>
      </c>
      <c r="Q912" s="278">
        <v>2</v>
      </c>
      <c r="R912" s="279">
        <v>6</v>
      </c>
      <c r="S912" s="279">
        <v>6</v>
      </c>
      <c r="T912" s="279">
        <v>10</v>
      </c>
      <c r="U912" s="279">
        <v>4</v>
      </c>
      <c r="V912" s="279">
        <v>6</v>
      </c>
      <c r="W912" s="279">
        <v>16</v>
      </c>
      <c r="X912" s="241"/>
      <c r="Y912" s="241">
        <v>6</v>
      </c>
      <c r="Z912" s="241">
        <v>4</v>
      </c>
      <c r="AA912" s="241">
        <v>6</v>
      </c>
      <c r="AB912" s="241">
        <v>4</v>
      </c>
      <c r="AC912" s="241"/>
      <c r="AD912" s="241"/>
      <c r="AE912" s="241"/>
      <c r="AF912" s="241"/>
      <c r="AG912" s="241"/>
      <c r="AH912" s="241"/>
      <c r="AI912" s="241"/>
      <c r="AJ912" s="241">
        <f>N912-V912</f>
        <v>4</v>
      </c>
      <c r="AK912" s="235">
        <f>G947+AL912-G912</f>
        <v>0</v>
      </c>
      <c r="AL912" s="236"/>
      <c r="AM912" s="298">
        <v>4.2</v>
      </c>
      <c r="AN912" s="295">
        <v>9</v>
      </c>
      <c r="AO912" s="296">
        <f>G912/(AN912)</f>
        <v>2.3333333333333335</v>
      </c>
      <c r="AP912" s="297">
        <f>AN912*6</f>
        <v>54</v>
      </c>
      <c r="AQ912" s="290">
        <f>G912+K912</f>
        <v>33</v>
      </c>
      <c r="AR912" s="290">
        <f>IF(G912&lt;G947,(G947-G912+K947-K912),K947-K912)</f>
        <v>-12</v>
      </c>
      <c r="AS912" s="290">
        <f>21-8</f>
        <v>13</v>
      </c>
    </row>
    <row r="913" spans="1:45" ht="17.25" thickBot="1" x14ac:dyDescent="0.3">
      <c r="A913" s="464"/>
      <c r="B913" s="285">
        <v>273702</v>
      </c>
      <c r="C913" s="286">
        <v>1135753</v>
      </c>
      <c r="D913" s="286" t="s">
        <v>10</v>
      </c>
      <c r="E913" s="287">
        <v>301000000000</v>
      </c>
      <c r="F913" s="253">
        <f>G948-AK913+AL913</f>
        <v>2</v>
      </c>
      <c r="G913" s="235">
        <v>2</v>
      </c>
      <c r="H913" s="394">
        <v>1</v>
      </c>
      <c r="I913" s="232">
        <v>0</v>
      </c>
      <c r="J913" s="232"/>
      <c r="K913" s="232">
        <v>2</v>
      </c>
      <c r="L913" s="232">
        <f>IF(K945=K910,L948+AK913,K913)</f>
        <v>2</v>
      </c>
      <c r="M913" s="232">
        <f>IF(K945=K910,0,L948+AK913-K913)</f>
        <v>-1</v>
      </c>
      <c r="N913" s="232">
        <v>2</v>
      </c>
      <c r="O913" s="241">
        <f>N913-G913</f>
        <v>0</v>
      </c>
      <c r="P913" s="277"/>
      <c r="Q913" s="278"/>
      <c r="R913" s="279"/>
      <c r="S913" s="279"/>
      <c r="T913" s="279"/>
      <c r="U913" s="279"/>
      <c r="V913" s="279"/>
      <c r="W913" s="279"/>
      <c r="X913" s="241"/>
      <c r="Y913" s="241"/>
      <c r="Z913" s="241"/>
      <c r="AA913" s="241"/>
      <c r="AB913" s="241"/>
      <c r="AC913" s="241"/>
      <c r="AD913" s="241"/>
      <c r="AE913" s="241"/>
      <c r="AF913" s="241"/>
      <c r="AG913" s="241"/>
      <c r="AH913" s="241"/>
      <c r="AI913" s="241"/>
      <c r="AJ913" s="241">
        <f>N913-V913</f>
        <v>2</v>
      </c>
      <c r="AK913" s="235">
        <f>G948+AL913-G913</f>
        <v>0</v>
      </c>
      <c r="AL913" s="236"/>
      <c r="AM913" s="294">
        <f>4/12</f>
        <v>0.33333333333333331</v>
      </c>
      <c r="AN913" s="295">
        <v>2</v>
      </c>
      <c r="AO913" s="296">
        <f>G913/(AN913)</f>
        <v>1</v>
      </c>
      <c r="AP913" s="297">
        <f>AN913*6</f>
        <v>12</v>
      </c>
      <c r="AQ913" s="290">
        <f>G913+K913</f>
        <v>4</v>
      </c>
      <c r="AR913" s="290">
        <f>IF(G913&lt;G948,(G948-G913+K948-K913),K948-K913)</f>
        <v>-1</v>
      </c>
      <c r="AS913" s="290">
        <f>21-8</f>
        <v>13</v>
      </c>
    </row>
    <row r="914" spans="1:45" ht="17.25" thickBot="1" x14ac:dyDescent="0.3">
      <c r="A914" s="464"/>
      <c r="B914" s="285">
        <v>273698</v>
      </c>
      <c r="C914" s="286">
        <v>1135752</v>
      </c>
      <c r="D914" s="286" t="s">
        <v>11</v>
      </c>
      <c r="E914" s="287">
        <v>701000000000</v>
      </c>
      <c r="F914" s="253">
        <f>G949-AK914+AL914</f>
        <v>2</v>
      </c>
      <c r="G914" s="235">
        <v>2</v>
      </c>
      <c r="H914" s="394">
        <v>2</v>
      </c>
      <c r="I914" s="232">
        <v>0</v>
      </c>
      <c r="J914" s="232"/>
      <c r="K914" s="232">
        <v>4</v>
      </c>
      <c r="L914" s="232">
        <f>IF(K945=K910,L949+AK914,K914)</f>
        <v>4</v>
      </c>
      <c r="M914" s="232">
        <f>IF(K945=K910,0,L949+AK914-K914)</f>
        <v>-4</v>
      </c>
      <c r="N914" s="232">
        <v>3</v>
      </c>
      <c r="O914" s="241">
        <f>N914-G914</f>
        <v>1</v>
      </c>
      <c r="P914" s="277">
        <v>2</v>
      </c>
      <c r="Q914" s="278"/>
      <c r="R914" s="279"/>
      <c r="S914" s="279"/>
      <c r="T914" s="279"/>
      <c r="U914" s="279"/>
      <c r="V914" s="279"/>
      <c r="W914" s="279">
        <v>1</v>
      </c>
      <c r="X914" s="241"/>
      <c r="Y914" s="241"/>
      <c r="Z914" s="241"/>
      <c r="AA914" s="241"/>
      <c r="AB914" s="241"/>
      <c r="AC914" s="241"/>
      <c r="AD914" s="241"/>
      <c r="AE914" s="241"/>
      <c r="AF914" s="241"/>
      <c r="AG914" s="241"/>
      <c r="AH914" s="241"/>
      <c r="AI914" s="241"/>
      <c r="AJ914" s="241">
        <f>N914-V914</f>
        <v>3</v>
      </c>
      <c r="AK914" s="235">
        <f>G949+AL914-G914</f>
        <v>0</v>
      </c>
      <c r="AL914" s="236"/>
      <c r="AM914" s="294">
        <f>4/12</f>
        <v>0.33333333333333331</v>
      </c>
      <c r="AN914" s="295">
        <v>2</v>
      </c>
      <c r="AO914" s="296">
        <f>G914/(AN914)</f>
        <v>1</v>
      </c>
      <c r="AP914" s="297">
        <f>AN914*6</f>
        <v>12</v>
      </c>
      <c r="AQ914" s="290">
        <f>G914+K914</f>
        <v>6</v>
      </c>
      <c r="AR914" s="290">
        <f>IF(G914&lt;G949,(G949-G914+K949-K914),K949-K914)</f>
        <v>-4</v>
      </c>
      <c r="AS914" s="290">
        <f>21-8</f>
        <v>13</v>
      </c>
    </row>
    <row r="915" spans="1:45" ht="17.25" thickBot="1" x14ac:dyDescent="0.3">
      <c r="A915" s="465"/>
      <c r="B915" s="285">
        <v>273680</v>
      </c>
      <c r="C915" s="286">
        <v>1135751</v>
      </c>
      <c r="D915" s="286" t="s">
        <v>12</v>
      </c>
      <c r="E915" s="286" t="s">
        <v>13</v>
      </c>
      <c r="F915" s="254">
        <f>G950-AK915+AL915</f>
        <v>14</v>
      </c>
      <c r="G915" s="237">
        <v>14</v>
      </c>
      <c r="H915" s="395">
        <v>8</v>
      </c>
      <c r="I915" s="238">
        <v>14</v>
      </c>
      <c r="J915" s="238"/>
      <c r="K915" s="238">
        <v>11</v>
      </c>
      <c r="L915" s="238">
        <f>IF(K945=K910,L950+AK915,K915)</f>
        <v>11</v>
      </c>
      <c r="M915" s="238">
        <f>IF(K945=K910,0,L950+AK915-K915)</f>
        <v>0</v>
      </c>
      <c r="N915" s="238">
        <v>9</v>
      </c>
      <c r="O915" s="242">
        <f>N915-G915</f>
        <v>-5</v>
      </c>
      <c r="P915" s="280"/>
      <c r="Q915" s="281"/>
      <c r="R915" s="282"/>
      <c r="S915" s="282"/>
      <c r="T915" s="282">
        <v>11</v>
      </c>
      <c r="U915" s="282"/>
      <c r="V915" s="282"/>
      <c r="W915" s="282">
        <v>9</v>
      </c>
      <c r="X915" s="242"/>
      <c r="Y915" s="242">
        <v>9</v>
      </c>
      <c r="Z915" s="242"/>
      <c r="AA915" s="242"/>
      <c r="AB915" s="242"/>
      <c r="AC915" s="242"/>
      <c r="AD915" s="242"/>
      <c r="AE915" s="242"/>
      <c r="AF915" s="242"/>
      <c r="AG915" s="242"/>
      <c r="AH915" s="242"/>
      <c r="AI915" s="242"/>
      <c r="AJ915" s="242">
        <f>N915-V915</f>
        <v>9</v>
      </c>
      <c r="AK915" s="235">
        <f>G950+AL915-G915</f>
        <v>0</v>
      </c>
      <c r="AL915" s="239"/>
      <c r="AM915" s="299">
        <f>30/12</f>
        <v>2.5</v>
      </c>
      <c r="AN915" s="300">
        <f>AM915*2</f>
        <v>5</v>
      </c>
      <c r="AO915" s="301">
        <f>G915/(AN915)</f>
        <v>2.8</v>
      </c>
      <c r="AP915" s="302">
        <f>AN915*6</f>
        <v>30</v>
      </c>
      <c r="AQ915" s="290">
        <f>G915+K915</f>
        <v>25</v>
      </c>
      <c r="AR915" s="290">
        <f>IF(G915&lt;G950,(G950-G915+K950-K915),K950-K915)</f>
        <v>0</v>
      </c>
      <c r="AS915" s="290">
        <f>21-8</f>
        <v>13</v>
      </c>
    </row>
    <row r="916" spans="1:45" ht="17.25" thickBot="1" x14ac:dyDescent="0.3">
      <c r="A916" s="466" t="s">
        <v>417</v>
      </c>
      <c r="B916" s="355" t="s">
        <v>129</v>
      </c>
      <c r="C916" s="356"/>
      <c r="D916" s="356"/>
      <c r="E916" s="359"/>
      <c r="F916" s="359"/>
      <c r="G916" s="356"/>
      <c r="H916" s="396"/>
      <c r="I916" s="356"/>
      <c r="J916" s="356"/>
      <c r="K916" s="356"/>
      <c r="L916" s="356"/>
      <c r="M916" s="356"/>
      <c r="N916" s="356"/>
      <c r="O916" s="356"/>
      <c r="P916" s="356"/>
      <c r="Q916" s="356"/>
      <c r="R916" s="356"/>
      <c r="S916" s="356"/>
      <c r="T916" s="356"/>
      <c r="U916" s="356"/>
      <c r="V916" s="356"/>
      <c r="W916" s="356"/>
      <c r="X916" s="356"/>
      <c r="Y916" s="356"/>
      <c r="Z916" s="356"/>
      <c r="AA916" s="356"/>
      <c r="AB916" s="356"/>
      <c r="AC916" s="356"/>
      <c r="AD916" s="356"/>
      <c r="AE916" s="356"/>
      <c r="AF916" s="356"/>
      <c r="AG916" s="356"/>
      <c r="AH916" s="356"/>
      <c r="AI916" s="356"/>
      <c r="AJ916" s="356"/>
      <c r="AK916" s="356"/>
      <c r="AL916" s="367"/>
      <c r="AM916" s="356"/>
      <c r="AN916" s="356"/>
      <c r="AO916" s="356"/>
      <c r="AP916" s="356"/>
      <c r="AQ916" s="356"/>
      <c r="AR916" s="356"/>
      <c r="AS916" s="357"/>
    </row>
    <row r="917" spans="1:45" ht="17.25" thickBot="1" x14ac:dyDescent="0.3">
      <c r="A917" s="467"/>
      <c r="B917" s="354"/>
      <c r="C917" s="354">
        <v>1140327</v>
      </c>
      <c r="D917" s="358" t="s">
        <v>394</v>
      </c>
      <c r="E917" s="360"/>
      <c r="F917" s="361">
        <f>G952-AK917+AL917</f>
        <v>8</v>
      </c>
      <c r="G917" s="218">
        <v>8</v>
      </c>
      <c r="H917" s="397">
        <v>23</v>
      </c>
      <c r="I917" s="218">
        <v>0</v>
      </c>
      <c r="J917" s="218"/>
      <c r="K917" s="218">
        <v>8</v>
      </c>
      <c r="L917" s="218">
        <f>IF(K945=K910,L952+AK917,K917)</f>
        <v>8</v>
      </c>
      <c r="M917" s="218">
        <f>IF(K945=K910,0,L952+AK917-K917)</f>
        <v>-8</v>
      </c>
      <c r="N917" s="218"/>
      <c r="O917" s="218"/>
      <c r="P917" s="352"/>
      <c r="Q917" s="352"/>
      <c r="R917" s="352"/>
      <c r="S917" s="352"/>
      <c r="T917" s="352"/>
      <c r="U917" s="352"/>
      <c r="V917" s="218"/>
      <c r="W917" s="218"/>
      <c r="X917" s="218">
        <v>4</v>
      </c>
      <c r="Y917" s="218">
        <v>9</v>
      </c>
      <c r="Z917" s="218">
        <v>14</v>
      </c>
      <c r="AA917" s="218">
        <v>8</v>
      </c>
      <c r="AB917" s="218">
        <v>6</v>
      </c>
      <c r="AC917" s="218"/>
      <c r="AD917" s="218"/>
      <c r="AE917" s="218"/>
      <c r="AF917" s="218"/>
      <c r="AG917" s="218"/>
      <c r="AH917" s="218"/>
      <c r="AI917" s="218"/>
      <c r="AJ917" s="242">
        <f>N917-V917</f>
        <v>0</v>
      </c>
      <c r="AK917" s="274">
        <f>G952+AL917-G917</f>
        <v>0</v>
      </c>
      <c r="AL917" s="232"/>
      <c r="AM917" s="353"/>
      <c r="AN917" s="295"/>
      <c r="AO917" s="296"/>
      <c r="AP917" s="353"/>
      <c r="AQ917" s="290"/>
      <c r="AR917" s="290"/>
      <c r="AS917" s="290"/>
    </row>
    <row r="918" spans="1:45" ht="17.25" thickBot="1" x14ac:dyDescent="0.3">
      <c r="A918" s="467"/>
      <c r="B918" s="354"/>
      <c r="C918" s="285">
        <v>1151231</v>
      </c>
      <c r="D918" s="358" t="s">
        <v>395</v>
      </c>
      <c r="E918" s="360"/>
      <c r="F918" s="361">
        <f>G953-AK918+AL918</f>
        <v>12</v>
      </c>
      <c r="G918" s="369">
        <v>12</v>
      </c>
      <c r="H918" s="397">
        <v>13</v>
      </c>
      <c r="I918" s="218">
        <v>8</v>
      </c>
      <c r="J918" s="218"/>
      <c r="K918" s="218">
        <v>7</v>
      </c>
      <c r="L918" s="218">
        <f>IF(K945=K910,L953+AK918,K918)</f>
        <v>7</v>
      </c>
      <c r="M918" s="218">
        <f>IF(K945=K910,0,L953+AK918-K918)</f>
        <v>-2</v>
      </c>
      <c r="N918" s="218"/>
      <c r="O918" s="218"/>
      <c r="P918" s="352"/>
      <c r="Q918" s="352"/>
      <c r="R918" s="352"/>
      <c r="S918" s="352"/>
      <c r="T918" s="352"/>
      <c r="U918" s="352"/>
      <c r="V918" s="218"/>
      <c r="W918" s="218"/>
      <c r="X918" s="218">
        <v>3</v>
      </c>
      <c r="Y918" s="218">
        <v>8</v>
      </c>
      <c r="Z918" s="218">
        <v>6</v>
      </c>
      <c r="AA918" s="218"/>
      <c r="AB918" s="218"/>
      <c r="AC918" s="218"/>
      <c r="AD918" s="218"/>
      <c r="AE918" s="218"/>
      <c r="AF918" s="218"/>
      <c r="AG918" s="218"/>
      <c r="AH918" s="218"/>
      <c r="AI918" s="218"/>
      <c r="AJ918" s="242">
        <f>N918-V918</f>
        <v>0</v>
      </c>
      <c r="AK918" s="274">
        <f>G953+AL918-G918</f>
        <v>0</v>
      </c>
      <c r="AL918" s="232"/>
      <c r="AM918" s="353"/>
      <c r="AN918" s="295"/>
      <c r="AO918" s="296"/>
      <c r="AP918" s="353"/>
      <c r="AQ918" s="290"/>
      <c r="AR918" s="290"/>
      <c r="AS918" s="290"/>
    </row>
    <row r="919" spans="1:45" ht="17.25" thickBot="1" x14ac:dyDescent="0.3">
      <c r="A919" s="467"/>
      <c r="B919" s="355" t="s">
        <v>420</v>
      </c>
      <c r="C919" s="356"/>
      <c r="D919" s="356"/>
      <c r="E919" s="359"/>
      <c r="F919" s="359"/>
      <c r="G919" s="356"/>
      <c r="H919" s="396"/>
      <c r="I919" s="356"/>
      <c r="J919" s="356"/>
      <c r="K919" s="356"/>
      <c r="L919" s="356"/>
      <c r="M919" s="356"/>
      <c r="N919" s="356"/>
      <c r="O919" s="356"/>
      <c r="P919" s="356"/>
      <c r="Q919" s="356"/>
      <c r="R919" s="356"/>
      <c r="S919" s="356"/>
      <c r="T919" s="356"/>
      <c r="U919" s="356"/>
      <c r="V919" s="356"/>
      <c r="W919" s="356"/>
      <c r="X919" s="356"/>
      <c r="Y919" s="356"/>
      <c r="Z919" s="356"/>
      <c r="AA919" s="356"/>
      <c r="AB919" s="356"/>
      <c r="AC919" s="356"/>
      <c r="AD919" s="356"/>
      <c r="AE919" s="356"/>
      <c r="AF919" s="356"/>
      <c r="AG919" s="356"/>
      <c r="AH919" s="356"/>
      <c r="AI919" s="356"/>
      <c r="AJ919" s="356"/>
      <c r="AK919" s="356"/>
      <c r="AL919" s="368"/>
      <c r="AM919" s="356"/>
      <c r="AN919" s="356"/>
      <c r="AO919" s="356"/>
      <c r="AP919" s="356"/>
      <c r="AQ919" s="356"/>
      <c r="AR919" s="356"/>
      <c r="AS919" s="357"/>
    </row>
    <row r="920" spans="1:45" ht="17.25" thickBot="1" x14ac:dyDescent="0.3">
      <c r="A920" s="467"/>
      <c r="B920" s="354"/>
      <c r="C920" s="285">
        <v>1146032</v>
      </c>
      <c r="D920" s="358" t="s">
        <v>396</v>
      </c>
      <c r="E920" s="360"/>
      <c r="F920" s="361">
        <f>G955-AK920+AL920</f>
        <v>0</v>
      </c>
      <c r="G920" s="364">
        <v>0</v>
      </c>
      <c r="H920" s="397">
        <v>1</v>
      </c>
      <c r="I920" s="364">
        <v>1</v>
      </c>
      <c r="J920" s="364"/>
      <c r="K920" s="364">
        <v>1</v>
      </c>
      <c r="L920" s="218"/>
      <c r="M920" s="218"/>
      <c r="N920" s="218"/>
      <c r="O920" s="218"/>
      <c r="P920" s="352"/>
      <c r="Q920" s="352"/>
      <c r="R920" s="352"/>
      <c r="S920" s="352"/>
      <c r="T920" s="352"/>
      <c r="U920" s="352"/>
      <c r="V920" s="218"/>
      <c r="W920" s="218"/>
      <c r="X920" s="218"/>
      <c r="Y920" s="218"/>
      <c r="Z920" s="218"/>
      <c r="AA920" s="218"/>
      <c r="AB920" s="218"/>
      <c r="AC920" s="218"/>
      <c r="AD920" s="218"/>
      <c r="AE920" s="218"/>
      <c r="AF920" s="218"/>
      <c r="AG920" s="218"/>
      <c r="AH920" s="218"/>
      <c r="AI920" s="218"/>
      <c r="AJ920" s="218"/>
      <c r="AK920" s="218">
        <f>G955+AL920-G920</f>
        <v>0</v>
      </c>
      <c r="AL920" s="218"/>
      <c r="AM920" s="353"/>
      <c r="AN920" s="295"/>
      <c r="AO920" s="296"/>
      <c r="AP920" s="353"/>
      <c r="AQ920" s="290"/>
      <c r="AR920" s="290"/>
      <c r="AS920" s="290"/>
    </row>
    <row r="921" spans="1:45" ht="17.25" thickBot="1" x14ac:dyDescent="0.3">
      <c r="A921" s="467"/>
      <c r="B921" s="354"/>
      <c r="C921" s="285">
        <v>1146021</v>
      </c>
      <c r="D921" s="358" t="s">
        <v>397</v>
      </c>
      <c r="E921" s="360"/>
      <c r="F921" s="361">
        <f>G956-AK921+AL921</f>
        <v>0</v>
      </c>
      <c r="G921" s="364">
        <v>0</v>
      </c>
      <c r="H921" s="397">
        <v>2</v>
      </c>
      <c r="I921" s="364">
        <v>0</v>
      </c>
      <c r="J921" s="364"/>
      <c r="K921" s="364">
        <v>2</v>
      </c>
      <c r="L921" s="218"/>
      <c r="M921" s="218"/>
      <c r="N921" s="218"/>
      <c r="O921" s="218"/>
      <c r="P921" s="352"/>
      <c r="Q921" s="352"/>
      <c r="R921" s="352"/>
      <c r="S921" s="352"/>
      <c r="T921" s="352"/>
      <c r="U921" s="352"/>
      <c r="V921" s="218"/>
      <c r="W921" s="218"/>
      <c r="X921" s="218"/>
      <c r="Y921" s="218"/>
      <c r="Z921" s="218"/>
      <c r="AA921" s="218"/>
      <c r="AB921" s="218"/>
      <c r="AC921" s="218"/>
      <c r="AD921" s="218"/>
      <c r="AE921" s="218"/>
      <c r="AF921" s="218"/>
      <c r="AG921" s="218"/>
      <c r="AH921" s="218"/>
      <c r="AI921" s="218"/>
      <c r="AJ921" s="218"/>
      <c r="AK921" s="218">
        <f>G956+AL921-G921</f>
        <v>0</v>
      </c>
      <c r="AL921" s="218"/>
      <c r="AM921" s="353"/>
      <c r="AN921" s="295"/>
      <c r="AO921" s="296"/>
      <c r="AP921" s="353"/>
      <c r="AQ921" s="290"/>
      <c r="AR921" s="290"/>
      <c r="AS921" s="290"/>
    </row>
    <row r="922" spans="1:45" ht="17.25" thickBot="1" x14ac:dyDescent="0.3">
      <c r="A922" s="467"/>
      <c r="B922" s="354"/>
      <c r="C922" s="285">
        <v>1146018</v>
      </c>
      <c r="D922" s="358" t="s">
        <v>398</v>
      </c>
      <c r="E922" s="360"/>
      <c r="F922" s="361">
        <f>G957-AK922+AL922</f>
        <v>2</v>
      </c>
      <c r="G922" s="369">
        <v>2</v>
      </c>
      <c r="H922" s="397">
        <v>1</v>
      </c>
      <c r="I922" s="364">
        <v>4</v>
      </c>
      <c r="J922" s="364"/>
      <c r="K922" s="364">
        <v>0</v>
      </c>
      <c r="L922" s="218"/>
      <c r="M922" s="218"/>
      <c r="N922" s="218"/>
      <c r="O922" s="218"/>
      <c r="P922" s="352"/>
      <c r="Q922" s="352"/>
      <c r="R922" s="352"/>
      <c r="S922" s="352"/>
      <c r="T922" s="352"/>
      <c r="U922" s="352"/>
      <c r="V922" s="218"/>
      <c r="W922" s="218"/>
      <c r="X922" s="218"/>
      <c r="Y922" s="218"/>
      <c r="Z922" s="218"/>
      <c r="AA922" s="218"/>
      <c r="AB922" s="218"/>
      <c r="AC922" s="218"/>
      <c r="AD922" s="218"/>
      <c r="AE922" s="218"/>
      <c r="AF922" s="218"/>
      <c r="AG922" s="218"/>
      <c r="AH922" s="218"/>
      <c r="AI922" s="218"/>
      <c r="AJ922" s="218"/>
      <c r="AK922" s="218">
        <f>G957+AL922-G922</f>
        <v>0</v>
      </c>
      <c r="AL922" s="218"/>
      <c r="AM922" s="353"/>
      <c r="AN922" s="295"/>
      <c r="AO922" s="296"/>
      <c r="AP922" s="353"/>
      <c r="AQ922" s="290"/>
      <c r="AR922" s="290"/>
      <c r="AS922" s="290"/>
    </row>
    <row r="923" spans="1:45" ht="17.25" thickBot="1" x14ac:dyDescent="0.3">
      <c r="A923" s="467"/>
      <c r="B923" s="354"/>
      <c r="C923" s="285">
        <v>1146024</v>
      </c>
      <c r="D923" s="358" t="s">
        <v>399</v>
      </c>
      <c r="E923" s="360"/>
      <c r="F923" s="361">
        <v>1</v>
      </c>
      <c r="G923" s="369">
        <v>2</v>
      </c>
      <c r="H923" s="369">
        <v>2</v>
      </c>
      <c r="I923" s="369">
        <v>2</v>
      </c>
      <c r="J923" s="369"/>
      <c r="K923" s="369">
        <v>0</v>
      </c>
      <c r="L923" s="218"/>
      <c r="M923" s="218"/>
      <c r="N923" s="218"/>
      <c r="O923" s="218"/>
      <c r="P923" s="352"/>
      <c r="Q923" s="352"/>
      <c r="R923" s="352"/>
      <c r="S923" s="352"/>
      <c r="T923" s="352"/>
      <c r="U923" s="352"/>
      <c r="V923" s="218"/>
      <c r="W923" s="218"/>
      <c r="X923" s="218"/>
      <c r="Y923" s="218"/>
      <c r="Z923" s="218"/>
      <c r="AA923" s="218">
        <v>1</v>
      </c>
      <c r="AB923" s="218"/>
      <c r="AC923" s="218"/>
      <c r="AD923" s="218"/>
      <c r="AE923" s="218"/>
      <c r="AF923" s="218"/>
      <c r="AG923" s="218"/>
      <c r="AH923" s="218"/>
      <c r="AI923" s="218"/>
      <c r="AJ923" s="218"/>
      <c r="AK923" s="218">
        <f>G958+AL923-G923</f>
        <v>0</v>
      </c>
      <c r="AL923" s="218"/>
      <c r="AM923" s="353"/>
      <c r="AN923" s="295"/>
      <c r="AO923" s="296"/>
      <c r="AP923" s="353"/>
      <c r="AQ923" s="290"/>
      <c r="AR923" s="290"/>
      <c r="AS923" s="290"/>
    </row>
    <row r="924" spans="1:45" ht="17.25" thickBot="1" x14ac:dyDescent="0.3">
      <c r="A924" s="467"/>
      <c r="B924" s="354"/>
      <c r="C924" s="285">
        <v>1146028</v>
      </c>
      <c r="D924" s="358" t="s">
        <v>400</v>
      </c>
      <c r="E924" s="360"/>
      <c r="F924" s="361">
        <f>G959-AK924+AL924</f>
        <v>0</v>
      </c>
      <c r="G924" s="364">
        <v>0</v>
      </c>
      <c r="H924" s="397">
        <v>2</v>
      </c>
      <c r="I924" s="364">
        <v>0</v>
      </c>
      <c r="J924" s="364"/>
      <c r="K924" s="364">
        <v>0</v>
      </c>
      <c r="L924" s="218"/>
      <c r="M924" s="218"/>
      <c r="N924" s="218"/>
      <c r="O924" s="218"/>
      <c r="P924" s="352"/>
      <c r="Q924" s="352"/>
      <c r="R924" s="352"/>
      <c r="S924" s="352"/>
      <c r="T924" s="352"/>
      <c r="U924" s="352"/>
      <c r="V924" s="218"/>
      <c r="W924" s="218"/>
      <c r="X924" s="218"/>
      <c r="Y924" s="218"/>
      <c r="Z924" s="218"/>
      <c r="AA924" s="218"/>
      <c r="AB924" s="218"/>
      <c r="AC924" s="218"/>
      <c r="AD924" s="218"/>
      <c r="AE924" s="218"/>
      <c r="AF924" s="218"/>
      <c r="AG924" s="218"/>
      <c r="AH924" s="218"/>
      <c r="AI924" s="218"/>
      <c r="AJ924" s="218"/>
      <c r="AK924" s="218">
        <f>G959+AL924-G924</f>
        <v>0</v>
      </c>
      <c r="AL924" s="218"/>
      <c r="AM924" s="353"/>
      <c r="AN924" s="295"/>
      <c r="AO924" s="296"/>
      <c r="AP924" s="353"/>
      <c r="AQ924" s="290"/>
      <c r="AR924" s="290"/>
      <c r="AS924" s="290"/>
    </row>
    <row r="925" spans="1:45" ht="17.25" thickBot="1" x14ac:dyDescent="0.3">
      <c r="A925" s="467"/>
      <c r="B925" s="355" t="s">
        <v>419</v>
      </c>
      <c r="C925" s="356"/>
      <c r="D925" s="356"/>
      <c r="E925" s="359"/>
      <c r="F925" s="359"/>
      <c r="G925" s="356"/>
      <c r="H925" s="396"/>
      <c r="I925" s="356"/>
      <c r="J925" s="356"/>
      <c r="K925" s="356"/>
      <c r="L925" s="356"/>
      <c r="M925" s="356"/>
      <c r="N925" s="356"/>
      <c r="O925" s="356"/>
      <c r="P925" s="356"/>
      <c r="Q925" s="356"/>
      <c r="R925" s="356"/>
      <c r="S925" s="356"/>
      <c r="T925" s="356"/>
      <c r="U925" s="356"/>
      <c r="V925" s="356"/>
      <c r="W925" s="356"/>
      <c r="X925" s="356"/>
      <c r="Y925" s="356"/>
      <c r="Z925" s="356"/>
      <c r="AA925" s="356"/>
      <c r="AB925" s="356"/>
      <c r="AC925" s="356"/>
      <c r="AD925" s="356"/>
      <c r="AE925" s="356"/>
      <c r="AF925" s="356"/>
      <c r="AG925" s="356"/>
      <c r="AH925" s="356"/>
      <c r="AI925" s="356"/>
      <c r="AJ925" s="356"/>
      <c r="AK925" s="356"/>
      <c r="AL925" s="356"/>
      <c r="AM925" s="356"/>
      <c r="AN925" s="356"/>
      <c r="AO925" s="356"/>
      <c r="AP925" s="356"/>
      <c r="AQ925" s="356"/>
      <c r="AR925" s="356"/>
      <c r="AS925" s="357"/>
    </row>
    <row r="926" spans="1:45" ht="17.25" thickBot="1" x14ac:dyDescent="0.3">
      <c r="A926" s="467"/>
      <c r="B926" s="372"/>
      <c r="C926" s="373">
        <v>1146031</v>
      </c>
      <c r="D926" s="374" t="s">
        <v>401</v>
      </c>
      <c r="E926" s="375"/>
      <c r="F926" s="376">
        <f>G961-AK926+AL926</f>
        <v>2</v>
      </c>
      <c r="G926" s="377">
        <v>2</v>
      </c>
      <c r="H926" s="397">
        <v>1</v>
      </c>
      <c r="I926" s="377">
        <v>1</v>
      </c>
      <c r="J926" s="377"/>
      <c r="K926" s="377">
        <v>2</v>
      </c>
      <c r="L926" s="377"/>
      <c r="M926" s="377"/>
      <c r="N926" s="377"/>
      <c r="O926" s="377"/>
      <c r="P926" s="377"/>
      <c r="Q926" s="377"/>
      <c r="R926" s="377"/>
      <c r="S926" s="377"/>
      <c r="T926" s="377"/>
      <c r="U926" s="377"/>
      <c r="V926" s="377"/>
      <c r="W926" s="377"/>
      <c r="X926" s="377"/>
      <c r="Y926" s="377"/>
      <c r="Z926" s="377"/>
      <c r="AA926" s="377"/>
      <c r="AB926" s="377"/>
      <c r="AC926" s="377"/>
      <c r="AD926" s="377"/>
      <c r="AE926" s="377"/>
      <c r="AF926" s="377"/>
      <c r="AG926" s="377"/>
      <c r="AH926" s="377"/>
      <c r="AI926" s="377"/>
      <c r="AJ926" s="377"/>
      <c r="AK926" s="377">
        <f>G961+AL926-G926</f>
        <v>0</v>
      </c>
      <c r="AL926" s="377"/>
      <c r="AM926" s="378"/>
      <c r="AN926" s="379"/>
      <c r="AO926" s="380"/>
      <c r="AP926" s="378"/>
      <c r="AQ926" s="381"/>
      <c r="AR926" s="381"/>
      <c r="AS926" s="381"/>
    </row>
    <row r="927" spans="1:45" ht="17.25" thickBot="1" x14ac:dyDescent="0.3">
      <c r="A927" s="467"/>
      <c r="B927" s="372"/>
      <c r="C927" s="373">
        <v>1146020</v>
      </c>
      <c r="D927" s="374" t="s">
        <v>402</v>
      </c>
      <c r="E927" s="375"/>
      <c r="F927" s="376">
        <f>G962-AK927+AL927</f>
        <v>0</v>
      </c>
      <c r="G927" s="377">
        <v>0</v>
      </c>
      <c r="H927" s="397">
        <v>1</v>
      </c>
      <c r="I927" s="377">
        <v>0</v>
      </c>
      <c r="J927" s="377"/>
      <c r="K927" s="377">
        <v>0</v>
      </c>
      <c r="L927" s="377"/>
      <c r="M927" s="377"/>
      <c r="N927" s="377"/>
      <c r="O927" s="377"/>
      <c r="P927" s="377"/>
      <c r="Q927" s="377"/>
      <c r="R927" s="377"/>
      <c r="S927" s="377"/>
      <c r="T927" s="377"/>
      <c r="U927" s="377"/>
      <c r="V927" s="377"/>
      <c r="W927" s="377"/>
      <c r="X927" s="377"/>
      <c r="Y927" s="377"/>
      <c r="Z927" s="377"/>
      <c r="AA927" s="377"/>
      <c r="AB927" s="377"/>
      <c r="AC927" s="377"/>
      <c r="AD927" s="377"/>
      <c r="AE927" s="377"/>
      <c r="AF927" s="377"/>
      <c r="AG927" s="377"/>
      <c r="AH927" s="377"/>
      <c r="AI927" s="377"/>
      <c r="AJ927" s="377"/>
      <c r="AK927" s="377">
        <f>G962+AL927-G927</f>
        <v>0</v>
      </c>
      <c r="AL927" s="377"/>
      <c r="AM927" s="378"/>
      <c r="AN927" s="379"/>
      <c r="AO927" s="380"/>
      <c r="AP927" s="378"/>
      <c r="AQ927" s="381"/>
      <c r="AR927" s="381"/>
      <c r="AS927" s="381"/>
    </row>
    <row r="928" spans="1:45" ht="17.25" thickBot="1" x14ac:dyDescent="0.3">
      <c r="A928" s="467"/>
      <c r="B928" s="372"/>
      <c r="C928" s="373">
        <v>1146016</v>
      </c>
      <c r="D928" s="374" t="s">
        <v>398</v>
      </c>
      <c r="E928" s="375"/>
      <c r="F928" s="376">
        <f>G963-AK928+AL928</f>
        <v>0</v>
      </c>
      <c r="G928" s="377">
        <v>0</v>
      </c>
      <c r="H928" s="397">
        <v>1</v>
      </c>
      <c r="I928" s="377">
        <v>0</v>
      </c>
      <c r="J928" s="377"/>
      <c r="K928" s="377">
        <v>0</v>
      </c>
      <c r="L928" s="377"/>
      <c r="M928" s="377"/>
      <c r="N928" s="377"/>
      <c r="O928" s="377"/>
      <c r="P928" s="377"/>
      <c r="Q928" s="377"/>
      <c r="R928" s="377"/>
      <c r="S928" s="377"/>
      <c r="T928" s="377"/>
      <c r="U928" s="377"/>
      <c r="V928" s="377"/>
      <c r="W928" s="377"/>
      <c r="X928" s="377"/>
      <c r="Y928" s="377"/>
      <c r="Z928" s="377"/>
      <c r="AA928" s="377"/>
      <c r="AB928" s="377"/>
      <c r="AC928" s="377"/>
      <c r="AD928" s="377"/>
      <c r="AE928" s="377"/>
      <c r="AF928" s="377"/>
      <c r="AG928" s="377"/>
      <c r="AH928" s="377"/>
      <c r="AI928" s="377"/>
      <c r="AJ928" s="377"/>
      <c r="AK928" s="377">
        <f>G963+AL928-G928</f>
        <v>0</v>
      </c>
      <c r="AL928" s="377"/>
      <c r="AM928" s="378"/>
      <c r="AN928" s="379"/>
      <c r="AO928" s="380"/>
      <c r="AP928" s="378"/>
      <c r="AQ928" s="381"/>
      <c r="AR928" s="381"/>
      <c r="AS928" s="381"/>
    </row>
    <row r="929" spans="1:45" ht="17.25" thickBot="1" x14ac:dyDescent="0.3">
      <c r="A929" s="467"/>
      <c r="B929" s="372"/>
      <c r="C929" s="373">
        <v>1146022</v>
      </c>
      <c r="D929" s="374" t="s">
        <v>403</v>
      </c>
      <c r="E929" s="375"/>
      <c r="F929" s="376">
        <f>G964-AK929+AL929</f>
        <v>0</v>
      </c>
      <c r="G929" s="377">
        <v>0</v>
      </c>
      <c r="H929" s="397">
        <v>2</v>
      </c>
      <c r="I929" s="377">
        <v>0</v>
      </c>
      <c r="J929" s="377"/>
      <c r="K929" s="377">
        <v>0</v>
      </c>
      <c r="L929" s="377"/>
      <c r="M929" s="377"/>
      <c r="N929" s="377"/>
      <c r="O929" s="377"/>
      <c r="P929" s="377"/>
      <c r="Q929" s="377"/>
      <c r="R929" s="377"/>
      <c r="S929" s="377"/>
      <c r="T929" s="377"/>
      <c r="U929" s="377"/>
      <c r="V929" s="377"/>
      <c r="W929" s="377"/>
      <c r="X929" s="377"/>
      <c r="Y929" s="377"/>
      <c r="Z929" s="377"/>
      <c r="AA929" s="377"/>
      <c r="AB929" s="377"/>
      <c r="AC929" s="377"/>
      <c r="AD929" s="377"/>
      <c r="AE929" s="377"/>
      <c r="AF929" s="377"/>
      <c r="AG929" s="377"/>
      <c r="AH929" s="377"/>
      <c r="AI929" s="377"/>
      <c r="AJ929" s="377"/>
      <c r="AK929" s="377">
        <f>G964+AL929-G929</f>
        <v>0</v>
      </c>
      <c r="AL929" s="377"/>
      <c r="AM929" s="378"/>
      <c r="AN929" s="379"/>
      <c r="AO929" s="380"/>
      <c r="AP929" s="378"/>
      <c r="AQ929" s="381"/>
      <c r="AR929" s="381"/>
      <c r="AS929" s="381"/>
    </row>
    <row r="930" spans="1:45" ht="17.25" thickBot="1" x14ac:dyDescent="0.3">
      <c r="A930" s="467"/>
      <c r="B930" s="372"/>
      <c r="C930" s="373">
        <v>1146027</v>
      </c>
      <c r="D930" s="374" t="s">
        <v>404</v>
      </c>
      <c r="E930" s="375"/>
      <c r="F930" s="376">
        <f>G965-AK930+AL930</f>
        <v>0</v>
      </c>
      <c r="G930" s="377">
        <v>0</v>
      </c>
      <c r="H930" s="397">
        <v>2</v>
      </c>
      <c r="I930" s="377">
        <v>1</v>
      </c>
      <c r="J930" s="377"/>
      <c r="K930" s="377">
        <v>0</v>
      </c>
      <c r="L930" s="377"/>
      <c r="M930" s="377"/>
      <c r="N930" s="377"/>
      <c r="O930" s="377"/>
      <c r="P930" s="377"/>
      <c r="Q930" s="377"/>
      <c r="R930" s="377"/>
      <c r="S930" s="377"/>
      <c r="T930" s="377"/>
      <c r="U930" s="377"/>
      <c r="V930" s="377"/>
      <c r="W930" s="377"/>
      <c r="X930" s="377"/>
      <c r="Y930" s="377"/>
      <c r="Z930" s="377"/>
      <c r="AA930" s="377"/>
      <c r="AB930" s="377"/>
      <c r="AC930" s="377"/>
      <c r="AD930" s="377"/>
      <c r="AE930" s="377"/>
      <c r="AF930" s="377"/>
      <c r="AG930" s="377"/>
      <c r="AH930" s="377"/>
      <c r="AI930" s="377"/>
      <c r="AJ930" s="377"/>
      <c r="AK930" s="377">
        <f>G965+AL930-G930</f>
        <v>0</v>
      </c>
      <c r="AL930" s="377"/>
      <c r="AM930" s="378"/>
      <c r="AN930" s="379"/>
      <c r="AO930" s="380"/>
      <c r="AP930" s="378"/>
      <c r="AQ930" s="381"/>
      <c r="AR930" s="381"/>
      <c r="AS930" s="381"/>
    </row>
    <row r="931" spans="1:45" ht="17.25" thickBot="1" x14ac:dyDescent="0.3">
      <c r="A931" s="467"/>
      <c r="B931" s="355" t="s">
        <v>418</v>
      </c>
      <c r="C931" s="356"/>
      <c r="D931" s="356"/>
      <c r="E931" s="359"/>
      <c r="F931" s="359"/>
      <c r="G931" s="356"/>
      <c r="H931" s="396"/>
      <c r="I931" s="356"/>
      <c r="J931" s="356"/>
      <c r="K931" s="356"/>
      <c r="L931" s="356"/>
      <c r="M931" s="356"/>
      <c r="N931" s="356"/>
      <c r="O931" s="356"/>
      <c r="P931" s="356"/>
      <c r="Q931" s="356"/>
      <c r="R931" s="356"/>
      <c r="S931" s="356"/>
      <c r="T931" s="356"/>
      <c r="U931" s="356"/>
      <c r="V931" s="356"/>
      <c r="W931" s="356"/>
      <c r="X931" s="356"/>
      <c r="Y931" s="356"/>
      <c r="Z931" s="356"/>
      <c r="AA931" s="356"/>
      <c r="AB931" s="356"/>
      <c r="AC931" s="356"/>
      <c r="AD931" s="356"/>
      <c r="AE931" s="356"/>
      <c r="AF931" s="356"/>
      <c r="AG931" s="356"/>
      <c r="AH931" s="356"/>
      <c r="AI931" s="356"/>
      <c r="AJ931" s="356"/>
      <c r="AK931" s="356"/>
      <c r="AL931" s="356"/>
      <c r="AM931" s="356"/>
      <c r="AN931" s="356"/>
      <c r="AO931" s="356"/>
      <c r="AP931" s="356"/>
      <c r="AQ931" s="356"/>
      <c r="AR931" s="356"/>
      <c r="AS931" s="357"/>
    </row>
    <row r="932" spans="1:45" ht="17.25" thickBot="1" x14ac:dyDescent="0.3">
      <c r="A932" s="467"/>
      <c r="B932" s="354"/>
      <c r="C932" s="285">
        <v>1151653</v>
      </c>
      <c r="D932" s="358" t="s">
        <v>405</v>
      </c>
      <c r="E932" s="360"/>
      <c r="F932" s="361">
        <f>G967-AK932+AL932</f>
        <v>0</v>
      </c>
      <c r="G932" s="364">
        <v>0</v>
      </c>
      <c r="H932" s="397">
        <v>1</v>
      </c>
      <c r="I932" s="364">
        <v>1</v>
      </c>
      <c r="J932" s="364"/>
      <c r="K932" s="364">
        <v>0</v>
      </c>
      <c r="L932" s="218"/>
      <c r="M932" s="218"/>
      <c r="N932" s="218"/>
      <c r="O932" s="218"/>
      <c r="P932" s="352"/>
      <c r="Q932" s="352"/>
      <c r="R932" s="352"/>
      <c r="S932" s="352"/>
      <c r="T932" s="352"/>
      <c r="U932" s="352"/>
      <c r="V932" s="218"/>
      <c r="W932" s="218"/>
      <c r="X932" s="218"/>
      <c r="Y932" s="218"/>
      <c r="Z932" s="218"/>
      <c r="AA932" s="218"/>
      <c r="AB932" s="218"/>
      <c r="AC932" s="218"/>
      <c r="AD932" s="218"/>
      <c r="AE932" s="218"/>
      <c r="AF932" s="218"/>
      <c r="AG932" s="218"/>
      <c r="AH932" s="218"/>
      <c r="AI932" s="218"/>
      <c r="AJ932" s="218"/>
      <c r="AK932" s="218">
        <f>G967+AL932-G932</f>
        <v>0</v>
      </c>
      <c r="AL932" s="218"/>
      <c r="AM932" s="353"/>
      <c r="AN932" s="295"/>
      <c r="AO932" s="296"/>
      <c r="AP932" s="353"/>
      <c r="AQ932" s="290"/>
      <c r="AR932" s="290"/>
      <c r="AS932" s="290"/>
    </row>
    <row r="933" spans="1:45" ht="17.25" thickBot="1" x14ac:dyDescent="0.3">
      <c r="A933" s="467"/>
      <c r="B933" s="354"/>
      <c r="C933" s="285">
        <v>1151650</v>
      </c>
      <c r="D933" s="358" t="s">
        <v>406</v>
      </c>
      <c r="E933" s="360"/>
      <c r="F933" s="361">
        <f>G968-AK933+AL933</f>
        <v>0</v>
      </c>
      <c r="G933" s="364">
        <v>0</v>
      </c>
      <c r="H933" s="397">
        <v>2</v>
      </c>
      <c r="I933" s="364">
        <v>0</v>
      </c>
      <c r="J933" s="364"/>
      <c r="K933" s="364">
        <v>5</v>
      </c>
      <c r="L933" s="218"/>
      <c r="M933" s="218"/>
      <c r="N933" s="218"/>
      <c r="O933" s="218"/>
      <c r="P933" s="352"/>
      <c r="Q933" s="352"/>
      <c r="R933" s="352"/>
      <c r="S933" s="352"/>
      <c r="T933" s="352"/>
      <c r="U933" s="352"/>
      <c r="V933" s="218"/>
      <c r="W933" s="218"/>
      <c r="X933" s="218"/>
      <c r="Y933" s="218"/>
      <c r="Z933" s="218"/>
      <c r="AA933" s="218"/>
      <c r="AB933" s="218"/>
      <c r="AC933" s="218"/>
      <c r="AD933" s="218"/>
      <c r="AE933" s="218"/>
      <c r="AF933" s="218"/>
      <c r="AG933" s="218"/>
      <c r="AH933" s="218"/>
      <c r="AI933" s="218"/>
      <c r="AJ933" s="218"/>
      <c r="AK933" s="218">
        <f>G968+AL933-G933</f>
        <v>0</v>
      </c>
      <c r="AL933" s="218"/>
      <c r="AM933" s="353"/>
      <c r="AN933" s="295"/>
      <c r="AO933" s="296"/>
      <c r="AP933" s="353"/>
      <c r="AQ933" s="290"/>
      <c r="AR933" s="290"/>
      <c r="AS933" s="290"/>
    </row>
    <row r="934" spans="1:45" ht="17.25" thickBot="1" x14ac:dyDescent="0.3">
      <c r="A934" s="467"/>
      <c r="B934" s="354"/>
      <c r="C934" s="285">
        <v>1151649</v>
      </c>
      <c r="D934" s="358" t="s">
        <v>407</v>
      </c>
      <c r="E934" s="360"/>
      <c r="F934" s="361">
        <f>G969-AK934+AL934</f>
        <v>2</v>
      </c>
      <c r="G934" s="369">
        <v>2</v>
      </c>
      <c r="H934" s="369">
        <v>4</v>
      </c>
      <c r="I934" s="369">
        <v>4</v>
      </c>
      <c r="J934" s="369"/>
      <c r="K934" s="369">
        <v>0</v>
      </c>
      <c r="L934" s="218"/>
      <c r="M934" s="218"/>
      <c r="N934" s="218"/>
      <c r="O934" s="218"/>
      <c r="P934" s="352"/>
      <c r="Q934" s="352"/>
      <c r="R934" s="352"/>
      <c r="S934" s="352"/>
      <c r="T934" s="352"/>
      <c r="U934" s="352"/>
      <c r="V934" s="218"/>
      <c r="W934" s="218"/>
      <c r="X934" s="218"/>
      <c r="Y934" s="218"/>
      <c r="Z934" s="218"/>
      <c r="AA934" s="218"/>
      <c r="AB934" s="218"/>
      <c r="AC934" s="218"/>
      <c r="AD934" s="218"/>
      <c r="AE934" s="218"/>
      <c r="AF934" s="218"/>
      <c r="AG934" s="218"/>
      <c r="AH934" s="218"/>
      <c r="AI934" s="218"/>
      <c r="AJ934" s="218"/>
      <c r="AK934" s="218">
        <f>G969+AL934-G934</f>
        <v>0</v>
      </c>
      <c r="AL934" s="218"/>
      <c r="AM934" s="353"/>
      <c r="AN934" s="295"/>
      <c r="AO934" s="296"/>
      <c r="AP934" s="353"/>
      <c r="AQ934" s="290"/>
      <c r="AR934" s="290"/>
      <c r="AS934" s="290"/>
    </row>
    <row r="935" spans="1:45" ht="17.25" thickBot="1" x14ac:dyDescent="0.3">
      <c r="A935" s="467"/>
      <c r="B935" s="354"/>
      <c r="C935" s="285">
        <v>1151651</v>
      </c>
      <c r="D935" s="358" t="s">
        <v>408</v>
      </c>
      <c r="E935" s="360"/>
      <c r="F935" s="361">
        <f>G970-AK935+AL935</f>
        <v>3</v>
      </c>
      <c r="G935" s="369">
        <v>3</v>
      </c>
      <c r="H935" s="369">
        <v>1</v>
      </c>
      <c r="I935" s="369">
        <v>3</v>
      </c>
      <c r="J935" s="369"/>
      <c r="K935" s="369">
        <v>0</v>
      </c>
      <c r="L935" s="218"/>
      <c r="M935" s="218"/>
      <c r="N935" s="218"/>
      <c r="O935" s="218"/>
      <c r="P935" s="352"/>
      <c r="Q935" s="352"/>
      <c r="R935" s="352"/>
      <c r="S935" s="352"/>
      <c r="T935" s="352"/>
      <c r="U935" s="352"/>
      <c r="V935" s="218"/>
      <c r="W935" s="218"/>
      <c r="X935" s="218"/>
      <c r="Y935" s="218"/>
      <c r="Z935" s="218">
        <v>2</v>
      </c>
      <c r="AA935" s="218"/>
      <c r="AB935" s="218"/>
      <c r="AC935" s="218"/>
      <c r="AD935" s="218"/>
      <c r="AE935" s="218"/>
      <c r="AF935" s="218"/>
      <c r="AG935" s="218"/>
      <c r="AH935" s="218"/>
      <c r="AI935" s="218"/>
      <c r="AJ935" s="218"/>
      <c r="AK935" s="218">
        <f>G970+AL935-G935</f>
        <v>0</v>
      </c>
      <c r="AL935" s="218"/>
      <c r="AM935" s="353"/>
      <c r="AN935" s="295"/>
      <c r="AO935" s="296"/>
      <c r="AP935" s="353"/>
      <c r="AQ935" s="290"/>
      <c r="AR935" s="290"/>
      <c r="AS935" s="290"/>
    </row>
    <row r="936" spans="1:45" ht="17.25" thickBot="1" x14ac:dyDescent="0.3">
      <c r="A936" s="467"/>
      <c r="B936" s="354"/>
      <c r="C936" s="285">
        <v>1146029</v>
      </c>
      <c r="D936" s="358" t="s">
        <v>409</v>
      </c>
      <c r="E936" s="360"/>
      <c r="F936" s="361">
        <f>G971-AK936+AL936</f>
        <v>2</v>
      </c>
      <c r="G936" s="369">
        <v>2</v>
      </c>
      <c r="H936" s="369">
        <v>2</v>
      </c>
      <c r="I936" s="369">
        <v>2</v>
      </c>
      <c r="J936" s="369"/>
      <c r="K936" s="369">
        <v>1</v>
      </c>
      <c r="L936" s="218"/>
      <c r="M936" s="218"/>
      <c r="N936" s="218"/>
      <c r="O936" s="218"/>
      <c r="P936" s="352"/>
      <c r="Q936" s="352"/>
      <c r="R936" s="352"/>
      <c r="S936" s="352"/>
      <c r="T936" s="352"/>
      <c r="U936" s="352"/>
      <c r="V936" s="218"/>
      <c r="W936" s="218"/>
      <c r="X936" s="218"/>
      <c r="Y936" s="218"/>
      <c r="Z936" s="218"/>
      <c r="AA936" s="218"/>
      <c r="AB936" s="218"/>
      <c r="AC936" s="218"/>
      <c r="AD936" s="218"/>
      <c r="AE936" s="218"/>
      <c r="AF936" s="218"/>
      <c r="AG936" s="218"/>
      <c r="AH936" s="218"/>
      <c r="AI936" s="218"/>
      <c r="AJ936" s="218"/>
      <c r="AK936" s="218">
        <f>G971+AL936-G936</f>
        <v>0</v>
      </c>
      <c r="AL936" s="218"/>
      <c r="AM936" s="353"/>
      <c r="AN936" s="295"/>
      <c r="AO936" s="296"/>
      <c r="AP936" s="353"/>
      <c r="AQ936" s="290"/>
      <c r="AR936" s="290"/>
      <c r="AS936" s="290"/>
    </row>
    <row r="937" spans="1:45" ht="17.25" thickBot="1" x14ac:dyDescent="0.3">
      <c r="A937" s="467"/>
      <c r="B937" s="355" t="s">
        <v>410</v>
      </c>
      <c r="C937" s="356"/>
      <c r="D937" s="356"/>
      <c r="E937" s="359"/>
      <c r="F937" s="359"/>
      <c r="G937" s="356"/>
      <c r="H937" s="396"/>
      <c r="I937" s="356"/>
      <c r="J937" s="356"/>
      <c r="K937" s="356"/>
      <c r="L937" s="356"/>
      <c r="M937" s="356"/>
      <c r="N937" s="356"/>
      <c r="O937" s="356"/>
      <c r="P937" s="356"/>
      <c r="Q937" s="356"/>
      <c r="R937" s="356"/>
      <c r="S937" s="356"/>
      <c r="T937" s="356"/>
      <c r="U937" s="356"/>
      <c r="V937" s="356"/>
      <c r="W937" s="356"/>
      <c r="X937" s="356"/>
      <c r="Y937" s="356"/>
      <c r="Z937" s="356"/>
      <c r="AA937" s="356"/>
      <c r="AB937" s="356"/>
      <c r="AC937" s="356"/>
      <c r="AD937" s="356"/>
      <c r="AE937" s="356"/>
      <c r="AF937" s="356"/>
      <c r="AG937" s="356"/>
      <c r="AH937" s="356"/>
      <c r="AI937" s="356"/>
      <c r="AJ937" s="356"/>
      <c r="AK937" s="356"/>
      <c r="AL937" s="356"/>
      <c r="AM937" s="356"/>
      <c r="AN937" s="356"/>
      <c r="AO937" s="356"/>
      <c r="AP937" s="356"/>
      <c r="AQ937" s="356"/>
      <c r="AR937" s="356"/>
      <c r="AS937" s="357"/>
    </row>
    <row r="938" spans="1:45" ht="17.25" thickBot="1" x14ac:dyDescent="0.3">
      <c r="A938" s="467"/>
      <c r="B938" s="354"/>
      <c r="C938" s="285">
        <v>1699118</v>
      </c>
      <c r="D938" s="358" t="s">
        <v>411</v>
      </c>
      <c r="E938" s="360"/>
      <c r="F938" s="361">
        <f>G973-AK938+AL938</f>
        <v>1</v>
      </c>
      <c r="G938" s="369">
        <v>1</v>
      </c>
      <c r="H938" s="369">
        <v>1</v>
      </c>
      <c r="I938" s="369">
        <v>1</v>
      </c>
      <c r="J938" s="369"/>
      <c r="K938" s="369">
        <v>0</v>
      </c>
      <c r="L938" s="218"/>
      <c r="M938" s="218"/>
      <c r="N938" s="218"/>
      <c r="O938" s="218"/>
      <c r="P938" s="352"/>
      <c r="Q938" s="352"/>
      <c r="R938" s="352"/>
      <c r="S938" s="352"/>
      <c r="T938" s="352"/>
      <c r="U938" s="352"/>
      <c r="V938" s="218"/>
      <c r="W938" s="218"/>
      <c r="X938" s="218"/>
      <c r="Y938" s="218"/>
      <c r="Z938" s="218"/>
      <c r="AA938" s="218"/>
      <c r="AB938" s="218"/>
      <c r="AC938" s="218"/>
      <c r="AD938" s="218"/>
      <c r="AE938" s="218"/>
      <c r="AF938" s="218"/>
      <c r="AG938" s="218"/>
      <c r="AH938" s="218"/>
      <c r="AI938" s="218"/>
      <c r="AJ938" s="218"/>
      <c r="AK938" s="218">
        <f>G973+AL938-G938</f>
        <v>0</v>
      </c>
      <c r="AL938" s="218"/>
      <c r="AM938" s="353"/>
      <c r="AN938" s="295"/>
      <c r="AO938" s="296"/>
      <c r="AP938" s="353"/>
      <c r="AQ938" s="290"/>
      <c r="AR938" s="290"/>
      <c r="AS938" s="290"/>
    </row>
    <row r="939" spans="1:45" ht="17.25" thickBot="1" x14ac:dyDescent="0.3">
      <c r="A939" s="467"/>
      <c r="B939" s="354"/>
      <c r="C939" s="285">
        <v>1699119</v>
      </c>
      <c r="D939" s="358" t="s">
        <v>412</v>
      </c>
      <c r="E939" s="360"/>
      <c r="F939" s="361">
        <f>G974-AK939+AL939</f>
        <v>2</v>
      </c>
      <c r="G939" s="369">
        <v>2</v>
      </c>
      <c r="H939" s="369">
        <v>1</v>
      </c>
      <c r="I939" s="369">
        <v>2</v>
      </c>
      <c r="J939" s="369"/>
      <c r="K939" s="369">
        <v>0</v>
      </c>
      <c r="L939" s="218"/>
      <c r="M939" s="218"/>
      <c r="N939" s="218"/>
      <c r="O939" s="218"/>
      <c r="P939" s="352"/>
      <c r="Q939" s="352"/>
      <c r="R939" s="352"/>
      <c r="S939" s="352"/>
      <c r="T939" s="352"/>
      <c r="U939" s="352"/>
      <c r="V939" s="218"/>
      <c r="W939" s="218"/>
      <c r="X939" s="218"/>
      <c r="Y939" s="218"/>
      <c r="Z939" s="218"/>
      <c r="AA939" s="218"/>
      <c r="AB939" s="218"/>
      <c r="AC939" s="218"/>
      <c r="AD939" s="218"/>
      <c r="AE939" s="218"/>
      <c r="AF939" s="218"/>
      <c r="AG939" s="218"/>
      <c r="AH939" s="218"/>
      <c r="AI939" s="218"/>
      <c r="AJ939" s="218"/>
      <c r="AK939" s="218">
        <f>G974+AL939-G939</f>
        <v>0</v>
      </c>
      <c r="AL939" s="218"/>
      <c r="AM939" s="353"/>
      <c r="AN939" s="295"/>
      <c r="AO939" s="296"/>
      <c r="AP939" s="353"/>
      <c r="AQ939" s="290"/>
      <c r="AR939" s="290"/>
      <c r="AS939" s="290"/>
    </row>
    <row r="940" spans="1:45" ht="17.25" thickBot="1" x14ac:dyDescent="0.3">
      <c r="A940" s="467"/>
      <c r="B940" s="354"/>
      <c r="C940" s="285">
        <v>1699130</v>
      </c>
      <c r="D940" s="358" t="s">
        <v>413</v>
      </c>
      <c r="E940" s="360"/>
      <c r="F940" s="361">
        <f>G975-AK940+AL940</f>
        <v>0</v>
      </c>
      <c r="G940" s="369">
        <v>0</v>
      </c>
      <c r="H940" s="369">
        <v>4</v>
      </c>
      <c r="I940" s="369">
        <v>1</v>
      </c>
      <c r="J940" s="369"/>
      <c r="K940" s="369">
        <v>0</v>
      </c>
      <c r="L940" s="218"/>
      <c r="M940" s="218"/>
      <c r="N940" s="218"/>
      <c r="O940" s="218"/>
      <c r="P940" s="352"/>
      <c r="Q940" s="352"/>
      <c r="R940" s="352"/>
      <c r="S940" s="352"/>
      <c r="T940" s="352"/>
      <c r="U940" s="352"/>
      <c r="V940" s="218"/>
      <c r="W940" s="218"/>
      <c r="X940" s="218"/>
      <c r="Y940" s="218"/>
      <c r="Z940" s="218"/>
      <c r="AA940" s="218">
        <v>2</v>
      </c>
      <c r="AB940" s="218"/>
      <c r="AC940" s="218"/>
      <c r="AD940" s="218"/>
      <c r="AE940" s="218"/>
      <c r="AF940" s="218"/>
      <c r="AG940" s="218"/>
      <c r="AH940" s="218"/>
      <c r="AI940" s="218"/>
      <c r="AJ940" s="218"/>
      <c r="AK940" s="218">
        <f>G975+AL940-G940</f>
        <v>0</v>
      </c>
      <c r="AL940" s="218"/>
      <c r="AM940" s="353"/>
      <c r="AN940" s="295"/>
      <c r="AO940" s="296"/>
      <c r="AP940" s="353"/>
      <c r="AQ940" s="290"/>
      <c r="AR940" s="290"/>
      <c r="AS940" s="290"/>
    </row>
    <row r="941" spans="1:45" ht="17.25" thickBot="1" x14ac:dyDescent="0.3">
      <c r="A941" s="467"/>
      <c r="B941" s="354"/>
      <c r="C941" s="285">
        <v>1699131</v>
      </c>
      <c r="D941" s="358" t="s">
        <v>414</v>
      </c>
      <c r="E941" s="360"/>
      <c r="F941" s="361">
        <f>G976-AK941+AL941</f>
        <v>2</v>
      </c>
      <c r="G941" s="369">
        <v>2</v>
      </c>
      <c r="H941" s="397">
        <v>3</v>
      </c>
      <c r="I941" s="364">
        <v>2</v>
      </c>
      <c r="J941" s="364"/>
      <c r="K941" s="364">
        <v>0</v>
      </c>
      <c r="L941" s="218"/>
      <c r="M941" s="218"/>
      <c r="N941" s="218"/>
      <c r="O941" s="218"/>
      <c r="P941" s="352"/>
      <c r="Q941" s="352"/>
      <c r="R941" s="352"/>
      <c r="S941" s="352"/>
      <c r="T941" s="352"/>
      <c r="U941" s="352"/>
      <c r="V941" s="218"/>
      <c r="W941" s="218"/>
      <c r="X941" s="218"/>
      <c r="Y941" s="218"/>
      <c r="Z941" s="218"/>
      <c r="AA941" s="218"/>
      <c r="AB941" s="218"/>
      <c r="AC941" s="218"/>
      <c r="AD941" s="218"/>
      <c r="AE941" s="218"/>
      <c r="AF941" s="218"/>
      <c r="AG941" s="218"/>
      <c r="AH941" s="218"/>
      <c r="AI941" s="218"/>
      <c r="AJ941" s="218"/>
      <c r="AK941" s="218">
        <f>G976+AL941-G941</f>
        <v>0</v>
      </c>
      <c r="AL941" s="218"/>
      <c r="AM941" s="353"/>
      <c r="AN941" s="295"/>
      <c r="AO941" s="296"/>
      <c r="AP941" s="353"/>
      <c r="AQ941" s="290"/>
      <c r="AR941" s="290"/>
      <c r="AS941" s="290"/>
    </row>
    <row r="942" spans="1:45" ht="17.25" thickBot="1" x14ac:dyDescent="0.3">
      <c r="A942" s="468"/>
      <c r="B942" s="354"/>
      <c r="C942" s="285">
        <v>1699132</v>
      </c>
      <c r="D942" s="358" t="s">
        <v>415</v>
      </c>
      <c r="E942" s="285"/>
      <c r="F942" s="362">
        <f>G977-AK942+AL942</f>
        <v>0</v>
      </c>
      <c r="G942" s="364">
        <v>0</v>
      </c>
      <c r="H942" s="397">
        <v>3</v>
      </c>
      <c r="I942" s="364">
        <v>2</v>
      </c>
      <c r="J942" s="364"/>
      <c r="K942" s="364">
        <v>2</v>
      </c>
      <c r="L942" s="218"/>
      <c r="M942" s="218"/>
      <c r="N942" s="218"/>
      <c r="O942" s="218"/>
      <c r="P942" s="352"/>
      <c r="Q942" s="352"/>
      <c r="R942" s="352"/>
      <c r="S942" s="352"/>
      <c r="T942" s="352"/>
      <c r="U942" s="352"/>
      <c r="V942" s="218"/>
      <c r="W942" s="218"/>
      <c r="X942" s="218"/>
      <c r="Y942" s="218"/>
      <c r="Z942" s="218"/>
      <c r="AA942" s="218"/>
      <c r="AB942" s="218"/>
      <c r="AC942" s="218"/>
      <c r="AD942" s="218"/>
      <c r="AE942" s="218"/>
      <c r="AF942" s="218"/>
      <c r="AG942" s="218"/>
      <c r="AH942" s="218"/>
      <c r="AI942" s="218"/>
      <c r="AJ942" s="218"/>
      <c r="AK942" s="218">
        <f>G977+AL942-G942</f>
        <v>0</v>
      </c>
      <c r="AL942" s="218"/>
      <c r="AM942" s="353"/>
      <c r="AN942" s="295"/>
      <c r="AO942" s="296"/>
      <c r="AP942" s="353"/>
      <c r="AQ942" s="290"/>
      <c r="AR942" s="290"/>
      <c r="AS942" s="290"/>
    </row>
    <row r="943" spans="1:45" x14ac:dyDescent="0.25">
      <c r="AL943" s="290"/>
      <c r="AM943" s="290"/>
      <c r="AN943" s="290"/>
      <c r="AO943" s="290"/>
      <c r="AP943" s="290"/>
      <c r="AQ943" s="290"/>
      <c r="AR943" s="290"/>
    </row>
    <row r="944" spans="1:45" ht="14.25" thickBot="1" x14ac:dyDescent="0.3">
      <c r="B944" s="338" t="s">
        <v>18</v>
      </c>
      <c r="C944" s="339">
        <v>45663</v>
      </c>
      <c r="AA944" s="290">
        <v>0</v>
      </c>
      <c r="AL944" s="290"/>
      <c r="AM944" s="290"/>
      <c r="AN944" s="290"/>
      <c r="AO944" s="290"/>
      <c r="AP944" s="290"/>
      <c r="AQ944" s="290"/>
    </row>
    <row r="945" spans="1:45" ht="41.25" thickBot="1" x14ac:dyDescent="0.3">
      <c r="B945" s="283" t="s">
        <v>0</v>
      </c>
      <c r="C945" s="284" t="s">
        <v>1</v>
      </c>
      <c r="D945" s="284" t="s">
        <v>2</v>
      </c>
      <c r="E945" s="284" t="s">
        <v>3</v>
      </c>
      <c r="F945" s="4" t="s">
        <v>318</v>
      </c>
      <c r="G945" s="351" t="s">
        <v>507</v>
      </c>
      <c r="H945" s="382" t="s">
        <v>460</v>
      </c>
      <c r="I945" s="234" t="s">
        <v>504</v>
      </c>
      <c r="J945" s="234"/>
      <c r="K945" s="258" t="s">
        <v>506</v>
      </c>
      <c r="L945" s="258" t="s">
        <v>328</v>
      </c>
      <c r="M945" s="258" t="s">
        <v>327</v>
      </c>
      <c r="N945" s="234" t="s">
        <v>389</v>
      </c>
      <c r="O945" s="240" t="s">
        <v>130</v>
      </c>
      <c r="P945" s="243" t="s">
        <v>303</v>
      </c>
      <c r="Q945" s="244" t="s">
        <v>304</v>
      </c>
      <c r="R945" s="244" t="s">
        <v>314</v>
      </c>
      <c r="S945" s="245" t="s">
        <v>338</v>
      </c>
      <c r="T945" s="245" t="s">
        <v>345</v>
      </c>
      <c r="U945" s="245" t="s">
        <v>361</v>
      </c>
      <c r="V945" s="245" t="s">
        <v>387</v>
      </c>
      <c r="W945" s="245" t="s">
        <v>421</v>
      </c>
      <c r="X945" s="245" t="s">
        <v>452</v>
      </c>
      <c r="Y945" s="245" t="s">
        <v>463</v>
      </c>
      <c r="Z945" s="245" t="s">
        <v>481</v>
      </c>
      <c r="AA945" s="245" t="s">
        <v>498</v>
      </c>
      <c r="AB945" s="245" t="s">
        <v>303</v>
      </c>
      <c r="AC945" s="245"/>
      <c r="AD945" s="245"/>
      <c r="AE945" s="245"/>
      <c r="AF945" s="245"/>
      <c r="AG945" s="245"/>
      <c r="AH945" s="245"/>
      <c r="AI945" s="245"/>
      <c r="AJ945" s="245" t="s">
        <v>360</v>
      </c>
      <c r="AK945" s="246" t="s">
        <v>268</v>
      </c>
      <c r="AL945" s="247" t="s">
        <v>269</v>
      </c>
      <c r="AM945" s="291" t="s">
        <v>288</v>
      </c>
      <c r="AN945" s="292" t="s">
        <v>289</v>
      </c>
      <c r="AO945" s="292" t="s">
        <v>287</v>
      </c>
      <c r="AP945" s="293" t="s">
        <v>290</v>
      </c>
      <c r="AQ945" s="290" t="s">
        <v>306</v>
      </c>
      <c r="AR945" s="290" t="s">
        <v>310</v>
      </c>
      <c r="AS945" s="290" t="s">
        <v>311</v>
      </c>
    </row>
    <row r="946" spans="1:45" ht="17.25" thickBot="1" x14ac:dyDescent="0.3">
      <c r="A946" s="463" t="s">
        <v>416</v>
      </c>
      <c r="B946" s="285">
        <v>273664</v>
      </c>
      <c r="C946" s="286">
        <v>1135749</v>
      </c>
      <c r="D946" s="286" t="s">
        <v>7</v>
      </c>
      <c r="E946" s="286">
        <v>6060050026</v>
      </c>
      <c r="F946" s="253">
        <f>G981-AK946+AL946</f>
        <v>3</v>
      </c>
      <c r="G946" s="235">
        <v>3</v>
      </c>
      <c r="H946" s="394">
        <v>5</v>
      </c>
      <c r="I946" s="232">
        <v>3</v>
      </c>
      <c r="J946" s="232"/>
      <c r="K946" s="232">
        <v>1</v>
      </c>
      <c r="L946" s="232">
        <f>IF(K980=K945,L981+AK946,K946)</f>
        <v>1</v>
      </c>
      <c r="M946" s="232">
        <f>IF(K980=K945,0,L981+AK946-K946)</f>
        <v>-1</v>
      </c>
      <c r="N946" s="267">
        <v>5</v>
      </c>
      <c r="O946" s="241">
        <f>N946-G946</f>
        <v>2</v>
      </c>
      <c r="P946" s="277">
        <v>4</v>
      </c>
      <c r="Q946" s="278">
        <v>4</v>
      </c>
      <c r="R946" s="279"/>
      <c r="S946" s="279">
        <v>3</v>
      </c>
      <c r="T946" s="279">
        <v>4</v>
      </c>
      <c r="U946" s="279">
        <v>2</v>
      </c>
      <c r="V946" s="279"/>
      <c r="W946" s="279">
        <f>2+3</f>
        <v>5</v>
      </c>
      <c r="X946" s="241"/>
      <c r="Y946" s="241"/>
      <c r="Z946" s="241"/>
      <c r="AA946" s="241">
        <v>4</v>
      </c>
      <c r="AB946" s="241"/>
      <c r="AC946" s="241"/>
      <c r="AD946" s="241"/>
      <c r="AE946" s="241"/>
      <c r="AF946" s="241"/>
      <c r="AG946" s="241"/>
      <c r="AH946" s="241"/>
      <c r="AI946" s="241"/>
      <c r="AJ946" s="241">
        <f>N946-V946</f>
        <v>5</v>
      </c>
      <c r="AK946" s="235">
        <f>G981+AL946-G946</f>
        <v>0</v>
      </c>
      <c r="AL946" s="350"/>
      <c r="AM946" s="294">
        <v>1.5</v>
      </c>
      <c r="AN946" s="295">
        <v>4</v>
      </c>
      <c r="AO946" s="296">
        <f>G946/(AN946)</f>
        <v>0.75</v>
      </c>
      <c r="AP946" s="297">
        <f>AN946*6</f>
        <v>24</v>
      </c>
      <c r="AQ946" s="290">
        <f>G946+K946</f>
        <v>4</v>
      </c>
      <c r="AR946" s="290">
        <f>IF(G946&lt;G981,(G981-G946+K981-K946),K981-K946)</f>
        <v>-1</v>
      </c>
      <c r="AS946" s="290">
        <f>21-8</f>
        <v>13</v>
      </c>
    </row>
    <row r="947" spans="1:45" ht="17.25" thickBot="1" x14ac:dyDescent="0.3">
      <c r="A947" s="464"/>
      <c r="B947" s="285">
        <v>273672</v>
      </c>
      <c r="C947" s="286">
        <v>1135750</v>
      </c>
      <c r="D947" s="286" t="s">
        <v>9</v>
      </c>
      <c r="E947" s="287">
        <v>204000000000</v>
      </c>
      <c r="F947" s="253">
        <f>G982-AK947+AL947</f>
        <v>21</v>
      </c>
      <c r="G947" s="235">
        <v>21</v>
      </c>
      <c r="H947" s="394">
        <v>16</v>
      </c>
      <c r="I947" s="232">
        <f>8+9+4</f>
        <v>21</v>
      </c>
      <c r="J947" s="232"/>
      <c r="K947" s="232">
        <v>0</v>
      </c>
      <c r="L947" s="232">
        <f>IF(K980=K945,L982+AK947,K947)</f>
        <v>0</v>
      </c>
      <c r="M947" s="232">
        <f>IF(K980=K945,0,L982+AK947-K947)</f>
        <v>4</v>
      </c>
      <c r="N947" s="267">
        <v>10</v>
      </c>
      <c r="O947" s="241">
        <f>N947-G947</f>
        <v>-11</v>
      </c>
      <c r="P947" s="277">
        <v>13</v>
      </c>
      <c r="Q947" s="278">
        <v>2</v>
      </c>
      <c r="R947" s="279">
        <v>6</v>
      </c>
      <c r="S947" s="279">
        <v>6</v>
      </c>
      <c r="T947" s="279">
        <v>10</v>
      </c>
      <c r="U947" s="279">
        <v>4</v>
      </c>
      <c r="V947" s="279">
        <v>6</v>
      </c>
      <c r="W947" s="279">
        <v>16</v>
      </c>
      <c r="X947" s="241"/>
      <c r="Y947" s="241">
        <v>6</v>
      </c>
      <c r="Z947" s="241">
        <v>4</v>
      </c>
      <c r="AA947" s="241">
        <v>6</v>
      </c>
      <c r="AB947" s="241">
        <v>4</v>
      </c>
      <c r="AC947" s="241"/>
      <c r="AD947" s="241"/>
      <c r="AE947" s="241"/>
      <c r="AF947" s="241"/>
      <c r="AG947" s="241"/>
      <c r="AH947" s="241"/>
      <c r="AI947" s="241"/>
      <c r="AJ947" s="241">
        <f>N947-V947</f>
        <v>4</v>
      </c>
      <c r="AK947" s="235">
        <f>G982+AL947-G947</f>
        <v>4</v>
      </c>
      <c r="AL947" s="236"/>
      <c r="AM947" s="298">
        <v>4.2</v>
      </c>
      <c r="AN947" s="295">
        <v>9</v>
      </c>
      <c r="AO947" s="296">
        <f>G947/(AN947)</f>
        <v>2.3333333333333335</v>
      </c>
      <c r="AP947" s="297">
        <f>AN947*6</f>
        <v>54</v>
      </c>
      <c r="AQ947" s="290">
        <f>G947+K947</f>
        <v>21</v>
      </c>
      <c r="AR947" s="290">
        <f>IF(G947&lt;G982,(G982-G947+K982-K947),K982-K947)</f>
        <v>4</v>
      </c>
      <c r="AS947" s="290">
        <f>21-8</f>
        <v>13</v>
      </c>
    </row>
    <row r="948" spans="1:45" ht="17.25" thickBot="1" x14ac:dyDescent="0.3">
      <c r="A948" s="464"/>
      <c r="B948" s="285">
        <v>273702</v>
      </c>
      <c r="C948" s="286">
        <v>1135753</v>
      </c>
      <c r="D948" s="286" t="s">
        <v>10</v>
      </c>
      <c r="E948" s="287">
        <v>301000000000</v>
      </c>
      <c r="F948" s="253">
        <f>G983-AK948+AL948</f>
        <v>2</v>
      </c>
      <c r="G948" s="235">
        <v>2</v>
      </c>
      <c r="H948" s="394">
        <v>1</v>
      </c>
      <c r="I948" s="232">
        <v>2</v>
      </c>
      <c r="J948" s="232"/>
      <c r="K948" s="232">
        <v>1</v>
      </c>
      <c r="L948" s="232">
        <f>IF(K980=K945,L983+AK948,K948)</f>
        <v>1</v>
      </c>
      <c r="M948" s="232">
        <f>IF(K980=K945,0,L983+AK948-K948)</f>
        <v>-1</v>
      </c>
      <c r="N948" s="232">
        <v>2</v>
      </c>
      <c r="O948" s="241">
        <f>N948-G948</f>
        <v>0</v>
      </c>
      <c r="P948" s="277"/>
      <c r="Q948" s="278"/>
      <c r="R948" s="279"/>
      <c r="S948" s="279"/>
      <c r="T948" s="279"/>
      <c r="U948" s="279"/>
      <c r="V948" s="279"/>
      <c r="W948" s="279"/>
      <c r="X948" s="241"/>
      <c r="Y948" s="241"/>
      <c r="Z948" s="241"/>
      <c r="AA948" s="241"/>
      <c r="AB948" s="241"/>
      <c r="AC948" s="241"/>
      <c r="AD948" s="241"/>
      <c r="AE948" s="241"/>
      <c r="AF948" s="241"/>
      <c r="AG948" s="241"/>
      <c r="AH948" s="241"/>
      <c r="AI948" s="241"/>
      <c r="AJ948" s="241">
        <f>N948-V948</f>
        <v>2</v>
      </c>
      <c r="AK948" s="235">
        <f>G983+AL948-G948</f>
        <v>0</v>
      </c>
      <c r="AL948" s="236"/>
      <c r="AM948" s="294">
        <f>4/12</f>
        <v>0.33333333333333331</v>
      </c>
      <c r="AN948" s="295">
        <v>2</v>
      </c>
      <c r="AO948" s="296">
        <f>G948/(AN948)</f>
        <v>1</v>
      </c>
      <c r="AP948" s="297">
        <f>AN948*6</f>
        <v>12</v>
      </c>
      <c r="AQ948" s="290">
        <f>G948+K948</f>
        <v>3</v>
      </c>
      <c r="AR948" s="290">
        <f>IF(G948&lt;G983,(G983-G948+K983-K948),K983-K948)</f>
        <v>-1</v>
      </c>
      <c r="AS948" s="290">
        <f>21-8</f>
        <v>13</v>
      </c>
    </row>
    <row r="949" spans="1:45" ht="17.25" thickBot="1" x14ac:dyDescent="0.3">
      <c r="A949" s="464"/>
      <c r="B949" s="285">
        <v>273698</v>
      </c>
      <c r="C949" s="286">
        <v>1135752</v>
      </c>
      <c r="D949" s="286" t="s">
        <v>11</v>
      </c>
      <c r="E949" s="287">
        <v>701000000000</v>
      </c>
      <c r="F949" s="253">
        <f>G984-AK949+AL949</f>
        <v>2</v>
      </c>
      <c r="G949" s="235">
        <v>2</v>
      </c>
      <c r="H949" s="394">
        <v>2</v>
      </c>
      <c r="I949" s="232">
        <v>3</v>
      </c>
      <c r="J949" s="232"/>
      <c r="K949" s="232">
        <v>0</v>
      </c>
      <c r="L949" s="232">
        <f>IF(K980=K945,L984+AK949,K949)</f>
        <v>0</v>
      </c>
      <c r="M949" s="232">
        <f>IF(K980=K945,0,L984+AK949-K949)</f>
        <v>0</v>
      </c>
      <c r="N949" s="232">
        <v>3</v>
      </c>
      <c r="O949" s="241">
        <f>N949-G949</f>
        <v>1</v>
      </c>
      <c r="P949" s="277">
        <v>2</v>
      </c>
      <c r="Q949" s="278"/>
      <c r="R949" s="279"/>
      <c r="S949" s="279"/>
      <c r="T949" s="279"/>
      <c r="U949" s="279"/>
      <c r="V949" s="279"/>
      <c r="W949" s="279">
        <v>1</v>
      </c>
      <c r="X949" s="241"/>
      <c r="Y949" s="241"/>
      <c r="Z949" s="241"/>
      <c r="AA949" s="241"/>
      <c r="AB949" s="241"/>
      <c r="AC949" s="241"/>
      <c r="AD949" s="241"/>
      <c r="AE949" s="241"/>
      <c r="AF949" s="241"/>
      <c r="AG949" s="241"/>
      <c r="AH949" s="241"/>
      <c r="AI949" s="241"/>
      <c r="AJ949" s="241">
        <f>N949-V949</f>
        <v>3</v>
      </c>
      <c r="AK949" s="235">
        <f>G984+AL949-G949</f>
        <v>0</v>
      </c>
      <c r="AL949" s="236"/>
      <c r="AM949" s="294">
        <f>4/12</f>
        <v>0.33333333333333331</v>
      </c>
      <c r="AN949" s="295">
        <v>2</v>
      </c>
      <c r="AO949" s="296">
        <f>G949/(AN949)</f>
        <v>1</v>
      </c>
      <c r="AP949" s="297">
        <f>AN949*6</f>
        <v>12</v>
      </c>
      <c r="AQ949" s="290">
        <f>G949+K949</f>
        <v>2</v>
      </c>
      <c r="AR949" s="290">
        <f>IF(G949&lt;G984,(G984-G949+K984-K949),K984-K949)</f>
        <v>0</v>
      </c>
      <c r="AS949" s="290">
        <f>21-8</f>
        <v>13</v>
      </c>
    </row>
    <row r="950" spans="1:45" ht="17.25" thickBot="1" x14ac:dyDescent="0.3">
      <c r="A950" s="465"/>
      <c r="B950" s="285">
        <v>273680</v>
      </c>
      <c r="C950" s="286">
        <v>1135751</v>
      </c>
      <c r="D950" s="286" t="s">
        <v>12</v>
      </c>
      <c r="E950" s="286" t="s">
        <v>13</v>
      </c>
      <c r="F950" s="254">
        <f>G985-AK950+AL950</f>
        <v>14</v>
      </c>
      <c r="G950" s="237">
        <v>14</v>
      </c>
      <c r="H950" s="395">
        <v>8</v>
      </c>
      <c r="I950" s="238">
        <v>14</v>
      </c>
      <c r="J950" s="238"/>
      <c r="K950" s="238">
        <v>11</v>
      </c>
      <c r="L950" s="238">
        <f>IF(K980=K945,L985+AK950,K950)</f>
        <v>11</v>
      </c>
      <c r="M950" s="238">
        <f>IF(K980=K945,0,L985+AK950-K950)</f>
        <v>-11</v>
      </c>
      <c r="N950" s="238">
        <v>9</v>
      </c>
      <c r="O950" s="242">
        <f>N950-G950</f>
        <v>-5</v>
      </c>
      <c r="P950" s="280"/>
      <c r="Q950" s="281"/>
      <c r="R950" s="282"/>
      <c r="S950" s="282"/>
      <c r="T950" s="282">
        <v>11</v>
      </c>
      <c r="U950" s="282"/>
      <c r="V950" s="282"/>
      <c r="W950" s="282">
        <v>9</v>
      </c>
      <c r="X950" s="242"/>
      <c r="Y950" s="242">
        <v>9</v>
      </c>
      <c r="Z950" s="242"/>
      <c r="AA950" s="242"/>
      <c r="AB950" s="242"/>
      <c r="AC950" s="242"/>
      <c r="AD950" s="242"/>
      <c r="AE950" s="242"/>
      <c r="AF950" s="242"/>
      <c r="AG950" s="242"/>
      <c r="AH950" s="242"/>
      <c r="AI950" s="242"/>
      <c r="AJ950" s="242">
        <f>N950-V950</f>
        <v>9</v>
      </c>
      <c r="AK950" s="235">
        <f>G985+AL950-G950</f>
        <v>0</v>
      </c>
      <c r="AL950" s="239"/>
      <c r="AM950" s="299">
        <f>30/12</f>
        <v>2.5</v>
      </c>
      <c r="AN950" s="300">
        <f>AM950*2</f>
        <v>5</v>
      </c>
      <c r="AO950" s="301">
        <f>G950/(AN950)</f>
        <v>2.8</v>
      </c>
      <c r="AP950" s="302">
        <f>AN950*6</f>
        <v>30</v>
      </c>
      <c r="AQ950" s="290">
        <f>G950+K950</f>
        <v>25</v>
      </c>
      <c r="AR950" s="290">
        <f>IF(G950&lt;G985,(G985-G950+K985-K950),K985-K950)</f>
        <v>-11</v>
      </c>
      <c r="AS950" s="290">
        <f>21-8</f>
        <v>13</v>
      </c>
    </row>
    <row r="951" spans="1:45" ht="17.25" thickBot="1" x14ac:dyDescent="0.3">
      <c r="A951" s="466" t="s">
        <v>417</v>
      </c>
      <c r="B951" s="355" t="s">
        <v>129</v>
      </c>
      <c r="C951" s="356"/>
      <c r="D951" s="356"/>
      <c r="E951" s="359"/>
      <c r="F951" s="359"/>
      <c r="G951" s="356"/>
      <c r="H951" s="396"/>
      <c r="I951" s="356"/>
      <c r="J951" s="356"/>
      <c r="K951" s="356"/>
      <c r="L951" s="356"/>
      <c r="M951" s="356"/>
      <c r="N951" s="356"/>
      <c r="O951" s="356"/>
      <c r="P951" s="356"/>
      <c r="Q951" s="356"/>
      <c r="R951" s="356"/>
      <c r="S951" s="356"/>
      <c r="T951" s="356"/>
      <c r="U951" s="356"/>
      <c r="V951" s="356"/>
      <c r="W951" s="356"/>
      <c r="X951" s="356"/>
      <c r="Y951" s="356"/>
      <c r="Z951" s="356"/>
      <c r="AA951" s="356"/>
      <c r="AB951" s="356"/>
      <c r="AC951" s="356"/>
      <c r="AD951" s="356"/>
      <c r="AE951" s="356"/>
      <c r="AF951" s="356"/>
      <c r="AG951" s="356"/>
      <c r="AH951" s="356"/>
      <c r="AI951" s="356"/>
      <c r="AJ951" s="356"/>
      <c r="AK951" s="356"/>
      <c r="AL951" s="367"/>
      <c r="AM951" s="356"/>
      <c r="AN951" s="356"/>
      <c r="AO951" s="356"/>
      <c r="AP951" s="356"/>
      <c r="AQ951" s="356"/>
      <c r="AR951" s="356"/>
      <c r="AS951" s="357"/>
    </row>
    <row r="952" spans="1:45" ht="17.25" thickBot="1" x14ac:dyDescent="0.3">
      <c r="A952" s="467"/>
      <c r="B952" s="354"/>
      <c r="C952" s="354">
        <v>1140327</v>
      </c>
      <c r="D952" s="358" t="s">
        <v>394</v>
      </c>
      <c r="E952" s="360"/>
      <c r="F952" s="361">
        <f>G987-AK952+AL952</f>
        <v>8</v>
      </c>
      <c r="G952" s="218">
        <v>8</v>
      </c>
      <c r="H952" s="397">
        <v>23</v>
      </c>
      <c r="I952" s="218">
        <v>8</v>
      </c>
      <c r="J952" s="218"/>
      <c r="K952" s="218">
        <v>0</v>
      </c>
      <c r="L952" s="218">
        <f>IF(K980=K945,L987+AK952,K952)</f>
        <v>0</v>
      </c>
      <c r="M952" s="218">
        <f>IF(K980=K945,0,L987+AK952-K952)</f>
        <v>6</v>
      </c>
      <c r="N952" s="218"/>
      <c r="O952" s="218"/>
      <c r="P952" s="352"/>
      <c r="Q952" s="352"/>
      <c r="R952" s="352"/>
      <c r="S952" s="352"/>
      <c r="T952" s="352"/>
      <c r="U952" s="352"/>
      <c r="V952" s="218"/>
      <c r="W952" s="218"/>
      <c r="X952" s="218">
        <v>4</v>
      </c>
      <c r="Y952" s="218">
        <v>9</v>
      </c>
      <c r="Z952" s="218">
        <v>14</v>
      </c>
      <c r="AA952" s="218">
        <v>8</v>
      </c>
      <c r="AB952" s="218">
        <v>6</v>
      </c>
      <c r="AC952" s="218"/>
      <c r="AD952" s="218"/>
      <c r="AE952" s="218"/>
      <c r="AF952" s="218"/>
      <c r="AG952" s="218"/>
      <c r="AH952" s="218"/>
      <c r="AI952" s="218"/>
      <c r="AJ952" s="242">
        <f>N952-V952</f>
        <v>0</v>
      </c>
      <c r="AK952" s="274">
        <f>G987+AL952-G952</f>
        <v>6</v>
      </c>
      <c r="AL952" s="232"/>
      <c r="AM952" s="353"/>
      <c r="AN952" s="295"/>
      <c r="AO952" s="296"/>
      <c r="AP952" s="353"/>
      <c r="AQ952" s="290"/>
      <c r="AR952" s="290"/>
      <c r="AS952" s="290"/>
    </row>
    <row r="953" spans="1:45" ht="17.25" thickBot="1" x14ac:dyDescent="0.3">
      <c r="A953" s="467"/>
      <c r="B953" s="354"/>
      <c r="C953" s="285">
        <v>1151231</v>
      </c>
      <c r="D953" s="358" t="s">
        <v>395</v>
      </c>
      <c r="E953" s="360"/>
      <c r="F953" s="361">
        <f>G988-AK953+AL953</f>
        <v>12</v>
      </c>
      <c r="G953" s="369">
        <v>12</v>
      </c>
      <c r="H953" s="397">
        <v>13</v>
      </c>
      <c r="I953" s="218">
        <v>12</v>
      </c>
      <c r="J953" s="218"/>
      <c r="K953" s="218">
        <v>5</v>
      </c>
      <c r="L953" s="218">
        <f>IF(K980=K945,L988+AK953,K953)</f>
        <v>5</v>
      </c>
      <c r="M953" s="218">
        <f>IF(K980=K945,0,L988+AK953-K953)</f>
        <v>-5</v>
      </c>
      <c r="N953" s="218"/>
      <c r="O953" s="218"/>
      <c r="P953" s="352"/>
      <c r="Q953" s="352"/>
      <c r="R953" s="352"/>
      <c r="S953" s="352"/>
      <c r="T953" s="352"/>
      <c r="U953" s="352"/>
      <c r="V953" s="218"/>
      <c r="W953" s="218"/>
      <c r="X953" s="218">
        <v>3</v>
      </c>
      <c r="Y953" s="218">
        <v>8</v>
      </c>
      <c r="Z953" s="218">
        <v>6</v>
      </c>
      <c r="AA953" s="218"/>
      <c r="AB953" s="218"/>
      <c r="AC953" s="218"/>
      <c r="AD953" s="218"/>
      <c r="AE953" s="218"/>
      <c r="AF953" s="218"/>
      <c r="AG953" s="218"/>
      <c r="AH953" s="218"/>
      <c r="AI953" s="218"/>
      <c r="AJ953" s="242">
        <f>N953-V953</f>
        <v>0</v>
      </c>
      <c r="AK953" s="274">
        <f>G988+AL953-G953</f>
        <v>0</v>
      </c>
      <c r="AL953" s="232"/>
      <c r="AM953" s="353"/>
      <c r="AN953" s="295"/>
      <c r="AO953" s="296"/>
      <c r="AP953" s="353"/>
      <c r="AQ953" s="290"/>
      <c r="AR953" s="290"/>
      <c r="AS953" s="290"/>
    </row>
    <row r="954" spans="1:45" ht="17.25" thickBot="1" x14ac:dyDescent="0.3">
      <c r="A954" s="467"/>
      <c r="B954" s="355" t="s">
        <v>420</v>
      </c>
      <c r="C954" s="356"/>
      <c r="D954" s="356"/>
      <c r="E954" s="359"/>
      <c r="F954" s="359"/>
      <c r="G954" s="356"/>
      <c r="H954" s="396"/>
      <c r="I954" s="356"/>
      <c r="J954" s="356"/>
      <c r="K954" s="356"/>
      <c r="L954" s="356"/>
      <c r="M954" s="356"/>
      <c r="N954" s="356"/>
      <c r="O954" s="356"/>
      <c r="P954" s="356"/>
      <c r="Q954" s="356"/>
      <c r="R954" s="356"/>
      <c r="S954" s="356"/>
      <c r="T954" s="356"/>
      <c r="U954" s="356"/>
      <c r="V954" s="356"/>
      <c r="W954" s="356"/>
      <c r="X954" s="356"/>
      <c r="Y954" s="356"/>
      <c r="Z954" s="356"/>
      <c r="AA954" s="356"/>
      <c r="AB954" s="356"/>
      <c r="AC954" s="356"/>
      <c r="AD954" s="356"/>
      <c r="AE954" s="356"/>
      <c r="AF954" s="356"/>
      <c r="AG954" s="356"/>
      <c r="AH954" s="356"/>
      <c r="AI954" s="356"/>
      <c r="AJ954" s="356"/>
      <c r="AK954" s="356"/>
      <c r="AL954" s="368"/>
      <c r="AM954" s="356"/>
      <c r="AN954" s="356"/>
      <c r="AO954" s="356"/>
      <c r="AP954" s="356"/>
      <c r="AQ954" s="356"/>
      <c r="AR954" s="356"/>
      <c r="AS954" s="357"/>
    </row>
    <row r="955" spans="1:45" ht="17.25" thickBot="1" x14ac:dyDescent="0.3">
      <c r="A955" s="467"/>
      <c r="B955" s="354"/>
      <c r="C955" s="285">
        <v>1146032</v>
      </c>
      <c r="D955" s="358" t="s">
        <v>396</v>
      </c>
      <c r="E955" s="360"/>
      <c r="F955" s="361">
        <f>G990-AK955+AL955</f>
        <v>0</v>
      </c>
      <c r="G955" s="364">
        <v>0</v>
      </c>
      <c r="H955" s="397">
        <v>1</v>
      </c>
      <c r="I955" s="364">
        <v>1</v>
      </c>
      <c r="J955" s="364"/>
      <c r="K955" s="364">
        <v>1</v>
      </c>
      <c r="L955" s="218"/>
      <c r="M955" s="218"/>
      <c r="N955" s="218"/>
      <c r="O955" s="218"/>
      <c r="P955" s="352"/>
      <c r="Q955" s="352"/>
      <c r="R955" s="352"/>
      <c r="S955" s="352"/>
      <c r="T955" s="352"/>
      <c r="U955" s="352"/>
      <c r="V955" s="218"/>
      <c r="W955" s="218"/>
      <c r="X955" s="218"/>
      <c r="Y955" s="218"/>
      <c r="Z955" s="218"/>
      <c r="AA955" s="218"/>
      <c r="AB955" s="218"/>
      <c r="AC955" s="218"/>
      <c r="AD955" s="218"/>
      <c r="AE955" s="218"/>
      <c r="AF955" s="218"/>
      <c r="AG955" s="218"/>
      <c r="AH955" s="218"/>
      <c r="AI955" s="218"/>
      <c r="AJ955" s="218"/>
      <c r="AK955" s="218">
        <f>G990+AL955-G955</f>
        <v>1</v>
      </c>
      <c r="AL955" s="218"/>
      <c r="AM955" s="353"/>
      <c r="AN955" s="295"/>
      <c r="AO955" s="296"/>
      <c r="AP955" s="353"/>
      <c r="AQ955" s="290"/>
      <c r="AR955" s="290"/>
      <c r="AS955" s="290"/>
    </row>
    <row r="956" spans="1:45" ht="17.25" thickBot="1" x14ac:dyDescent="0.3">
      <c r="A956" s="467"/>
      <c r="B956" s="354"/>
      <c r="C956" s="285">
        <v>1146021</v>
      </c>
      <c r="D956" s="358" t="s">
        <v>397</v>
      </c>
      <c r="E956" s="360"/>
      <c r="F956" s="361">
        <f>G991-AK956+AL956</f>
        <v>0</v>
      </c>
      <c r="G956" s="364">
        <v>0</v>
      </c>
      <c r="H956" s="397">
        <v>2</v>
      </c>
      <c r="I956" s="364">
        <v>0</v>
      </c>
      <c r="J956" s="364"/>
      <c r="K956" s="364">
        <v>2</v>
      </c>
      <c r="L956" s="218"/>
      <c r="M956" s="218"/>
      <c r="N956" s="218"/>
      <c r="O956" s="218"/>
      <c r="P956" s="352"/>
      <c r="Q956" s="352"/>
      <c r="R956" s="352"/>
      <c r="S956" s="352"/>
      <c r="T956" s="352"/>
      <c r="U956" s="352"/>
      <c r="V956" s="218"/>
      <c r="W956" s="218"/>
      <c r="X956" s="218"/>
      <c r="Y956" s="218"/>
      <c r="Z956" s="218"/>
      <c r="AA956" s="218"/>
      <c r="AB956" s="218"/>
      <c r="AC956" s="218"/>
      <c r="AD956" s="218"/>
      <c r="AE956" s="218"/>
      <c r="AF956" s="218"/>
      <c r="AG956" s="218"/>
      <c r="AH956" s="218"/>
      <c r="AI956" s="218"/>
      <c r="AJ956" s="218"/>
      <c r="AK956" s="218">
        <f>G991+AL956-G956</f>
        <v>2</v>
      </c>
      <c r="AL956" s="218"/>
      <c r="AM956" s="353"/>
      <c r="AN956" s="295"/>
      <c r="AO956" s="296"/>
      <c r="AP956" s="353"/>
      <c r="AQ956" s="290"/>
      <c r="AR956" s="290"/>
      <c r="AS956" s="290"/>
    </row>
    <row r="957" spans="1:45" ht="17.25" thickBot="1" x14ac:dyDescent="0.3">
      <c r="A957" s="467"/>
      <c r="B957" s="354"/>
      <c r="C957" s="285">
        <v>1146018</v>
      </c>
      <c r="D957" s="358" t="s">
        <v>398</v>
      </c>
      <c r="E957" s="360"/>
      <c r="F957" s="361">
        <f>G992-AK957+AL957</f>
        <v>2</v>
      </c>
      <c r="G957" s="369">
        <v>2</v>
      </c>
      <c r="H957" s="369">
        <v>1</v>
      </c>
      <c r="I957" s="369">
        <v>4</v>
      </c>
      <c r="J957" s="369"/>
      <c r="K957" s="369">
        <v>0</v>
      </c>
      <c r="L957" s="218"/>
      <c r="M957" s="218"/>
      <c r="N957" s="218"/>
      <c r="O957" s="218"/>
      <c r="P957" s="352"/>
      <c r="Q957" s="352"/>
      <c r="R957" s="352"/>
      <c r="S957" s="352"/>
      <c r="T957" s="352"/>
      <c r="U957" s="352"/>
      <c r="V957" s="218"/>
      <c r="W957" s="218"/>
      <c r="X957" s="218"/>
      <c r="Y957" s="218"/>
      <c r="Z957" s="218"/>
      <c r="AA957" s="218"/>
      <c r="AB957" s="218">
        <v>2</v>
      </c>
      <c r="AC957" s="218"/>
      <c r="AD957" s="218"/>
      <c r="AE957" s="218"/>
      <c r="AF957" s="218"/>
      <c r="AG957" s="218"/>
      <c r="AH957" s="218"/>
      <c r="AI957" s="218"/>
      <c r="AJ957" s="218"/>
      <c r="AK957" s="218">
        <f>G992+AL957-G957</f>
        <v>4</v>
      </c>
      <c r="AL957" s="218">
        <v>2</v>
      </c>
      <c r="AM957" s="353"/>
      <c r="AN957" s="295"/>
      <c r="AO957" s="296"/>
      <c r="AP957" s="353"/>
      <c r="AQ957" s="290"/>
      <c r="AR957" s="290"/>
      <c r="AS957" s="290"/>
    </row>
    <row r="958" spans="1:45" ht="17.25" thickBot="1" x14ac:dyDescent="0.3">
      <c r="A958" s="467"/>
      <c r="B958" s="354"/>
      <c r="C958" s="285">
        <v>1146024</v>
      </c>
      <c r="D958" s="358" t="s">
        <v>399</v>
      </c>
      <c r="E958" s="360"/>
      <c r="F958" s="361">
        <v>1</v>
      </c>
      <c r="G958" s="369">
        <v>2</v>
      </c>
      <c r="H958" s="369">
        <v>2</v>
      </c>
      <c r="I958" s="369">
        <v>2</v>
      </c>
      <c r="J958" s="369"/>
      <c r="K958" s="369">
        <v>0</v>
      </c>
      <c r="L958" s="218"/>
      <c r="M958" s="218"/>
      <c r="N958" s="218"/>
      <c r="O958" s="218"/>
      <c r="P958" s="352"/>
      <c r="Q958" s="352"/>
      <c r="R958" s="352"/>
      <c r="S958" s="352"/>
      <c r="T958" s="352"/>
      <c r="U958" s="352"/>
      <c r="V958" s="218"/>
      <c r="W958" s="218"/>
      <c r="X958" s="218"/>
      <c r="Y958" s="218"/>
      <c r="Z958" s="218"/>
      <c r="AA958" s="218">
        <v>1</v>
      </c>
      <c r="AB958" s="218"/>
      <c r="AC958" s="218"/>
      <c r="AD958" s="218"/>
      <c r="AE958" s="218"/>
      <c r="AF958" s="218"/>
      <c r="AG958" s="218"/>
      <c r="AH958" s="218"/>
      <c r="AI958" s="218"/>
      <c r="AJ958" s="218"/>
      <c r="AK958" s="218">
        <f>G993+AL958-G958</f>
        <v>0</v>
      </c>
      <c r="AL958" s="218"/>
      <c r="AM958" s="353"/>
      <c r="AN958" s="295"/>
      <c r="AO958" s="296"/>
      <c r="AP958" s="353"/>
      <c r="AQ958" s="290"/>
      <c r="AR958" s="290"/>
      <c r="AS958" s="290"/>
    </row>
    <row r="959" spans="1:45" ht="17.25" thickBot="1" x14ac:dyDescent="0.3">
      <c r="A959" s="467"/>
      <c r="B959" s="354"/>
      <c r="C959" s="285">
        <v>1146028</v>
      </c>
      <c r="D959" s="358" t="s">
        <v>400</v>
      </c>
      <c r="E959" s="360"/>
      <c r="F959" s="361">
        <f>G994-AK959+AL959</f>
        <v>0</v>
      </c>
      <c r="G959" s="364">
        <v>0</v>
      </c>
      <c r="H959" s="397">
        <v>2</v>
      </c>
      <c r="I959" s="364">
        <v>0</v>
      </c>
      <c r="J959" s="364"/>
      <c r="K959" s="364">
        <v>0</v>
      </c>
      <c r="L959" s="218"/>
      <c r="M959" s="218"/>
      <c r="N959" s="218"/>
      <c r="O959" s="218"/>
      <c r="P959" s="352"/>
      <c r="Q959" s="352"/>
      <c r="R959" s="352"/>
      <c r="S959" s="352"/>
      <c r="T959" s="352"/>
      <c r="U959" s="352"/>
      <c r="V959" s="218"/>
      <c r="W959" s="218"/>
      <c r="X959" s="218"/>
      <c r="Y959" s="218"/>
      <c r="Z959" s="218"/>
      <c r="AA959" s="218"/>
      <c r="AB959" s="218"/>
      <c r="AC959" s="218"/>
      <c r="AD959" s="218"/>
      <c r="AE959" s="218"/>
      <c r="AF959" s="218"/>
      <c r="AG959" s="218"/>
      <c r="AH959" s="218"/>
      <c r="AI959" s="218"/>
      <c r="AJ959" s="218"/>
      <c r="AK959" s="218">
        <f>G994+AL959-G959</f>
        <v>1</v>
      </c>
      <c r="AL959" s="218"/>
      <c r="AM959" s="353"/>
      <c r="AN959" s="295"/>
      <c r="AO959" s="296"/>
      <c r="AP959" s="353"/>
      <c r="AQ959" s="290"/>
      <c r="AR959" s="290"/>
      <c r="AS959" s="290"/>
    </row>
    <row r="960" spans="1:45" ht="17.25" thickBot="1" x14ac:dyDescent="0.3">
      <c r="A960" s="467"/>
      <c r="B960" s="355" t="s">
        <v>419</v>
      </c>
      <c r="C960" s="356"/>
      <c r="D960" s="356"/>
      <c r="E960" s="359"/>
      <c r="F960" s="359"/>
      <c r="G960" s="356"/>
      <c r="H960" s="396"/>
      <c r="I960" s="356"/>
      <c r="J960" s="356"/>
      <c r="K960" s="356"/>
      <c r="L960" s="356"/>
      <c r="M960" s="356"/>
      <c r="N960" s="356"/>
      <c r="O960" s="356"/>
      <c r="P960" s="356"/>
      <c r="Q960" s="356"/>
      <c r="R960" s="356"/>
      <c r="S960" s="356"/>
      <c r="T960" s="356"/>
      <c r="U960" s="356"/>
      <c r="V960" s="356"/>
      <c r="W960" s="356"/>
      <c r="X960" s="356"/>
      <c r="Y960" s="356"/>
      <c r="Z960" s="356"/>
      <c r="AA960" s="356"/>
      <c r="AB960" s="356"/>
      <c r="AC960" s="356"/>
      <c r="AD960" s="356"/>
      <c r="AE960" s="356"/>
      <c r="AF960" s="356"/>
      <c r="AG960" s="356"/>
      <c r="AH960" s="356"/>
      <c r="AI960" s="356"/>
      <c r="AJ960" s="356"/>
      <c r="AK960" s="356"/>
      <c r="AL960" s="356"/>
      <c r="AM960" s="356"/>
      <c r="AN960" s="356"/>
      <c r="AO960" s="356"/>
      <c r="AP960" s="356"/>
      <c r="AQ960" s="356"/>
      <c r="AR960" s="356"/>
      <c r="AS960" s="357"/>
    </row>
    <row r="961" spans="1:45" ht="17.25" thickBot="1" x14ac:dyDescent="0.3">
      <c r="A961" s="467"/>
      <c r="B961" s="372"/>
      <c r="C961" s="373">
        <v>1146031</v>
      </c>
      <c r="D961" s="374" t="s">
        <v>401</v>
      </c>
      <c r="E961" s="375"/>
      <c r="F961" s="376">
        <f>G996-AK961+AL961</f>
        <v>2</v>
      </c>
      <c r="G961" s="377">
        <v>2</v>
      </c>
      <c r="H961" s="397">
        <v>1</v>
      </c>
      <c r="I961" s="377">
        <v>1</v>
      </c>
      <c r="J961" s="377"/>
      <c r="K961" s="377">
        <v>2</v>
      </c>
      <c r="L961" s="377"/>
      <c r="M961" s="377"/>
      <c r="N961" s="377"/>
      <c r="O961" s="377"/>
      <c r="P961" s="377"/>
      <c r="Q961" s="377"/>
      <c r="R961" s="377"/>
      <c r="S961" s="377"/>
      <c r="T961" s="377"/>
      <c r="U961" s="377"/>
      <c r="V961" s="377"/>
      <c r="W961" s="377"/>
      <c r="X961" s="377"/>
      <c r="Y961" s="377"/>
      <c r="Z961" s="377"/>
      <c r="AA961" s="377"/>
      <c r="AB961" s="377"/>
      <c r="AC961" s="377"/>
      <c r="AD961" s="377"/>
      <c r="AE961" s="377"/>
      <c r="AF961" s="377"/>
      <c r="AG961" s="377"/>
      <c r="AH961" s="377"/>
      <c r="AI961" s="377"/>
      <c r="AJ961" s="377"/>
      <c r="AK961" s="377">
        <f>G996+AL961-G961</f>
        <v>0</v>
      </c>
      <c r="AL961" s="377"/>
      <c r="AM961" s="378"/>
      <c r="AN961" s="379"/>
      <c r="AO961" s="380"/>
      <c r="AP961" s="378"/>
      <c r="AQ961" s="381"/>
      <c r="AR961" s="381"/>
      <c r="AS961" s="381"/>
    </row>
    <row r="962" spans="1:45" ht="17.25" thickBot="1" x14ac:dyDescent="0.3">
      <c r="A962" s="467"/>
      <c r="B962" s="372"/>
      <c r="C962" s="373">
        <v>1146020</v>
      </c>
      <c r="D962" s="374" t="s">
        <v>402</v>
      </c>
      <c r="E962" s="375"/>
      <c r="F962" s="376">
        <f>G997-AK962+AL962</f>
        <v>0</v>
      </c>
      <c r="G962" s="377">
        <v>0</v>
      </c>
      <c r="H962" s="397">
        <v>1</v>
      </c>
      <c r="I962" s="377">
        <v>0</v>
      </c>
      <c r="J962" s="377"/>
      <c r="K962" s="377">
        <v>0</v>
      </c>
      <c r="L962" s="377"/>
      <c r="M962" s="377"/>
      <c r="N962" s="377"/>
      <c r="O962" s="377"/>
      <c r="P962" s="377"/>
      <c r="Q962" s="377"/>
      <c r="R962" s="377"/>
      <c r="S962" s="377"/>
      <c r="T962" s="377"/>
      <c r="U962" s="377"/>
      <c r="V962" s="377"/>
      <c r="W962" s="377"/>
      <c r="X962" s="377"/>
      <c r="Y962" s="377"/>
      <c r="Z962" s="377"/>
      <c r="AA962" s="377"/>
      <c r="AB962" s="377"/>
      <c r="AC962" s="377"/>
      <c r="AD962" s="377"/>
      <c r="AE962" s="377"/>
      <c r="AF962" s="377"/>
      <c r="AG962" s="377"/>
      <c r="AH962" s="377"/>
      <c r="AI962" s="377"/>
      <c r="AJ962" s="377"/>
      <c r="AK962" s="377">
        <f>G997+AL962-G962</f>
        <v>1</v>
      </c>
      <c r="AL962" s="377"/>
      <c r="AM962" s="378"/>
      <c r="AN962" s="379"/>
      <c r="AO962" s="380"/>
      <c r="AP962" s="378"/>
      <c r="AQ962" s="381"/>
      <c r="AR962" s="381"/>
      <c r="AS962" s="381"/>
    </row>
    <row r="963" spans="1:45" ht="17.25" thickBot="1" x14ac:dyDescent="0.3">
      <c r="A963" s="467"/>
      <c r="B963" s="372"/>
      <c r="C963" s="373">
        <v>1146016</v>
      </c>
      <c r="D963" s="374" t="s">
        <v>398</v>
      </c>
      <c r="E963" s="375"/>
      <c r="F963" s="376">
        <f>G998-AK963+AL963</f>
        <v>0</v>
      </c>
      <c r="G963" s="377">
        <v>0</v>
      </c>
      <c r="H963" s="397">
        <v>1</v>
      </c>
      <c r="I963" s="377">
        <v>0</v>
      </c>
      <c r="J963" s="377"/>
      <c r="K963" s="377">
        <v>0</v>
      </c>
      <c r="L963" s="377"/>
      <c r="M963" s="377"/>
      <c r="N963" s="377"/>
      <c r="O963" s="377"/>
      <c r="P963" s="377"/>
      <c r="Q963" s="377"/>
      <c r="R963" s="377"/>
      <c r="S963" s="377"/>
      <c r="T963" s="377"/>
      <c r="U963" s="377"/>
      <c r="V963" s="377"/>
      <c r="W963" s="377"/>
      <c r="X963" s="377"/>
      <c r="Y963" s="377"/>
      <c r="Z963" s="377"/>
      <c r="AA963" s="377"/>
      <c r="AB963" s="377"/>
      <c r="AC963" s="377"/>
      <c r="AD963" s="377"/>
      <c r="AE963" s="377"/>
      <c r="AF963" s="377"/>
      <c r="AG963" s="377"/>
      <c r="AH963" s="377"/>
      <c r="AI963" s="377"/>
      <c r="AJ963" s="377"/>
      <c r="AK963" s="377">
        <f>G998+AL963-G963</f>
        <v>6</v>
      </c>
      <c r="AL963" s="377"/>
      <c r="AM963" s="378"/>
      <c r="AN963" s="379"/>
      <c r="AO963" s="380"/>
      <c r="AP963" s="378"/>
      <c r="AQ963" s="381"/>
      <c r="AR963" s="381"/>
      <c r="AS963" s="381"/>
    </row>
    <row r="964" spans="1:45" ht="17.25" thickBot="1" x14ac:dyDescent="0.3">
      <c r="A964" s="467"/>
      <c r="B964" s="372"/>
      <c r="C964" s="373">
        <v>1146022</v>
      </c>
      <c r="D964" s="374" t="s">
        <v>403</v>
      </c>
      <c r="E964" s="375"/>
      <c r="F964" s="376">
        <f>G999-AK964+AL964</f>
        <v>0</v>
      </c>
      <c r="G964" s="377">
        <v>0</v>
      </c>
      <c r="H964" s="397">
        <v>2</v>
      </c>
      <c r="I964" s="377">
        <v>1</v>
      </c>
      <c r="J964" s="377"/>
      <c r="K964" s="377">
        <v>0</v>
      </c>
      <c r="L964" s="377"/>
      <c r="M964" s="377"/>
      <c r="N964" s="377"/>
      <c r="O964" s="377"/>
      <c r="P964" s="377"/>
      <c r="Q964" s="377"/>
      <c r="R964" s="377"/>
      <c r="S964" s="377"/>
      <c r="T964" s="377"/>
      <c r="U964" s="377"/>
      <c r="V964" s="377"/>
      <c r="W964" s="377"/>
      <c r="X964" s="377"/>
      <c r="Y964" s="377"/>
      <c r="Z964" s="377"/>
      <c r="AA964" s="377"/>
      <c r="AB964" s="377"/>
      <c r="AC964" s="377"/>
      <c r="AD964" s="377"/>
      <c r="AE964" s="377"/>
      <c r="AF964" s="377"/>
      <c r="AG964" s="377"/>
      <c r="AH964" s="377"/>
      <c r="AI964" s="377"/>
      <c r="AJ964" s="377"/>
      <c r="AK964" s="377">
        <f>G999+AL964-G964</f>
        <v>0</v>
      </c>
      <c r="AL964" s="377"/>
      <c r="AM964" s="378"/>
      <c r="AN964" s="379"/>
      <c r="AO964" s="380"/>
      <c r="AP964" s="378"/>
      <c r="AQ964" s="381"/>
      <c r="AR964" s="381"/>
      <c r="AS964" s="381"/>
    </row>
    <row r="965" spans="1:45" ht="17.25" thickBot="1" x14ac:dyDescent="0.3">
      <c r="A965" s="467"/>
      <c r="B965" s="372"/>
      <c r="C965" s="373">
        <v>1146027</v>
      </c>
      <c r="D965" s="374" t="s">
        <v>404</v>
      </c>
      <c r="E965" s="375"/>
      <c r="F965" s="376">
        <f>G1000-AK965+AL965</f>
        <v>0</v>
      </c>
      <c r="G965" s="377">
        <v>0</v>
      </c>
      <c r="H965" s="397">
        <v>2</v>
      </c>
      <c r="I965" s="377">
        <v>1</v>
      </c>
      <c r="J965" s="377"/>
      <c r="K965" s="377">
        <v>0</v>
      </c>
      <c r="L965" s="377"/>
      <c r="M965" s="377"/>
      <c r="N965" s="377"/>
      <c r="O965" s="377"/>
      <c r="P965" s="377"/>
      <c r="Q965" s="377"/>
      <c r="R965" s="377"/>
      <c r="S965" s="377"/>
      <c r="T965" s="377"/>
      <c r="U965" s="377"/>
      <c r="V965" s="377"/>
      <c r="W965" s="377"/>
      <c r="X965" s="377"/>
      <c r="Y965" s="377"/>
      <c r="Z965" s="377"/>
      <c r="AA965" s="377"/>
      <c r="AB965" s="377"/>
      <c r="AC965" s="377"/>
      <c r="AD965" s="377"/>
      <c r="AE965" s="377"/>
      <c r="AF965" s="377"/>
      <c r="AG965" s="377"/>
      <c r="AH965" s="377"/>
      <c r="AI965" s="377"/>
      <c r="AJ965" s="377"/>
      <c r="AK965" s="377">
        <f>G1000+AL965-G965</f>
        <v>2</v>
      </c>
      <c r="AL965" s="377"/>
      <c r="AM965" s="378"/>
      <c r="AN965" s="379"/>
      <c r="AO965" s="380"/>
      <c r="AP965" s="378"/>
      <c r="AQ965" s="381"/>
      <c r="AR965" s="381"/>
      <c r="AS965" s="381"/>
    </row>
    <row r="966" spans="1:45" ht="17.25" thickBot="1" x14ac:dyDescent="0.3">
      <c r="A966" s="467"/>
      <c r="B966" s="355" t="s">
        <v>418</v>
      </c>
      <c r="C966" s="356"/>
      <c r="D966" s="356"/>
      <c r="E966" s="359"/>
      <c r="F966" s="359"/>
      <c r="G966" s="356"/>
      <c r="H966" s="396"/>
      <c r="I966" s="356"/>
      <c r="J966" s="356"/>
      <c r="K966" s="356"/>
      <c r="L966" s="356"/>
      <c r="M966" s="356"/>
      <c r="N966" s="356"/>
      <c r="O966" s="356"/>
      <c r="P966" s="356"/>
      <c r="Q966" s="356"/>
      <c r="R966" s="356"/>
      <c r="S966" s="356"/>
      <c r="T966" s="356"/>
      <c r="U966" s="356"/>
      <c r="V966" s="356"/>
      <c r="W966" s="356"/>
      <c r="X966" s="356"/>
      <c r="Y966" s="356"/>
      <c r="Z966" s="356"/>
      <c r="AA966" s="356"/>
      <c r="AB966" s="356"/>
      <c r="AC966" s="356"/>
      <c r="AD966" s="356"/>
      <c r="AE966" s="356"/>
      <c r="AF966" s="356"/>
      <c r="AG966" s="356"/>
      <c r="AH966" s="356"/>
      <c r="AI966" s="356"/>
      <c r="AJ966" s="356"/>
      <c r="AK966" s="356"/>
      <c r="AL966" s="356"/>
      <c r="AM966" s="356"/>
      <c r="AN966" s="356"/>
      <c r="AO966" s="356"/>
      <c r="AP966" s="356"/>
      <c r="AQ966" s="356"/>
      <c r="AR966" s="356"/>
      <c r="AS966" s="357"/>
    </row>
    <row r="967" spans="1:45" ht="17.25" thickBot="1" x14ac:dyDescent="0.3">
      <c r="A967" s="467"/>
      <c r="B967" s="354"/>
      <c r="C967" s="285">
        <v>1151653</v>
      </c>
      <c r="D967" s="358" t="s">
        <v>405</v>
      </c>
      <c r="E967" s="360"/>
      <c r="F967" s="361">
        <f>G1002-AK967+AL967</f>
        <v>0</v>
      </c>
      <c r="G967" s="364">
        <v>0</v>
      </c>
      <c r="H967" s="397">
        <v>1</v>
      </c>
      <c r="I967" s="364">
        <v>1</v>
      </c>
      <c r="J967" s="364"/>
      <c r="K967" s="364">
        <v>0</v>
      </c>
      <c r="L967" s="218"/>
      <c r="M967" s="218"/>
      <c r="N967" s="218"/>
      <c r="O967" s="218"/>
      <c r="P967" s="352"/>
      <c r="Q967" s="352"/>
      <c r="R967" s="352"/>
      <c r="S967" s="352"/>
      <c r="T967" s="352"/>
      <c r="U967" s="352"/>
      <c r="V967" s="218"/>
      <c r="W967" s="218"/>
      <c r="X967" s="218"/>
      <c r="Y967" s="218"/>
      <c r="Z967" s="218"/>
      <c r="AA967" s="218"/>
      <c r="AB967" s="218"/>
      <c r="AC967" s="218"/>
      <c r="AD967" s="218"/>
      <c r="AE967" s="218"/>
      <c r="AF967" s="218"/>
      <c r="AG967" s="218"/>
      <c r="AH967" s="218"/>
      <c r="AI967" s="218"/>
      <c r="AJ967" s="218"/>
      <c r="AK967" s="218">
        <f>G1002+AL967-G967</f>
        <v>0</v>
      </c>
      <c r="AL967" s="218"/>
      <c r="AM967" s="353"/>
      <c r="AN967" s="295"/>
      <c r="AO967" s="296"/>
      <c r="AP967" s="353"/>
      <c r="AQ967" s="290"/>
      <c r="AR967" s="290"/>
      <c r="AS967" s="290"/>
    </row>
    <row r="968" spans="1:45" ht="17.25" thickBot="1" x14ac:dyDescent="0.3">
      <c r="A968" s="467"/>
      <c r="B968" s="354"/>
      <c r="C968" s="285">
        <v>1151650</v>
      </c>
      <c r="D968" s="358" t="s">
        <v>406</v>
      </c>
      <c r="E968" s="360"/>
      <c r="F968" s="361">
        <f>G1003-AK968+AL968</f>
        <v>0</v>
      </c>
      <c r="G968" s="364">
        <v>0</v>
      </c>
      <c r="H968" s="397">
        <v>2</v>
      </c>
      <c r="I968" s="364">
        <v>0</v>
      </c>
      <c r="J968" s="364"/>
      <c r="K968" s="364">
        <v>5</v>
      </c>
      <c r="L968" s="218"/>
      <c r="M968" s="218"/>
      <c r="N968" s="218"/>
      <c r="O968" s="218"/>
      <c r="P968" s="352"/>
      <c r="Q968" s="352"/>
      <c r="R968" s="352"/>
      <c r="S968" s="352"/>
      <c r="T968" s="352"/>
      <c r="U968" s="352"/>
      <c r="V968" s="218"/>
      <c r="W968" s="218"/>
      <c r="X968" s="218"/>
      <c r="Y968" s="218"/>
      <c r="Z968" s="218"/>
      <c r="AA968" s="218"/>
      <c r="AB968" s="218"/>
      <c r="AC968" s="218"/>
      <c r="AD968" s="218"/>
      <c r="AE968" s="218"/>
      <c r="AF968" s="218"/>
      <c r="AG968" s="218"/>
      <c r="AH968" s="218"/>
      <c r="AI968" s="218"/>
      <c r="AJ968" s="218"/>
      <c r="AK968" s="218">
        <f>G1003+AL968-G968</f>
        <v>1</v>
      </c>
      <c r="AL968" s="218"/>
      <c r="AM968" s="353"/>
      <c r="AN968" s="295"/>
      <c r="AO968" s="296"/>
      <c r="AP968" s="353"/>
      <c r="AQ968" s="290"/>
      <c r="AR968" s="290"/>
      <c r="AS968" s="290"/>
    </row>
    <row r="969" spans="1:45" ht="17.25" thickBot="1" x14ac:dyDescent="0.3">
      <c r="A969" s="467"/>
      <c r="B969" s="354"/>
      <c r="C969" s="285">
        <v>1151649</v>
      </c>
      <c r="D969" s="358" t="s">
        <v>407</v>
      </c>
      <c r="E969" s="360"/>
      <c r="F969" s="361">
        <f>G1004-AK969+AL969</f>
        <v>2</v>
      </c>
      <c r="G969" s="369">
        <v>2</v>
      </c>
      <c r="H969" s="369">
        <v>4</v>
      </c>
      <c r="I969" s="369">
        <v>2</v>
      </c>
      <c r="J969" s="369"/>
      <c r="K969" s="369">
        <v>0</v>
      </c>
      <c r="L969" s="218"/>
      <c r="M969" s="218"/>
      <c r="N969" s="218"/>
      <c r="O969" s="218"/>
      <c r="P969" s="352"/>
      <c r="Q969" s="352"/>
      <c r="R969" s="352"/>
      <c r="S969" s="352"/>
      <c r="T969" s="352"/>
      <c r="U969" s="352"/>
      <c r="V969" s="218"/>
      <c r="W969" s="218"/>
      <c r="X969" s="218"/>
      <c r="Y969" s="218"/>
      <c r="Z969" s="218"/>
      <c r="AA969" s="218"/>
      <c r="AB969" s="218">
        <v>2</v>
      </c>
      <c r="AC969" s="218"/>
      <c r="AD969" s="218"/>
      <c r="AE969" s="218"/>
      <c r="AF969" s="218"/>
      <c r="AG969" s="218"/>
      <c r="AH969" s="218"/>
      <c r="AI969" s="218"/>
      <c r="AJ969" s="218"/>
      <c r="AK969" s="218">
        <f>G1004+AL969-G969</f>
        <v>2</v>
      </c>
      <c r="AL969" s="218">
        <v>2</v>
      </c>
      <c r="AM969" s="353"/>
      <c r="AN969" s="295"/>
      <c r="AO969" s="296"/>
      <c r="AP969" s="353"/>
      <c r="AQ969" s="290"/>
      <c r="AR969" s="290"/>
      <c r="AS969" s="290"/>
    </row>
    <row r="970" spans="1:45" ht="17.25" thickBot="1" x14ac:dyDescent="0.3">
      <c r="A970" s="467"/>
      <c r="B970" s="354"/>
      <c r="C970" s="285">
        <v>1151651</v>
      </c>
      <c r="D970" s="358" t="s">
        <v>408</v>
      </c>
      <c r="E970" s="360"/>
      <c r="F970" s="361">
        <f>G1005-AK970+AL970</f>
        <v>3</v>
      </c>
      <c r="G970" s="369">
        <v>3</v>
      </c>
      <c r="H970" s="369">
        <v>1</v>
      </c>
      <c r="I970" s="369">
        <v>3</v>
      </c>
      <c r="J970" s="369"/>
      <c r="K970" s="369">
        <v>0</v>
      </c>
      <c r="L970" s="218"/>
      <c r="M970" s="218"/>
      <c r="N970" s="218"/>
      <c r="O970" s="218"/>
      <c r="P970" s="352"/>
      <c r="Q970" s="352"/>
      <c r="R970" s="352"/>
      <c r="S970" s="352"/>
      <c r="T970" s="352"/>
      <c r="U970" s="352"/>
      <c r="V970" s="218"/>
      <c r="W970" s="218"/>
      <c r="X970" s="218"/>
      <c r="Y970" s="218"/>
      <c r="Z970" s="218">
        <v>2</v>
      </c>
      <c r="AA970" s="218"/>
      <c r="AB970" s="218"/>
      <c r="AC970" s="218"/>
      <c r="AD970" s="218"/>
      <c r="AE970" s="218"/>
      <c r="AF970" s="218"/>
      <c r="AG970" s="218"/>
      <c r="AH970" s="218"/>
      <c r="AI970" s="218"/>
      <c r="AJ970" s="218"/>
      <c r="AK970" s="218">
        <f>G1005+AL970-G970</f>
        <v>0</v>
      </c>
      <c r="AL970" s="218"/>
      <c r="AM970" s="353"/>
      <c r="AN970" s="295"/>
      <c r="AO970" s="296"/>
      <c r="AP970" s="353"/>
      <c r="AQ970" s="290"/>
      <c r="AR970" s="290"/>
      <c r="AS970" s="290"/>
    </row>
    <row r="971" spans="1:45" ht="17.25" thickBot="1" x14ac:dyDescent="0.3">
      <c r="A971" s="467"/>
      <c r="B971" s="354"/>
      <c r="C971" s="285">
        <v>1146029</v>
      </c>
      <c r="D971" s="358" t="s">
        <v>409</v>
      </c>
      <c r="E971" s="360"/>
      <c r="F971" s="361">
        <f>G1006-AK971+AL971</f>
        <v>2</v>
      </c>
      <c r="G971" s="369">
        <v>2</v>
      </c>
      <c r="H971" s="369">
        <v>2</v>
      </c>
      <c r="I971" s="369">
        <v>2</v>
      </c>
      <c r="J971" s="369"/>
      <c r="K971" s="369">
        <v>1</v>
      </c>
      <c r="L971" s="218"/>
      <c r="M971" s="218"/>
      <c r="N971" s="218"/>
      <c r="O971" s="218"/>
      <c r="P971" s="352"/>
      <c r="Q971" s="352"/>
      <c r="R971" s="352"/>
      <c r="S971" s="352"/>
      <c r="T971" s="352"/>
      <c r="U971" s="352"/>
      <c r="V971" s="218"/>
      <c r="W971" s="218"/>
      <c r="X971" s="218"/>
      <c r="Y971" s="218"/>
      <c r="Z971" s="218"/>
      <c r="AA971" s="218"/>
      <c r="AB971" s="218"/>
      <c r="AC971" s="218"/>
      <c r="AD971" s="218"/>
      <c r="AE971" s="218"/>
      <c r="AF971" s="218"/>
      <c r="AG971" s="218"/>
      <c r="AH971" s="218"/>
      <c r="AI971" s="218"/>
      <c r="AJ971" s="218"/>
      <c r="AK971" s="218">
        <f>G1006+AL971-G971</f>
        <v>0</v>
      </c>
      <c r="AL971" s="218"/>
      <c r="AM971" s="353"/>
      <c r="AN971" s="295"/>
      <c r="AO971" s="296"/>
      <c r="AP971" s="353"/>
      <c r="AQ971" s="290"/>
      <c r="AR971" s="290"/>
      <c r="AS971" s="290"/>
    </row>
    <row r="972" spans="1:45" ht="17.25" thickBot="1" x14ac:dyDescent="0.3">
      <c r="A972" s="467"/>
      <c r="B972" s="355" t="s">
        <v>410</v>
      </c>
      <c r="C972" s="356"/>
      <c r="D972" s="356"/>
      <c r="E972" s="359"/>
      <c r="F972" s="359"/>
      <c r="G972" s="356"/>
      <c r="H972" s="396"/>
      <c r="I972" s="356"/>
      <c r="J972" s="356"/>
      <c r="K972" s="356"/>
      <c r="L972" s="356"/>
      <c r="M972" s="356"/>
      <c r="N972" s="356"/>
      <c r="O972" s="356"/>
      <c r="P972" s="356"/>
      <c r="Q972" s="356"/>
      <c r="R972" s="356"/>
      <c r="S972" s="356"/>
      <c r="T972" s="356"/>
      <c r="U972" s="356"/>
      <c r="V972" s="356"/>
      <c r="W972" s="356"/>
      <c r="X972" s="356"/>
      <c r="Y972" s="356"/>
      <c r="Z972" s="356"/>
      <c r="AA972" s="356"/>
      <c r="AB972" s="356"/>
      <c r="AC972" s="356"/>
      <c r="AD972" s="356"/>
      <c r="AE972" s="356"/>
      <c r="AF972" s="356"/>
      <c r="AG972" s="356"/>
      <c r="AH972" s="356"/>
      <c r="AI972" s="356"/>
      <c r="AJ972" s="356"/>
      <c r="AK972" s="356"/>
      <c r="AL972" s="356"/>
      <c r="AM972" s="356"/>
      <c r="AN972" s="356"/>
      <c r="AO972" s="356"/>
      <c r="AP972" s="356"/>
      <c r="AQ972" s="356"/>
      <c r="AR972" s="356"/>
      <c r="AS972" s="357"/>
    </row>
    <row r="973" spans="1:45" ht="17.25" thickBot="1" x14ac:dyDescent="0.3">
      <c r="A973" s="467"/>
      <c r="B973" s="354"/>
      <c r="C973" s="285">
        <v>1699118</v>
      </c>
      <c r="D973" s="358" t="s">
        <v>411</v>
      </c>
      <c r="E973" s="360"/>
      <c r="F973" s="361">
        <f>G1008-AK973+AL973</f>
        <v>1</v>
      </c>
      <c r="G973" s="369">
        <v>1</v>
      </c>
      <c r="H973" s="369">
        <v>1</v>
      </c>
      <c r="I973" s="369">
        <v>1</v>
      </c>
      <c r="J973" s="369"/>
      <c r="K973" s="369">
        <v>0</v>
      </c>
      <c r="L973" s="218"/>
      <c r="M973" s="218"/>
      <c r="N973" s="218"/>
      <c r="O973" s="218"/>
      <c r="P973" s="352"/>
      <c r="Q973" s="352"/>
      <c r="R973" s="352"/>
      <c r="S973" s="352"/>
      <c r="T973" s="352"/>
      <c r="U973" s="352"/>
      <c r="V973" s="218"/>
      <c r="W973" s="218"/>
      <c r="X973" s="218"/>
      <c r="Y973" s="218"/>
      <c r="Z973" s="218"/>
      <c r="AA973" s="218"/>
      <c r="AB973" s="218"/>
      <c r="AC973" s="218"/>
      <c r="AD973" s="218"/>
      <c r="AE973" s="218"/>
      <c r="AF973" s="218"/>
      <c r="AG973" s="218"/>
      <c r="AH973" s="218"/>
      <c r="AI973" s="218"/>
      <c r="AJ973" s="218"/>
      <c r="AK973" s="218">
        <f>G1008+AL973-G973</f>
        <v>0</v>
      </c>
      <c r="AL973" s="218">
        <v>1</v>
      </c>
      <c r="AM973" s="353"/>
      <c r="AN973" s="295"/>
      <c r="AO973" s="296"/>
      <c r="AP973" s="353"/>
      <c r="AQ973" s="290"/>
      <c r="AR973" s="290"/>
      <c r="AS973" s="290"/>
    </row>
    <row r="974" spans="1:45" ht="17.25" thickBot="1" x14ac:dyDescent="0.3">
      <c r="A974" s="467"/>
      <c r="B974" s="354"/>
      <c r="C974" s="285">
        <v>1699119</v>
      </c>
      <c r="D974" s="358" t="s">
        <v>412</v>
      </c>
      <c r="E974" s="360"/>
      <c r="F974" s="361">
        <f>G1009-AK974+AL974</f>
        <v>2</v>
      </c>
      <c r="G974" s="369">
        <v>2</v>
      </c>
      <c r="H974" s="369">
        <v>1</v>
      </c>
      <c r="I974" s="369">
        <v>2</v>
      </c>
      <c r="J974" s="369"/>
      <c r="K974" s="369">
        <v>0</v>
      </c>
      <c r="L974" s="218"/>
      <c r="M974" s="218"/>
      <c r="N974" s="218"/>
      <c r="O974" s="218"/>
      <c r="P974" s="352"/>
      <c r="Q974" s="352"/>
      <c r="R974" s="352"/>
      <c r="S974" s="352"/>
      <c r="T974" s="352"/>
      <c r="U974" s="352"/>
      <c r="V974" s="218"/>
      <c r="W974" s="218"/>
      <c r="X974" s="218"/>
      <c r="Y974" s="218"/>
      <c r="Z974" s="218"/>
      <c r="AA974" s="218"/>
      <c r="AB974" s="218"/>
      <c r="AC974" s="218"/>
      <c r="AD974" s="218"/>
      <c r="AE974" s="218"/>
      <c r="AF974" s="218"/>
      <c r="AG974" s="218"/>
      <c r="AH974" s="218"/>
      <c r="AI974" s="218"/>
      <c r="AJ974" s="218"/>
      <c r="AK974" s="218">
        <f>G1009+AL974-G974</f>
        <v>0</v>
      </c>
      <c r="AL974" s="218"/>
      <c r="AM974" s="353"/>
      <c r="AN974" s="295"/>
      <c r="AO974" s="296"/>
      <c r="AP974" s="353"/>
      <c r="AQ974" s="290"/>
      <c r="AR974" s="290"/>
      <c r="AS974" s="290"/>
    </row>
    <row r="975" spans="1:45" ht="17.25" thickBot="1" x14ac:dyDescent="0.3">
      <c r="A975" s="467"/>
      <c r="B975" s="354"/>
      <c r="C975" s="285">
        <v>1699130</v>
      </c>
      <c r="D975" s="358" t="s">
        <v>413</v>
      </c>
      <c r="E975" s="360"/>
      <c r="F975" s="361">
        <f>G1010-AK975+AL975</f>
        <v>0</v>
      </c>
      <c r="G975" s="369">
        <v>0</v>
      </c>
      <c r="H975" s="369">
        <v>4</v>
      </c>
      <c r="I975" s="369">
        <v>0</v>
      </c>
      <c r="J975" s="369"/>
      <c r="K975" s="369">
        <v>0</v>
      </c>
      <c r="L975" s="218"/>
      <c r="M975" s="218"/>
      <c r="N975" s="218"/>
      <c r="O975" s="218"/>
      <c r="P975" s="352"/>
      <c r="Q975" s="352"/>
      <c r="R975" s="352"/>
      <c r="S975" s="352"/>
      <c r="T975" s="352"/>
      <c r="U975" s="352"/>
      <c r="V975" s="218"/>
      <c r="W975" s="218"/>
      <c r="X975" s="218"/>
      <c r="Y975" s="218"/>
      <c r="Z975" s="218"/>
      <c r="AA975" s="218">
        <v>2</v>
      </c>
      <c r="AB975" s="218"/>
      <c r="AC975" s="218"/>
      <c r="AD975" s="218"/>
      <c r="AE975" s="218"/>
      <c r="AF975" s="218"/>
      <c r="AG975" s="218"/>
      <c r="AH975" s="218"/>
      <c r="AI975" s="218"/>
      <c r="AJ975" s="218"/>
      <c r="AK975" s="218">
        <f>G1010+AL975-G975</f>
        <v>0</v>
      </c>
      <c r="AL975" s="218"/>
      <c r="AM975" s="353"/>
      <c r="AN975" s="295"/>
      <c r="AO975" s="296"/>
      <c r="AP975" s="353"/>
      <c r="AQ975" s="290"/>
      <c r="AR975" s="290"/>
      <c r="AS975" s="290"/>
    </row>
    <row r="976" spans="1:45" ht="17.25" thickBot="1" x14ac:dyDescent="0.3">
      <c r="A976" s="467"/>
      <c r="B976" s="354"/>
      <c r="C976" s="285">
        <v>1699131</v>
      </c>
      <c r="D976" s="358" t="s">
        <v>414</v>
      </c>
      <c r="E976" s="360"/>
      <c r="F976" s="361">
        <f>G1011-AK976+AL976</f>
        <v>2</v>
      </c>
      <c r="G976" s="369">
        <v>2</v>
      </c>
      <c r="H976" s="397">
        <v>3</v>
      </c>
      <c r="I976" s="364">
        <v>2</v>
      </c>
      <c r="J976" s="364"/>
      <c r="K976" s="364">
        <v>0</v>
      </c>
      <c r="L976" s="218"/>
      <c r="M976" s="218"/>
      <c r="N976" s="218"/>
      <c r="O976" s="218"/>
      <c r="P976" s="352"/>
      <c r="Q976" s="352"/>
      <c r="R976" s="352"/>
      <c r="S976" s="352"/>
      <c r="T976" s="352"/>
      <c r="U976" s="352"/>
      <c r="V976" s="218"/>
      <c r="W976" s="218"/>
      <c r="X976" s="218"/>
      <c r="Y976" s="218"/>
      <c r="Z976" s="218"/>
      <c r="AA976" s="218"/>
      <c r="AB976" s="218"/>
      <c r="AC976" s="218"/>
      <c r="AD976" s="218"/>
      <c r="AE976" s="218"/>
      <c r="AF976" s="218"/>
      <c r="AG976" s="218"/>
      <c r="AH976" s="218"/>
      <c r="AI976" s="218"/>
      <c r="AJ976" s="218"/>
      <c r="AK976" s="218">
        <f>G1011+AL976-G976</f>
        <v>0</v>
      </c>
      <c r="AL976" s="218"/>
      <c r="AM976" s="353"/>
      <c r="AN976" s="295"/>
      <c r="AO976" s="296"/>
      <c r="AP976" s="353"/>
      <c r="AQ976" s="290"/>
      <c r="AR976" s="290"/>
      <c r="AS976" s="290"/>
    </row>
    <row r="977" spans="1:45" ht="17.25" thickBot="1" x14ac:dyDescent="0.3">
      <c r="A977" s="468"/>
      <c r="B977" s="354"/>
      <c r="C977" s="285">
        <v>1699132</v>
      </c>
      <c r="D977" s="358" t="s">
        <v>415</v>
      </c>
      <c r="E977" s="285"/>
      <c r="F977" s="362">
        <f>G1012-AK977+AL977</f>
        <v>0</v>
      </c>
      <c r="G977" s="364">
        <v>0</v>
      </c>
      <c r="H977" s="397">
        <v>3</v>
      </c>
      <c r="I977" s="364">
        <v>2</v>
      </c>
      <c r="J977" s="364"/>
      <c r="K977" s="364">
        <v>2</v>
      </c>
      <c r="L977" s="218"/>
      <c r="M977" s="218"/>
      <c r="N977" s="218"/>
      <c r="O977" s="218"/>
      <c r="P977" s="352"/>
      <c r="Q977" s="352"/>
      <c r="R977" s="352"/>
      <c r="S977" s="352"/>
      <c r="T977" s="352"/>
      <c r="U977" s="352"/>
      <c r="V977" s="218"/>
      <c r="W977" s="218"/>
      <c r="X977" s="218"/>
      <c r="Y977" s="218"/>
      <c r="Z977" s="218"/>
      <c r="AA977" s="218"/>
      <c r="AB977" s="218"/>
      <c r="AC977" s="218"/>
      <c r="AD977" s="218"/>
      <c r="AE977" s="218"/>
      <c r="AF977" s="218"/>
      <c r="AG977" s="218"/>
      <c r="AH977" s="218"/>
      <c r="AI977" s="218"/>
      <c r="AJ977" s="218"/>
      <c r="AK977" s="218">
        <f>G1012+AL977-G977</f>
        <v>0</v>
      </c>
      <c r="AL977" s="218"/>
      <c r="AM977" s="353"/>
      <c r="AN977" s="295"/>
      <c r="AO977" s="296"/>
      <c r="AP977" s="353"/>
      <c r="AQ977" s="290"/>
      <c r="AR977" s="290"/>
      <c r="AS977" s="290"/>
    </row>
    <row r="978" spans="1:45" x14ac:dyDescent="0.25">
      <c r="AL978" s="290"/>
      <c r="AM978" s="290"/>
      <c r="AN978" s="290"/>
      <c r="AO978" s="290"/>
      <c r="AP978" s="290"/>
      <c r="AQ978" s="290"/>
      <c r="AR978" s="290"/>
    </row>
    <row r="979" spans="1:45" ht="14.25" thickBot="1" x14ac:dyDescent="0.3">
      <c r="B979" s="338" t="s">
        <v>18</v>
      </c>
      <c r="C979" s="339">
        <v>45656</v>
      </c>
      <c r="AA979" s="290">
        <v>0</v>
      </c>
      <c r="AL979" s="290"/>
      <c r="AM979" s="290"/>
      <c r="AN979" s="290"/>
      <c r="AO979" s="290"/>
      <c r="AP979" s="290"/>
      <c r="AQ979" s="290"/>
      <c r="AR979" s="290"/>
    </row>
    <row r="980" spans="1:45" ht="41.25" thickBot="1" x14ac:dyDescent="0.3">
      <c r="B980" s="283" t="s">
        <v>0</v>
      </c>
      <c r="C980" s="284" t="s">
        <v>1</v>
      </c>
      <c r="D980" s="284" t="s">
        <v>2</v>
      </c>
      <c r="E980" s="284" t="s">
        <v>3</v>
      </c>
      <c r="F980" s="4" t="s">
        <v>318</v>
      </c>
      <c r="G980" s="351" t="s">
        <v>505</v>
      </c>
      <c r="H980" s="382" t="s">
        <v>460</v>
      </c>
      <c r="I980" s="234" t="s">
        <v>504</v>
      </c>
      <c r="J980" s="234"/>
      <c r="K980" s="258" t="s">
        <v>501</v>
      </c>
      <c r="L980" s="258" t="s">
        <v>328</v>
      </c>
      <c r="M980" s="258" t="s">
        <v>327</v>
      </c>
      <c r="N980" s="234" t="s">
        <v>389</v>
      </c>
      <c r="O980" s="240" t="s">
        <v>130</v>
      </c>
      <c r="P980" s="243" t="s">
        <v>303</v>
      </c>
      <c r="Q980" s="244" t="s">
        <v>304</v>
      </c>
      <c r="R980" s="244" t="s">
        <v>314</v>
      </c>
      <c r="S980" s="245" t="s">
        <v>338</v>
      </c>
      <c r="T980" s="245" t="s">
        <v>345</v>
      </c>
      <c r="U980" s="245" t="s">
        <v>361</v>
      </c>
      <c r="V980" s="245" t="s">
        <v>387</v>
      </c>
      <c r="W980" s="245" t="s">
        <v>421</v>
      </c>
      <c r="X980" s="245" t="s">
        <v>452</v>
      </c>
      <c r="Y980" s="245" t="s">
        <v>463</v>
      </c>
      <c r="Z980" s="245" t="s">
        <v>481</v>
      </c>
      <c r="AA980" s="245" t="s">
        <v>498</v>
      </c>
      <c r="AB980" s="245"/>
      <c r="AC980" s="245"/>
      <c r="AD980" s="245"/>
      <c r="AE980" s="245"/>
      <c r="AF980" s="245"/>
      <c r="AG980" s="245"/>
      <c r="AH980" s="245"/>
      <c r="AI980" s="245"/>
      <c r="AJ980" s="245" t="s">
        <v>360</v>
      </c>
      <c r="AK980" s="246" t="s">
        <v>268</v>
      </c>
      <c r="AL980" s="247" t="s">
        <v>269</v>
      </c>
      <c r="AM980" s="291" t="s">
        <v>288</v>
      </c>
      <c r="AN980" s="292" t="s">
        <v>289</v>
      </c>
      <c r="AO980" s="292" t="s">
        <v>287</v>
      </c>
      <c r="AP980" s="293" t="s">
        <v>290</v>
      </c>
      <c r="AQ980" s="290" t="s">
        <v>306</v>
      </c>
      <c r="AR980" s="290" t="s">
        <v>310</v>
      </c>
      <c r="AS980" s="290" t="s">
        <v>311</v>
      </c>
    </row>
    <row r="981" spans="1:45" ht="17.25" thickBot="1" x14ac:dyDescent="0.3">
      <c r="A981" s="463" t="s">
        <v>416</v>
      </c>
      <c r="B981" s="285">
        <v>273664</v>
      </c>
      <c r="C981" s="286">
        <v>1135749</v>
      </c>
      <c r="D981" s="286" t="s">
        <v>7</v>
      </c>
      <c r="E981" s="286">
        <v>6060050026</v>
      </c>
      <c r="F981" s="253">
        <f>G1016-AK981+AL981</f>
        <v>3</v>
      </c>
      <c r="G981" s="235">
        <v>3</v>
      </c>
      <c r="H981" s="394">
        <v>5</v>
      </c>
      <c r="I981" s="232">
        <v>3</v>
      </c>
      <c r="J981" s="232"/>
      <c r="K981" s="232"/>
      <c r="L981" s="232">
        <f>IF(K1015=K980,L1016+AK981,K981)</f>
        <v>0</v>
      </c>
      <c r="M981" s="232">
        <f>IF(K1015=K980,0,L1016+AK981-K981)</f>
        <v>0</v>
      </c>
      <c r="N981" s="267">
        <v>5</v>
      </c>
      <c r="O981" s="241">
        <f>N981-G981</f>
        <v>2</v>
      </c>
      <c r="P981" s="277">
        <v>4</v>
      </c>
      <c r="Q981" s="278">
        <v>4</v>
      </c>
      <c r="R981" s="279"/>
      <c r="S981" s="279">
        <v>3</v>
      </c>
      <c r="T981" s="279">
        <v>4</v>
      </c>
      <c r="U981" s="279">
        <v>2</v>
      </c>
      <c r="V981" s="279"/>
      <c r="W981" s="279">
        <f>2+3</f>
        <v>5</v>
      </c>
      <c r="X981" s="241"/>
      <c r="Y981" s="241"/>
      <c r="Z981" s="241"/>
      <c r="AA981" s="241">
        <v>4</v>
      </c>
      <c r="AB981" s="241"/>
      <c r="AC981" s="241"/>
      <c r="AD981" s="241"/>
      <c r="AE981" s="241"/>
      <c r="AF981" s="241"/>
      <c r="AG981" s="241"/>
      <c r="AH981" s="241"/>
      <c r="AI981" s="241"/>
      <c r="AJ981" s="241">
        <f>N981-V981</f>
        <v>5</v>
      </c>
      <c r="AK981" s="235">
        <f>G1016+AL981-G981</f>
        <v>0</v>
      </c>
      <c r="AL981" s="350"/>
      <c r="AM981" s="294">
        <v>1.5</v>
      </c>
      <c r="AN981" s="295">
        <v>4</v>
      </c>
      <c r="AO981" s="296">
        <f>G981/(AN981)</f>
        <v>0.75</v>
      </c>
      <c r="AP981" s="297">
        <f>AN981*6</f>
        <v>24</v>
      </c>
      <c r="AQ981" s="290">
        <f>G981+K981</f>
        <v>3</v>
      </c>
      <c r="AR981" s="290">
        <f>IF(G981&lt;G1016,(G1016-G981+K1016-K981),K1016-K981)</f>
        <v>0</v>
      </c>
      <c r="AS981" s="290">
        <f>21-8</f>
        <v>13</v>
      </c>
    </row>
    <row r="982" spans="1:45" ht="17.25" thickBot="1" x14ac:dyDescent="0.3">
      <c r="A982" s="464"/>
      <c r="B982" s="285">
        <v>273672</v>
      </c>
      <c r="C982" s="286">
        <v>1135750</v>
      </c>
      <c r="D982" s="286" t="s">
        <v>9</v>
      </c>
      <c r="E982" s="287">
        <v>204000000000</v>
      </c>
      <c r="F982" s="253">
        <f>G1017-AK982+AL982</f>
        <v>25</v>
      </c>
      <c r="G982" s="235">
        <v>25</v>
      </c>
      <c r="H982" s="394">
        <v>16</v>
      </c>
      <c r="I982" s="232">
        <f>8+9+4</f>
        <v>21</v>
      </c>
      <c r="J982" s="232"/>
      <c r="K982" s="232"/>
      <c r="L982" s="232">
        <f>IF(K1015=K980,L1017+AK982,K982)</f>
        <v>0</v>
      </c>
      <c r="M982" s="232">
        <f>IF(K1015=K980,0,L1017+AK982-K982)</f>
        <v>0</v>
      </c>
      <c r="N982" s="267">
        <v>10</v>
      </c>
      <c r="O982" s="241">
        <f>N982-G982</f>
        <v>-15</v>
      </c>
      <c r="P982" s="277">
        <v>13</v>
      </c>
      <c r="Q982" s="278">
        <v>2</v>
      </c>
      <c r="R982" s="279">
        <v>6</v>
      </c>
      <c r="S982" s="279">
        <v>6</v>
      </c>
      <c r="T982" s="279">
        <v>10</v>
      </c>
      <c r="U982" s="279">
        <v>4</v>
      </c>
      <c r="V982" s="279">
        <v>6</v>
      </c>
      <c r="W982" s="279">
        <v>16</v>
      </c>
      <c r="X982" s="241"/>
      <c r="Y982" s="241">
        <v>6</v>
      </c>
      <c r="Z982" s="241">
        <v>4</v>
      </c>
      <c r="AA982" s="241">
        <v>6</v>
      </c>
      <c r="AB982" s="241"/>
      <c r="AC982" s="241"/>
      <c r="AD982" s="241"/>
      <c r="AE982" s="241"/>
      <c r="AF982" s="241"/>
      <c r="AG982" s="241"/>
      <c r="AH982" s="241"/>
      <c r="AI982" s="241"/>
      <c r="AJ982" s="241">
        <f>N982-V982</f>
        <v>4</v>
      </c>
      <c r="AK982" s="235">
        <f>G1017+AL982-G982</f>
        <v>0</v>
      </c>
      <c r="AL982" s="236"/>
      <c r="AM982" s="298">
        <v>4.2</v>
      </c>
      <c r="AN982" s="295">
        <v>9</v>
      </c>
      <c r="AO982" s="296">
        <f>G982/(AN982)</f>
        <v>2.7777777777777777</v>
      </c>
      <c r="AP982" s="297">
        <f>AN982*6</f>
        <v>54</v>
      </c>
      <c r="AQ982" s="290">
        <f>G982+K982</f>
        <v>25</v>
      </c>
      <c r="AR982" s="290">
        <f>IF(G982&lt;G1017,(G1017-G982+K1017-K982),K1017-K982)</f>
        <v>0</v>
      </c>
      <c r="AS982" s="290">
        <f>21-8</f>
        <v>13</v>
      </c>
    </row>
    <row r="983" spans="1:45" ht="17.25" thickBot="1" x14ac:dyDescent="0.3">
      <c r="A983" s="464"/>
      <c r="B983" s="285">
        <v>273702</v>
      </c>
      <c r="C983" s="286">
        <v>1135753</v>
      </c>
      <c r="D983" s="286" t="s">
        <v>10</v>
      </c>
      <c r="E983" s="287">
        <v>301000000000</v>
      </c>
      <c r="F983" s="253">
        <f>G1018-AK983+AL983</f>
        <v>2</v>
      </c>
      <c r="G983" s="235">
        <v>2</v>
      </c>
      <c r="H983" s="394">
        <v>1</v>
      </c>
      <c r="I983" s="232">
        <v>11</v>
      </c>
      <c r="J983" s="232"/>
      <c r="K983" s="232"/>
      <c r="L983" s="232">
        <f>IF(K1015=K980,L1018+AK983,K983)</f>
        <v>0</v>
      </c>
      <c r="M983" s="232">
        <f>IF(K1015=K980,0,L1018+AK983-K983)</f>
        <v>0</v>
      </c>
      <c r="N983" s="232">
        <v>2</v>
      </c>
      <c r="O983" s="241">
        <f>N983-G983</f>
        <v>0</v>
      </c>
      <c r="P983" s="277"/>
      <c r="Q983" s="278"/>
      <c r="R983" s="279"/>
      <c r="S983" s="279"/>
      <c r="T983" s="279"/>
      <c r="U983" s="279"/>
      <c r="V983" s="279"/>
      <c r="W983" s="279"/>
      <c r="X983" s="241"/>
      <c r="Y983" s="241"/>
      <c r="Z983" s="241"/>
      <c r="AA983" s="241"/>
      <c r="AB983" s="241"/>
      <c r="AC983" s="241"/>
      <c r="AD983" s="241"/>
      <c r="AE983" s="241"/>
      <c r="AF983" s="241"/>
      <c r="AG983" s="241"/>
      <c r="AH983" s="241"/>
      <c r="AI983" s="241"/>
      <c r="AJ983" s="241">
        <f>N983-V983</f>
        <v>2</v>
      </c>
      <c r="AK983" s="235">
        <f>G1018+AL983-G983</f>
        <v>0</v>
      </c>
      <c r="AL983" s="236"/>
      <c r="AM983" s="294">
        <f>4/12</f>
        <v>0.33333333333333331</v>
      </c>
      <c r="AN983" s="295">
        <v>2</v>
      </c>
      <c r="AO983" s="296">
        <f>G983/(AN983)</f>
        <v>1</v>
      </c>
      <c r="AP983" s="297">
        <f>AN983*6</f>
        <v>12</v>
      </c>
      <c r="AQ983" s="290">
        <f>G983+K983</f>
        <v>2</v>
      </c>
      <c r="AR983" s="290">
        <f>IF(G983&lt;G1018,(G1018-G983+K1018-K983),K1018-K983)</f>
        <v>0</v>
      </c>
      <c r="AS983" s="290">
        <f>21-8</f>
        <v>13</v>
      </c>
    </row>
    <row r="984" spans="1:45" ht="17.25" thickBot="1" x14ac:dyDescent="0.3">
      <c r="A984" s="464"/>
      <c r="B984" s="285">
        <v>273698</v>
      </c>
      <c r="C984" s="286">
        <v>1135752</v>
      </c>
      <c r="D984" s="286" t="s">
        <v>11</v>
      </c>
      <c r="E984" s="287">
        <v>701000000000</v>
      </c>
      <c r="F984" s="253">
        <f>G1019-AK984+AL984</f>
        <v>2</v>
      </c>
      <c r="G984" s="235">
        <v>2</v>
      </c>
      <c r="H984" s="394">
        <v>2</v>
      </c>
      <c r="I984" s="232">
        <v>3</v>
      </c>
      <c r="J984" s="232"/>
      <c r="K984" s="232"/>
      <c r="L984" s="232">
        <f>IF(K1015=K980,L1019+AK984,K984)</f>
        <v>0</v>
      </c>
      <c r="M984" s="232">
        <f>IF(K1015=K980,0,L1019+AK984-K984)</f>
        <v>0</v>
      </c>
      <c r="N984" s="232">
        <v>3</v>
      </c>
      <c r="O984" s="241">
        <f>N984-G984</f>
        <v>1</v>
      </c>
      <c r="P984" s="277">
        <v>2</v>
      </c>
      <c r="Q984" s="278"/>
      <c r="R984" s="279"/>
      <c r="S984" s="279"/>
      <c r="T984" s="279"/>
      <c r="U984" s="279"/>
      <c r="V984" s="279"/>
      <c r="W984" s="279">
        <v>1</v>
      </c>
      <c r="X984" s="241"/>
      <c r="Y984" s="241"/>
      <c r="Z984" s="241"/>
      <c r="AA984" s="241"/>
      <c r="AB984" s="241"/>
      <c r="AC984" s="241"/>
      <c r="AD984" s="241"/>
      <c r="AE984" s="241"/>
      <c r="AF984" s="241"/>
      <c r="AG984" s="241"/>
      <c r="AH984" s="241"/>
      <c r="AI984" s="241"/>
      <c r="AJ984" s="241">
        <f>N984-V984</f>
        <v>3</v>
      </c>
      <c r="AK984" s="235">
        <f>G1019+AL984-G984</f>
        <v>0</v>
      </c>
      <c r="AL984" s="236"/>
      <c r="AM984" s="294">
        <f>4/12</f>
        <v>0.33333333333333331</v>
      </c>
      <c r="AN984" s="295">
        <v>2</v>
      </c>
      <c r="AO984" s="296">
        <f>G984/(AN984)</f>
        <v>1</v>
      </c>
      <c r="AP984" s="297">
        <f>AN984*6</f>
        <v>12</v>
      </c>
      <c r="AQ984" s="290">
        <f>G984+K984</f>
        <v>2</v>
      </c>
      <c r="AR984" s="290">
        <f>IF(G984&lt;G1019,(G1019-G984+K1019-K984),K1019-K984)</f>
        <v>0</v>
      </c>
      <c r="AS984" s="290">
        <f>21-8</f>
        <v>13</v>
      </c>
    </row>
    <row r="985" spans="1:45" ht="17.25" thickBot="1" x14ac:dyDescent="0.3">
      <c r="A985" s="465"/>
      <c r="B985" s="285">
        <v>273680</v>
      </c>
      <c r="C985" s="286">
        <v>1135751</v>
      </c>
      <c r="D985" s="286" t="s">
        <v>12</v>
      </c>
      <c r="E985" s="286" t="s">
        <v>13</v>
      </c>
      <c r="F985" s="254">
        <f>G1020-AK985+AL985</f>
        <v>14</v>
      </c>
      <c r="G985" s="237">
        <v>14</v>
      </c>
      <c r="H985" s="395">
        <v>8</v>
      </c>
      <c r="I985" s="238"/>
      <c r="J985" s="238"/>
      <c r="K985" s="238"/>
      <c r="L985" s="238">
        <f>IF(K1015=K980,L1020+AK985,K985)</f>
        <v>0</v>
      </c>
      <c r="M985" s="238">
        <f>IF(K1015=K980,0,L1020+AK985-K985)</f>
        <v>0</v>
      </c>
      <c r="N985" s="238">
        <v>9</v>
      </c>
      <c r="O985" s="242">
        <f>N985-G985</f>
        <v>-5</v>
      </c>
      <c r="P985" s="280"/>
      <c r="Q985" s="281"/>
      <c r="R985" s="282"/>
      <c r="S985" s="282"/>
      <c r="T985" s="282">
        <v>11</v>
      </c>
      <c r="U985" s="282"/>
      <c r="V985" s="282"/>
      <c r="W985" s="282">
        <v>9</v>
      </c>
      <c r="X985" s="242"/>
      <c r="Y985" s="242">
        <v>9</v>
      </c>
      <c r="Z985" s="242"/>
      <c r="AA985" s="242"/>
      <c r="AB985" s="242"/>
      <c r="AC985" s="242"/>
      <c r="AD985" s="242"/>
      <c r="AE985" s="242"/>
      <c r="AF985" s="242"/>
      <c r="AG985" s="242"/>
      <c r="AH985" s="242"/>
      <c r="AI985" s="242"/>
      <c r="AJ985" s="242">
        <f>N985-V985</f>
        <v>9</v>
      </c>
      <c r="AK985" s="235">
        <f>G1020+AL985-G985</f>
        <v>0</v>
      </c>
      <c r="AL985" s="239"/>
      <c r="AM985" s="299">
        <f>30/12</f>
        <v>2.5</v>
      </c>
      <c r="AN985" s="300">
        <f>AM985*2</f>
        <v>5</v>
      </c>
      <c r="AO985" s="301">
        <f>G985/(AN985)</f>
        <v>2.8</v>
      </c>
      <c r="AP985" s="302">
        <f>AN985*6</f>
        <v>30</v>
      </c>
      <c r="AQ985" s="290">
        <f>G985+K985</f>
        <v>14</v>
      </c>
      <c r="AR985" s="290">
        <f>IF(G985&lt;G1020,(G1020-G985+K1020-K985),K1020-K985)</f>
        <v>0</v>
      </c>
      <c r="AS985" s="290">
        <f>21-8</f>
        <v>13</v>
      </c>
    </row>
    <row r="986" spans="1:45" ht="17.25" thickBot="1" x14ac:dyDescent="0.3">
      <c r="A986" s="466" t="s">
        <v>417</v>
      </c>
      <c r="B986" s="355" t="s">
        <v>129</v>
      </c>
      <c r="C986" s="356"/>
      <c r="D986" s="356"/>
      <c r="E986" s="359"/>
      <c r="F986" s="359"/>
      <c r="G986" s="356"/>
      <c r="H986" s="396"/>
      <c r="I986" s="356"/>
      <c r="J986" s="356"/>
      <c r="K986" s="356"/>
      <c r="L986" s="356"/>
      <c r="M986" s="356"/>
      <c r="N986" s="356"/>
      <c r="O986" s="356"/>
      <c r="P986" s="356"/>
      <c r="Q986" s="356"/>
      <c r="R986" s="356"/>
      <c r="S986" s="356"/>
      <c r="T986" s="356"/>
      <c r="U986" s="356"/>
      <c r="V986" s="356"/>
      <c r="W986" s="356"/>
      <c r="X986" s="356"/>
      <c r="Y986" s="356"/>
      <c r="Z986" s="356"/>
      <c r="AA986" s="356"/>
      <c r="AB986" s="356"/>
      <c r="AC986" s="356"/>
      <c r="AD986" s="356"/>
      <c r="AE986" s="356"/>
      <c r="AF986" s="356"/>
      <c r="AG986" s="356"/>
      <c r="AH986" s="356"/>
      <c r="AI986" s="356"/>
      <c r="AJ986" s="356"/>
      <c r="AK986" s="356"/>
      <c r="AL986" s="367"/>
      <c r="AM986" s="356"/>
      <c r="AN986" s="356"/>
      <c r="AO986" s="356"/>
      <c r="AP986" s="356"/>
      <c r="AQ986" s="356"/>
      <c r="AR986" s="356"/>
      <c r="AS986" s="357"/>
    </row>
    <row r="987" spans="1:45" ht="17.25" thickBot="1" x14ac:dyDescent="0.3">
      <c r="A987" s="467"/>
      <c r="B987" s="354"/>
      <c r="C987" s="354">
        <v>1140327</v>
      </c>
      <c r="D987" s="358" t="s">
        <v>394</v>
      </c>
      <c r="E987" s="360"/>
      <c r="F987" s="361">
        <f>G1022-AK987+AL987</f>
        <v>14</v>
      </c>
      <c r="G987" s="218">
        <v>14</v>
      </c>
      <c r="H987" s="397">
        <v>23</v>
      </c>
      <c r="I987" s="218">
        <v>8</v>
      </c>
      <c r="J987" s="218"/>
      <c r="K987" s="218"/>
      <c r="L987" s="218">
        <f>IF(K1015=K980,L1022+AK987,K987)</f>
        <v>0</v>
      </c>
      <c r="M987" s="218">
        <f>IF(K1015=K980,0,L1022+AK987-K987)</f>
        <v>0</v>
      </c>
      <c r="N987" s="218"/>
      <c r="O987" s="218"/>
      <c r="P987" s="352"/>
      <c r="Q987" s="352"/>
      <c r="R987" s="352"/>
      <c r="S987" s="352"/>
      <c r="T987" s="352"/>
      <c r="U987" s="352"/>
      <c r="V987" s="218"/>
      <c r="W987" s="218"/>
      <c r="X987" s="218">
        <v>4</v>
      </c>
      <c r="Y987" s="218">
        <v>9</v>
      </c>
      <c r="Z987" s="218">
        <v>14</v>
      </c>
      <c r="AA987" s="218">
        <v>8</v>
      </c>
      <c r="AB987" s="218"/>
      <c r="AC987" s="218"/>
      <c r="AD987" s="218"/>
      <c r="AE987" s="218"/>
      <c r="AF987" s="218"/>
      <c r="AG987" s="218"/>
      <c r="AH987" s="218"/>
      <c r="AI987" s="218"/>
      <c r="AJ987" s="242">
        <f>N987-V987</f>
        <v>0</v>
      </c>
      <c r="AK987" s="274">
        <f>G1022+AL987-G987</f>
        <v>0</v>
      </c>
      <c r="AL987" s="232"/>
      <c r="AM987" s="353"/>
      <c r="AN987" s="295"/>
      <c r="AO987" s="296"/>
      <c r="AP987" s="353"/>
      <c r="AQ987" s="290"/>
      <c r="AR987" s="290"/>
      <c r="AS987" s="290"/>
    </row>
    <row r="988" spans="1:45" ht="17.25" thickBot="1" x14ac:dyDescent="0.3">
      <c r="A988" s="467"/>
      <c r="B988" s="354"/>
      <c r="C988" s="285">
        <v>1151231</v>
      </c>
      <c r="D988" s="358" t="s">
        <v>395</v>
      </c>
      <c r="E988" s="360"/>
      <c r="F988" s="361">
        <f>G1023-AK988+AL988</f>
        <v>12</v>
      </c>
      <c r="G988" s="369">
        <v>12</v>
      </c>
      <c r="H988" s="397">
        <v>13</v>
      </c>
      <c r="I988" s="218">
        <v>12</v>
      </c>
      <c r="J988" s="218"/>
      <c r="K988" s="218"/>
      <c r="L988" s="218">
        <f>IF(K1015=K980,L1023+AK988,K988)</f>
        <v>0</v>
      </c>
      <c r="M988" s="218">
        <f>IF(K1015=K980,0,L1023+AK988-K988)</f>
        <v>0</v>
      </c>
      <c r="N988" s="218"/>
      <c r="O988" s="218"/>
      <c r="P988" s="352"/>
      <c r="Q988" s="352"/>
      <c r="R988" s="352"/>
      <c r="S988" s="352"/>
      <c r="T988" s="352"/>
      <c r="U988" s="352"/>
      <c r="V988" s="218"/>
      <c r="W988" s="218"/>
      <c r="X988" s="218">
        <v>3</v>
      </c>
      <c r="Y988" s="218">
        <v>8</v>
      </c>
      <c r="Z988" s="218">
        <v>6</v>
      </c>
      <c r="AA988" s="218"/>
      <c r="AB988" s="218"/>
      <c r="AC988" s="218"/>
      <c r="AD988" s="218"/>
      <c r="AE988" s="218"/>
      <c r="AF988" s="218"/>
      <c r="AG988" s="218"/>
      <c r="AH988" s="218"/>
      <c r="AI988" s="218"/>
      <c r="AJ988" s="242">
        <f>N988-V988</f>
        <v>0</v>
      </c>
      <c r="AK988" s="274">
        <f>G1023+AL988-G988</f>
        <v>0</v>
      </c>
      <c r="AL988" s="232"/>
      <c r="AM988" s="353"/>
      <c r="AN988" s="295"/>
      <c r="AO988" s="296"/>
      <c r="AP988" s="353"/>
      <c r="AQ988" s="290"/>
      <c r="AR988" s="290"/>
      <c r="AS988" s="290"/>
    </row>
    <row r="989" spans="1:45" ht="17.25" thickBot="1" x14ac:dyDescent="0.3">
      <c r="A989" s="467"/>
      <c r="B989" s="355" t="s">
        <v>420</v>
      </c>
      <c r="C989" s="356"/>
      <c r="D989" s="356"/>
      <c r="E989" s="359"/>
      <c r="F989" s="359"/>
      <c r="G989" s="356"/>
      <c r="H989" s="396"/>
      <c r="I989" s="356"/>
      <c r="J989" s="356"/>
      <c r="K989" s="356"/>
      <c r="L989" s="356"/>
      <c r="M989" s="356"/>
      <c r="N989" s="356"/>
      <c r="O989" s="356"/>
      <c r="P989" s="356"/>
      <c r="Q989" s="356"/>
      <c r="R989" s="356"/>
      <c r="S989" s="356"/>
      <c r="T989" s="356"/>
      <c r="U989" s="356"/>
      <c r="V989" s="356"/>
      <c r="W989" s="356"/>
      <c r="X989" s="356"/>
      <c r="Y989" s="356"/>
      <c r="Z989" s="356"/>
      <c r="AA989" s="356"/>
      <c r="AB989" s="356"/>
      <c r="AC989" s="356"/>
      <c r="AD989" s="356"/>
      <c r="AE989" s="356"/>
      <c r="AF989" s="356"/>
      <c r="AG989" s="356"/>
      <c r="AH989" s="356"/>
      <c r="AI989" s="356"/>
      <c r="AJ989" s="356"/>
      <c r="AK989" s="356"/>
      <c r="AL989" s="368"/>
      <c r="AM989" s="356"/>
      <c r="AN989" s="356"/>
      <c r="AO989" s="356"/>
      <c r="AP989" s="356"/>
      <c r="AQ989" s="356"/>
      <c r="AR989" s="356"/>
      <c r="AS989" s="357"/>
    </row>
    <row r="990" spans="1:45" ht="17.25" thickBot="1" x14ac:dyDescent="0.3">
      <c r="A990" s="467"/>
      <c r="B990" s="354"/>
      <c r="C990" s="285">
        <v>1146032</v>
      </c>
      <c r="D990" s="358" t="s">
        <v>396</v>
      </c>
      <c r="E990" s="360"/>
      <c r="F990" s="361">
        <f>G1025-AK990+AL990</f>
        <v>1</v>
      </c>
      <c r="G990" s="364">
        <v>1</v>
      </c>
      <c r="H990" s="397">
        <v>1</v>
      </c>
      <c r="I990" s="364">
        <v>1</v>
      </c>
      <c r="J990" s="364"/>
      <c r="K990" s="364"/>
      <c r="L990" s="218"/>
      <c r="M990" s="218"/>
      <c r="N990" s="218"/>
      <c r="O990" s="218"/>
      <c r="P990" s="352"/>
      <c r="Q990" s="352"/>
      <c r="R990" s="352"/>
      <c r="S990" s="352"/>
      <c r="T990" s="352"/>
      <c r="U990" s="352"/>
      <c r="V990" s="218"/>
      <c r="W990" s="218"/>
      <c r="X990" s="218"/>
      <c r="Y990" s="218"/>
      <c r="Z990" s="218"/>
      <c r="AA990" s="218"/>
      <c r="AB990" s="218"/>
      <c r="AC990" s="218"/>
      <c r="AD990" s="218"/>
      <c r="AE990" s="218"/>
      <c r="AF990" s="218"/>
      <c r="AG990" s="218"/>
      <c r="AH990" s="218"/>
      <c r="AI990" s="218"/>
      <c r="AJ990" s="218"/>
      <c r="AK990" s="218">
        <f>G1025+AL990-G990</f>
        <v>0</v>
      </c>
      <c r="AL990" s="218"/>
      <c r="AM990" s="353"/>
      <c r="AN990" s="295"/>
      <c r="AO990" s="296"/>
      <c r="AP990" s="353"/>
      <c r="AQ990" s="290"/>
      <c r="AR990" s="290"/>
      <c r="AS990" s="290"/>
    </row>
    <row r="991" spans="1:45" ht="17.25" thickBot="1" x14ac:dyDescent="0.3">
      <c r="A991" s="467"/>
      <c r="B991" s="354"/>
      <c r="C991" s="285">
        <v>1146021</v>
      </c>
      <c r="D991" s="358" t="s">
        <v>397</v>
      </c>
      <c r="E991" s="360"/>
      <c r="F991" s="361">
        <f>G1026-AK991+AL991</f>
        <v>2</v>
      </c>
      <c r="G991" s="364">
        <v>2</v>
      </c>
      <c r="H991" s="397">
        <v>2</v>
      </c>
      <c r="I991" s="364">
        <v>0</v>
      </c>
      <c r="J991" s="364"/>
      <c r="K991" s="364"/>
      <c r="L991" s="218"/>
      <c r="M991" s="218"/>
      <c r="N991" s="218"/>
      <c r="O991" s="218"/>
      <c r="P991" s="352"/>
      <c r="Q991" s="352"/>
      <c r="R991" s="352"/>
      <c r="S991" s="352"/>
      <c r="T991" s="352"/>
      <c r="U991" s="352"/>
      <c r="V991" s="218"/>
      <c r="W991" s="218"/>
      <c r="X991" s="218"/>
      <c r="Y991" s="218"/>
      <c r="Z991" s="218"/>
      <c r="AA991" s="218"/>
      <c r="AB991" s="218"/>
      <c r="AC991" s="218"/>
      <c r="AD991" s="218"/>
      <c r="AE991" s="218"/>
      <c r="AF991" s="218"/>
      <c r="AG991" s="218"/>
      <c r="AH991" s="218"/>
      <c r="AI991" s="218"/>
      <c r="AJ991" s="218"/>
      <c r="AK991" s="218">
        <f>G1026+AL991-G991</f>
        <v>0</v>
      </c>
      <c r="AL991" s="218"/>
      <c r="AM991" s="353"/>
      <c r="AN991" s="295"/>
      <c r="AO991" s="296"/>
      <c r="AP991" s="353"/>
      <c r="AQ991" s="290"/>
      <c r="AR991" s="290"/>
      <c r="AS991" s="290"/>
    </row>
    <row r="992" spans="1:45" ht="17.25" thickBot="1" x14ac:dyDescent="0.3">
      <c r="A992" s="467"/>
      <c r="B992" s="354"/>
      <c r="C992" s="285">
        <v>1146018</v>
      </c>
      <c r="D992" s="358" t="s">
        <v>398</v>
      </c>
      <c r="E992" s="360"/>
      <c r="F992" s="361">
        <f>G1027-AK992+AL992</f>
        <v>4</v>
      </c>
      <c r="G992" s="364">
        <v>4</v>
      </c>
      <c r="H992" s="397">
        <v>1</v>
      </c>
      <c r="I992" s="364"/>
      <c r="J992" s="364"/>
      <c r="K992" s="364"/>
      <c r="L992" s="218"/>
      <c r="M992" s="218"/>
      <c r="N992" s="218"/>
      <c r="O992" s="218"/>
      <c r="P992" s="352"/>
      <c r="Q992" s="352"/>
      <c r="R992" s="352"/>
      <c r="S992" s="352"/>
      <c r="T992" s="352"/>
      <c r="U992" s="352"/>
      <c r="V992" s="218"/>
      <c r="W992" s="218"/>
      <c r="X992" s="218"/>
      <c r="Y992" s="218"/>
      <c r="Z992" s="218"/>
      <c r="AA992" s="218"/>
      <c r="AB992" s="218"/>
      <c r="AC992" s="218"/>
      <c r="AD992" s="218"/>
      <c r="AE992" s="218"/>
      <c r="AF992" s="218"/>
      <c r="AG992" s="218"/>
      <c r="AH992" s="218"/>
      <c r="AI992" s="218"/>
      <c r="AJ992" s="218"/>
      <c r="AK992" s="218">
        <f>G1027+AL992-G992</f>
        <v>0</v>
      </c>
      <c r="AL992" s="218"/>
      <c r="AM992" s="353"/>
      <c r="AN992" s="295"/>
      <c r="AO992" s="296"/>
      <c r="AP992" s="353"/>
      <c r="AQ992" s="290"/>
      <c r="AR992" s="290"/>
      <c r="AS992" s="290"/>
    </row>
    <row r="993" spans="1:45" ht="17.25" thickBot="1" x14ac:dyDescent="0.3">
      <c r="A993" s="467"/>
      <c r="B993" s="354"/>
      <c r="C993" s="285">
        <v>1146024</v>
      </c>
      <c r="D993" s="358" t="s">
        <v>399</v>
      </c>
      <c r="E993" s="360"/>
      <c r="F993" s="361">
        <v>1</v>
      </c>
      <c r="G993" s="369">
        <v>2</v>
      </c>
      <c r="H993" s="369">
        <v>2</v>
      </c>
      <c r="I993" s="369">
        <v>2</v>
      </c>
      <c r="J993" s="369"/>
      <c r="K993" s="369"/>
      <c r="L993" s="218"/>
      <c r="M993" s="218"/>
      <c r="N993" s="218"/>
      <c r="O993" s="218"/>
      <c r="P993" s="352"/>
      <c r="Q993" s="352"/>
      <c r="R993" s="352"/>
      <c r="S993" s="352"/>
      <c r="T993" s="352"/>
      <c r="U993" s="352"/>
      <c r="V993" s="218"/>
      <c r="W993" s="218"/>
      <c r="X993" s="218"/>
      <c r="Y993" s="218"/>
      <c r="Z993" s="218"/>
      <c r="AA993" s="218">
        <v>1</v>
      </c>
      <c r="AB993" s="218"/>
      <c r="AC993" s="218"/>
      <c r="AD993" s="218"/>
      <c r="AE993" s="218"/>
      <c r="AF993" s="218"/>
      <c r="AG993" s="218"/>
      <c r="AH993" s="218"/>
      <c r="AI993" s="218"/>
      <c r="AJ993" s="218"/>
      <c r="AK993" s="218">
        <f>G1028+AL993-G993</f>
        <v>0</v>
      </c>
      <c r="AL993" s="218"/>
      <c r="AM993" s="353"/>
      <c r="AN993" s="295"/>
      <c r="AO993" s="296"/>
      <c r="AP993" s="353"/>
      <c r="AQ993" s="290"/>
      <c r="AR993" s="290"/>
      <c r="AS993" s="290"/>
    </row>
    <row r="994" spans="1:45" ht="17.25" thickBot="1" x14ac:dyDescent="0.3">
      <c r="A994" s="467"/>
      <c r="B994" s="354"/>
      <c r="C994" s="285">
        <v>1146028</v>
      </c>
      <c r="D994" s="358" t="s">
        <v>400</v>
      </c>
      <c r="E994" s="360"/>
      <c r="F994" s="361">
        <f>G1029-AK994+AL994</f>
        <v>1</v>
      </c>
      <c r="G994" s="364">
        <v>1</v>
      </c>
      <c r="H994" s="397">
        <v>2</v>
      </c>
      <c r="I994" s="364">
        <v>0</v>
      </c>
      <c r="J994" s="364"/>
      <c r="K994" s="364"/>
      <c r="L994" s="218"/>
      <c r="M994" s="218"/>
      <c r="N994" s="218"/>
      <c r="O994" s="218"/>
      <c r="P994" s="352"/>
      <c r="Q994" s="352"/>
      <c r="R994" s="352"/>
      <c r="S994" s="352"/>
      <c r="T994" s="352"/>
      <c r="U994" s="352"/>
      <c r="V994" s="218"/>
      <c r="W994" s="218"/>
      <c r="X994" s="218"/>
      <c r="Y994" s="218"/>
      <c r="Z994" s="218"/>
      <c r="AA994" s="218"/>
      <c r="AB994" s="218"/>
      <c r="AC994" s="218"/>
      <c r="AD994" s="218"/>
      <c r="AE994" s="218"/>
      <c r="AF994" s="218"/>
      <c r="AG994" s="218"/>
      <c r="AH994" s="218"/>
      <c r="AI994" s="218"/>
      <c r="AJ994" s="218"/>
      <c r="AK994" s="218">
        <f>G1029+AL994-G994</f>
        <v>0</v>
      </c>
      <c r="AL994" s="218"/>
      <c r="AM994" s="353"/>
      <c r="AN994" s="295"/>
      <c r="AO994" s="296"/>
      <c r="AP994" s="353"/>
      <c r="AQ994" s="290"/>
      <c r="AR994" s="290"/>
      <c r="AS994" s="290"/>
    </row>
    <row r="995" spans="1:45" ht="17.25" thickBot="1" x14ac:dyDescent="0.3">
      <c r="A995" s="467"/>
      <c r="B995" s="355" t="s">
        <v>419</v>
      </c>
      <c r="C995" s="356"/>
      <c r="D995" s="356"/>
      <c r="E995" s="359"/>
      <c r="F995" s="359"/>
      <c r="G995" s="356"/>
      <c r="H995" s="396"/>
      <c r="I995" s="356"/>
      <c r="J995" s="356"/>
      <c r="K995" s="356"/>
      <c r="L995" s="356"/>
      <c r="M995" s="356"/>
      <c r="N995" s="356"/>
      <c r="O995" s="356"/>
      <c r="P995" s="356"/>
      <c r="Q995" s="356"/>
      <c r="R995" s="356"/>
      <c r="S995" s="356"/>
      <c r="T995" s="356"/>
      <c r="U995" s="356"/>
      <c r="V995" s="356"/>
      <c r="W995" s="356"/>
      <c r="X995" s="356"/>
      <c r="Y995" s="356"/>
      <c r="Z995" s="356"/>
      <c r="AA995" s="356"/>
      <c r="AB995" s="356"/>
      <c r="AC995" s="356"/>
      <c r="AD995" s="356"/>
      <c r="AE995" s="356"/>
      <c r="AF995" s="356"/>
      <c r="AG995" s="356"/>
      <c r="AH995" s="356"/>
      <c r="AI995" s="356"/>
      <c r="AJ995" s="356"/>
      <c r="AK995" s="356"/>
      <c r="AL995" s="356"/>
      <c r="AM995" s="356"/>
      <c r="AN995" s="356"/>
      <c r="AO995" s="356"/>
      <c r="AP995" s="356"/>
      <c r="AQ995" s="356"/>
      <c r="AR995" s="356"/>
      <c r="AS995" s="357"/>
    </row>
    <row r="996" spans="1:45" ht="17.25" thickBot="1" x14ac:dyDescent="0.3">
      <c r="A996" s="467"/>
      <c r="B996" s="372"/>
      <c r="C996" s="373">
        <v>1146031</v>
      </c>
      <c r="D996" s="374" t="s">
        <v>401</v>
      </c>
      <c r="E996" s="375"/>
      <c r="F996" s="376">
        <f>G1031-AK996+AL996</f>
        <v>2</v>
      </c>
      <c r="G996" s="377">
        <v>2</v>
      </c>
      <c r="H996" s="397">
        <v>1</v>
      </c>
      <c r="I996" s="377">
        <v>1</v>
      </c>
      <c r="J996" s="377"/>
      <c r="K996" s="377"/>
      <c r="L996" s="377"/>
      <c r="M996" s="377"/>
      <c r="N996" s="377"/>
      <c r="O996" s="377"/>
      <c r="P996" s="377"/>
      <c r="Q996" s="377"/>
      <c r="R996" s="377"/>
      <c r="S996" s="377"/>
      <c r="T996" s="377"/>
      <c r="U996" s="377"/>
      <c r="V996" s="377"/>
      <c r="W996" s="377"/>
      <c r="X996" s="377"/>
      <c r="Y996" s="377"/>
      <c r="Z996" s="377"/>
      <c r="AA996" s="377"/>
      <c r="AB996" s="377"/>
      <c r="AC996" s="377"/>
      <c r="AD996" s="377"/>
      <c r="AE996" s="377"/>
      <c r="AF996" s="377"/>
      <c r="AG996" s="377"/>
      <c r="AH996" s="377"/>
      <c r="AI996" s="377"/>
      <c r="AJ996" s="377"/>
      <c r="AK996" s="377">
        <f>G1031+AL996-G996</f>
        <v>0</v>
      </c>
      <c r="AL996" s="377"/>
      <c r="AM996" s="378"/>
      <c r="AN996" s="379"/>
      <c r="AO996" s="380"/>
      <c r="AP996" s="378"/>
      <c r="AQ996" s="381"/>
      <c r="AR996" s="381"/>
      <c r="AS996" s="381"/>
    </row>
    <row r="997" spans="1:45" ht="17.25" thickBot="1" x14ac:dyDescent="0.3">
      <c r="A997" s="467"/>
      <c r="B997" s="372"/>
      <c r="C997" s="373">
        <v>1146020</v>
      </c>
      <c r="D997" s="374" t="s">
        <v>402</v>
      </c>
      <c r="E997" s="375"/>
      <c r="F997" s="376">
        <f>G1032-AK997+AL997</f>
        <v>1</v>
      </c>
      <c r="G997" s="377">
        <v>1</v>
      </c>
      <c r="H997" s="397">
        <v>1</v>
      </c>
      <c r="I997" s="377">
        <v>0</v>
      </c>
      <c r="J997" s="377"/>
      <c r="K997" s="377"/>
      <c r="L997" s="377"/>
      <c r="M997" s="377"/>
      <c r="N997" s="377"/>
      <c r="O997" s="377"/>
      <c r="P997" s="377"/>
      <c r="Q997" s="377"/>
      <c r="R997" s="377"/>
      <c r="S997" s="377"/>
      <c r="T997" s="377"/>
      <c r="U997" s="377"/>
      <c r="V997" s="377"/>
      <c r="W997" s="377"/>
      <c r="X997" s="377"/>
      <c r="Y997" s="377"/>
      <c r="Z997" s="377"/>
      <c r="AA997" s="377"/>
      <c r="AB997" s="377"/>
      <c r="AC997" s="377"/>
      <c r="AD997" s="377"/>
      <c r="AE997" s="377"/>
      <c r="AF997" s="377"/>
      <c r="AG997" s="377"/>
      <c r="AH997" s="377"/>
      <c r="AI997" s="377"/>
      <c r="AJ997" s="377"/>
      <c r="AK997" s="377">
        <f>G1032+AL997-G997</f>
        <v>0</v>
      </c>
      <c r="AL997" s="377"/>
      <c r="AM997" s="378"/>
      <c r="AN997" s="379"/>
      <c r="AO997" s="380"/>
      <c r="AP997" s="378"/>
      <c r="AQ997" s="381"/>
      <c r="AR997" s="381"/>
      <c r="AS997" s="381"/>
    </row>
    <row r="998" spans="1:45" ht="17.25" thickBot="1" x14ac:dyDescent="0.3">
      <c r="A998" s="467"/>
      <c r="B998" s="372"/>
      <c r="C998" s="373">
        <v>1146016</v>
      </c>
      <c r="D998" s="374" t="s">
        <v>398</v>
      </c>
      <c r="E998" s="375"/>
      <c r="F998" s="376">
        <f>G1033-AK998+AL998</f>
        <v>6</v>
      </c>
      <c r="G998" s="377">
        <v>6</v>
      </c>
      <c r="H998" s="397">
        <v>1</v>
      </c>
      <c r="I998" s="377"/>
      <c r="J998" s="377"/>
      <c r="K998" s="377"/>
      <c r="L998" s="377"/>
      <c r="M998" s="377"/>
      <c r="N998" s="377"/>
      <c r="O998" s="377"/>
      <c r="P998" s="377"/>
      <c r="Q998" s="377"/>
      <c r="R998" s="377"/>
      <c r="S998" s="377"/>
      <c r="T998" s="377"/>
      <c r="U998" s="377"/>
      <c r="V998" s="377"/>
      <c r="W998" s="377"/>
      <c r="X998" s="377"/>
      <c r="Y998" s="377"/>
      <c r="Z998" s="377"/>
      <c r="AA998" s="377"/>
      <c r="AB998" s="377"/>
      <c r="AC998" s="377"/>
      <c r="AD998" s="377"/>
      <c r="AE998" s="377"/>
      <c r="AF998" s="377"/>
      <c r="AG998" s="377"/>
      <c r="AH998" s="377"/>
      <c r="AI998" s="377"/>
      <c r="AJ998" s="377"/>
      <c r="AK998" s="377">
        <f>G1033+AL998-G998</f>
        <v>0</v>
      </c>
      <c r="AL998" s="377"/>
      <c r="AM998" s="378"/>
      <c r="AN998" s="379"/>
      <c r="AO998" s="380"/>
      <c r="AP998" s="378"/>
      <c r="AQ998" s="381"/>
      <c r="AR998" s="381"/>
      <c r="AS998" s="381"/>
    </row>
    <row r="999" spans="1:45" ht="17.25" thickBot="1" x14ac:dyDescent="0.3">
      <c r="A999" s="467"/>
      <c r="B999" s="372"/>
      <c r="C999" s="373">
        <v>1146022</v>
      </c>
      <c r="D999" s="374" t="s">
        <v>403</v>
      </c>
      <c r="E999" s="375"/>
      <c r="F999" s="376">
        <f>G1034-AK999+AL999</f>
        <v>0</v>
      </c>
      <c r="G999" s="377">
        <v>0</v>
      </c>
      <c r="H999" s="397">
        <v>2</v>
      </c>
      <c r="I999" s="377">
        <v>1</v>
      </c>
      <c r="J999" s="377"/>
      <c r="K999" s="377"/>
      <c r="L999" s="377"/>
      <c r="M999" s="377"/>
      <c r="N999" s="377"/>
      <c r="O999" s="377"/>
      <c r="P999" s="377"/>
      <c r="Q999" s="377"/>
      <c r="R999" s="377"/>
      <c r="S999" s="377"/>
      <c r="T999" s="377"/>
      <c r="U999" s="377"/>
      <c r="V999" s="377"/>
      <c r="W999" s="377"/>
      <c r="X999" s="377"/>
      <c r="Y999" s="377"/>
      <c r="Z999" s="377"/>
      <c r="AA999" s="377"/>
      <c r="AB999" s="377"/>
      <c r="AC999" s="377"/>
      <c r="AD999" s="377"/>
      <c r="AE999" s="377"/>
      <c r="AF999" s="377"/>
      <c r="AG999" s="377"/>
      <c r="AH999" s="377"/>
      <c r="AI999" s="377"/>
      <c r="AJ999" s="377"/>
      <c r="AK999" s="377">
        <f>G1034+AL999-G999</f>
        <v>0</v>
      </c>
      <c r="AL999" s="377"/>
      <c r="AM999" s="378"/>
      <c r="AN999" s="379"/>
      <c r="AO999" s="380"/>
      <c r="AP999" s="378"/>
      <c r="AQ999" s="381"/>
      <c r="AR999" s="381"/>
      <c r="AS999" s="381"/>
    </row>
    <row r="1000" spans="1:45" ht="17.25" thickBot="1" x14ac:dyDescent="0.3">
      <c r="A1000" s="467"/>
      <c r="B1000" s="372"/>
      <c r="C1000" s="373">
        <v>1146027</v>
      </c>
      <c r="D1000" s="374" t="s">
        <v>404</v>
      </c>
      <c r="E1000" s="375"/>
      <c r="F1000" s="376">
        <f>G1035-AK1000+AL1000</f>
        <v>2</v>
      </c>
      <c r="G1000" s="377">
        <v>2</v>
      </c>
      <c r="H1000" s="397">
        <v>2</v>
      </c>
      <c r="I1000" s="377">
        <v>1</v>
      </c>
      <c r="J1000" s="377"/>
      <c r="K1000" s="377"/>
      <c r="L1000" s="377"/>
      <c r="M1000" s="377"/>
      <c r="N1000" s="377"/>
      <c r="O1000" s="377"/>
      <c r="P1000" s="377"/>
      <c r="Q1000" s="377"/>
      <c r="R1000" s="377"/>
      <c r="S1000" s="377"/>
      <c r="T1000" s="377"/>
      <c r="U1000" s="377"/>
      <c r="V1000" s="377"/>
      <c r="W1000" s="377"/>
      <c r="X1000" s="377"/>
      <c r="Y1000" s="377"/>
      <c r="Z1000" s="377"/>
      <c r="AA1000" s="377"/>
      <c r="AB1000" s="377"/>
      <c r="AC1000" s="377"/>
      <c r="AD1000" s="377"/>
      <c r="AE1000" s="377"/>
      <c r="AF1000" s="377"/>
      <c r="AG1000" s="377"/>
      <c r="AH1000" s="377"/>
      <c r="AI1000" s="377"/>
      <c r="AJ1000" s="377"/>
      <c r="AK1000" s="377">
        <f>G1035+AL1000-G1000</f>
        <v>0</v>
      </c>
      <c r="AL1000" s="377"/>
      <c r="AM1000" s="378"/>
      <c r="AN1000" s="379"/>
      <c r="AO1000" s="380"/>
      <c r="AP1000" s="378"/>
      <c r="AQ1000" s="381"/>
      <c r="AR1000" s="381"/>
      <c r="AS1000" s="381"/>
    </row>
    <row r="1001" spans="1:45" ht="17.25" thickBot="1" x14ac:dyDescent="0.3">
      <c r="A1001" s="467"/>
      <c r="B1001" s="355" t="s">
        <v>418</v>
      </c>
      <c r="C1001" s="356"/>
      <c r="D1001" s="356"/>
      <c r="E1001" s="359"/>
      <c r="F1001" s="359"/>
      <c r="G1001" s="356"/>
      <c r="H1001" s="396"/>
      <c r="I1001" s="356"/>
      <c r="J1001" s="356"/>
      <c r="K1001" s="356"/>
      <c r="L1001" s="356"/>
      <c r="M1001" s="356"/>
      <c r="N1001" s="356"/>
      <c r="O1001" s="356"/>
      <c r="P1001" s="356"/>
      <c r="Q1001" s="356"/>
      <c r="R1001" s="356"/>
      <c r="S1001" s="356"/>
      <c r="T1001" s="356"/>
      <c r="U1001" s="356"/>
      <c r="V1001" s="356"/>
      <c r="W1001" s="356"/>
      <c r="X1001" s="356"/>
      <c r="Y1001" s="356"/>
      <c r="Z1001" s="356"/>
      <c r="AA1001" s="356"/>
      <c r="AB1001" s="356"/>
      <c r="AC1001" s="356"/>
      <c r="AD1001" s="356"/>
      <c r="AE1001" s="356"/>
      <c r="AF1001" s="356"/>
      <c r="AG1001" s="356"/>
      <c r="AH1001" s="356"/>
      <c r="AI1001" s="356"/>
      <c r="AJ1001" s="356"/>
      <c r="AK1001" s="356"/>
      <c r="AL1001" s="356"/>
      <c r="AM1001" s="356"/>
      <c r="AN1001" s="356"/>
      <c r="AO1001" s="356"/>
      <c r="AP1001" s="356"/>
      <c r="AQ1001" s="356"/>
      <c r="AR1001" s="356"/>
      <c r="AS1001" s="357"/>
    </row>
    <row r="1002" spans="1:45" ht="17.25" thickBot="1" x14ac:dyDescent="0.3">
      <c r="A1002" s="467"/>
      <c r="B1002" s="354"/>
      <c r="C1002" s="285">
        <v>1151653</v>
      </c>
      <c r="D1002" s="358" t="s">
        <v>405</v>
      </c>
      <c r="E1002" s="360"/>
      <c r="F1002" s="361">
        <f>G1037-AK1002+AL1002</f>
        <v>0</v>
      </c>
      <c r="G1002" s="364">
        <v>0</v>
      </c>
      <c r="H1002" s="397">
        <v>1</v>
      </c>
      <c r="I1002" s="364">
        <v>1</v>
      </c>
      <c r="J1002" s="364"/>
      <c r="K1002" s="364"/>
      <c r="L1002" s="218"/>
      <c r="M1002" s="218"/>
      <c r="N1002" s="218"/>
      <c r="O1002" s="218"/>
      <c r="P1002" s="352"/>
      <c r="Q1002" s="352"/>
      <c r="R1002" s="352"/>
      <c r="S1002" s="352"/>
      <c r="T1002" s="352"/>
      <c r="U1002" s="352"/>
      <c r="V1002" s="218"/>
      <c r="W1002" s="218"/>
      <c r="X1002" s="218"/>
      <c r="Y1002" s="218"/>
      <c r="Z1002" s="218"/>
      <c r="AA1002" s="218"/>
      <c r="AB1002" s="218"/>
      <c r="AC1002" s="218"/>
      <c r="AD1002" s="218"/>
      <c r="AE1002" s="218"/>
      <c r="AF1002" s="218"/>
      <c r="AG1002" s="218"/>
      <c r="AH1002" s="218"/>
      <c r="AI1002" s="218"/>
      <c r="AJ1002" s="218"/>
      <c r="AK1002" s="218">
        <f>G1037+AL1002-G1002</f>
        <v>0</v>
      </c>
      <c r="AL1002" s="218"/>
      <c r="AM1002" s="353"/>
      <c r="AN1002" s="295"/>
      <c r="AO1002" s="296"/>
      <c r="AP1002" s="353"/>
      <c r="AQ1002" s="290"/>
      <c r="AR1002" s="290"/>
      <c r="AS1002" s="290"/>
    </row>
    <row r="1003" spans="1:45" ht="17.25" thickBot="1" x14ac:dyDescent="0.3">
      <c r="A1003" s="467"/>
      <c r="B1003" s="354"/>
      <c r="C1003" s="285">
        <v>1151650</v>
      </c>
      <c r="D1003" s="358" t="s">
        <v>406</v>
      </c>
      <c r="E1003" s="360"/>
      <c r="F1003" s="361">
        <f>G1038-AK1003+AL1003</f>
        <v>1</v>
      </c>
      <c r="G1003" s="364">
        <v>1</v>
      </c>
      <c r="H1003" s="397">
        <v>2</v>
      </c>
      <c r="I1003" s="364">
        <v>0</v>
      </c>
      <c r="J1003" s="364"/>
      <c r="K1003" s="364"/>
      <c r="L1003" s="218"/>
      <c r="M1003" s="218"/>
      <c r="N1003" s="218"/>
      <c r="O1003" s="218"/>
      <c r="P1003" s="352"/>
      <c r="Q1003" s="352"/>
      <c r="R1003" s="352"/>
      <c r="S1003" s="352"/>
      <c r="T1003" s="352"/>
      <c r="U1003" s="352"/>
      <c r="V1003" s="218"/>
      <c r="W1003" s="218"/>
      <c r="X1003" s="218"/>
      <c r="Y1003" s="218"/>
      <c r="Z1003" s="218"/>
      <c r="AA1003" s="218"/>
      <c r="AB1003" s="218"/>
      <c r="AC1003" s="218"/>
      <c r="AD1003" s="218"/>
      <c r="AE1003" s="218"/>
      <c r="AF1003" s="218"/>
      <c r="AG1003" s="218"/>
      <c r="AH1003" s="218"/>
      <c r="AI1003" s="218"/>
      <c r="AJ1003" s="218"/>
      <c r="AK1003" s="218">
        <f>G1038+AL1003-G1003</f>
        <v>0</v>
      </c>
      <c r="AL1003" s="218"/>
      <c r="AM1003" s="353"/>
      <c r="AN1003" s="295"/>
      <c r="AO1003" s="296"/>
      <c r="AP1003" s="353"/>
      <c r="AQ1003" s="290"/>
      <c r="AR1003" s="290"/>
      <c r="AS1003" s="290"/>
    </row>
    <row r="1004" spans="1:45" ht="17.25" thickBot="1" x14ac:dyDescent="0.3">
      <c r="A1004" s="467"/>
      <c r="B1004" s="354"/>
      <c r="C1004" s="285">
        <v>1151649</v>
      </c>
      <c r="D1004" s="358" t="s">
        <v>407</v>
      </c>
      <c r="E1004" s="360"/>
      <c r="F1004" s="361">
        <f>G1039-AK1004+AL1004</f>
        <v>2</v>
      </c>
      <c r="G1004" s="364">
        <v>2</v>
      </c>
      <c r="H1004" s="397">
        <v>4</v>
      </c>
      <c r="I1004" s="364"/>
      <c r="J1004" s="364"/>
      <c r="K1004" s="364"/>
      <c r="L1004" s="218"/>
      <c r="M1004" s="218"/>
      <c r="N1004" s="218"/>
      <c r="O1004" s="218"/>
      <c r="P1004" s="352"/>
      <c r="Q1004" s="352"/>
      <c r="R1004" s="352"/>
      <c r="S1004" s="352"/>
      <c r="T1004" s="352"/>
      <c r="U1004" s="352"/>
      <c r="V1004" s="218"/>
      <c r="W1004" s="218"/>
      <c r="X1004" s="218"/>
      <c r="Y1004" s="218"/>
      <c r="Z1004" s="218"/>
      <c r="AA1004" s="218"/>
      <c r="AB1004" s="218"/>
      <c r="AC1004" s="218"/>
      <c r="AD1004" s="218"/>
      <c r="AE1004" s="218"/>
      <c r="AF1004" s="218"/>
      <c r="AG1004" s="218"/>
      <c r="AH1004" s="218"/>
      <c r="AI1004" s="218"/>
      <c r="AJ1004" s="218"/>
      <c r="AK1004" s="218">
        <f>G1039+AL1004-G1004</f>
        <v>0</v>
      </c>
      <c r="AL1004" s="218"/>
      <c r="AM1004" s="353"/>
      <c r="AN1004" s="295"/>
      <c r="AO1004" s="296"/>
      <c r="AP1004" s="353"/>
      <c r="AQ1004" s="290"/>
      <c r="AR1004" s="290"/>
      <c r="AS1004" s="290"/>
    </row>
    <row r="1005" spans="1:45" ht="17.25" thickBot="1" x14ac:dyDescent="0.3">
      <c r="A1005" s="467"/>
      <c r="B1005" s="354"/>
      <c r="C1005" s="285">
        <v>1151651</v>
      </c>
      <c r="D1005" s="358" t="s">
        <v>408</v>
      </c>
      <c r="E1005" s="360"/>
      <c r="F1005" s="361">
        <f>G1040-AK1005+AL1005</f>
        <v>3</v>
      </c>
      <c r="G1005" s="369">
        <v>3</v>
      </c>
      <c r="H1005" s="369">
        <v>1</v>
      </c>
      <c r="I1005" s="369">
        <v>3</v>
      </c>
      <c r="J1005" s="369"/>
      <c r="K1005" s="369"/>
      <c r="L1005" s="218"/>
      <c r="M1005" s="218"/>
      <c r="N1005" s="218"/>
      <c r="O1005" s="218"/>
      <c r="P1005" s="352"/>
      <c r="Q1005" s="352"/>
      <c r="R1005" s="352"/>
      <c r="S1005" s="352"/>
      <c r="T1005" s="352"/>
      <c r="U1005" s="352"/>
      <c r="V1005" s="218"/>
      <c r="W1005" s="218"/>
      <c r="X1005" s="218"/>
      <c r="Y1005" s="218"/>
      <c r="Z1005" s="218">
        <v>2</v>
      </c>
      <c r="AA1005" s="218"/>
      <c r="AB1005" s="218"/>
      <c r="AC1005" s="218"/>
      <c r="AD1005" s="218"/>
      <c r="AE1005" s="218"/>
      <c r="AF1005" s="218"/>
      <c r="AG1005" s="218"/>
      <c r="AH1005" s="218"/>
      <c r="AI1005" s="218"/>
      <c r="AJ1005" s="218"/>
      <c r="AK1005" s="218">
        <f>G1040+AL1005-G1005</f>
        <v>0</v>
      </c>
      <c r="AL1005" s="218"/>
      <c r="AM1005" s="353"/>
      <c r="AN1005" s="295"/>
      <c r="AO1005" s="296"/>
      <c r="AP1005" s="353"/>
      <c r="AQ1005" s="290"/>
      <c r="AR1005" s="290"/>
      <c r="AS1005" s="290"/>
    </row>
    <row r="1006" spans="1:45" ht="17.25" thickBot="1" x14ac:dyDescent="0.3">
      <c r="A1006" s="467"/>
      <c r="B1006" s="354"/>
      <c r="C1006" s="285">
        <v>1146029</v>
      </c>
      <c r="D1006" s="358" t="s">
        <v>409</v>
      </c>
      <c r="E1006" s="360"/>
      <c r="F1006" s="361">
        <f>G1041-AK1006+AL1006</f>
        <v>2</v>
      </c>
      <c r="G1006" s="369">
        <v>2</v>
      </c>
      <c r="H1006" s="369">
        <v>2</v>
      </c>
      <c r="I1006" s="369">
        <v>2</v>
      </c>
      <c r="J1006" s="369"/>
      <c r="K1006" s="369"/>
      <c r="L1006" s="218"/>
      <c r="M1006" s="218"/>
      <c r="N1006" s="218"/>
      <c r="O1006" s="218"/>
      <c r="P1006" s="352"/>
      <c r="Q1006" s="352"/>
      <c r="R1006" s="352"/>
      <c r="S1006" s="352"/>
      <c r="T1006" s="352"/>
      <c r="U1006" s="352"/>
      <c r="V1006" s="218"/>
      <c r="W1006" s="218"/>
      <c r="X1006" s="218"/>
      <c r="Y1006" s="218"/>
      <c r="Z1006" s="218"/>
      <c r="AA1006" s="218"/>
      <c r="AB1006" s="218"/>
      <c r="AC1006" s="218"/>
      <c r="AD1006" s="218"/>
      <c r="AE1006" s="218"/>
      <c r="AF1006" s="218"/>
      <c r="AG1006" s="218"/>
      <c r="AH1006" s="218"/>
      <c r="AI1006" s="218"/>
      <c r="AJ1006" s="218"/>
      <c r="AK1006" s="218">
        <f>G1041+AL1006-G1006</f>
        <v>0</v>
      </c>
      <c r="AL1006" s="218"/>
      <c r="AM1006" s="353"/>
      <c r="AN1006" s="295"/>
      <c r="AO1006" s="296"/>
      <c r="AP1006" s="353"/>
      <c r="AQ1006" s="290"/>
      <c r="AR1006" s="290"/>
      <c r="AS1006" s="290"/>
    </row>
    <row r="1007" spans="1:45" ht="17.25" thickBot="1" x14ac:dyDescent="0.3">
      <c r="A1007" s="467"/>
      <c r="B1007" s="355" t="s">
        <v>410</v>
      </c>
      <c r="C1007" s="356"/>
      <c r="D1007" s="356"/>
      <c r="E1007" s="359"/>
      <c r="F1007" s="359"/>
      <c r="G1007" s="356"/>
      <c r="H1007" s="396"/>
      <c r="I1007" s="356"/>
      <c r="J1007" s="356"/>
      <c r="K1007" s="356"/>
      <c r="L1007" s="356"/>
      <c r="M1007" s="356"/>
      <c r="N1007" s="356"/>
      <c r="O1007" s="356"/>
      <c r="P1007" s="356"/>
      <c r="Q1007" s="356"/>
      <c r="R1007" s="356"/>
      <c r="S1007" s="356"/>
      <c r="T1007" s="356"/>
      <c r="U1007" s="356"/>
      <c r="V1007" s="356"/>
      <c r="W1007" s="356"/>
      <c r="X1007" s="356"/>
      <c r="Y1007" s="356"/>
      <c r="Z1007" s="356"/>
      <c r="AA1007" s="356"/>
      <c r="AB1007" s="356"/>
      <c r="AC1007" s="356"/>
      <c r="AD1007" s="356"/>
      <c r="AE1007" s="356"/>
      <c r="AF1007" s="356"/>
      <c r="AG1007" s="356"/>
      <c r="AH1007" s="356"/>
      <c r="AI1007" s="356"/>
      <c r="AJ1007" s="356"/>
      <c r="AK1007" s="356"/>
      <c r="AL1007" s="356"/>
      <c r="AM1007" s="356"/>
      <c r="AN1007" s="356"/>
      <c r="AO1007" s="356"/>
      <c r="AP1007" s="356"/>
      <c r="AQ1007" s="356"/>
      <c r="AR1007" s="356"/>
      <c r="AS1007" s="357"/>
    </row>
    <row r="1008" spans="1:45" ht="17.25" thickBot="1" x14ac:dyDescent="0.3">
      <c r="A1008" s="467"/>
      <c r="B1008" s="354"/>
      <c r="C1008" s="285">
        <v>1699118</v>
      </c>
      <c r="D1008" s="358" t="s">
        <v>411</v>
      </c>
      <c r="E1008" s="360"/>
      <c r="F1008" s="361">
        <f>G1043-AK1008+AL1008</f>
        <v>0</v>
      </c>
      <c r="G1008" s="364">
        <v>0</v>
      </c>
      <c r="H1008" s="397">
        <v>1</v>
      </c>
      <c r="I1008" s="364">
        <v>0</v>
      </c>
      <c r="J1008" s="364"/>
      <c r="K1008" s="364"/>
      <c r="L1008" s="218"/>
      <c r="M1008" s="218"/>
      <c r="N1008" s="218"/>
      <c r="O1008" s="218"/>
      <c r="P1008" s="352"/>
      <c r="Q1008" s="352"/>
      <c r="R1008" s="352"/>
      <c r="S1008" s="352"/>
      <c r="T1008" s="352"/>
      <c r="U1008" s="352"/>
      <c r="V1008" s="218"/>
      <c r="W1008" s="218"/>
      <c r="X1008" s="218"/>
      <c r="Y1008" s="218"/>
      <c r="Z1008" s="218"/>
      <c r="AA1008" s="218"/>
      <c r="AB1008" s="218"/>
      <c r="AC1008" s="218"/>
      <c r="AD1008" s="218"/>
      <c r="AE1008" s="218"/>
      <c r="AF1008" s="218"/>
      <c r="AG1008" s="218"/>
      <c r="AH1008" s="218"/>
      <c r="AI1008" s="218"/>
      <c r="AJ1008" s="218"/>
      <c r="AK1008" s="218">
        <f>G1043+AL1008-G1008</f>
        <v>0</v>
      </c>
      <c r="AL1008" s="218"/>
      <c r="AM1008" s="353"/>
      <c r="AN1008" s="295"/>
      <c r="AO1008" s="296"/>
      <c r="AP1008" s="353"/>
      <c r="AQ1008" s="290"/>
      <c r="AR1008" s="290"/>
      <c r="AS1008" s="290"/>
    </row>
    <row r="1009" spans="1:45" ht="17.25" thickBot="1" x14ac:dyDescent="0.3">
      <c r="A1009" s="467"/>
      <c r="B1009" s="354"/>
      <c r="C1009" s="285">
        <v>1699119</v>
      </c>
      <c r="D1009" s="358" t="s">
        <v>412</v>
      </c>
      <c r="E1009" s="360"/>
      <c r="F1009" s="361">
        <f>G1044-AK1009+AL1009</f>
        <v>2</v>
      </c>
      <c r="G1009" s="369">
        <v>2</v>
      </c>
      <c r="H1009" s="369">
        <v>1</v>
      </c>
      <c r="I1009" s="369">
        <v>2</v>
      </c>
      <c r="J1009" s="369"/>
      <c r="K1009" s="369"/>
      <c r="L1009" s="218"/>
      <c r="M1009" s="218"/>
      <c r="N1009" s="218"/>
      <c r="O1009" s="218"/>
      <c r="P1009" s="352"/>
      <c r="Q1009" s="352"/>
      <c r="R1009" s="352"/>
      <c r="S1009" s="352"/>
      <c r="T1009" s="352"/>
      <c r="U1009" s="352"/>
      <c r="V1009" s="218"/>
      <c r="W1009" s="218"/>
      <c r="X1009" s="218"/>
      <c r="Y1009" s="218"/>
      <c r="Z1009" s="218"/>
      <c r="AA1009" s="218"/>
      <c r="AB1009" s="218"/>
      <c r="AC1009" s="218"/>
      <c r="AD1009" s="218"/>
      <c r="AE1009" s="218"/>
      <c r="AF1009" s="218"/>
      <c r="AG1009" s="218"/>
      <c r="AH1009" s="218"/>
      <c r="AI1009" s="218"/>
      <c r="AJ1009" s="218"/>
      <c r="AK1009" s="218">
        <f>G1044+AL1009-G1009</f>
        <v>0</v>
      </c>
      <c r="AL1009" s="218"/>
      <c r="AM1009" s="353"/>
      <c r="AN1009" s="295"/>
      <c r="AO1009" s="296"/>
      <c r="AP1009" s="353"/>
      <c r="AQ1009" s="290"/>
      <c r="AR1009" s="290"/>
      <c r="AS1009" s="290"/>
    </row>
    <row r="1010" spans="1:45" ht="17.25" thickBot="1" x14ac:dyDescent="0.3">
      <c r="A1010" s="467"/>
      <c r="B1010" s="354"/>
      <c r="C1010" s="285">
        <v>1699130</v>
      </c>
      <c r="D1010" s="358" t="s">
        <v>413</v>
      </c>
      <c r="E1010" s="360"/>
      <c r="F1010" s="361">
        <f>G1045-AK1010+AL1010</f>
        <v>0</v>
      </c>
      <c r="G1010" s="369">
        <v>0</v>
      </c>
      <c r="H1010" s="369">
        <v>4</v>
      </c>
      <c r="I1010" s="369"/>
      <c r="J1010" s="369"/>
      <c r="K1010" s="369"/>
      <c r="L1010" s="218"/>
      <c r="M1010" s="218"/>
      <c r="N1010" s="218"/>
      <c r="O1010" s="218"/>
      <c r="P1010" s="352"/>
      <c r="Q1010" s="352"/>
      <c r="R1010" s="352"/>
      <c r="S1010" s="352"/>
      <c r="T1010" s="352"/>
      <c r="U1010" s="352"/>
      <c r="V1010" s="218"/>
      <c r="W1010" s="218"/>
      <c r="X1010" s="218"/>
      <c r="Y1010" s="218"/>
      <c r="Z1010" s="218"/>
      <c r="AA1010" s="218">
        <v>2</v>
      </c>
      <c r="AB1010" s="218"/>
      <c r="AC1010" s="218"/>
      <c r="AD1010" s="218"/>
      <c r="AE1010" s="218"/>
      <c r="AF1010" s="218"/>
      <c r="AG1010" s="218"/>
      <c r="AH1010" s="218"/>
      <c r="AI1010" s="218"/>
      <c r="AJ1010" s="218"/>
      <c r="AK1010" s="218">
        <f>G1045+AL1010-G1010</f>
        <v>0</v>
      </c>
      <c r="AL1010" s="218"/>
      <c r="AM1010" s="353"/>
      <c r="AN1010" s="295"/>
      <c r="AO1010" s="296"/>
      <c r="AP1010" s="353"/>
      <c r="AQ1010" s="290"/>
      <c r="AR1010" s="290"/>
      <c r="AS1010" s="290"/>
    </row>
    <row r="1011" spans="1:45" ht="17.25" thickBot="1" x14ac:dyDescent="0.3">
      <c r="A1011" s="467"/>
      <c r="B1011" s="354"/>
      <c r="C1011" s="285">
        <v>1699131</v>
      </c>
      <c r="D1011" s="358" t="s">
        <v>414</v>
      </c>
      <c r="E1011" s="360"/>
      <c r="F1011" s="361">
        <f>G1046-AK1011+AL1011</f>
        <v>2</v>
      </c>
      <c r="G1011" s="369">
        <v>2</v>
      </c>
      <c r="H1011" s="397">
        <v>3</v>
      </c>
      <c r="I1011" s="364">
        <v>2</v>
      </c>
      <c r="J1011" s="364"/>
      <c r="K1011" s="364"/>
      <c r="L1011" s="218"/>
      <c r="M1011" s="218"/>
      <c r="N1011" s="218"/>
      <c r="O1011" s="218"/>
      <c r="P1011" s="352"/>
      <c r="Q1011" s="352"/>
      <c r="R1011" s="352"/>
      <c r="S1011" s="352"/>
      <c r="T1011" s="352"/>
      <c r="U1011" s="352"/>
      <c r="V1011" s="218"/>
      <c r="W1011" s="218"/>
      <c r="X1011" s="218"/>
      <c r="Y1011" s="218"/>
      <c r="Z1011" s="218"/>
      <c r="AA1011" s="218"/>
      <c r="AB1011" s="218"/>
      <c r="AC1011" s="218"/>
      <c r="AD1011" s="218"/>
      <c r="AE1011" s="218"/>
      <c r="AF1011" s="218"/>
      <c r="AG1011" s="218"/>
      <c r="AH1011" s="218"/>
      <c r="AI1011" s="218"/>
      <c r="AJ1011" s="218"/>
      <c r="AK1011" s="218">
        <f>G1046+AL1011-G1011</f>
        <v>0</v>
      </c>
      <c r="AL1011" s="218"/>
      <c r="AM1011" s="353"/>
      <c r="AN1011" s="295"/>
      <c r="AO1011" s="296"/>
      <c r="AP1011" s="353"/>
      <c r="AQ1011" s="290"/>
      <c r="AR1011" s="290"/>
      <c r="AS1011" s="290"/>
    </row>
    <row r="1012" spans="1:45" ht="17.25" thickBot="1" x14ac:dyDescent="0.3">
      <c r="A1012" s="468"/>
      <c r="B1012" s="354"/>
      <c r="C1012" s="285">
        <v>1699132</v>
      </c>
      <c r="D1012" s="358" t="s">
        <v>415</v>
      </c>
      <c r="E1012" s="285"/>
      <c r="F1012" s="362">
        <f>G1047-AK1012+AL1012</f>
        <v>0</v>
      </c>
      <c r="G1012" s="364">
        <v>0</v>
      </c>
      <c r="H1012" s="397">
        <v>3</v>
      </c>
      <c r="I1012" s="364">
        <v>2</v>
      </c>
      <c r="J1012" s="364"/>
      <c r="K1012" s="364"/>
      <c r="L1012" s="218"/>
      <c r="M1012" s="218"/>
      <c r="N1012" s="218"/>
      <c r="O1012" s="218"/>
      <c r="P1012" s="352"/>
      <c r="Q1012" s="352"/>
      <c r="R1012" s="352"/>
      <c r="S1012" s="352"/>
      <c r="T1012" s="352"/>
      <c r="U1012" s="352"/>
      <c r="V1012" s="218"/>
      <c r="W1012" s="218"/>
      <c r="X1012" s="218"/>
      <c r="Y1012" s="218"/>
      <c r="Z1012" s="218"/>
      <c r="AA1012" s="218"/>
      <c r="AB1012" s="218"/>
      <c r="AC1012" s="218"/>
      <c r="AD1012" s="218"/>
      <c r="AE1012" s="218"/>
      <c r="AF1012" s="218"/>
      <c r="AG1012" s="218"/>
      <c r="AH1012" s="218"/>
      <c r="AI1012" s="218"/>
      <c r="AJ1012" s="218"/>
      <c r="AK1012" s="218">
        <f>G1047+AL1012-G1012</f>
        <v>0</v>
      </c>
      <c r="AL1012" s="218"/>
      <c r="AM1012" s="353"/>
      <c r="AN1012" s="295"/>
      <c r="AO1012" s="296"/>
      <c r="AP1012" s="353"/>
      <c r="AQ1012" s="290"/>
      <c r="AR1012" s="290"/>
      <c r="AS1012" s="290"/>
    </row>
    <row r="1013" spans="1:45" x14ac:dyDescent="0.25">
      <c r="AL1013" s="290"/>
      <c r="AM1013" s="290"/>
      <c r="AN1013" s="290"/>
      <c r="AO1013" s="290"/>
      <c r="AP1013" s="290"/>
      <c r="AQ1013" s="290"/>
      <c r="AR1013" s="290"/>
    </row>
    <row r="1014" spans="1:45" ht="14.25" thickBot="1" x14ac:dyDescent="0.3">
      <c r="B1014" s="338" t="s">
        <v>18</v>
      </c>
      <c r="C1014" s="339">
        <v>45649</v>
      </c>
      <c r="AL1014" s="290"/>
      <c r="AM1014" s="290"/>
      <c r="AN1014" s="290"/>
      <c r="AO1014" s="290"/>
      <c r="AP1014" s="290"/>
      <c r="AQ1014" s="290"/>
      <c r="AR1014" s="290"/>
    </row>
    <row r="1015" spans="1:45" ht="41.25" thickBot="1" x14ac:dyDescent="0.3">
      <c r="B1015" s="283" t="s">
        <v>0</v>
      </c>
      <c r="C1015" s="284" t="s">
        <v>1</v>
      </c>
      <c r="D1015" s="284" t="s">
        <v>2</v>
      </c>
      <c r="E1015" s="284" t="s">
        <v>3</v>
      </c>
      <c r="F1015" s="4" t="s">
        <v>318</v>
      </c>
      <c r="G1015" s="351" t="s">
        <v>503</v>
      </c>
      <c r="H1015" s="382" t="s">
        <v>460</v>
      </c>
      <c r="I1015" s="234" t="s">
        <v>500</v>
      </c>
      <c r="J1015" s="234"/>
      <c r="K1015" s="258" t="s">
        <v>501</v>
      </c>
      <c r="L1015" s="258" t="s">
        <v>328</v>
      </c>
      <c r="M1015" s="258" t="s">
        <v>327</v>
      </c>
      <c r="N1015" s="234" t="s">
        <v>389</v>
      </c>
      <c r="O1015" s="240" t="s">
        <v>130</v>
      </c>
      <c r="P1015" s="243" t="s">
        <v>303</v>
      </c>
      <c r="Q1015" s="244" t="s">
        <v>304</v>
      </c>
      <c r="R1015" s="244" t="s">
        <v>314</v>
      </c>
      <c r="S1015" s="245" t="s">
        <v>338</v>
      </c>
      <c r="T1015" s="245" t="s">
        <v>345</v>
      </c>
      <c r="U1015" s="245" t="s">
        <v>361</v>
      </c>
      <c r="V1015" s="245" t="s">
        <v>387</v>
      </c>
      <c r="W1015" s="245" t="s">
        <v>421</v>
      </c>
      <c r="X1015" s="245" t="s">
        <v>452</v>
      </c>
      <c r="Y1015" s="245" t="s">
        <v>463</v>
      </c>
      <c r="Z1015" s="245" t="s">
        <v>481</v>
      </c>
      <c r="AA1015" s="245" t="s">
        <v>498</v>
      </c>
      <c r="AB1015" s="245"/>
      <c r="AC1015" s="245"/>
      <c r="AD1015" s="245"/>
      <c r="AE1015" s="245"/>
      <c r="AF1015" s="245"/>
      <c r="AG1015" s="245"/>
      <c r="AH1015" s="245"/>
      <c r="AI1015" s="245"/>
      <c r="AJ1015" s="245" t="s">
        <v>360</v>
      </c>
      <c r="AK1015" s="246" t="s">
        <v>268</v>
      </c>
      <c r="AL1015" s="247" t="s">
        <v>269</v>
      </c>
      <c r="AM1015" s="291" t="s">
        <v>288</v>
      </c>
      <c r="AN1015" s="292" t="s">
        <v>289</v>
      </c>
      <c r="AO1015" s="292" t="s">
        <v>287</v>
      </c>
      <c r="AP1015" s="293" t="s">
        <v>290</v>
      </c>
      <c r="AQ1015" s="290" t="s">
        <v>306</v>
      </c>
      <c r="AR1015" s="290" t="s">
        <v>310</v>
      </c>
      <c r="AS1015" s="290" t="s">
        <v>311</v>
      </c>
    </row>
    <row r="1016" spans="1:45" ht="17.25" thickBot="1" x14ac:dyDescent="0.3">
      <c r="A1016" s="463" t="s">
        <v>416</v>
      </c>
      <c r="B1016" s="285">
        <v>273664</v>
      </c>
      <c r="C1016" s="286">
        <v>1135749</v>
      </c>
      <c r="D1016" s="286" t="s">
        <v>7</v>
      </c>
      <c r="E1016" s="286">
        <v>6060050026</v>
      </c>
      <c r="F1016" s="253">
        <f>G1051-AK1016+AL1016</f>
        <v>3</v>
      </c>
      <c r="G1016" s="235">
        <v>3</v>
      </c>
      <c r="H1016" s="394">
        <v>5</v>
      </c>
      <c r="I1016" s="232">
        <v>3</v>
      </c>
      <c r="J1016" s="232"/>
      <c r="K1016" s="232"/>
      <c r="L1016" s="232">
        <f>IF(K1050=K1015,L1051+AK1016,K1016)</f>
        <v>0</v>
      </c>
      <c r="M1016" s="232">
        <f>IF(K1050=K1015,0,L1051+AK1016-K1016)</f>
        <v>0</v>
      </c>
      <c r="N1016" s="267">
        <v>5</v>
      </c>
      <c r="O1016" s="241">
        <f>N1016-G1016</f>
        <v>2</v>
      </c>
      <c r="P1016" s="277">
        <v>4</v>
      </c>
      <c r="Q1016" s="278">
        <v>4</v>
      </c>
      <c r="R1016" s="279"/>
      <c r="S1016" s="279">
        <v>3</v>
      </c>
      <c r="T1016" s="279">
        <v>4</v>
      </c>
      <c r="U1016" s="279">
        <v>2</v>
      </c>
      <c r="V1016" s="279"/>
      <c r="W1016" s="279">
        <f>2+3</f>
        <v>5</v>
      </c>
      <c r="X1016" s="241"/>
      <c r="Y1016" s="241"/>
      <c r="Z1016" s="241"/>
      <c r="AA1016" s="241">
        <v>4</v>
      </c>
      <c r="AB1016" s="241"/>
      <c r="AC1016" s="241"/>
      <c r="AD1016" s="241"/>
      <c r="AE1016" s="241"/>
      <c r="AF1016" s="241"/>
      <c r="AG1016" s="241"/>
      <c r="AH1016" s="241"/>
      <c r="AI1016" s="241"/>
      <c r="AJ1016" s="241">
        <f>N1016-V1016</f>
        <v>5</v>
      </c>
      <c r="AK1016" s="235">
        <f>G1051+AL1016-G1016</f>
        <v>0</v>
      </c>
      <c r="AL1016" s="350"/>
      <c r="AM1016" s="294">
        <v>1.5</v>
      </c>
      <c r="AN1016" s="295">
        <v>4</v>
      </c>
      <c r="AO1016" s="296">
        <f>G1016/(AN1016)</f>
        <v>0.75</v>
      </c>
      <c r="AP1016" s="297">
        <f>AN1016*6</f>
        <v>24</v>
      </c>
      <c r="AQ1016" s="290">
        <f>G1016+K1016</f>
        <v>3</v>
      </c>
      <c r="AR1016" s="290">
        <f>IF(G1016&lt;G1051,(G1051-G1016+K1051-K1016),K1051-K1016)</f>
        <v>0</v>
      </c>
      <c r="AS1016" s="290">
        <f>21-8</f>
        <v>13</v>
      </c>
    </row>
    <row r="1017" spans="1:45" ht="17.25" thickBot="1" x14ac:dyDescent="0.3">
      <c r="A1017" s="464"/>
      <c r="B1017" s="285">
        <v>273672</v>
      </c>
      <c r="C1017" s="286">
        <v>1135750</v>
      </c>
      <c r="D1017" s="286" t="s">
        <v>9</v>
      </c>
      <c r="E1017" s="287">
        <v>204000000000</v>
      </c>
      <c r="F1017" s="253">
        <f>G1052-AK1017+AL1017</f>
        <v>25</v>
      </c>
      <c r="G1017" s="235">
        <v>25</v>
      </c>
      <c r="H1017" s="394">
        <v>16</v>
      </c>
      <c r="I1017" s="232">
        <v>25</v>
      </c>
      <c r="J1017" s="232"/>
      <c r="K1017" s="232"/>
      <c r="L1017" s="232">
        <f>IF(K1050=K1015,L1052+AK1017,K1017)</f>
        <v>0</v>
      </c>
      <c r="M1017" s="232">
        <f>IF(K1050=K1015,0,L1052+AK1017-K1017)</f>
        <v>1</v>
      </c>
      <c r="N1017" s="267">
        <v>10</v>
      </c>
      <c r="O1017" s="241">
        <f>N1017-G1017</f>
        <v>-15</v>
      </c>
      <c r="P1017" s="277">
        <v>13</v>
      </c>
      <c r="Q1017" s="278">
        <v>2</v>
      </c>
      <c r="R1017" s="279">
        <v>6</v>
      </c>
      <c r="S1017" s="279">
        <v>6</v>
      </c>
      <c r="T1017" s="279">
        <v>10</v>
      </c>
      <c r="U1017" s="279">
        <v>4</v>
      </c>
      <c r="V1017" s="279">
        <v>6</v>
      </c>
      <c r="W1017" s="279">
        <v>16</v>
      </c>
      <c r="X1017" s="241"/>
      <c r="Y1017" s="241">
        <v>6</v>
      </c>
      <c r="Z1017" s="241">
        <v>4</v>
      </c>
      <c r="AA1017" s="241">
        <v>6</v>
      </c>
      <c r="AB1017" s="241"/>
      <c r="AC1017" s="241"/>
      <c r="AD1017" s="241"/>
      <c r="AE1017" s="241"/>
      <c r="AF1017" s="241"/>
      <c r="AG1017" s="241"/>
      <c r="AH1017" s="241"/>
      <c r="AI1017" s="241"/>
      <c r="AJ1017" s="241">
        <f>N1017-V1017</f>
        <v>4</v>
      </c>
      <c r="AK1017" s="235">
        <f>G1052+AL1017-G1017</f>
        <v>0</v>
      </c>
      <c r="AL1017" s="236"/>
      <c r="AM1017" s="298">
        <v>4.2</v>
      </c>
      <c r="AN1017" s="295">
        <v>9</v>
      </c>
      <c r="AO1017" s="296">
        <f>G1017/(AN1017)</f>
        <v>2.7777777777777777</v>
      </c>
      <c r="AP1017" s="297">
        <f>AN1017*6</f>
        <v>54</v>
      </c>
      <c r="AQ1017" s="290">
        <f>G1017+K1017</f>
        <v>25</v>
      </c>
      <c r="AR1017" s="290">
        <f>IF(G1017&lt;G1052,(G1052-G1017+K1052-K1017),K1052-K1017)</f>
        <v>1</v>
      </c>
      <c r="AS1017" s="290">
        <f>21-8</f>
        <v>13</v>
      </c>
    </row>
    <row r="1018" spans="1:45" ht="17.25" thickBot="1" x14ac:dyDescent="0.3">
      <c r="A1018" s="464"/>
      <c r="B1018" s="285">
        <v>273702</v>
      </c>
      <c r="C1018" s="286">
        <v>1135753</v>
      </c>
      <c r="D1018" s="286" t="s">
        <v>10</v>
      </c>
      <c r="E1018" s="287">
        <v>301000000000</v>
      </c>
      <c r="F1018" s="253">
        <f>G1053-AK1018+AL1018</f>
        <v>2</v>
      </c>
      <c r="G1018" s="235">
        <v>2</v>
      </c>
      <c r="H1018" s="394">
        <v>1</v>
      </c>
      <c r="I1018" s="232">
        <v>2</v>
      </c>
      <c r="J1018" s="232"/>
      <c r="K1018" s="232"/>
      <c r="L1018" s="232">
        <f>IF(K1050=K1015,L1053+AK1018,K1018)</f>
        <v>0</v>
      </c>
      <c r="M1018" s="232">
        <f>IF(K1050=K1015,0,L1053+AK1018-K1018)</f>
        <v>1</v>
      </c>
      <c r="N1018" s="232">
        <v>2</v>
      </c>
      <c r="O1018" s="241">
        <f>N1018-G1018</f>
        <v>0</v>
      </c>
      <c r="P1018" s="277"/>
      <c r="Q1018" s="278"/>
      <c r="R1018" s="279"/>
      <c r="S1018" s="279"/>
      <c r="T1018" s="279"/>
      <c r="U1018" s="279"/>
      <c r="V1018" s="279"/>
      <c r="W1018" s="279"/>
      <c r="X1018" s="241"/>
      <c r="Y1018" s="241"/>
      <c r="Z1018" s="241"/>
      <c r="AA1018" s="241"/>
      <c r="AB1018" s="241"/>
      <c r="AC1018" s="241"/>
      <c r="AD1018" s="241"/>
      <c r="AE1018" s="241"/>
      <c r="AF1018" s="241"/>
      <c r="AG1018" s="241"/>
      <c r="AH1018" s="241"/>
      <c r="AI1018" s="241"/>
      <c r="AJ1018" s="241">
        <f>N1018-V1018</f>
        <v>2</v>
      </c>
      <c r="AK1018" s="235">
        <f>G1053+AL1018-G1018</f>
        <v>0</v>
      </c>
      <c r="AL1018" s="236"/>
      <c r="AM1018" s="294">
        <f>4/12</f>
        <v>0.33333333333333331</v>
      </c>
      <c r="AN1018" s="295">
        <v>2</v>
      </c>
      <c r="AO1018" s="296">
        <f>G1018/(AN1018)</f>
        <v>1</v>
      </c>
      <c r="AP1018" s="297">
        <f>AN1018*6</f>
        <v>12</v>
      </c>
      <c r="AQ1018" s="290">
        <f>G1018+K1018</f>
        <v>2</v>
      </c>
      <c r="AR1018" s="290">
        <f>IF(G1018&lt;G1053,(G1053-G1018+K1053-K1018),K1053-K1018)</f>
        <v>1</v>
      </c>
      <c r="AS1018" s="290">
        <f>21-8</f>
        <v>13</v>
      </c>
    </row>
    <row r="1019" spans="1:45" ht="17.25" thickBot="1" x14ac:dyDescent="0.3">
      <c r="A1019" s="464"/>
      <c r="B1019" s="285">
        <v>273698</v>
      </c>
      <c r="C1019" s="286">
        <v>1135752</v>
      </c>
      <c r="D1019" s="286" t="s">
        <v>11</v>
      </c>
      <c r="E1019" s="287">
        <v>701000000000</v>
      </c>
      <c r="F1019" s="253">
        <f>G1054-AK1019+AL1019</f>
        <v>2</v>
      </c>
      <c r="G1019" s="235">
        <v>2</v>
      </c>
      <c r="H1019" s="394">
        <v>2</v>
      </c>
      <c r="I1019" s="232">
        <v>3</v>
      </c>
      <c r="J1019" s="232"/>
      <c r="K1019" s="232"/>
      <c r="L1019" s="232">
        <f>IF(K1050=K1015,L1054+AK1019,K1019)</f>
        <v>0</v>
      </c>
      <c r="M1019" s="232">
        <f>IF(K1050=K1015,0,L1054+AK1019-K1019)</f>
        <v>0</v>
      </c>
      <c r="N1019" s="232">
        <v>3</v>
      </c>
      <c r="O1019" s="241">
        <f>N1019-G1019</f>
        <v>1</v>
      </c>
      <c r="P1019" s="277">
        <v>2</v>
      </c>
      <c r="Q1019" s="278"/>
      <c r="R1019" s="279"/>
      <c r="S1019" s="279"/>
      <c r="T1019" s="279"/>
      <c r="U1019" s="279"/>
      <c r="V1019" s="279"/>
      <c r="W1019" s="279">
        <v>1</v>
      </c>
      <c r="X1019" s="241"/>
      <c r="Y1019" s="241"/>
      <c r="Z1019" s="241"/>
      <c r="AA1019" s="241"/>
      <c r="AB1019" s="241"/>
      <c r="AC1019" s="241"/>
      <c r="AD1019" s="241"/>
      <c r="AE1019" s="241"/>
      <c r="AF1019" s="241"/>
      <c r="AG1019" s="241"/>
      <c r="AH1019" s="241"/>
      <c r="AI1019" s="241"/>
      <c r="AJ1019" s="241">
        <f>N1019-V1019</f>
        <v>3</v>
      </c>
      <c r="AK1019" s="235">
        <f>G1054+AL1019-G1019</f>
        <v>0</v>
      </c>
      <c r="AL1019" s="236"/>
      <c r="AM1019" s="294">
        <f>4/12</f>
        <v>0.33333333333333331</v>
      </c>
      <c r="AN1019" s="295">
        <v>2</v>
      </c>
      <c r="AO1019" s="296">
        <f>G1019/(AN1019)</f>
        <v>1</v>
      </c>
      <c r="AP1019" s="297">
        <f>AN1019*6</f>
        <v>12</v>
      </c>
      <c r="AQ1019" s="290">
        <f>G1019+K1019</f>
        <v>2</v>
      </c>
      <c r="AR1019" s="290">
        <f>IF(G1019&lt;G1054,(G1054-G1019+K1054-K1019),K1054-K1019)</f>
        <v>0</v>
      </c>
      <c r="AS1019" s="290">
        <f>21-8</f>
        <v>13</v>
      </c>
    </row>
    <row r="1020" spans="1:45" ht="17.25" thickBot="1" x14ac:dyDescent="0.3">
      <c r="A1020" s="465"/>
      <c r="B1020" s="285">
        <v>273680</v>
      </c>
      <c r="C1020" s="286">
        <v>1135751</v>
      </c>
      <c r="D1020" s="286" t="s">
        <v>12</v>
      </c>
      <c r="E1020" s="286" t="s">
        <v>13</v>
      </c>
      <c r="F1020" s="254">
        <f>G1055-AK1020+AL1020</f>
        <v>14</v>
      </c>
      <c r="G1020" s="237">
        <v>14</v>
      </c>
      <c r="H1020" s="395">
        <v>8</v>
      </c>
      <c r="I1020" s="238">
        <v>14</v>
      </c>
      <c r="J1020" s="238"/>
      <c r="K1020" s="238"/>
      <c r="L1020" s="238">
        <f>IF(K1050=K1015,L1055+AK1020,K1020)</f>
        <v>0</v>
      </c>
      <c r="M1020" s="238">
        <f>IF(K1050=K1015,0,L1055+AK1020-K1020)</f>
        <v>11</v>
      </c>
      <c r="N1020" s="238">
        <v>9</v>
      </c>
      <c r="O1020" s="242">
        <f>N1020-G1020</f>
        <v>-5</v>
      </c>
      <c r="P1020" s="280"/>
      <c r="Q1020" s="281"/>
      <c r="R1020" s="282"/>
      <c r="S1020" s="282"/>
      <c r="T1020" s="282">
        <v>11</v>
      </c>
      <c r="U1020" s="282"/>
      <c r="V1020" s="282"/>
      <c r="W1020" s="282">
        <v>9</v>
      </c>
      <c r="X1020" s="242"/>
      <c r="Y1020" s="242">
        <v>9</v>
      </c>
      <c r="Z1020" s="242"/>
      <c r="AA1020" s="242"/>
      <c r="AB1020" s="242"/>
      <c r="AC1020" s="242"/>
      <c r="AD1020" s="242"/>
      <c r="AE1020" s="242"/>
      <c r="AF1020" s="242"/>
      <c r="AG1020" s="242"/>
      <c r="AH1020" s="242"/>
      <c r="AI1020" s="242"/>
      <c r="AJ1020" s="242">
        <f>N1020-V1020</f>
        <v>9</v>
      </c>
      <c r="AK1020" s="235">
        <f>G1055+AL1020-G1020</f>
        <v>0</v>
      </c>
      <c r="AL1020" s="239"/>
      <c r="AM1020" s="299">
        <f>30/12</f>
        <v>2.5</v>
      </c>
      <c r="AN1020" s="300">
        <f>AM1020*2</f>
        <v>5</v>
      </c>
      <c r="AO1020" s="301">
        <f>G1020/(AN1020)</f>
        <v>2.8</v>
      </c>
      <c r="AP1020" s="302">
        <f>AN1020*6</f>
        <v>30</v>
      </c>
      <c r="AQ1020" s="290">
        <f>G1020+K1020</f>
        <v>14</v>
      </c>
      <c r="AR1020" s="290">
        <f>IF(G1020&lt;G1055,(G1055-G1020+K1055-K1020),K1055-K1020)</f>
        <v>11</v>
      </c>
      <c r="AS1020" s="290">
        <f>21-8</f>
        <v>13</v>
      </c>
    </row>
    <row r="1021" spans="1:45" ht="17.25" thickBot="1" x14ac:dyDescent="0.3">
      <c r="A1021" s="466" t="s">
        <v>417</v>
      </c>
      <c r="B1021" s="355" t="s">
        <v>129</v>
      </c>
      <c r="C1021" s="356"/>
      <c r="D1021" s="356"/>
      <c r="E1021" s="359"/>
      <c r="F1021" s="359"/>
      <c r="G1021" s="356"/>
      <c r="H1021" s="396"/>
      <c r="I1021" s="356"/>
      <c r="J1021" s="356"/>
      <c r="K1021" s="356"/>
      <c r="L1021" s="356"/>
      <c r="M1021" s="356"/>
      <c r="N1021" s="356"/>
      <c r="O1021" s="356"/>
      <c r="P1021" s="356"/>
      <c r="Q1021" s="356"/>
      <c r="R1021" s="356"/>
      <c r="S1021" s="356"/>
      <c r="T1021" s="356"/>
      <c r="U1021" s="356"/>
      <c r="V1021" s="356"/>
      <c r="W1021" s="356"/>
      <c r="X1021" s="356"/>
      <c r="Y1021" s="356"/>
      <c r="Z1021" s="356"/>
      <c r="AA1021" s="356"/>
      <c r="AB1021" s="356"/>
      <c r="AC1021" s="356"/>
      <c r="AD1021" s="356"/>
      <c r="AE1021" s="356"/>
      <c r="AF1021" s="356"/>
      <c r="AG1021" s="356"/>
      <c r="AH1021" s="356"/>
      <c r="AI1021" s="356"/>
      <c r="AJ1021" s="356"/>
      <c r="AK1021" s="356"/>
      <c r="AL1021" s="367"/>
      <c r="AM1021" s="356"/>
      <c r="AN1021" s="356"/>
      <c r="AO1021" s="356"/>
      <c r="AP1021" s="356"/>
      <c r="AQ1021" s="356"/>
      <c r="AR1021" s="356"/>
      <c r="AS1021" s="357"/>
    </row>
    <row r="1022" spans="1:45" ht="17.25" thickBot="1" x14ac:dyDescent="0.3">
      <c r="A1022" s="467"/>
      <c r="B1022" s="354"/>
      <c r="C1022" s="354">
        <v>1140327</v>
      </c>
      <c r="D1022" s="358" t="s">
        <v>394</v>
      </c>
      <c r="E1022" s="360"/>
      <c r="F1022" s="361">
        <f>G1057-AK1022+AL1022</f>
        <v>14</v>
      </c>
      <c r="G1022" s="218">
        <v>14</v>
      </c>
      <c r="H1022" s="397">
        <v>23</v>
      </c>
      <c r="I1022" s="218">
        <v>12</v>
      </c>
      <c r="J1022" s="218"/>
      <c r="K1022" s="218"/>
      <c r="L1022" s="218">
        <f>IF(K1050=K1015,L1057+AK1022,K1022)</f>
        <v>0</v>
      </c>
      <c r="M1022" s="218">
        <f>IF(K1050=K1015,0,L1057+AK1022-K1022)</f>
        <v>0</v>
      </c>
      <c r="N1022" s="218"/>
      <c r="O1022" s="218"/>
      <c r="P1022" s="352"/>
      <c r="Q1022" s="352"/>
      <c r="R1022" s="352"/>
      <c r="S1022" s="352"/>
      <c r="T1022" s="352"/>
      <c r="U1022" s="352"/>
      <c r="V1022" s="218"/>
      <c r="W1022" s="218"/>
      <c r="X1022" s="218">
        <v>4</v>
      </c>
      <c r="Y1022" s="218">
        <v>9</v>
      </c>
      <c r="Z1022" s="218">
        <v>14</v>
      </c>
      <c r="AA1022" s="218">
        <v>8</v>
      </c>
      <c r="AB1022" s="218"/>
      <c r="AC1022" s="218"/>
      <c r="AD1022" s="218"/>
      <c r="AE1022" s="218"/>
      <c r="AF1022" s="218"/>
      <c r="AG1022" s="218"/>
      <c r="AH1022" s="218"/>
      <c r="AI1022" s="218"/>
      <c r="AJ1022" s="242">
        <f>N1022-V1022</f>
        <v>0</v>
      </c>
      <c r="AK1022" s="274">
        <f>G1057+AL1022-G1022</f>
        <v>0</v>
      </c>
      <c r="AL1022" s="232"/>
      <c r="AM1022" s="353"/>
      <c r="AN1022" s="295"/>
      <c r="AO1022" s="296"/>
      <c r="AP1022" s="353"/>
      <c r="AQ1022" s="290"/>
      <c r="AR1022" s="290"/>
      <c r="AS1022" s="290"/>
    </row>
    <row r="1023" spans="1:45" ht="17.25" thickBot="1" x14ac:dyDescent="0.3">
      <c r="A1023" s="467"/>
      <c r="B1023" s="354"/>
      <c r="C1023" s="285">
        <v>1151231</v>
      </c>
      <c r="D1023" s="358" t="s">
        <v>395</v>
      </c>
      <c r="E1023" s="360"/>
      <c r="F1023" s="361">
        <f>G1058-AK1023+AL1023</f>
        <v>12</v>
      </c>
      <c r="G1023" s="369">
        <v>12</v>
      </c>
      <c r="H1023" s="397">
        <v>13</v>
      </c>
      <c r="I1023" s="218">
        <v>12</v>
      </c>
      <c r="J1023" s="218"/>
      <c r="K1023" s="218"/>
      <c r="L1023" s="218">
        <f>IF(K1050=K1015,L1058+AK1023,K1023)</f>
        <v>0</v>
      </c>
      <c r="M1023" s="218">
        <f>IF(K1050=K1015,0,L1058+AK1023-K1023)</f>
        <v>7</v>
      </c>
      <c r="N1023" s="218"/>
      <c r="O1023" s="218"/>
      <c r="P1023" s="352"/>
      <c r="Q1023" s="352"/>
      <c r="R1023" s="352"/>
      <c r="S1023" s="352"/>
      <c r="T1023" s="352"/>
      <c r="U1023" s="352"/>
      <c r="V1023" s="218"/>
      <c r="W1023" s="218"/>
      <c r="X1023" s="218">
        <v>3</v>
      </c>
      <c r="Y1023" s="218">
        <v>8</v>
      </c>
      <c r="Z1023" s="218">
        <v>6</v>
      </c>
      <c r="AA1023" s="218"/>
      <c r="AB1023" s="218"/>
      <c r="AC1023" s="218"/>
      <c r="AD1023" s="218"/>
      <c r="AE1023" s="218"/>
      <c r="AF1023" s="218"/>
      <c r="AG1023" s="218"/>
      <c r="AH1023" s="218"/>
      <c r="AI1023" s="218"/>
      <c r="AJ1023" s="242">
        <f>N1023-V1023</f>
        <v>0</v>
      </c>
      <c r="AK1023" s="274">
        <f>G1058+AL1023-G1023</f>
        <v>0</v>
      </c>
      <c r="AL1023" s="232"/>
      <c r="AM1023" s="353"/>
      <c r="AN1023" s="295"/>
      <c r="AO1023" s="296"/>
      <c r="AP1023" s="353"/>
      <c r="AQ1023" s="290"/>
      <c r="AR1023" s="290"/>
      <c r="AS1023" s="290"/>
    </row>
    <row r="1024" spans="1:45" ht="17.25" thickBot="1" x14ac:dyDescent="0.3">
      <c r="A1024" s="467"/>
      <c r="B1024" s="355" t="s">
        <v>420</v>
      </c>
      <c r="C1024" s="356"/>
      <c r="D1024" s="356"/>
      <c r="E1024" s="359"/>
      <c r="F1024" s="359"/>
      <c r="G1024" s="356"/>
      <c r="H1024" s="396"/>
      <c r="I1024" s="356"/>
      <c r="J1024" s="356"/>
      <c r="K1024" s="356"/>
      <c r="L1024" s="356"/>
      <c r="M1024" s="356"/>
      <c r="N1024" s="356"/>
      <c r="O1024" s="356"/>
      <c r="P1024" s="356"/>
      <c r="Q1024" s="356"/>
      <c r="R1024" s="356"/>
      <c r="S1024" s="356"/>
      <c r="T1024" s="356"/>
      <c r="U1024" s="356"/>
      <c r="V1024" s="356"/>
      <c r="W1024" s="356"/>
      <c r="X1024" s="356"/>
      <c r="Y1024" s="356"/>
      <c r="Z1024" s="356"/>
      <c r="AA1024" s="356"/>
      <c r="AB1024" s="356"/>
      <c r="AC1024" s="356"/>
      <c r="AD1024" s="356"/>
      <c r="AE1024" s="356"/>
      <c r="AF1024" s="356"/>
      <c r="AG1024" s="356"/>
      <c r="AH1024" s="356"/>
      <c r="AI1024" s="356"/>
      <c r="AJ1024" s="356"/>
      <c r="AK1024" s="356"/>
      <c r="AL1024" s="368"/>
      <c r="AM1024" s="356"/>
      <c r="AN1024" s="356"/>
      <c r="AO1024" s="356"/>
      <c r="AP1024" s="356"/>
      <c r="AQ1024" s="356"/>
      <c r="AR1024" s="356"/>
      <c r="AS1024" s="357"/>
    </row>
    <row r="1025" spans="1:45" ht="17.25" thickBot="1" x14ac:dyDescent="0.3">
      <c r="A1025" s="467"/>
      <c r="B1025" s="354"/>
      <c r="C1025" s="285">
        <v>1146032</v>
      </c>
      <c r="D1025" s="358" t="s">
        <v>396</v>
      </c>
      <c r="E1025" s="360"/>
      <c r="F1025" s="361">
        <f>G1060-AK1025+AL1025</f>
        <v>1</v>
      </c>
      <c r="G1025" s="364">
        <v>1</v>
      </c>
      <c r="H1025" s="397">
        <v>1</v>
      </c>
      <c r="I1025" s="364">
        <v>1</v>
      </c>
      <c r="J1025" s="364"/>
      <c r="K1025" s="364"/>
      <c r="L1025" s="218"/>
      <c r="M1025" s="218"/>
      <c r="N1025" s="218"/>
      <c r="O1025" s="218"/>
      <c r="P1025" s="352"/>
      <c r="Q1025" s="352"/>
      <c r="R1025" s="352"/>
      <c r="S1025" s="352"/>
      <c r="T1025" s="352"/>
      <c r="U1025" s="352"/>
      <c r="V1025" s="218"/>
      <c r="W1025" s="218"/>
      <c r="X1025" s="218"/>
      <c r="Y1025" s="218"/>
      <c r="Z1025" s="218"/>
      <c r="AA1025" s="218"/>
      <c r="AB1025" s="218"/>
      <c r="AC1025" s="218"/>
      <c r="AD1025" s="218"/>
      <c r="AE1025" s="218"/>
      <c r="AF1025" s="218"/>
      <c r="AG1025" s="218"/>
      <c r="AH1025" s="218"/>
      <c r="AI1025" s="218"/>
      <c r="AJ1025" s="218"/>
      <c r="AK1025" s="218">
        <f>G1060+AL1025-G1025</f>
        <v>0</v>
      </c>
      <c r="AL1025" s="218"/>
      <c r="AM1025" s="353"/>
      <c r="AN1025" s="295"/>
      <c r="AO1025" s="296"/>
      <c r="AP1025" s="353"/>
      <c r="AQ1025" s="290"/>
      <c r="AR1025" s="290"/>
      <c r="AS1025" s="290"/>
    </row>
    <row r="1026" spans="1:45" ht="17.25" thickBot="1" x14ac:dyDescent="0.3">
      <c r="A1026" s="467"/>
      <c r="B1026" s="354"/>
      <c r="C1026" s="285">
        <v>1146021</v>
      </c>
      <c r="D1026" s="358" t="s">
        <v>397</v>
      </c>
      <c r="E1026" s="360"/>
      <c r="F1026" s="361">
        <f>G1061-AK1026+AL1026</f>
        <v>2</v>
      </c>
      <c r="G1026" s="364">
        <v>2</v>
      </c>
      <c r="H1026" s="397">
        <v>2</v>
      </c>
      <c r="I1026" s="364"/>
      <c r="J1026" s="364"/>
      <c r="K1026" s="364"/>
      <c r="L1026" s="218"/>
      <c r="M1026" s="218"/>
      <c r="N1026" s="218"/>
      <c r="O1026" s="218"/>
      <c r="P1026" s="352"/>
      <c r="Q1026" s="352"/>
      <c r="R1026" s="352"/>
      <c r="S1026" s="352"/>
      <c r="T1026" s="352"/>
      <c r="U1026" s="352"/>
      <c r="V1026" s="218"/>
      <c r="W1026" s="218"/>
      <c r="X1026" s="218"/>
      <c r="Y1026" s="218"/>
      <c r="Z1026" s="218"/>
      <c r="AA1026" s="218"/>
      <c r="AB1026" s="218"/>
      <c r="AC1026" s="218"/>
      <c r="AD1026" s="218"/>
      <c r="AE1026" s="218"/>
      <c r="AF1026" s="218"/>
      <c r="AG1026" s="218"/>
      <c r="AH1026" s="218"/>
      <c r="AI1026" s="218"/>
      <c r="AJ1026" s="218"/>
      <c r="AK1026" s="218">
        <f>G1061+AL1026-G1026</f>
        <v>0</v>
      </c>
      <c r="AL1026" s="218"/>
      <c r="AM1026" s="353"/>
      <c r="AN1026" s="295"/>
      <c r="AO1026" s="296"/>
      <c r="AP1026" s="353"/>
      <c r="AQ1026" s="290"/>
      <c r="AR1026" s="290"/>
      <c r="AS1026" s="290"/>
    </row>
    <row r="1027" spans="1:45" ht="17.25" thickBot="1" x14ac:dyDescent="0.3">
      <c r="A1027" s="467"/>
      <c r="B1027" s="354"/>
      <c r="C1027" s="285">
        <v>1146018</v>
      </c>
      <c r="D1027" s="358" t="s">
        <v>398</v>
      </c>
      <c r="E1027" s="360"/>
      <c r="F1027" s="361">
        <f>G1062-AK1027+AL1027</f>
        <v>4</v>
      </c>
      <c r="G1027" s="364">
        <v>4</v>
      </c>
      <c r="H1027" s="397">
        <v>1</v>
      </c>
      <c r="I1027" s="364" t="s">
        <v>493</v>
      </c>
      <c r="J1027" s="364"/>
      <c r="K1027" s="364"/>
      <c r="L1027" s="218"/>
      <c r="M1027" s="218"/>
      <c r="N1027" s="218"/>
      <c r="O1027" s="218"/>
      <c r="P1027" s="352"/>
      <c r="Q1027" s="352"/>
      <c r="R1027" s="352"/>
      <c r="S1027" s="352"/>
      <c r="T1027" s="352"/>
      <c r="U1027" s="352"/>
      <c r="V1027" s="218"/>
      <c r="W1027" s="218"/>
      <c r="X1027" s="218"/>
      <c r="Y1027" s="218"/>
      <c r="Z1027" s="218"/>
      <c r="AA1027" s="218"/>
      <c r="AB1027" s="218"/>
      <c r="AC1027" s="218"/>
      <c r="AD1027" s="218"/>
      <c r="AE1027" s="218"/>
      <c r="AF1027" s="218"/>
      <c r="AG1027" s="218"/>
      <c r="AH1027" s="218"/>
      <c r="AI1027" s="218"/>
      <c r="AJ1027" s="218"/>
      <c r="AK1027" s="218">
        <f>G1062+AL1027-G1027</f>
        <v>0</v>
      </c>
      <c r="AL1027" s="218"/>
      <c r="AM1027" s="353"/>
      <c r="AN1027" s="295"/>
      <c r="AO1027" s="296"/>
      <c r="AP1027" s="353"/>
      <c r="AQ1027" s="290"/>
      <c r="AR1027" s="290"/>
      <c r="AS1027" s="290"/>
    </row>
    <row r="1028" spans="1:45" ht="17.25" thickBot="1" x14ac:dyDescent="0.3">
      <c r="A1028" s="467"/>
      <c r="B1028" s="354"/>
      <c r="C1028" s="285">
        <v>1146024</v>
      </c>
      <c r="D1028" s="358" t="s">
        <v>399</v>
      </c>
      <c r="E1028" s="360"/>
      <c r="F1028" s="361">
        <v>1</v>
      </c>
      <c r="G1028" s="369">
        <v>2</v>
      </c>
      <c r="H1028" s="369">
        <v>2</v>
      </c>
      <c r="I1028" s="369">
        <v>3</v>
      </c>
      <c r="J1028" s="369"/>
      <c r="K1028" s="369"/>
      <c r="L1028" s="218"/>
      <c r="M1028" s="218"/>
      <c r="N1028" s="218"/>
      <c r="O1028" s="218"/>
      <c r="P1028" s="352"/>
      <c r="Q1028" s="352"/>
      <c r="R1028" s="352"/>
      <c r="S1028" s="352"/>
      <c r="T1028" s="352"/>
      <c r="U1028" s="352"/>
      <c r="V1028" s="218"/>
      <c r="W1028" s="218"/>
      <c r="X1028" s="218"/>
      <c r="Y1028" s="218"/>
      <c r="Z1028" s="218"/>
      <c r="AA1028" s="218">
        <v>1</v>
      </c>
      <c r="AB1028" s="218"/>
      <c r="AC1028" s="218"/>
      <c r="AD1028" s="218"/>
      <c r="AE1028" s="218"/>
      <c r="AF1028" s="218"/>
      <c r="AG1028" s="218"/>
      <c r="AH1028" s="218"/>
      <c r="AI1028" s="218"/>
      <c r="AJ1028" s="218"/>
      <c r="AK1028" s="218">
        <f>G1063+AL1028-G1028</f>
        <v>0</v>
      </c>
      <c r="AL1028" s="218"/>
      <c r="AM1028" s="353"/>
      <c r="AN1028" s="295"/>
      <c r="AO1028" s="296"/>
      <c r="AP1028" s="353"/>
      <c r="AQ1028" s="290"/>
      <c r="AR1028" s="290"/>
      <c r="AS1028" s="290"/>
    </row>
    <row r="1029" spans="1:45" ht="17.25" thickBot="1" x14ac:dyDescent="0.3">
      <c r="A1029" s="467"/>
      <c r="B1029" s="354"/>
      <c r="C1029" s="285">
        <v>1146028</v>
      </c>
      <c r="D1029" s="358" t="s">
        <v>400</v>
      </c>
      <c r="E1029" s="360"/>
      <c r="F1029" s="361">
        <f>G1064-AK1029+AL1029</f>
        <v>1</v>
      </c>
      <c r="G1029" s="364">
        <v>1</v>
      </c>
      <c r="H1029" s="397">
        <v>2</v>
      </c>
      <c r="I1029" s="364"/>
      <c r="J1029" s="364"/>
      <c r="K1029" s="364"/>
      <c r="L1029" s="218"/>
      <c r="M1029" s="218"/>
      <c r="N1029" s="218"/>
      <c r="O1029" s="218"/>
      <c r="P1029" s="352"/>
      <c r="Q1029" s="352"/>
      <c r="R1029" s="352"/>
      <c r="S1029" s="352"/>
      <c r="T1029" s="352"/>
      <c r="U1029" s="352"/>
      <c r="V1029" s="218"/>
      <c r="W1029" s="218"/>
      <c r="X1029" s="218"/>
      <c r="Y1029" s="218"/>
      <c r="Z1029" s="218"/>
      <c r="AA1029" s="218"/>
      <c r="AB1029" s="218"/>
      <c r="AC1029" s="218"/>
      <c r="AD1029" s="218"/>
      <c r="AE1029" s="218"/>
      <c r="AF1029" s="218"/>
      <c r="AG1029" s="218"/>
      <c r="AH1029" s="218"/>
      <c r="AI1029" s="218"/>
      <c r="AJ1029" s="218"/>
      <c r="AK1029" s="218">
        <f>G1064+AL1029-G1029</f>
        <v>0</v>
      </c>
      <c r="AL1029" s="218"/>
      <c r="AM1029" s="353"/>
      <c r="AN1029" s="295"/>
      <c r="AO1029" s="296"/>
      <c r="AP1029" s="353"/>
      <c r="AQ1029" s="290"/>
      <c r="AR1029" s="290"/>
      <c r="AS1029" s="290"/>
    </row>
    <row r="1030" spans="1:45" ht="17.25" thickBot="1" x14ac:dyDescent="0.3">
      <c r="A1030" s="467"/>
      <c r="B1030" s="355" t="s">
        <v>419</v>
      </c>
      <c r="C1030" s="356"/>
      <c r="D1030" s="356"/>
      <c r="E1030" s="359"/>
      <c r="F1030" s="359"/>
      <c r="G1030" s="356"/>
      <c r="H1030" s="396"/>
      <c r="I1030" s="356"/>
      <c r="J1030" s="356"/>
      <c r="K1030" s="356"/>
      <c r="L1030" s="356"/>
      <c r="M1030" s="356"/>
      <c r="N1030" s="356"/>
      <c r="O1030" s="356"/>
      <c r="P1030" s="356"/>
      <c r="Q1030" s="356"/>
      <c r="R1030" s="356"/>
      <c r="S1030" s="356"/>
      <c r="T1030" s="356"/>
      <c r="U1030" s="356"/>
      <c r="V1030" s="356"/>
      <c r="W1030" s="356"/>
      <c r="X1030" s="356"/>
      <c r="Y1030" s="356"/>
      <c r="Z1030" s="356"/>
      <c r="AA1030" s="356"/>
      <c r="AB1030" s="356"/>
      <c r="AC1030" s="356"/>
      <c r="AD1030" s="356"/>
      <c r="AE1030" s="356"/>
      <c r="AF1030" s="356"/>
      <c r="AG1030" s="356"/>
      <c r="AH1030" s="356"/>
      <c r="AI1030" s="356"/>
      <c r="AJ1030" s="356"/>
      <c r="AK1030" s="356"/>
      <c r="AL1030" s="356"/>
      <c r="AM1030" s="356"/>
      <c r="AN1030" s="356"/>
      <c r="AO1030" s="356"/>
      <c r="AP1030" s="356"/>
      <c r="AQ1030" s="356"/>
      <c r="AR1030" s="356"/>
      <c r="AS1030" s="357"/>
    </row>
    <row r="1031" spans="1:45" ht="17.25" thickBot="1" x14ac:dyDescent="0.3">
      <c r="A1031" s="467"/>
      <c r="B1031" s="372"/>
      <c r="C1031" s="373">
        <v>1146031</v>
      </c>
      <c r="D1031" s="374" t="s">
        <v>401</v>
      </c>
      <c r="E1031" s="375"/>
      <c r="F1031" s="376">
        <f>G1066-AK1031+AL1031</f>
        <v>2</v>
      </c>
      <c r="G1031" s="377">
        <v>2</v>
      </c>
      <c r="H1031" s="397">
        <v>1</v>
      </c>
      <c r="I1031" s="377">
        <v>1</v>
      </c>
      <c r="J1031" s="377"/>
      <c r="K1031" s="377"/>
      <c r="L1031" s="377"/>
      <c r="M1031" s="377"/>
      <c r="N1031" s="377"/>
      <c r="O1031" s="377"/>
      <c r="P1031" s="377"/>
      <c r="Q1031" s="377"/>
      <c r="R1031" s="377"/>
      <c r="S1031" s="377"/>
      <c r="T1031" s="377"/>
      <c r="U1031" s="377"/>
      <c r="V1031" s="377"/>
      <c r="W1031" s="377"/>
      <c r="X1031" s="377"/>
      <c r="Y1031" s="377"/>
      <c r="Z1031" s="377"/>
      <c r="AA1031" s="377"/>
      <c r="AB1031" s="377"/>
      <c r="AC1031" s="377"/>
      <c r="AD1031" s="377"/>
      <c r="AE1031" s="377"/>
      <c r="AF1031" s="377"/>
      <c r="AG1031" s="377"/>
      <c r="AH1031" s="377"/>
      <c r="AI1031" s="377"/>
      <c r="AJ1031" s="377"/>
      <c r="AK1031" s="377">
        <f>G1066+AL1031-G1031</f>
        <v>0</v>
      </c>
      <c r="AL1031" s="377"/>
      <c r="AM1031" s="378"/>
      <c r="AN1031" s="379"/>
      <c r="AO1031" s="380"/>
      <c r="AP1031" s="378"/>
      <c r="AQ1031" s="381"/>
      <c r="AR1031" s="381"/>
      <c r="AS1031" s="381"/>
    </row>
    <row r="1032" spans="1:45" ht="17.25" thickBot="1" x14ac:dyDescent="0.3">
      <c r="A1032" s="467"/>
      <c r="B1032" s="372"/>
      <c r="C1032" s="373">
        <v>1146020</v>
      </c>
      <c r="D1032" s="374" t="s">
        <v>402</v>
      </c>
      <c r="E1032" s="375"/>
      <c r="F1032" s="376">
        <f>G1067-AK1032+AL1032</f>
        <v>1</v>
      </c>
      <c r="G1032" s="377">
        <v>1</v>
      </c>
      <c r="H1032" s="397">
        <v>1</v>
      </c>
      <c r="I1032" s="377"/>
      <c r="J1032" s="377"/>
      <c r="K1032" s="377"/>
      <c r="L1032" s="377"/>
      <c r="M1032" s="377"/>
      <c r="N1032" s="377"/>
      <c r="O1032" s="377"/>
      <c r="P1032" s="377"/>
      <c r="Q1032" s="377"/>
      <c r="R1032" s="377"/>
      <c r="S1032" s="377"/>
      <c r="T1032" s="377"/>
      <c r="U1032" s="377"/>
      <c r="V1032" s="377"/>
      <c r="W1032" s="377"/>
      <c r="X1032" s="377"/>
      <c r="Y1032" s="377"/>
      <c r="Z1032" s="377"/>
      <c r="AA1032" s="377"/>
      <c r="AB1032" s="377"/>
      <c r="AC1032" s="377"/>
      <c r="AD1032" s="377"/>
      <c r="AE1032" s="377"/>
      <c r="AF1032" s="377"/>
      <c r="AG1032" s="377"/>
      <c r="AH1032" s="377"/>
      <c r="AI1032" s="377"/>
      <c r="AJ1032" s="377"/>
      <c r="AK1032" s="377">
        <f>G1067+AL1032-G1032</f>
        <v>0</v>
      </c>
      <c r="AL1032" s="377"/>
      <c r="AM1032" s="378"/>
      <c r="AN1032" s="379"/>
      <c r="AO1032" s="380"/>
      <c r="AP1032" s="378"/>
      <c r="AQ1032" s="381"/>
      <c r="AR1032" s="381"/>
      <c r="AS1032" s="381"/>
    </row>
    <row r="1033" spans="1:45" ht="17.25" thickBot="1" x14ac:dyDescent="0.3">
      <c r="A1033" s="467"/>
      <c r="B1033" s="372"/>
      <c r="C1033" s="373">
        <v>1146016</v>
      </c>
      <c r="D1033" s="374" t="s">
        <v>398</v>
      </c>
      <c r="E1033" s="375"/>
      <c r="F1033" s="376">
        <f>G1068-AK1033+AL1033</f>
        <v>6</v>
      </c>
      <c r="G1033" s="377">
        <v>6</v>
      </c>
      <c r="H1033" s="397">
        <v>1</v>
      </c>
      <c r="I1033" s="377" t="s">
        <v>493</v>
      </c>
      <c r="J1033" s="377"/>
      <c r="K1033" s="377"/>
      <c r="L1033" s="377"/>
      <c r="M1033" s="377"/>
      <c r="N1033" s="377"/>
      <c r="O1033" s="377"/>
      <c r="P1033" s="377"/>
      <c r="Q1033" s="377"/>
      <c r="R1033" s="377"/>
      <c r="S1033" s="377"/>
      <c r="T1033" s="377"/>
      <c r="U1033" s="377"/>
      <c r="V1033" s="377"/>
      <c r="W1033" s="377"/>
      <c r="X1033" s="377"/>
      <c r="Y1033" s="377"/>
      <c r="Z1033" s="377"/>
      <c r="AA1033" s="377"/>
      <c r="AB1033" s="377"/>
      <c r="AC1033" s="377"/>
      <c r="AD1033" s="377"/>
      <c r="AE1033" s="377"/>
      <c r="AF1033" s="377"/>
      <c r="AG1033" s="377"/>
      <c r="AH1033" s="377"/>
      <c r="AI1033" s="377"/>
      <c r="AJ1033" s="377"/>
      <c r="AK1033" s="377">
        <f>G1068+AL1033-G1033</f>
        <v>0</v>
      </c>
      <c r="AL1033" s="377"/>
      <c r="AM1033" s="378"/>
      <c r="AN1033" s="379"/>
      <c r="AO1033" s="380"/>
      <c r="AP1033" s="378"/>
      <c r="AQ1033" s="381"/>
      <c r="AR1033" s="381"/>
      <c r="AS1033" s="381"/>
    </row>
    <row r="1034" spans="1:45" ht="17.25" thickBot="1" x14ac:dyDescent="0.3">
      <c r="A1034" s="467"/>
      <c r="B1034" s="372"/>
      <c r="C1034" s="373">
        <v>1146022</v>
      </c>
      <c r="D1034" s="374" t="s">
        <v>403</v>
      </c>
      <c r="E1034" s="375"/>
      <c r="F1034" s="376">
        <f>G1069-AK1034+AL1034</f>
        <v>0</v>
      </c>
      <c r="G1034" s="377">
        <v>0</v>
      </c>
      <c r="H1034" s="397">
        <v>2</v>
      </c>
      <c r="I1034" s="377">
        <v>1</v>
      </c>
      <c r="J1034" s="377"/>
      <c r="K1034" s="377"/>
      <c r="L1034" s="377"/>
      <c r="M1034" s="377"/>
      <c r="N1034" s="377"/>
      <c r="O1034" s="377"/>
      <c r="P1034" s="377"/>
      <c r="Q1034" s="377"/>
      <c r="R1034" s="377"/>
      <c r="S1034" s="377"/>
      <c r="T1034" s="377"/>
      <c r="U1034" s="377"/>
      <c r="V1034" s="377"/>
      <c r="W1034" s="377"/>
      <c r="X1034" s="377"/>
      <c r="Y1034" s="377"/>
      <c r="Z1034" s="377"/>
      <c r="AA1034" s="377"/>
      <c r="AB1034" s="377"/>
      <c r="AC1034" s="377"/>
      <c r="AD1034" s="377"/>
      <c r="AE1034" s="377"/>
      <c r="AF1034" s="377"/>
      <c r="AG1034" s="377"/>
      <c r="AH1034" s="377"/>
      <c r="AI1034" s="377"/>
      <c r="AJ1034" s="377"/>
      <c r="AK1034" s="377">
        <f>G1069+AL1034-G1034</f>
        <v>0</v>
      </c>
      <c r="AL1034" s="377"/>
      <c r="AM1034" s="378"/>
      <c r="AN1034" s="379"/>
      <c r="AO1034" s="380"/>
      <c r="AP1034" s="378"/>
      <c r="AQ1034" s="381"/>
      <c r="AR1034" s="381"/>
      <c r="AS1034" s="381"/>
    </row>
    <row r="1035" spans="1:45" ht="17.25" thickBot="1" x14ac:dyDescent="0.3">
      <c r="A1035" s="467"/>
      <c r="B1035" s="372"/>
      <c r="C1035" s="373">
        <v>1146027</v>
      </c>
      <c r="D1035" s="374" t="s">
        <v>404</v>
      </c>
      <c r="E1035" s="375"/>
      <c r="F1035" s="376">
        <f>G1070-AK1035+AL1035</f>
        <v>2</v>
      </c>
      <c r="G1035" s="377">
        <v>2</v>
      </c>
      <c r="H1035" s="397">
        <v>2</v>
      </c>
      <c r="I1035" s="377">
        <v>1</v>
      </c>
      <c r="J1035" s="377"/>
      <c r="K1035" s="377"/>
      <c r="L1035" s="377"/>
      <c r="M1035" s="377"/>
      <c r="N1035" s="377"/>
      <c r="O1035" s="377"/>
      <c r="P1035" s="377"/>
      <c r="Q1035" s="377"/>
      <c r="R1035" s="377"/>
      <c r="S1035" s="377"/>
      <c r="T1035" s="377"/>
      <c r="U1035" s="377"/>
      <c r="V1035" s="377"/>
      <c r="W1035" s="377"/>
      <c r="X1035" s="377"/>
      <c r="Y1035" s="377"/>
      <c r="Z1035" s="377"/>
      <c r="AA1035" s="377"/>
      <c r="AB1035" s="377"/>
      <c r="AC1035" s="377"/>
      <c r="AD1035" s="377"/>
      <c r="AE1035" s="377"/>
      <c r="AF1035" s="377"/>
      <c r="AG1035" s="377"/>
      <c r="AH1035" s="377"/>
      <c r="AI1035" s="377"/>
      <c r="AJ1035" s="377"/>
      <c r="AK1035" s="377">
        <f>G1070+AL1035-G1035</f>
        <v>0</v>
      </c>
      <c r="AL1035" s="377"/>
      <c r="AM1035" s="378"/>
      <c r="AN1035" s="379"/>
      <c r="AO1035" s="380"/>
      <c r="AP1035" s="378"/>
      <c r="AQ1035" s="381"/>
      <c r="AR1035" s="381"/>
      <c r="AS1035" s="381"/>
    </row>
    <row r="1036" spans="1:45" ht="17.25" thickBot="1" x14ac:dyDescent="0.3">
      <c r="A1036" s="467"/>
      <c r="B1036" s="355" t="s">
        <v>418</v>
      </c>
      <c r="C1036" s="356"/>
      <c r="D1036" s="356"/>
      <c r="E1036" s="359"/>
      <c r="F1036" s="359"/>
      <c r="G1036" s="356"/>
      <c r="H1036" s="396"/>
      <c r="I1036" s="356"/>
      <c r="J1036" s="356"/>
      <c r="K1036" s="356"/>
      <c r="L1036" s="356"/>
      <c r="M1036" s="356"/>
      <c r="N1036" s="356"/>
      <c r="O1036" s="356"/>
      <c r="P1036" s="356"/>
      <c r="Q1036" s="356"/>
      <c r="R1036" s="356"/>
      <c r="S1036" s="356"/>
      <c r="T1036" s="356"/>
      <c r="U1036" s="356"/>
      <c r="V1036" s="356"/>
      <c r="W1036" s="356"/>
      <c r="X1036" s="356"/>
      <c r="Y1036" s="356"/>
      <c r="Z1036" s="356"/>
      <c r="AA1036" s="356"/>
      <c r="AB1036" s="356"/>
      <c r="AC1036" s="356"/>
      <c r="AD1036" s="356"/>
      <c r="AE1036" s="356"/>
      <c r="AF1036" s="356"/>
      <c r="AG1036" s="356"/>
      <c r="AH1036" s="356"/>
      <c r="AI1036" s="356"/>
      <c r="AJ1036" s="356"/>
      <c r="AK1036" s="356"/>
      <c r="AL1036" s="356"/>
      <c r="AM1036" s="356"/>
      <c r="AN1036" s="356"/>
      <c r="AO1036" s="356"/>
      <c r="AP1036" s="356"/>
      <c r="AQ1036" s="356"/>
      <c r="AR1036" s="356"/>
      <c r="AS1036" s="357"/>
    </row>
    <row r="1037" spans="1:45" ht="17.25" thickBot="1" x14ac:dyDescent="0.3">
      <c r="A1037" s="467"/>
      <c r="B1037" s="354"/>
      <c r="C1037" s="285">
        <v>1151653</v>
      </c>
      <c r="D1037" s="358" t="s">
        <v>405</v>
      </c>
      <c r="E1037" s="360"/>
      <c r="F1037" s="361">
        <f>G1072-AK1037+AL1037</f>
        <v>0</v>
      </c>
      <c r="G1037" s="364">
        <v>0</v>
      </c>
      <c r="H1037" s="397">
        <v>1</v>
      </c>
      <c r="I1037" s="364">
        <v>1</v>
      </c>
      <c r="J1037" s="364"/>
      <c r="K1037" s="364"/>
      <c r="L1037" s="218"/>
      <c r="M1037" s="218"/>
      <c r="N1037" s="218"/>
      <c r="O1037" s="218"/>
      <c r="P1037" s="352"/>
      <c r="Q1037" s="352"/>
      <c r="R1037" s="352"/>
      <c r="S1037" s="352"/>
      <c r="T1037" s="352"/>
      <c r="U1037" s="352"/>
      <c r="V1037" s="218"/>
      <c r="W1037" s="218"/>
      <c r="X1037" s="218"/>
      <c r="Y1037" s="218"/>
      <c r="Z1037" s="218"/>
      <c r="AA1037" s="218"/>
      <c r="AB1037" s="218"/>
      <c r="AC1037" s="218"/>
      <c r="AD1037" s="218"/>
      <c r="AE1037" s="218"/>
      <c r="AF1037" s="218"/>
      <c r="AG1037" s="218"/>
      <c r="AH1037" s="218"/>
      <c r="AI1037" s="218"/>
      <c r="AJ1037" s="218"/>
      <c r="AK1037" s="218">
        <f>G1072+AL1037-G1037</f>
        <v>0</v>
      </c>
      <c r="AL1037" s="218"/>
      <c r="AM1037" s="353"/>
      <c r="AN1037" s="295"/>
      <c r="AO1037" s="296"/>
      <c r="AP1037" s="353"/>
      <c r="AQ1037" s="290"/>
      <c r="AR1037" s="290"/>
      <c r="AS1037" s="290"/>
    </row>
    <row r="1038" spans="1:45" ht="17.25" thickBot="1" x14ac:dyDescent="0.3">
      <c r="A1038" s="467"/>
      <c r="B1038" s="354"/>
      <c r="C1038" s="285">
        <v>1151650</v>
      </c>
      <c r="D1038" s="358" t="s">
        <v>406</v>
      </c>
      <c r="E1038" s="360"/>
      <c r="F1038" s="361">
        <f>G1073-AK1038+AL1038</f>
        <v>1</v>
      </c>
      <c r="G1038" s="364">
        <v>1</v>
      </c>
      <c r="H1038" s="397">
        <v>2</v>
      </c>
      <c r="I1038" s="364"/>
      <c r="J1038" s="364"/>
      <c r="K1038" s="364"/>
      <c r="L1038" s="218"/>
      <c r="M1038" s="218"/>
      <c r="N1038" s="218"/>
      <c r="O1038" s="218"/>
      <c r="P1038" s="352"/>
      <c r="Q1038" s="352"/>
      <c r="R1038" s="352"/>
      <c r="S1038" s="352"/>
      <c r="T1038" s="352"/>
      <c r="U1038" s="352"/>
      <c r="V1038" s="218"/>
      <c r="W1038" s="218"/>
      <c r="X1038" s="218"/>
      <c r="Y1038" s="218"/>
      <c r="Z1038" s="218"/>
      <c r="AA1038" s="218"/>
      <c r="AB1038" s="218"/>
      <c r="AC1038" s="218"/>
      <c r="AD1038" s="218"/>
      <c r="AE1038" s="218"/>
      <c r="AF1038" s="218"/>
      <c r="AG1038" s="218"/>
      <c r="AH1038" s="218"/>
      <c r="AI1038" s="218"/>
      <c r="AJ1038" s="218"/>
      <c r="AK1038" s="218">
        <f>G1073+AL1038-G1038</f>
        <v>0</v>
      </c>
      <c r="AL1038" s="218"/>
      <c r="AM1038" s="353"/>
      <c r="AN1038" s="295"/>
      <c r="AO1038" s="296"/>
      <c r="AP1038" s="353"/>
      <c r="AQ1038" s="290"/>
      <c r="AR1038" s="290"/>
      <c r="AS1038" s="290"/>
    </row>
    <row r="1039" spans="1:45" ht="17.25" thickBot="1" x14ac:dyDescent="0.3">
      <c r="A1039" s="467"/>
      <c r="B1039" s="354"/>
      <c r="C1039" s="285">
        <v>1151649</v>
      </c>
      <c r="D1039" s="358" t="s">
        <v>407</v>
      </c>
      <c r="E1039" s="360"/>
      <c r="F1039" s="361">
        <f>G1074-AK1039+AL1039</f>
        <v>2</v>
      </c>
      <c r="G1039" s="364">
        <v>2</v>
      </c>
      <c r="H1039" s="397">
        <v>4</v>
      </c>
      <c r="I1039" s="364" t="s">
        <v>493</v>
      </c>
      <c r="J1039" s="364"/>
      <c r="K1039" s="364"/>
      <c r="L1039" s="218"/>
      <c r="M1039" s="218"/>
      <c r="N1039" s="218"/>
      <c r="O1039" s="218"/>
      <c r="P1039" s="352"/>
      <c r="Q1039" s="352"/>
      <c r="R1039" s="352"/>
      <c r="S1039" s="352"/>
      <c r="T1039" s="352"/>
      <c r="U1039" s="352"/>
      <c r="V1039" s="218"/>
      <c r="W1039" s="218"/>
      <c r="X1039" s="218"/>
      <c r="Y1039" s="218"/>
      <c r="Z1039" s="218"/>
      <c r="AA1039" s="218"/>
      <c r="AB1039" s="218"/>
      <c r="AC1039" s="218"/>
      <c r="AD1039" s="218"/>
      <c r="AE1039" s="218"/>
      <c r="AF1039" s="218"/>
      <c r="AG1039" s="218"/>
      <c r="AH1039" s="218"/>
      <c r="AI1039" s="218"/>
      <c r="AJ1039" s="218"/>
      <c r="AK1039" s="218">
        <f>G1074+AL1039-G1039</f>
        <v>0</v>
      </c>
      <c r="AL1039" s="218"/>
      <c r="AM1039" s="353"/>
      <c r="AN1039" s="295"/>
      <c r="AO1039" s="296"/>
      <c r="AP1039" s="353"/>
      <c r="AQ1039" s="290"/>
      <c r="AR1039" s="290"/>
      <c r="AS1039" s="290"/>
    </row>
    <row r="1040" spans="1:45" ht="17.25" thickBot="1" x14ac:dyDescent="0.3">
      <c r="A1040" s="467"/>
      <c r="B1040" s="354"/>
      <c r="C1040" s="285">
        <v>1151651</v>
      </c>
      <c r="D1040" s="358" t="s">
        <v>408</v>
      </c>
      <c r="E1040" s="360"/>
      <c r="F1040" s="361">
        <f>G1075-AK1040+AL1040</f>
        <v>3</v>
      </c>
      <c r="G1040" s="369">
        <v>3</v>
      </c>
      <c r="H1040" s="369">
        <v>1</v>
      </c>
      <c r="I1040" s="369">
        <v>3</v>
      </c>
      <c r="J1040" s="369"/>
      <c r="K1040" s="369"/>
      <c r="L1040" s="218"/>
      <c r="M1040" s="218"/>
      <c r="N1040" s="218"/>
      <c r="O1040" s="218"/>
      <c r="P1040" s="352"/>
      <c r="Q1040" s="352"/>
      <c r="R1040" s="352"/>
      <c r="S1040" s="352"/>
      <c r="T1040" s="352"/>
      <c r="U1040" s="352"/>
      <c r="V1040" s="218"/>
      <c r="W1040" s="218"/>
      <c r="X1040" s="218"/>
      <c r="Y1040" s="218"/>
      <c r="Z1040" s="218">
        <v>2</v>
      </c>
      <c r="AA1040" s="218"/>
      <c r="AB1040" s="218"/>
      <c r="AC1040" s="218"/>
      <c r="AD1040" s="218"/>
      <c r="AE1040" s="218"/>
      <c r="AF1040" s="218"/>
      <c r="AG1040" s="218"/>
      <c r="AH1040" s="218"/>
      <c r="AI1040" s="218"/>
      <c r="AJ1040" s="218"/>
      <c r="AK1040" s="218">
        <f>G1075+AL1040-G1040</f>
        <v>0</v>
      </c>
      <c r="AL1040" s="218"/>
      <c r="AM1040" s="353"/>
      <c r="AN1040" s="295"/>
      <c r="AO1040" s="296"/>
      <c r="AP1040" s="353"/>
      <c r="AQ1040" s="290"/>
      <c r="AR1040" s="290"/>
      <c r="AS1040" s="290"/>
    </row>
    <row r="1041" spans="1:45" ht="17.25" thickBot="1" x14ac:dyDescent="0.3">
      <c r="A1041" s="467"/>
      <c r="B1041" s="354"/>
      <c r="C1041" s="285">
        <v>1146029</v>
      </c>
      <c r="D1041" s="358" t="s">
        <v>409</v>
      </c>
      <c r="E1041" s="360"/>
      <c r="F1041" s="361">
        <f>G1076-AK1041+AL1041</f>
        <v>2</v>
      </c>
      <c r="G1041" s="369">
        <v>2</v>
      </c>
      <c r="H1041" s="369">
        <v>2</v>
      </c>
      <c r="I1041" s="369">
        <v>2</v>
      </c>
      <c r="J1041" s="369"/>
      <c r="K1041" s="369"/>
      <c r="L1041" s="218"/>
      <c r="M1041" s="218"/>
      <c r="N1041" s="218"/>
      <c r="O1041" s="218"/>
      <c r="P1041" s="352"/>
      <c r="Q1041" s="352"/>
      <c r="R1041" s="352"/>
      <c r="S1041" s="352"/>
      <c r="T1041" s="352"/>
      <c r="U1041" s="352"/>
      <c r="V1041" s="218"/>
      <c r="W1041" s="218"/>
      <c r="X1041" s="218"/>
      <c r="Y1041" s="218"/>
      <c r="Z1041" s="218"/>
      <c r="AA1041" s="218"/>
      <c r="AB1041" s="218"/>
      <c r="AC1041" s="218"/>
      <c r="AD1041" s="218"/>
      <c r="AE1041" s="218"/>
      <c r="AF1041" s="218"/>
      <c r="AG1041" s="218"/>
      <c r="AH1041" s="218"/>
      <c r="AI1041" s="218"/>
      <c r="AJ1041" s="218"/>
      <c r="AK1041" s="218">
        <f>G1076+AL1041-G1041</f>
        <v>0</v>
      </c>
      <c r="AL1041" s="218"/>
      <c r="AM1041" s="353"/>
      <c r="AN1041" s="295"/>
      <c r="AO1041" s="296"/>
      <c r="AP1041" s="353"/>
      <c r="AQ1041" s="290"/>
      <c r="AR1041" s="290"/>
      <c r="AS1041" s="290"/>
    </row>
    <row r="1042" spans="1:45" ht="17.25" thickBot="1" x14ac:dyDescent="0.3">
      <c r="A1042" s="467"/>
      <c r="B1042" s="355" t="s">
        <v>410</v>
      </c>
      <c r="C1042" s="356"/>
      <c r="D1042" s="356"/>
      <c r="E1042" s="359"/>
      <c r="F1042" s="359"/>
      <c r="G1042" s="356"/>
      <c r="H1042" s="396"/>
      <c r="I1042" s="356"/>
      <c r="J1042" s="356"/>
      <c r="K1042" s="356"/>
      <c r="L1042" s="356"/>
      <c r="M1042" s="356"/>
      <c r="N1042" s="356"/>
      <c r="O1042" s="356"/>
      <c r="P1042" s="356"/>
      <c r="Q1042" s="356"/>
      <c r="R1042" s="356"/>
      <c r="S1042" s="356"/>
      <c r="T1042" s="356"/>
      <c r="U1042" s="356"/>
      <c r="V1042" s="356"/>
      <c r="W1042" s="356"/>
      <c r="X1042" s="356"/>
      <c r="Y1042" s="356"/>
      <c r="Z1042" s="356"/>
      <c r="AA1042" s="356"/>
      <c r="AB1042" s="356"/>
      <c r="AC1042" s="356"/>
      <c r="AD1042" s="356"/>
      <c r="AE1042" s="356"/>
      <c r="AF1042" s="356"/>
      <c r="AG1042" s="356"/>
      <c r="AH1042" s="356"/>
      <c r="AI1042" s="356"/>
      <c r="AJ1042" s="356"/>
      <c r="AK1042" s="356"/>
      <c r="AL1042" s="356"/>
      <c r="AM1042" s="356"/>
      <c r="AN1042" s="356"/>
      <c r="AO1042" s="356"/>
      <c r="AP1042" s="356"/>
      <c r="AQ1042" s="356"/>
      <c r="AR1042" s="356"/>
      <c r="AS1042" s="357"/>
    </row>
    <row r="1043" spans="1:45" ht="17.25" thickBot="1" x14ac:dyDescent="0.3">
      <c r="A1043" s="467"/>
      <c r="B1043" s="354"/>
      <c r="C1043" s="285">
        <v>1699118</v>
      </c>
      <c r="D1043" s="358" t="s">
        <v>411</v>
      </c>
      <c r="E1043" s="360"/>
      <c r="F1043" s="361">
        <f>G1078-AK1043+AL1043</f>
        <v>0</v>
      </c>
      <c r="G1043" s="364">
        <v>0</v>
      </c>
      <c r="H1043" s="397">
        <v>1</v>
      </c>
      <c r="I1043" s="364"/>
      <c r="J1043" s="364"/>
      <c r="K1043" s="364"/>
      <c r="L1043" s="218"/>
      <c r="M1043" s="218"/>
      <c r="N1043" s="218"/>
      <c r="O1043" s="218"/>
      <c r="P1043" s="352"/>
      <c r="Q1043" s="352"/>
      <c r="R1043" s="352"/>
      <c r="S1043" s="352"/>
      <c r="T1043" s="352"/>
      <c r="U1043" s="352"/>
      <c r="V1043" s="218"/>
      <c r="W1043" s="218"/>
      <c r="X1043" s="218"/>
      <c r="Y1043" s="218"/>
      <c r="Z1043" s="218"/>
      <c r="AA1043" s="218"/>
      <c r="AB1043" s="218"/>
      <c r="AC1043" s="218"/>
      <c r="AD1043" s="218"/>
      <c r="AE1043" s="218"/>
      <c r="AF1043" s="218"/>
      <c r="AG1043" s="218"/>
      <c r="AH1043" s="218"/>
      <c r="AI1043" s="218"/>
      <c r="AJ1043" s="218"/>
      <c r="AK1043" s="218">
        <f>G1078+AL1043-G1043</f>
        <v>0</v>
      </c>
      <c r="AL1043" s="218"/>
      <c r="AM1043" s="353"/>
      <c r="AN1043" s="295"/>
      <c r="AO1043" s="296"/>
      <c r="AP1043" s="353"/>
      <c r="AQ1043" s="290"/>
      <c r="AR1043" s="290"/>
      <c r="AS1043" s="290"/>
    </row>
    <row r="1044" spans="1:45" ht="17.25" thickBot="1" x14ac:dyDescent="0.3">
      <c r="A1044" s="467"/>
      <c r="B1044" s="354"/>
      <c r="C1044" s="285">
        <v>1699119</v>
      </c>
      <c r="D1044" s="358" t="s">
        <v>412</v>
      </c>
      <c r="E1044" s="360"/>
      <c r="F1044" s="361">
        <f>G1079-AK1044+AL1044</f>
        <v>2</v>
      </c>
      <c r="G1044" s="369">
        <v>2</v>
      </c>
      <c r="H1044" s="369">
        <v>1</v>
      </c>
      <c r="I1044" s="369">
        <v>2</v>
      </c>
      <c r="J1044" s="369"/>
      <c r="K1044" s="369"/>
      <c r="L1044" s="218"/>
      <c r="M1044" s="218"/>
      <c r="N1044" s="218"/>
      <c r="O1044" s="218"/>
      <c r="P1044" s="352"/>
      <c r="Q1044" s="352"/>
      <c r="R1044" s="352"/>
      <c r="S1044" s="352"/>
      <c r="T1044" s="352"/>
      <c r="U1044" s="352"/>
      <c r="V1044" s="218"/>
      <c r="W1044" s="218"/>
      <c r="X1044" s="218"/>
      <c r="Y1044" s="218"/>
      <c r="Z1044" s="218"/>
      <c r="AA1044" s="218"/>
      <c r="AB1044" s="218"/>
      <c r="AC1044" s="218"/>
      <c r="AD1044" s="218"/>
      <c r="AE1044" s="218"/>
      <c r="AF1044" s="218"/>
      <c r="AG1044" s="218"/>
      <c r="AH1044" s="218"/>
      <c r="AI1044" s="218"/>
      <c r="AJ1044" s="218"/>
      <c r="AK1044" s="218">
        <f>G1079+AL1044-G1044</f>
        <v>0</v>
      </c>
      <c r="AL1044" s="218"/>
      <c r="AM1044" s="353"/>
      <c r="AN1044" s="295"/>
      <c r="AO1044" s="296"/>
      <c r="AP1044" s="353"/>
      <c r="AQ1044" s="290"/>
      <c r="AR1044" s="290"/>
      <c r="AS1044" s="290"/>
    </row>
    <row r="1045" spans="1:45" ht="17.25" thickBot="1" x14ac:dyDescent="0.3">
      <c r="A1045" s="467"/>
      <c r="B1045" s="354"/>
      <c r="C1045" s="285">
        <v>1699130</v>
      </c>
      <c r="D1045" s="358" t="s">
        <v>413</v>
      </c>
      <c r="E1045" s="360"/>
      <c r="F1045" s="361">
        <f>G1080-AK1045+AL1045</f>
        <v>0</v>
      </c>
      <c r="G1045" s="369">
        <v>0</v>
      </c>
      <c r="H1045" s="369">
        <v>4</v>
      </c>
      <c r="I1045" s="369">
        <v>2</v>
      </c>
      <c r="J1045" s="369"/>
      <c r="K1045" s="369"/>
      <c r="L1045" s="218"/>
      <c r="M1045" s="218"/>
      <c r="N1045" s="218"/>
      <c r="O1045" s="218"/>
      <c r="P1045" s="352"/>
      <c r="Q1045" s="352"/>
      <c r="R1045" s="352"/>
      <c r="S1045" s="352"/>
      <c r="T1045" s="352"/>
      <c r="U1045" s="352"/>
      <c r="V1045" s="218"/>
      <c r="W1045" s="218"/>
      <c r="X1045" s="218"/>
      <c r="Y1045" s="218"/>
      <c r="Z1045" s="218"/>
      <c r="AA1045" s="218">
        <v>2</v>
      </c>
      <c r="AB1045" s="218"/>
      <c r="AC1045" s="218"/>
      <c r="AD1045" s="218"/>
      <c r="AE1045" s="218"/>
      <c r="AF1045" s="218"/>
      <c r="AG1045" s="218"/>
      <c r="AH1045" s="218"/>
      <c r="AI1045" s="218"/>
      <c r="AJ1045" s="218"/>
      <c r="AK1045" s="218">
        <f>G1080+AL1045-G1045</f>
        <v>2</v>
      </c>
      <c r="AL1045" s="218"/>
      <c r="AM1045" s="353"/>
      <c r="AN1045" s="295"/>
      <c r="AO1045" s="296"/>
      <c r="AP1045" s="353"/>
      <c r="AQ1045" s="290"/>
      <c r="AR1045" s="290"/>
      <c r="AS1045" s="290"/>
    </row>
    <row r="1046" spans="1:45" ht="17.25" thickBot="1" x14ac:dyDescent="0.3">
      <c r="A1046" s="467"/>
      <c r="B1046" s="354"/>
      <c r="C1046" s="285">
        <v>1699131</v>
      </c>
      <c r="D1046" s="358" t="s">
        <v>414</v>
      </c>
      <c r="E1046" s="360"/>
      <c r="F1046" s="361">
        <f>G1081-AK1046+AL1046</f>
        <v>2</v>
      </c>
      <c r="G1046" s="369">
        <v>2</v>
      </c>
      <c r="H1046" s="397">
        <v>3</v>
      </c>
      <c r="I1046" s="364">
        <v>1</v>
      </c>
      <c r="J1046" s="364"/>
      <c r="K1046" s="364"/>
      <c r="L1046" s="218"/>
      <c r="M1046" s="218"/>
      <c r="N1046" s="218"/>
      <c r="O1046" s="218"/>
      <c r="P1046" s="352"/>
      <c r="Q1046" s="352"/>
      <c r="R1046" s="352"/>
      <c r="S1046" s="352"/>
      <c r="T1046" s="352"/>
      <c r="U1046" s="352"/>
      <c r="V1046" s="218"/>
      <c r="W1046" s="218"/>
      <c r="X1046" s="218"/>
      <c r="Y1046" s="218"/>
      <c r="Z1046" s="218"/>
      <c r="AA1046" s="218"/>
      <c r="AB1046" s="218"/>
      <c r="AC1046" s="218"/>
      <c r="AD1046" s="218"/>
      <c r="AE1046" s="218"/>
      <c r="AF1046" s="218"/>
      <c r="AG1046" s="218"/>
      <c r="AH1046" s="218"/>
      <c r="AI1046" s="218"/>
      <c r="AJ1046" s="218"/>
      <c r="AK1046" s="218">
        <f>G1081+AL1046-G1046</f>
        <v>0</v>
      </c>
      <c r="AL1046" s="218"/>
      <c r="AM1046" s="353"/>
      <c r="AN1046" s="295"/>
      <c r="AO1046" s="296"/>
      <c r="AP1046" s="353"/>
      <c r="AQ1046" s="290"/>
      <c r="AR1046" s="290"/>
      <c r="AS1046" s="290"/>
    </row>
    <row r="1047" spans="1:45" ht="17.25" thickBot="1" x14ac:dyDescent="0.3">
      <c r="A1047" s="468"/>
      <c r="B1047" s="354"/>
      <c r="C1047" s="285">
        <v>1699132</v>
      </c>
      <c r="D1047" s="358" t="s">
        <v>415</v>
      </c>
      <c r="E1047" s="285"/>
      <c r="F1047" s="362">
        <f>G1082-AK1047+AL1047</f>
        <v>0</v>
      </c>
      <c r="G1047" s="364">
        <v>0</v>
      </c>
      <c r="H1047" s="397">
        <v>3</v>
      </c>
      <c r="I1047" s="364">
        <v>2</v>
      </c>
      <c r="J1047" s="364"/>
      <c r="K1047" s="364"/>
      <c r="L1047" s="218"/>
      <c r="M1047" s="218"/>
      <c r="N1047" s="218"/>
      <c r="O1047" s="218"/>
      <c r="P1047" s="352"/>
      <c r="Q1047" s="352"/>
      <c r="R1047" s="352"/>
      <c r="S1047" s="352"/>
      <c r="T1047" s="352"/>
      <c r="U1047" s="352"/>
      <c r="V1047" s="218"/>
      <c r="W1047" s="218"/>
      <c r="X1047" s="218"/>
      <c r="Y1047" s="218"/>
      <c r="Z1047" s="218"/>
      <c r="AA1047" s="218"/>
      <c r="AB1047" s="218"/>
      <c r="AC1047" s="218"/>
      <c r="AD1047" s="218"/>
      <c r="AE1047" s="218"/>
      <c r="AF1047" s="218"/>
      <c r="AG1047" s="218"/>
      <c r="AH1047" s="218"/>
      <c r="AI1047" s="218"/>
      <c r="AJ1047" s="218"/>
      <c r="AK1047" s="218">
        <f>G1082+AL1047-G1047</f>
        <v>0</v>
      </c>
      <c r="AL1047" s="218"/>
      <c r="AM1047" s="353"/>
      <c r="AN1047" s="295"/>
      <c r="AO1047" s="296"/>
      <c r="AP1047" s="353"/>
      <c r="AQ1047" s="290"/>
      <c r="AR1047" s="290"/>
      <c r="AS1047" s="290"/>
    </row>
    <row r="1048" spans="1:45" x14ac:dyDescent="0.25">
      <c r="AL1048" s="290"/>
      <c r="AM1048" s="290"/>
      <c r="AN1048" s="290"/>
      <c r="AO1048" s="290"/>
      <c r="AP1048" s="290"/>
      <c r="AQ1048" s="290"/>
      <c r="AR1048" s="290"/>
    </row>
    <row r="1049" spans="1:45" ht="14.25" thickBot="1" x14ac:dyDescent="0.3">
      <c r="B1049" s="338" t="s">
        <v>18</v>
      </c>
      <c r="C1049" s="339">
        <v>45642</v>
      </c>
      <c r="AL1049" s="290"/>
      <c r="AM1049" s="290"/>
      <c r="AN1049" s="290"/>
      <c r="AO1049" s="290"/>
      <c r="AP1049" s="290"/>
      <c r="AQ1049" s="290"/>
      <c r="AR1049" s="290"/>
    </row>
    <row r="1050" spans="1:45" ht="41.25" thickBot="1" x14ac:dyDescent="0.3">
      <c r="B1050" s="283" t="s">
        <v>0</v>
      </c>
      <c r="C1050" s="284" t="s">
        <v>1</v>
      </c>
      <c r="D1050" s="284" t="s">
        <v>2</v>
      </c>
      <c r="E1050" s="284" t="s">
        <v>3</v>
      </c>
      <c r="F1050" s="4" t="s">
        <v>318</v>
      </c>
      <c r="G1050" s="351" t="s">
        <v>502</v>
      </c>
      <c r="H1050" s="382" t="s">
        <v>460</v>
      </c>
      <c r="I1050" s="234" t="s">
        <v>500</v>
      </c>
      <c r="J1050" s="234"/>
      <c r="K1050" s="258" t="s">
        <v>499</v>
      </c>
      <c r="L1050" s="258" t="s">
        <v>328</v>
      </c>
      <c r="M1050" s="258" t="s">
        <v>327</v>
      </c>
      <c r="N1050" s="234" t="s">
        <v>389</v>
      </c>
      <c r="O1050" s="240" t="s">
        <v>130</v>
      </c>
      <c r="P1050" s="243" t="s">
        <v>303</v>
      </c>
      <c r="Q1050" s="244" t="s">
        <v>304</v>
      </c>
      <c r="R1050" s="244" t="s">
        <v>314</v>
      </c>
      <c r="S1050" s="245" t="s">
        <v>338</v>
      </c>
      <c r="T1050" s="245" t="s">
        <v>345</v>
      </c>
      <c r="U1050" s="245" t="s">
        <v>361</v>
      </c>
      <c r="V1050" s="245" t="s">
        <v>387</v>
      </c>
      <c r="W1050" s="245" t="s">
        <v>421</v>
      </c>
      <c r="X1050" s="245" t="s">
        <v>452</v>
      </c>
      <c r="Y1050" s="245" t="s">
        <v>463</v>
      </c>
      <c r="Z1050" s="245" t="s">
        <v>481</v>
      </c>
      <c r="AA1050" s="245" t="s">
        <v>498</v>
      </c>
      <c r="AB1050" s="245"/>
      <c r="AC1050" s="245"/>
      <c r="AD1050" s="245"/>
      <c r="AE1050" s="245"/>
      <c r="AF1050" s="245"/>
      <c r="AG1050" s="245"/>
      <c r="AH1050" s="245"/>
      <c r="AI1050" s="245"/>
      <c r="AJ1050" s="245" t="s">
        <v>360</v>
      </c>
      <c r="AK1050" s="246" t="s">
        <v>268</v>
      </c>
      <c r="AL1050" s="247" t="s">
        <v>269</v>
      </c>
      <c r="AM1050" s="291" t="s">
        <v>288</v>
      </c>
      <c r="AN1050" s="292" t="s">
        <v>289</v>
      </c>
      <c r="AO1050" s="292" t="s">
        <v>287</v>
      </c>
      <c r="AP1050" s="293" t="s">
        <v>290</v>
      </c>
      <c r="AQ1050" s="290" t="s">
        <v>306</v>
      </c>
      <c r="AR1050" s="290" t="s">
        <v>310</v>
      </c>
      <c r="AS1050" s="290" t="s">
        <v>311</v>
      </c>
    </row>
    <row r="1051" spans="1:45" ht="17.25" thickBot="1" x14ac:dyDescent="0.3">
      <c r="A1051" s="463" t="s">
        <v>416</v>
      </c>
      <c r="B1051" s="285">
        <v>273664</v>
      </c>
      <c r="C1051" s="286">
        <v>1135749</v>
      </c>
      <c r="D1051" s="286" t="s">
        <v>7</v>
      </c>
      <c r="E1051" s="286">
        <v>6060050026</v>
      </c>
      <c r="F1051" s="253">
        <f>G1086-AK1051+AL1051</f>
        <v>3</v>
      </c>
      <c r="G1051" s="235">
        <v>3</v>
      </c>
      <c r="H1051" s="394">
        <v>7</v>
      </c>
      <c r="I1051" s="232">
        <v>3</v>
      </c>
      <c r="J1051" s="232"/>
      <c r="K1051" s="232">
        <v>0</v>
      </c>
      <c r="L1051" s="232">
        <f>IF(K1085=K1050,L1086+AK1051,K1051)</f>
        <v>0</v>
      </c>
      <c r="M1051" s="232">
        <f>IF(K1085=K1050,0,L1086+AK1051-K1051)</f>
        <v>2</v>
      </c>
      <c r="N1051" s="267">
        <v>5</v>
      </c>
      <c r="O1051" s="241">
        <f>N1051-G1051</f>
        <v>2</v>
      </c>
      <c r="P1051" s="277">
        <v>4</v>
      </c>
      <c r="Q1051" s="278">
        <v>4</v>
      </c>
      <c r="R1051" s="279"/>
      <c r="S1051" s="279">
        <v>3</v>
      </c>
      <c r="T1051" s="279">
        <v>4</v>
      </c>
      <c r="U1051" s="279">
        <v>2</v>
      </c>
      <c r="V1051" s="279"/>
      <c r="W1051" s="279">
        <f>2+3</f>
        <v>5</v>
      </c>
      <c r="X1051" s="241"/>
      <c r="Y1051" s="241"/>
      <c r="Z1051" s="241"/>
      <c r="AA1051" s="241">
        <v>4</v>
      </c>
      <c r="AB1051" s="241"/>
      <c r="AC1051" s="241"/>
      <c r="AD1051" s="241"/>
      <c r="AE1051" s="241"/>
      <c r="AF1051" s="241"/>
      <c r="AG1051" s="241"/>
      <c r="AH1051" s="241"/>
      <c r="AI1051" s="241"/>
      <c r="AJ1051" s="241">
        <f>N1051-V1051</f>
        <v>5</v>
      </c>
      <c r="AK1051" s="235">
        <f>G1086+AL1051-G1051</f>
        <v>2</v>
      </c>
      <c r="AL1051" s="350"/>
      <c r="AM1051" s="294">
        <v>1.5</v>
      </c>
      <c r="AN1051" s="295">
        <v>4</v>
      </c>
      <c r="AO1051" s="296">
        <f>G1051/(AN1051)</f>
        <v>0.75</v>
      </c>
      <c r="AP1051" s="297">
        <f>AN1051*6</f>
        <v>24</v>
      </c>
      <c r="AQ1051" s="290">
        <f>G1051+K1051</f>
        <v>3</v>
      </c>
      <c r="AR1051" s="290">
        <f>IF(G1051&lt;G1086,(G1086-G1051+K1086-K1051),K1086-K1051)</f>
        <v>2</v>
      </c>
      <c r="AS1051" s="290">
        <f>21-8</f>
        <v>13</v>
      </c>
    </row>
    <row r="1052" spans="1:45" ht="17.25" thickBot="1" x14ac:dyDescent="0.3">
      <c r="A1052" s="464"/>
      <c r="B1052" s="285">
        <v>273672</v>
      </c>
      <c r="C1052" s="286">
        <v>1135750</v>
      </c>
      <c r="D1052" s="286" t="s">
        <v>9</v>
      </c>
      <c r="E1052" s="287">
        <v>204000000000</v>
      </c>
      <c r="F1052" s="253">
        <f>G1087-AK1052+AL1052</f>
        <v>25</v>
      </c>
      <c r="G1052" s="235">
        <v>25</v>
      </c>
      <c r="H1052" s="394">
        <v>15</v>
      </c>
      <c r="I1052" s="232">
        <v>25</v>
      </c>
      <c r="J1052" s="232"/>
      <c r="K1052" s="232">
        <v>1</v>
      </c>
      <c r="L1052" s="232">
        <f>IF(K1085=K1050,L1087+AK1052,K1052)</f>
        <v>1</v>
      </c>
      <c r="M1052" s="232">
        <f>IF(K1085=K1050,0,L1087+AK1052-K1052)</f>
        <v>0</v>
      </c>
      <c r="N1052" s="267">
        <v>10</v>
      </c>
      <c r="O1052" s="241">
        <f>N1052-G1052</f>
        <v>-15</v>
      </c>
      <c r="P1052" s="277">
        <v>13</v>
      </c>
      <c r="Q1052" s="278">
        <v>2</v>
      </c>
      <c r="R1052" s="279">
        <v>6</v>
      </c>
      <c r="S1052" s="279">
        <v>6</v>
      </c>
      <c r="T1052" s="279">
        <v>10</v>
      </c>
      <c r="U1052" s="279">
        <v>4</v>
      </c>
      <c r="V1052" s="279">
        <v>6</v>
      </c>
      <c r="W1052" s="279">
        <v>16</v>
      </c>
      <c r="X1052" s="241"/>
      <c r="Y1052" s="241">
        <v>6</v>
      </c>
      <c r="Z1052" s="241">
        <v>4</v>
      </c>
      <c r="AA1052" s="241">
        <v>6</v>
      </c>
      <c r="AB1052" s="241"/>
      <c r="AC1052" s="241"/>
      <c r="AD1052" s="241"/>
      <c r="AE1052" s="241"/>
      <c r="AF1052" s="241"/>
      <c r="AG1052" s="241"/>
      <c r="AH1052" s="241"/>
      <c r="AI1052" s="241"/>
      <c r="AJ1052" s="241">
        <f>N1052-V1052</f>
        <v>4</v>
      </c>
      <c r="AK1052" s="235">
        <f>G1087+AL1052-G1052</f>
        <v>0</v>
      </c>
      <c r="AL1052" s="236"/>
      <c r="AM1052" s="298">
        <v>4.2</v>
      </c>
      <c r="AN1052" s="295">
        <v>9</v>
      </c>
      <c r="AO1052" s="296">
        <f>G1052/(AN1052)</f>
        <v>2.7777777777777777</v>
      </c>
      <c r="AP1052" s="297">
        <f>AN1052*6</f>
        <v>54</v>
      </c>
      <c r="AQ1052" s="290">
        <f>G1052+K1052</f>
        <v>26</v>
      </c>
      <c r="AR1052" s="290">
        <f>IF(G1052&lt;G1087,(G1087-G1052+K1087-K1052),K1087-K1052)</f>
        <v>0</v>
      </c>
      <c r="AS1052" s="290">
        <f>21-8</f>
        <v>13</v>
      </c>
    </row>
    <row r="1053" spans="1:45" ht="17.25" thickBot="1" x14ac:dyDescent="0.3">
      <c r="A1053" s="464"/>
      <c r="B1053" s="285">
        <v>273702</v>
      </c>
      <c r="C1053" s="286">
        <v>1135753</v>
      </c>
      <c r="D1053" s="286" t="s">
        <v>10</v>
      </c>
      <c r="E1053" s="287">
        <v>301000000000</v>
      </c>
      <c r="F1053" s="253">
        <f>G1088-AK1053+AL1053</f>
        <v>2</v>
      </c>
      <c r="G1053" s="235">
        <v>2</v>
      </c>
      <c r="H1053" s="394">
        <v>2</v>
      </c>
      <c r="I1053" s="232">
        <v>2</v>
      </c>
      <c r="J1053" s="232"/>
      <c r="K1053" s="232">
        <v>1</v>
      </c>
      <c r="L1053" s="232">
        <f>IF(K1085=K1050,L1088+AK1053,K1053)</f>
        <v>1</v>
      </c>
      <c r="M1053" s="232">
        <f>IF(K1085=K1050,0,L1088+AK1053-K1053)</f>
        <v>0</v>
      </c>
      <c r="N1053" s="232">
        <v>2</v>
      </c>
      <c r="O1053" s="241">
        <f>N1053-G1053</f>
        <v>0</v>
      </c>
      <c r="P1053" s="277"/>
      <c r="Q1053" s="278"/>
      <c r="R1053" s="279"/>
      <c r="S1053" s="279"/>
      <c r="T1053" s="279"/>
      <c r="U1053" s="279"/>
      <c r="V1053" s="279"/>
      <c r="W1053" s="279"/>
      <c r="X1053" s="241"/>
      <c r="Y1053" s="241"/>
      <c r="Z1053" s="241"/>
      <c r="AA1053" s="241"/>
      <c r="AB1053" s="241"/>
      <c r="AC1053" s="241"/>
      <c r="AD1053" s="241"/>
      <c r="AE1053" s="241"/>
      <c r="AF1053" s="241"/>
      <c r="AG1053" s="241"/>
      <c r="AH1053" s="241"/>
      <c r="AI1053" s="241"/>
      <c r="AJ1053" s="241">
        <f>N1053-V1053</f>
        <v>2</v>
      </c>
      <c r="AK1053" s="235">
        <f>G1088+AL1053-G1053</f>
        <v>0</v>
      </c>
      <c r="AL1053" s="236"/>
      <c r="AM1053" s="294">
        <f>4/12</f>
        <v>0.33333333333333331</v>
      </c>
      <c r="AN1053" s="295">
        <v>2</v>
      </c>
      <c r="AO1053" s="296">
        <f>G1053/(AN1053)</f>
        <v>1</v>
      </c>
      <c r="AP1053" s="297">
        <f>AN1053*6</f>
        <v>12</v>
      </c>
      <c r="AQ1053" s="290">
        <f>G1053+K1053</f>
        <v>3</v>
      </c>
      <c r="AR1053" s="290">
        <f>IF(G1053&lt;G1088,(G1088-G1053+K1088-K1053),K1088-K1053)</f>
        <v>0</v>
      </c>
      <c r="AS1053" s="290">
        <f>21-8</f>
        <v>13</v>
      </c>
    </row>
    <row r="1054" spans="1:45" ht="17.25" thickBot="1" x14ac:dyDescent="0.3">
      <c r="A1054" s="464"/>
      <c r="B1054" s="285">
        <v>273698</v>
      </c>
      <c r="C1054" s="286">
        <v>1135752</v>
      </c>
      <c r="D1054" s="286" t="s">
        <v>11</v>
      </c>
      <c r="E1054" s="287">
        <v>701000000000</v>
      </c>
      <c r="F1054" s="253">
        <f>G1089-AK1054+AL1054</f>
        <v>2</v>
      </c>
      <c r="G1054" s="235">
        <v>2</v>
      </c>
      <c r="H1054" s="394">
        <v>2</v>
      </c>
      <c r="I1054" s="232">
        <v>3</v>
      </c>
      <c r="J1054" s="232"/>
      <c r="K1054" s="232">
        <v>0</v>
      </c>
      <c r="L1054" s="232">
        <f>IF(K1085=K1050,L1089+AK1054,K1054)</f>
        <v>0</v>
      </c>
      <c r="M1054" s="232">
        <f>IF(K1085=K1050,0,L1089+AK1054-K1054)</f>
        <v>0</v>
      </c>
      <c r="N1054" s="232">
        <v>3</v>
      </c>
      <c r="O1054" s="241">
        <f>N1054-G1054</f>
        <v>1</v>
      </c>
      <c r="P1054" s="277">
        <v>2</v>
      </c>
      <c r="Q1054" s="278"/>
      <c r="R1054" s="279"/>
      <c r="S1054" s="279"/>
      <c r="T1054" s="279"/>
      <c r="U1054" s="279"/>
      <c r="V1054" s="279"/>
      <c r="W1054" s="279">
        <v>1</v>
      </c>
      <c r="X1054" s="241"/>
      <c r="Y1054" s="241"/>
      <c r="Z1054" s="241"/>
      <c r="AA1054" s="241"/>
      <c r="AB1054" s="241"/>
      <c r="AC1054" s="241"/>
      <c r="AD1054" s="241"/>
      <c r="AE1054" s="241"/>
      <c r="AF1054" s="241"/>
      <c r="AG1054" s="241"/>
      <c r="AH1054" s="241"/>
      <c r="AI1054" s="241"/>
      <c r="AJ1054" s="241">
        <f>N1054-V1054</f>
        <v>3</v>
      </c>
      <c r="AK1054" s="235">
        <f>G1089+AL1054-G1054</f>
        <v>0</v>
      </c>
      <c r="AL1054" s="236"/>
      <c r="AM1054" s="294">
        <f>4/12</f>
        <v>0.33333333333333331</v>
      </c>
      <c r="AN1054" s="295">
        <v>2</v>
      </c>
      <c r="AO1054" s="296">
        <f>G1054/(AN1054)</f>
        <v>1</v>
      </c>
      <c r="AP1054" s="297">
        <f>AN1054*6</f>
        <v>12</v>
      </c>
      <c r="AQ1054" s="290">
        <f>G1054+K1054</f>
        <v>2</v>
      </c>
      <c r="AR1054" s="290">
        <f>IF(G1054&lt;G1089,(G1089-G1054+K1089-K1054),K1089-K1054)</f>
        <v>0</v>
      </c>
      <c r="AS1054" s="290">
        <f>21-8</f>
        <v>13</v>
      </c>
    </row>
    <row r="1055" spans="1:45" ht="17.25" thickBot="1" x14ac:dyDescent="0.3">
      <c r="A1055" s="465"/>
      <c r="B1055" s="285">
        <v>273680</v>
      </c>
      <c r="C1055" s="286">
        <v>1135751</v>
      </c>
      <c r="D1055" s="286" t="s">
        <v>12</v>
      </c>
      <c r="E1055" s="286" t="s">
        <v>13</v>
      </c>
      <c r="F1055" s="254">
        <f>G1090-AK1055+AL1055</f>
        <v>14</v>
      </c>
      <c r="G1055" s="237">
        <v>14</v>
      </c>
      <c r="H1055" s="395">
        <v>5</v>
      </c>
      <c r="I1055" s="238">
        <v>14</v>
      </c>
      <c r="J1055" s="238"/>
      <c r="K1055" s="238">
        <v>11</v>
      </c>
      <c r="L1055" s="238">
        <f>IF(K1085=K1050,L1090+AK1055,K1055)</f>
        <v>11</v>
      </c>
      <c r="M1055" s="238">
        <f>IF(K1085=K1050,0,L1090+AK1055-K1055)</f>
        <v>0</v>
      </c>
      <c r="N1055" s="238">
        <v>9</v>
      </c>
      <c r="O1055" s="242">
        <f>N1055-G1055</f>
        <v>-5</v>
      </c>
      <c r="P1055" s="280"/>
      <c r="Q1055" s="281"/>
      <c r="R1055" s="282"/>
      <c r="S1055" s="282"/>
      <c r="T1055" s="282">
        <v>11</v>
      </c>
      <c r="U1055" s="282"/>
      <c r="V1055" s="282"/>
      <c r="W1055" s="282">
        <v>9</v>
      </c>
      <c r="X1055" s="242"/>
      <c r="Y1055" s="242">
        <v>9</v>
      </c>
      <c r="Z1055" s="242"/>
      <c r="AA1055" s="242"/>
      <c r="AB1055" s="242"/>
      <c r="AC1055" s="242"/>
      <c r="AD1055" s="242"/>
      <c r="AE1055" s="242"/>
      <c r="AF1055" s="242"/>
      <c r="AG1055" s="242"/>
      <c r="AH1055" s="242"/>
      <c r="AI1055" s="242"/>
      <c r="AJ1055" s="242">
        <f>N1055-V1055</f>
        <v>9</v>
      </c>
      <c r="AK1055" s="235">
        <f>G1090+AL1055-G1055</f>
        <v>0</v>
      </c>
      <c r="AL1055" s="239"/>
      <c r="AM1055" s="299">
        <f>30/12</f>
        <v>2.5</v>
      </c>
      <c r="AN1055" s="300">
        <f>AM1055*2</f>
        <v>5</v>
      </c>
      <c r="AO1055" s="301">
        <f>G1055/(AN1055)</f>
        <v>2.8</v>
      </c>
      <c r="AP1055" s="302">
        <f>AN1055*6</f>
        <v>30</v>
      </c>
      <c r="AQ1055" s="290">
        <f>G1055+K1055</f>
        <v>25</v>
      </c>
      <c r="AR1055" s="290">
        <f>IF(G1055&lt;G1090,(G1090-G1055+K1090-K1055),K1090-K1055)</f>
        <v>0</v>
      </c>
      <c r="AS1055" s="290">
        <f>21-8</f>
        <v>13</v>
      </c>
    </row>
    <row r="1056" spans="1:45" ht="17.25" thickBot="1" x14ac:dyDescent="0.3">
      <c r="A1056" s="466" t="s">
        <v>417</v>
      </c>
      <c r="B1056" s="355" t="s">
        <v>129</v>
      </c>
      <c r="C1056" s="356"/>
      <c r="D1056" s="356"/>
      <c r="E1056" s="359"/>
      <c r="F1056" s="359"/>
      <c r="G1056" s="356"/>
      <c r="H1056" s="396"/>
      <c r="I1056" s="356"/>
      <c r="J1056" s="356"/>
      <c r="K1056" s="356"/>
      <c r="L1056" s="356"/>
      <c r="M1056" s="356"/>
      <c r="N1056" s="356"/>
      <c r="O1056" s="356"/>
      <c r="P1056" s="356"/>
      <c r="Q1056" s="356"/>
      <c r="R1056" s="356"/>
      <c r="S1056" s="356"/>
      <c r="T1056" s="356"/>
      <c r="U1056" s="356"/>
      <c r="V1056" s="356"/>
      <c r="W1056" s="356"/>
      <c r="X1056" s="356"/>
      <c r="Y1056" s="356"/>
      <c r="Z1056" s="356"/>
      <c r="AA1056" s="356"/>
      <c r="AB1056" s="356"/>
      <c r="AC1056" s="356"/>
      <c r="AD1056" s="356"/>
      <c r="AE1056" s="356"/>
      <c r="AF1056" s="356"/>
      <c r="AG1056" s="356"/>
      <c r="AH1056" s="356"/>
      <c r="AI1056" s="356"/>
      <c r="AJ1056" s="356"/>
      <c r="AK1056" s="356"/>
      <c r="AL1056" s="367"/>
      <c r="AM1056" s="356"/>
      <c r="AN1056" s="356"/>
      <c r="AO1056" s="356"/>
      <c r="AP1056" s="356"/>
      <c r="AQ1056" s="356"/>
      <c r="AR1056" s="356"/>
      <c r="AS1056" s="357"/>
    </row>
    <row r="1057" spans="1:45" ht="17.25" thickBot="1" x14ac:dyDescent="0.3">
      <c r="A1057" s="467"/>
      <c r="B1057" s="354"/>
      <c r="C1057" s="354">
        <v>1140327</v>
      </c>
      <c r="D1057" s="358" t="s">
        <v>394</v>
      </c>
      <c r="E1057" s="360"/>
      <c r="F1057" s="361">
        <f>G1092-AK1057+AL1057</f>
        <v>14</v>
      </c>
      <c r="G1057" s="218">
        <v>14</v>
      </c>
      <c r="H1057" s="397">
        <v>26</v>
      </c>
      <c r="I1057" s="218">
        <v>12</v>
      </c>
      <c r="J1057" s="218"/>
      <c r="K1057" s="218">
        <v>0</v>
      </c>
      <c r="L1057" s="218">
        <f>IF(K1085=K1050,L1092+AK1057,K1057)</f>
        <v>0</v>
      </c>
      <c r="M1057" s="218">
        <f>IF(K1085=K1050,0,L1092+AK1057-K1057)</f>
        <v>8</v>
      </c>
      <c r="N1057" s="218"/>
      <c r="O1057" s="218"/>
      <c r="P1057" s="352"/>
      <c r="Q1057" s="352"/>
      <c r="R1057" s="352"/>
      <c r="S1057" s="352"/>
      <c r="T1057" s="352"/>
      <c r="U1057" s="352"/>
      <c r="V1057" s="218"/>
      <c r="W1057" s="218"/>
      <c r="X1057" s="218">
        <v>4</v>
      </c>
      <c r="Y1057" s="218">
        <v>9</v>
      </c>
      <c r="Z1057" s="218">
        <v>14</v>
      </c>
      <c r="AA1057" s="218">
        <v>8</v>
      </c>
      <c r="AB1057" s="218"/>
      <c r="AC1057" s="218"/>
      <c r="AD1057" s="218"/>
      <c r="AE1057" s="218"/>
      <c r="AF1057" s="218"/>
      <c r="AG1057" s="218"/>
      <c r="AH1057" s="218"/>
      <c r="AI1057" s="218"/>
      <c r="AJ1057" s="242">
        <f>N1057-V1057</f>
        <v>0</v>
      </c>
      <c r="AK1057" s="274">
        <f>G1092+AL1057-G1057</f>
        <v>8</v>
      </c>
      <c r="AL1057" s="232"/>
      <c r="AM1057" s="353"/>
      <c r="AN1057" s="295"/>
      <c r="AO1057" s="296"/>
      <c r="AP1057" s="353"/>
      <c r="AQ1057" s="290"/>
      <c r="AR1057" s="290"/>
      <c r="AS1057" s="290"/>
    </row>
    <row r="1058" spans="1:45" ht="17.25" thickBot="1" x14ac:dyDescent="0.3">
      <c r="A1058" s="467"/>
      <c r="B1058" s="354"/>
      <c r="C1058" s="285">
        <v>1151231</v>
      </c>
      <c r="D1058" s="358" t="s">
        <v>395</v>
      </c>
      <c r="E1058" s="360"/>
      <c r="F1058" s="361">
        <f>G1093-AK1058+AL1058</f>
        <v>12</v>
      </c>
      <c r="G1058" s="369">
        <v>12</v>
      </c>
      <c r="H1058" s="397">
        <v>3</v>
      </c>
      <c r="I1058" s="218">
        <v>12</v>
      </c>
      <c r="J1058" s="218"/>
      <c r="K1058" s="218">
        <v>7</v>
      </c>
      <c r="L1058" s="218">
        <f>IF(K1085=K1050,L1093+AK1058,K1058)</f>
        <v>7</v>
      </c>
      <c r="M1058" s="218">
        <f>IF(K1085=K1050,0,L1093+AK1058-K1058)</f>
        <v>0</v>
      </c>
      <c r="N1058" s="218"/>
      <c r="O1058" s="218"/>
      <c r="P1058" s="352"/>
      <c r="Q1058" s="352"/>
      <c r="R1058" s="352"/>
      <c r="S1058" s="352"/>
      <c r="T1058" s="352"/>
      <c r="U1058" s="352"/>
      <c r="V1058" s="218"/>
      <c r="W1058" s="218"/>
      <c r="X1058" s="218">
        <v>3</v>
      </c>
      <c r="Y1058" s="218">
        <v>8</v>
      </c>
      <c r="Z1058" s="218">
        <v>6</v>
      </c>
      <c r="AA1058" s="218"/>
      <c r="AB1058" s="218"/>
      <c r="AC1058" s="218"/>
      <c r="AD1058" s="218"/>
      <c r="AE1058" s="218"/>
      <c r="AF1058" s="218"/>
      <c r="AG1058" s="218"/>
      <c r="AH1058" s="218"/>
      <c r="AI1058" s="218"/>
      <c r="AJ1058" s="242">
        <f>N1058-V1058</f>
        <v>0</v>
      </c>
      <c r="AK1058" s="274">
        <f>G1093+AL1058-G1058</f>
        <v>0</v>
      </c>
      <c r="AL1058" s="232"/>
      <c r="AM1058" s="353"/>
      <c r="AN1058" s="295"/>
      <c r="AO1058" s="296"/>
      <c r="AP1058" s="353"/>
      <c r="AQ1058" s="290"/>
      <c r="AR1058" s="290"/>
      <c r="AS1058" s="290"/>
    </row>
    <row r="1059" spans="1:45" ht="17.25" thickBot="1" x14ac:dyDescent="0.3">
      <c r="A1059" s="467"/>
      <c r="B1059" s="355" t="s">
        <v>420</v>
      </c>
      <c r="C1059" s="356"/>
      <c r="D1059" s="356"/>
      <c r="E1059" s="359"/>
      <c r="F1059" s="359"/>
      <c r="G1059" s="356"/>
      <c r="H1059" s="396"/>
      <c r="I1059" s="356"/>
      <c r="J1059" s="356"/>
      <c r="K1059" s="356"/>
      <c r="L1059" s="356"/>
      <c r="M1059" s="356"/>
      <c r="N1059" s="356"/>
      <c r="O1059" s="356"/>
      <c r="P1059" s="356"/>
      <c r="Q1059" s="356"/>
      <c r="R1059" s="356"/>
      <c r="S1059" s="356"/>
      <c r="T1059" s="356"/>
      <c r="U1059" s="356"/>
      <c r="V1059" s="356"/>
      <c r="W1059" s="356"/>
      <c r="X1059" s="356"/>
      <c r="Y1059" s="356"/>
      <c r="Z1059" s="356"/>
      <c r="AA1059" s="356"/>
      <c r="AB1059" s="356"/>
      <c r="AC1059" s="356"/>
      <c r="AD1059" s="356"/>
      <c r="AE1059" s="356"/>
      <c r="AF1059" s="356"/>
      <c r="AG1059" s="356"/>
      <c r="AH1059" s="356"/>
      <c r="AI1059" s="356"/>
      <c r="AJ1059" s="356"/>
      <c r="AK1059" s="356"/>
      <c r="AL1059" s="368"/>
      <c r="AM1059" s="356"/>
      <c r="AN1059" s="356"/>
      <c r="AO1059" s="356"/>
      <c r="AP1059" s="356"/>
      <c r="AQ1059" s="356"/>
      <c r="AR1059" s="356"/>
      <c r="AS1059" s="357"/>
    </row>
    <row r="1060" spans="1:45" ht="17.25" thickBot="1" x14ac:dyDescent="0.3">
      <c r="A1060" s="467"/>
      <c r="B1060" s="354"/>
      <c r="C1060" s="285">
        <v>1146032</v>
      </c>
      <c r="D1060" s="358" t="s">
        <v>396</v>
      </c>
      <c r="E1060" s="360"/>
      <c r="F1060" s="361">
        <f>G1095-AK1060+AL1060</f>
        <v>1</v>
      </c>
      <c r="G1060" s="364">
        <v>1</v>
      </c>
      <c r="H1060" s="397">
        <v>1</v>
      </c>
      <c r="I1060" s="364">
        <v>1</v>
      </c>
      <c r="J1060" s="364"/>
      <c r="K1060" s="364">
        <v>1</v>
      </c>
      <c r="L1060" s="218"/>
      <c r="M1060" s="218"/>
      <c r="N1060" s="218"/>
      <c r="O1060" s="218"/>
      <c r="P1060" s="352"/>
      <c r="Q1060" s="352"/>
      <c r="R1060" s="352"/>
      <c r="S1060" s="352"/>
      <c r="T1060" s="352"/>
      <c r="U1060" s="352"/>
      <c r="V1060" s="218"/>
      <c r="W1060" s="218"/>
      <c r="X1060" s="218"/>
      <c r="Y1060" s="218"/>
      <c r="Z1060" s="218"/>
      <c r="AA1060" s="218"/>
      <c r="AB1060" s="218"/>
      <c r="AC1060" s="218"/>
      <c r="AD1060" s="218"/>
      <c r="AE1060" s="218"/>
      <c r="AF1060" s="218"/>
      <c r="AG1060" s="218"/>
      <c r="AH1060" s="218"/>
      <c r="AI1060" s="218"/>
      <c r="AJ1060" s="218"/>
      <c r="AK1060" s="218">
        <f>G1095+AL1060-G1060</f>
        <v>0</v>
      </c>
      <c r="AL1060" s="218"/>
      <c r="AM1060" s="353"/>
      <c r="AN1060" s="295"/>
      <c r="AO1060" s="296"/>
      <c r="AP1060" s="353"/>
      <c r="AQ1060" s="290"/>
      <c r="AR1060" s="290"/>
      <c r="AS1060" s="290"/>
    </row>
    <row r="1061" spans="1:45" ht="17.25" thickBot="1" x14ac:dyDescent="0.3">
      <c r="A1061" s="467"/>
      <c r="B1061" s="354"/>
      <c r="C1061" s="285">
        <v>1146021</v>
      </c>
      <c r="D1061" s="358" t="s">
        <v>397</v>
      </c>
      <c r="E1061" s="360"/>
      <c r="F1061" s="361">
        <f>G1096-AK1061+AL1061</f>
        <v>2</v>
      </c>
      <c r="G1061" s="364">
        <v>2</v>
      </c>
      <c r="H1061" s="397">
        <v>2</v>
      </c>
      <c r="I1061" s="364"/>
      <c r="J1061" s="364"/>
      <c r="K1061" s="364">
        <v>2</v>
      </c>
      <c r="L1061" s="218"/>
      <c r="M1061" s="218"/>
      <c r="N1061" s="218"/>
      <c r="O1061" s="218"/>
      <c r="P1061" s="352"/>
      <c r="Q1061" s="352"/>
      <c r="R1061" s="352"/>
      <c r="S1061" s="352"/>
      <c r="T1061" s="352"/>
      <c r="U1061" s="352"/>
      <c r="V1061" s="218"/>
      <c r="W1061" s="218"/>
      <c r="X1061" s="218"/>
      <c r="Y1061" s="218"/>
      <c r="Z1061" s="218"/>
      <c r="AA1061" s="218"/>
      <c r="AB1061" s="218"/>
      <c r="AC1061" s="218"/>
      <c r="AD1061" s="218"/>
      <c r="AE1061" s="218"/>
      <c r="AF1061" s="218"/>
      <c r="AG1061" s="218"/>
      <c r="AH1061" s="218"/>
      <c r="AI1061" s="218"/>
      <c r="AJ1061" s="218"/>
      <c r="AK1061" s="218">
        <f>G1096+AL1061-G1061</f>
        <v>0</v>
      </c>
      <c r="AL1061" s="218"/>
      <c r="AM1061" s="353"/>
      <c r="AN1061" s="295"/>
      <c r="AO1061" s="296"/>
      <c r="AP1061" s="353"/>
      <c r="AQ1061" s="290"/>
      <c r="AR1061" s="290"/>
      <c r="AS1061" s="290"/>
    </row>
    <row r="1062" spans="1:45" ht="17.25" thickBot="1" x14ac:dyDescent="0.3">
      <c r="A1062" s="467"/>
      <c r="B1062" s="354"/>
      <c r="C1062" s="285">
        <v>1146018</v>
      </c>
      <c r="D1062" s="358" t="s">
        <v>398</v>
      </c>
      <c r="E1062" s="360"/>
      <c r="F1062" s="361">
        <f>G1097-AK1062+AL1062</f>
        <v>4</v>
      </c>
      <c r="G1062" s="364">
        <v>4</v>
      </c>
      <c r="H1062" s="397">
        <v>4</v>
      </c>
      <c r="I1062" s="364" t="s">
        <v>493</v>
      </c>
      <c r="J1062" s="364"/>
      <c r="K1062" s="364">
        <v>0</v>
      </c>
      <c r="L1062" s="218"/>
      <c r="M1062" s="218"/>
      <c r="N1062" s="218"/>
      <c r="O1062" s="218"/>
      <c r="P1062" s="352"/>
      <c r="Q1062" s="352"/>
      <c r="R1062" s="352"/>
      <c r="S1062" s="352"/>
      <c r="T1062" s="352"/>
      <c r="U1062" s="352"/>
      <c r="V1062" s="218"/>
      <c r="W1062" s="218"/>
      <c r="X1062" s="218"/>
      <c r="Y1062" s="218"/>
      <c r="Z1062" s="218"/>
      <c r="AA1062" s="218"/>
      <c r="AB1062" s="218"/>
      <c r="AC1062" s="218"/>
      <c r="AD1062" s="218"/>
      <c r="AE1062" s="218"/>
      <c r="AF1062" s="218"/>
      <c r="AG1062" s="218"/>
      <c r="AH1062" s="218"/>
      <c r="AI1062" s="218"/>
      <c r="AJ1062" s="218"/>
      <c r="AK1062" s="218">
        <f>G1097+AL1062-G1062</f>
        <v>0</v>
      </c>
      <c r="AL1062" s="218"/>
      <c r="AM1062" s="353"/>
      <c r="AN1062" s="295"/>
      <c r="AO1062" s="296"/>
      <c r="AP1062" s="353"/>
      <c r="AQ1062" s="290"/>
      <c r="AR1062" s="290"/>
      <c r="AS1062" s="290"/>
    </row>
    <row r="1063" spans="1:45" ht="17.25" thickBot="1" x14ac:dyDescent="0.3">
      <c r="A1063" s="467"/>
      <c r="B1063" s="354"/>
      <c r="C1063" s="285">
        <v>1146024</v>
      </c>
      <c r="D1063" s="358" t="s">
        <v>399</v>
      </c>
      <c r="E1063" s="360"/>
      <c r="F1063" s="361">
        <v>1</v>
      </c>
      <c r="G1063" s="369">
        <v>2</v>
      </c>
      <c r="H1063" s="369">
        <v>0</v>
      </c>
      <c r="I1063" s="369">
        <v>3</v>
      </c>
      <c r="J1063" s="369"/>
      <c r="K1063" s="369"/>
      <c r="L1063" s="218"/>
      <c r="M1063" s="218"/>
      <c r="N1063" s="218"/>
      <c r="O1063" s="218"/>
      <c r="P1063" s="352"/>
      <c r="Q1063" s="352"/>
      <c r="R1063" s="352"/>
      <c r="S1063" s="352"/>
      <c r="T1063" s="352"/>
      <c r="U1063" s="352"/>
      <c r="V1063" s="218"/>
      <c r="W1063" s="218"/>
      <c r="X1063" s="218"/>
      <c r="Y1063" s="218"/>
      <c r="Z1063" s="218"/>
      <c r="AA1063" s="218">
        <v>1</v>
      </c>
      <c r="AB1063" s="218"/>
      <c r="AC1063" s="218"/>
      <c r="AD1063" s="218"/>
      <c r="AE1063" s="218"/>
      <c r="AF1063" s="218"/>
      <c r="AG1063" s="218"/>
      <c r="AH1063" s="218"/>
      <c r="AI1063" s="218"/>
      <c r="AJ1063" s="218"/>
      <c r="AK1063" s="218">
        <f>G1098+AL1063-G1063</f>
        <v>1</v>
      </c>
      <c r="AL1063" s="218"/>
      <c r="AM1063" s="353"/>
      <c r="AN1063" s="295"/>
      <c r="AO1063" s="296"/>
      <c r="AP1063" s="353"/>
      <c r="AQ1063" s="290"/>
      <c r="AR1063" s="290"/>
      <c r="AS1063" s="290"/>
    </row>
    <row r="1064" spans="1:45" ht="17.25" thickBot="1" x14ac:dyDescent="0.3">
      <c r="A1064" s="467"/>
      <c r="B1064" s="354"/>
      <c r="C1064" s="285">
        <v>1146028</v>
      </c>
      <c r="D1064" s="358" t="s">
        <v>400</v>
      </c>
      <c r="E1064" s="360"/>
      <c r="F1064" s="361">
        <f>G1099-AK1064+AL1064</f>
        <v>1</v>
      </c>
      <c r="G1064" s="364">
        <v>1</v>
      </c>
      <c r="H1064" s="397">
        <v>3</v>
      </c>
      <c r="I1064" s="364"/>
      <c r="J1064" s="364"/>
      <c r="K1064" s="364">
        <v>1</v>
      </c>
      <c r="L1064" s="218"/>
      <c r="M1064" s="218"/>
      <c r="N1064" s="218"/>
      <c r="O1064" s="218"/>
      <c r="P1064" s="352"/>
      <c r="Q1064" s="352"/>
      <c r="R1064" s="352"/>
      <c r="S1064" s="352"/>
      <c r="T1064" s="352"/>
      <c r="U1064" s="352"/>
      <c r="V1064" s="218"/>
      <c r="W1064" s="218"/>
      <c r="X1064" s="218"/>
      <c r="Y1064" s="218"/>
      <c r="Z1064" s="218"/>
      <c r="AA1064" s="218"/>
      <c r="AB1064" s="218"/>
      <c r="AC1064" s="218"/>
      <c r="AD1064" s="218"/>
      <c r="AE1064" s="218"/>
      <c r="AF1064" s="218"/>
      <c r="AG1064" s="218"/>
      <c r="AH1064" s="218"/>
      <c r="AI1064" s="218"/>
      <c r="AJ1064" s="218"/>
      <c r="AK1064" s="218">
        <f>G1099+AL1064-G1064</f>
        <v>0</v>
      </c>
      <c r="AL1064" s="218"/>
      <c r="AM1064" s="353"/>
      <c r="AN1064" s="295"/>
      <c r="AO1064" s="296"/>
      <c r="AP1064" s="353"/>
      <c r="AQ1064" s="290"/>
      <c r="AR1064" s="290"/>
      <c r="AS1064" s="290"/>
    </row>
    <row r="1065" spans="1:45" ht="17.25" thickBot="1" x14ac:dyDescent="0.3">
      <c r="A1065" s="467"/>
      <c r="B1065" s="355" t="s">
        <v>419</v>
      </c>
      <c r="C1065" s="356"/>
      <c r="D1065" s="356"/>
      <c r="E1065" s="359"/>
      <c r="F1065" s="359"/>
      <c r="G1065" s="356"/>
      <c r="H1065" s="396"/>
      <c r="I1065" s="356"/>
      <c r="J1065" s="356"/>
      <c r="K1065" s="356"/>
      <c r="L1065" s="356"/>
      <c r="M1065" s="356"/>
      <c r="N1065" s="356"/>
      <c r="O1065" s="356"/>
      <c r="P1065" s="356"/>
      <c r="Q1065" s="356"/>
      <c r="R1065" s="356"/>
      <c r="S1065" s="356"/>
      <c r="T1065" s="356"/>
      <c r="U1065" s="356"/>
      <c r="V1065" s="356"/>
      <c r="W1065" s="356"/>
      <c r="X1065" s="356"/>
      <c r="Y1065" s="356"/>
      <c r="Z1065" s="356"/>
      <c r="AA1065" s="356"/>
      <c r="AB1065" s="356"/>
      <c r="AC1065" s="356"/>
      <c r="AD1065" s="356"/>
      <c r="AE1065" s="356"/>
      <c r="AF1065" s="356"/>
      <c r="AG1065" s="356"/>
      <c r="AH1065" s="356"/>
      <c r="AI1065" s="356"/>
      <c r="AJ1065" s="356"/>
      <c r="AK1065" s="356"/>
      <c r="AL1065" s="356"/>
      <c r="AM1065" s="356"/>
      <c r="AN1065" s="356"/>
      <c r="AO1065" s="356"/>
      <c r="AP1065" s="356"/>
      <c r="AQ1065" s="356"/>
      <c r="AR1065" s="356"/>
      <c r="AS1065" s="357"/>
    </row>
    <row r="1066" spans="1:45" ht="17.25" thickBot="1" x14ac:dyDescent="0.3">
      <c r="A1066" s="467"/>
      <c r="B1066" s="372"/>
      <c r="C1066" s="373">
        <v>1146031</v>
      </c>
      <c r="D1066" s="374" t="s">
        <v>401</v>
      </c>
      <c r="E1066" s="375"/>
      <c r="F1066" s="376">
        <f>G1101-AK1066+AL1066</f>
        <v>2</v>
      </c>
      <c r="G1066" s="377">
        <v>2</v>
      </c>
      <c r="H1066" s="397">
        <v>2</v>
      </c>
      <c r="I1066" s="377">
        <v>1</v>
      </c>
      <c r="J1066" s="377"/>
      <c r="K1066" s="377">
        <v>2</v>
      </c>
      <c r="L1066" s="377"/>
      <c r="M1066" s="377"/>
      <c r="N1066" s="377"/>
      <c r="O1066" s="377"/>
      <c r="P1066" s="377"/>
      <c r="Q1066" s="377"/>
      <c r="R1066" s="377"/>
      <c r="S1066" s="377"/>
      <c r="T1066" s="377"/>
      <c r="U1066" s="377"/>
      <c r="V1066" s="377"/>
      <c r="W1066" s="377"/>
      <c r="X1066" s="377"/>
      <c r="Y1066" s="377"/>
      <c r="Z1066" s="377"/>
      <c r="AA1066" s="377"/>
      <c r="AB1066" s="377"/>
      <c r="AC1066" s="377"/>
      <c r="AD1066" s="377"/>
      <c r="AE1066" s="377"/>
      <c r="AF1066" s="377"/>
      <c r="AG1066" s="377"/>
      <c r="AH1066" s="377"/>
      <c r="AI1066" s="377"/>
      <c r="AJ1066" s="377"/>
      <c r="AK1066" s="377">
        <f>G1101+AL1066-G1066</f>
        <v>0</v>
      </c>
      <c r="AL1066" s="377"/>
      <c r="AM1066" s="378"/>
      <c r="AN1066" s="379"/>
      <c r="AO1066" s="380"/>
      <c r="AP1066" s="378"/>
      <c r="AQ1066" s="381"/>
      <c r="AR1066" s="381"/>
      <c r="AS1066" s="381"/>
    </row>
    <row r="1067" spans="1:45" ht="17.25" thickBot="1" x14ac:dyDescent="0.3">
      <c r="A1067" s="467"/>
      <c r="B1067" s="372"/>
      <c r="C1067" s="373">
        <v>1146020</v>
      </c>
      <c r="D1067" s="374" t="s">
        <v>402</v>
      </c>
      <c r="E1067" s="375"/>
      <c r="F1067" s="376">
        <f>G1102-AK1067+AL1067</f>
        <v>1</v>
      </c>
      <c r="G1067" s="377">
        <v>1</v>
      </c>
      <c r="H1067" s="397">
        <v>1</v>
      </c>
      <c r="I1067" s="377"/>
      <c r="J1067" s="377"/>
      <c r="K1067" s="377"/>
      <c r="L1067" s="377"/>
      <c r="M1067" s="377"/>
      <c r="N1067" s="377"/>
      <c r="O1067" s="377"/>
      <c r="P1067" s="377"/>
      <c r="Q1067" s="377"/>
      <c r="R1067" s="377"/>
      <c r="S1067" s="377"/>
      <c r="T1067" s="377"/>
      <c r="U1067" s="377"/>
      <c r="V1067" s="377"/>
      <c r="W1067" s="377"/>
      <c r="X1067" s="377"/>
      <c r="Y1067" s="377"/>
      <c r="Z1067" s="377"/>
      <c r="AA1067" s="377"/>
      <c r="AB1067" s="377"/>
      <c r="AC1067" s="377"/>
      <c r="AD1067" s="377"/>
      <c r="AE1067" s="377"/>
      <c r="AF1067" s="377"/>
      <c r="AG1067" s="377"/>
      <c r="AH1067" s="377"/>
      <c r="AI1067" s="377"/>
      <c r="AJ1067" s="377"/>
      <c r="AK1067" s="377">
        <f>G1102+AL1067-G1067</f>
        <v>0</v>
      </c>
      <c r="AL1067" s="377"/>
      <c r="AM1067" s="378"/>
      <c r="AN1067" s="379"/>
      <c r="AO1067" s="380"/>
      <c r="AP1067" s="378"/>
      <c r="AQ1067" s="381"/>
      <c r="AR1067" s="381"/>
      <c r="AS1067" s="381"/>
    </row>
    <row r="1068" spans="1:45" ht="17.25" thickBot="1" x14ac:dyDescent="0.3">
      <c r="A1068" s="467"/>
      <c r="B1068" s="372"/>
      <c r="C1068" s="373">
        <v>1146016</v>
      </c>
      <c r="D1068" s="374" t="s">
        <v>398</v>
      </c>
      <c r="E1068" s="375"/>
      <c r="F1068" s="376">
        <f>G1103-AK1068+AL1068</f>
        <v>6</v>
      </c>
      <c r="G1068" s="377">
        <v>6</v>
      </c>
      <c r="H1068" s="397">
        <v>6</v>
      </c>
      <c r="I1068" s="377" t="s">
        <v>493</v>
      </c>
      <c r="J1068" s="377"/>
      <c r="K1068" s="377">
        <v>2</v>
      </c>
      <c r="L1068" s="377"/>
      <c r="M1068" s="377"/>
      <c r="N1068" s="377"/>
      <c r="O1068" s="377"/>
      <c r="P1068" s="377"/>
      <c r="Q1068" s="377"/>
      <c r="R1068" s="377"/>
      <c r="S1068" s="377"/>
      <c r="T1068" s="377"/>
      <c r="U1068" s="377"/>
      <c r="V1068" s="377"/>
      <c r="W1068" s="377"/>
      <c r="X1068" s="377"/>
      <c r="Y1068" s="377"/>
      <c r="Z1068" s="377"/>
      <c r="AA1068" s="377"/>
      <c r="AB1068" s="377"/>
      <c r="AC1068" s="377"/>
      <c r="AD1068" s="377"/>
      <c r="AE1068" s="377"/>
      <c r="AF1068" s="377"/>
      <c r="AG1068" s="377"/>
      <c r="AH1068" s="377"/>
      <c r="AI1068" s="377"/>
      <c r="AJ1068" s="377"/>
      <c r="AK1068" s="377">
        <f>G1103+AL1068-G1068</f>
        <v>0</v>
      </c>
      <c r="AL1068" s="377"/>
      <c r="AM1068" s="378"/>
      <c r="AN1068" s="379"/>
      <c r="AO1068" s="380"/>
      <c r="AP1068" s="378"/>
      <c r="AQ1068" s="381"/>
      <c r="AR1068" s="381"/>
      <c r="AS1068" s="381"/>
    </row>
    <row r="1069" spans="1:45" ht="17.25" thickBot="1" x14ac:dyDescent="0.3">
      <c r="A1069" s="467"/>
      <c r="B1069" s="372"/>
      <c r="C1069" s="373">
        <v>1146022</v>
      </c>
      <c r="D1069" s="374" t="s">
        <v>403</v>
      </c>
      <c r="E1069" s="375"/>
      <c r="F1069" s="376">
        <f>G1104-AK1069+AL1069</f>
        <v>0</v>
      </c>
      <c r="G1069" s="377">
        <v>0</v>
      </c>
      <c r="H1069" s="397">
        <v>0</v>
      </c>
      <c r="I1069" s="377">
        <v>1</v>
      </c>
      <c r="J1069" s="377"/>
      <c r="K1069" s="377"/>
      <c r="L1069" s="377"/>
      <c r="M1069" s="377"/>
      <c r="N1069" s="377"/>
      <c r="O1069" s="377"/>
      <c r="P1069" s="377"/>
      <c r="Q1069" s="377"/>
      <c r="R1069" s="377"/>
      <c r="S1069" s="377"/>
      <c r="T1069" s="377"/>
      <c r="U1069" s="377"/>
      <c r="V1069" s="377"/>
      <c r="W1069" s="377"/>
      <c r="X1069" s="377"/>
      <c r="Y1069" s="377"/>
      <c r="Z1069" s="377"/>
      <c r="AA1069" s="377"/>
      <c r="AB1069" s="377"/>
      <c r="AC1069" s="377"/>
      <c r="AD1069" s="377"/>
      <c r="AE1069" s="377"/>
      <c r="AF1069" s="377"/>
      <c r="AG1069" s="377"/>
      <c r="AH1069" s="377"/>
      <c r="AI1069" s="377"/>
      <c r="AJ1069" s="377"/>
      <c r="AK1069" s="377">
        <f>G1104+AL1069-G1069</f>
        <v>0</v>
      </c>
      <c r="AL1069" s="377"/>
      <c r="AM1069" s="378"/>
      <c r="AN1069" s="379"/>
      <c r="AO1069" s="380"/>
      <c r="AP1069" s="378"/>
      <c r="AQ1069" s="381"/>
      <c r="AR1069" s="381"/>
      <c r="AS1069" s="381"/>
    </row>
    <row r="1070" spans="1:45" ht="17.25" thickBot="1" x14ac:dyDescent="0.3">
      <c r="A1070" s="467"/>
      <c r="B1070" s="372"/>
      <c r="C1070" s="373">
        <v>1146027</v>
      </c>
      <c r="D1070" s="374" t="s">
        <v>404</v>
      </c>
      <c r="E1070" s="375"/>
      <c r="F1070" s="376">
        <f>G1105-AK1070+AL1070</f>
        <v>2</v>
      </c>
      <c r="G1070" s="377">
        <v>2</v>
      </c>
      <c r="H1070" s="397">
        <v>2</v>
      </c>
      <c r="I1070" s="377">
        <v>1</v>
      </c>
      <c r="J1070" s="377"/>
      <c r="K1070" s="377">
        <v>1</v>
      </c>
      <c r="L1070" s="377"/>
      <c r="M1070" s="377"/>
      <c r="N1070" s="377"/>
      <c r="O1070" s="377"/>
      <c r="P1070" s="377"/>
      <c r="Q1070" s="377"/>
      <c r="R1070" s="377"/>
      <c r="S1070" s="377"/>
      <c r="T1070" s="377"/>
      <c r="U1070" s="377"/>
      <c r="V1070" s="377"/>
      <c r="W1070" s="377"/>
      <c r="X1070" s="377"/>
      <c r="Y1070" s="377"/>
      <c r="Z1070" s="377"/>
      <c r="AA1070" s="377"/>
      <c r="AB1070" s="377"/>
      <c r="AC1070" s="377"/>
      <c r="AD1070" s="377"/>
      <c r="AE1070" s="377"/>
      <c r="AF1070" s="377"/>
      <c r="AG1070" s="377"/>
      <c r="AH1070" s="377"/>
      <c r="AI1070" s="377"/>
      <c r="AJ1070" s="377"/>
      <c r="AK1070" s="377">
        <f>G1105+AL1070-G1070</f>
        <v>0</v>
      </c>
      <c r="AL1070" s="377"/>
      <c r="AM1070" s="378"/>
      <c r="AN1070" s="379"/>
      <c r="AO1070" s="380"/>
      <c r="AP1070" s="378"/>
      <c r="AQ1070" s="381"/>
      <c r="AR1070" s="381"/>
      <c r="AS1070" s="381"/>
    </row>
    <row r="1071" spans="1:45" ht="17.25" thickBot="1" x14ac:dyDescent="0.3">
      <c r="A1071" s="467"/>
      <c r="B1071" s="355" t="s">
        <v>418</v>
      </c>
      <c r="C1071" s="356"/>
      <c r="D1071" s="356"/>
      <c r="E1071" s="359"/>
      <c r="F1071" s="359"/>
      <c r="G1071" s="356"/>
      <c r="H1071" s="396"/>
      <c r="I1071" s="356"/>
      <c r="J1071" s="356"/>
      <c r="K1071" s="356"/>
      <c r="L1071" s="356"/>
      <c r="M1071" s="356"/>
      <c r="N1071" s="356"/>
      <c r="O1071" s="356"/>
      <c r="P1071" s="356"/>
      <c r="Q1071" s="356"/>
      <c r="R1071" s="356"/>
      <c r="S1071" s="356"/>
      <c r="T1071" s="356"/>
      <c r="U1071" s="356"/>
      <c r="V1071" s="356"/>
      <c r="W1071" s="356"/>
      <c r="X1071" s="356"/>
      <c r="Y1071" s="356"/>
      <c r="Z1071" s="356"/>
      <c r="AA1071" s="356"/>
      <c r="AB1071" s="356"/>
      <c r="AC1071" s="356"/>
      <c r="AD1071" s="356"/>
      <c r="AE1071" s="356"/>
      <c r="AF1071" s="356"/>
      <c r="AG1071" s="356"/>
      <c r="AH1071" s="356"/>
      <c r="AI1071" s="356"/>
      <c r="AJ1071" s="356"/>
      <c r="AK1071" s="356"/>
      <c r="AL1071" s="356"/>
      <c r="AM1071" s="356"/>
      <c r="AN1071" s="356"/>
      <c r="AO1071" s="356"/>
      <c r="AP1071" s="356"/>
      <c r="AQ1071" s="356"/>
      <c r="AR1071" s="356"/>
      <c r="AS1071" s="357"/>
    </row>
    <row r="1072" spans="1:45" ht="17.25" thickBot="1" x14ac:dyDescent="0.3">
      <c r="A1072" s="467"/>
      <c r="B1072" s="354"/>
      <c r="C1072" s="285">
        <v>1151653</v>
      </c>
      <c r="D1072" s="358" t="s">
        <v>405</v>
      </c>
      <c r="E1072" s="360"/>
      <c r="F1072" s="361">
        <f>G1107-AK1072+AL1072</f>
        <v>0</v>
      </c>
      <c r="G1072" s="364">
        <v>0</v>
      </c>
      <c r="H1072" s="397">
        <v>0</v>
      </c>
      <c r="I1072" s="364">
        <v>1</v>
      </c>
      <c r="J1072" s="364"/>
      <c r="K1072" s="364"/>
      <c r="L1072" s="218"/>
      <c r="M1072" s="218"/>
      <c r="N1072" s="218"/>
      <c r="O1072" s="218"/>
      <c r="P1072" s="352"/>
      <c r="Q1072" s="352"/>
      <c r="R1072" s="352"/>
      <c r="S1072" s="352"/>
      <c r="T1072" s="352"/>
      <c r="U1072" s="352"/>
      <c r="V1072" s="218"/>
      <c r="W1072" s="218"/>
      <c r="X1072" s="218"/>
      <c r="Y1072" s="218"/>
      <c r="Z1072" s="218"/>
      <c r="AA1072" s="218"/>
      <c r="AB1072" s="218"/>
      <c r="AC1072" s="218"/>
      <c r="AD1072" s="218"/>
      <c r="AE1072" s="218"/>
      <c r="AF1072" s="218"/>
      <c r="AG1072" s="218"/>
      <c r="AH1072" s="218"/>
      <c r="AI1072" s="218"/>
      <c r="AJ1072" s="218"/>
      <c r="AK1072" s="218">
        <f>G1107+AL1072-G1072</f>
        <v>0</v>
      </c>
      <c r="AL1072" s="218"/>
      <c r="AM1072" s="353"/>
      <c r="AN1072" s="295"/>
      <c r="AO1072" s="296"/>
      <c r="AP1072" s="353"/>
      <c r="AQ1072" s="290"/>
      <c r="AR1072" s="290"/>
      <c r="AS1072" s="290"/>
    </row>
    <row r="1073" spans="1:45" ht="17.25" thickBot="1" x14ac:dyDescent="0.3">
      <c r="A1073" s="467"/>
      <c r="B1073" s="354"/>
      <c r="C1073" s="285">
        <v>1151650</v>
      </c>
      <c r="D1073" s="358" t="s">
        <v>406</v>
      </c>
      <c r="E1073" s="360"/>
      <c r="F1073" s="361">
        <f>G1108-AK1073+AL1073</f>
        <v>1</v>
      </c>
      <c r="G1073" s="364">
        <v>1</v>
      </c>
      <c r="H1073" s="397">
        <v>1</v>
      </c>
      <c r="I1073" s="364"/>
      <c r="J1073" s="364"/>
      <c r="K1073" s="364">
        <v>5</v>
      </c>
      <c r="L1073" s="218"/>
      <c r="M1073" s="218"/>
      <c r="N1073" s="218"/>
      <c r="O1073" s="218"/>
      <c r="P1073" s="352"/>
      <c r="Q1073" s="352"/>
      <c r="R1073" s="352"/>
      <c r="S1073" s="352"/>
      <c r="T1073" s="352"/>
      <c r="U1073" s="352"/>
      <c r="V1073" s="218"/>
      <c r="W1073" s="218"/>
      <c r="X1073" s="218"/>
      <c r="Y1073" s="218"/>
      <c r="Z1073" s="218"/>
      <c r="AA1073" s="218"/>
      <c r="AB1073" s="218"/>
      <c r="AC1073" s="218"/>
      <c r="AD1073" s="218"/>
      <c r="AE1073" s="218"/>
      <c r="AF1073" s="218"/>
      <c r="AG1073" s="218"/>
      <c r="AH1073" s="218"/>
      <c r="AI1073" s="218"/>
      <c r="AJ1073" s="218"/>
      <c r="AK1073" s="218">
        <f>G1108+AL1073-G1073</f>
        <v>0</v>
      </c>
      <c r="AL1073" s="218"/>
      <c r="AM1073" s="353"/>
      <c r="AN1073" s="295"/>
      <c r="AO1073" s="296"/>
      <c r="AP1073" s="353"/>
      <c r="AQ1073" s="290"/>
      <c r="AR1073" s="290"/>
      <c r="AS1073" s="290"/>
    </row>
    <row r="1074" spans="1:45" ht="17.25" thickBot="1" x14ac:dyDescent="0.3">
      <c r="A1074" s="467"/>
      <c r="B1074" s="354"/>
      <c r="C1074" s="285">
        <v>1151649</v>
      </c>
      <c r="D1074" s="358" t="s">
        <v>407</v>
      </c>
      <c r="E1074" s="360"/>
      <c r="F1074" s="361">
        <f>G1109-AK1074+AL1074</f>
        <v>2</v>
      </c>
      <c r="G1074" s="364">
        <v>2</v>
      </c>
      <c r="H1074" s="397">
        <v>2</v>
      </c>
      <c r="I1074" s="364" t="s">
        <v>493</v>
      </c>
      <c r="J1074" s="364"/>
      <c r="K1074" s="364">
        <v>0</v>
      </c>
      <c r="L1074" s="218"/>
      <c r="M1074" s="218"/>
      <c r="N1074" s="218"/>
      <c r="O1074" s="218"/>
      <c r="P1074" s="352"/>
      <c r="Q1074" s="352"/>
      <c r="R1074" s="352"/>
      <c r="S1074" s="352"/>
      <c r="T1074" s="352"/>
      <c r="U1074" s="352"/>
      <c r="V1074" s="218"/>
      <c r="W1074" s="218"/>
      <c r="X1074" s="218"/>
      <c r="Y1074" s="218"/>
      <c r="Z1074" s="218"/>
      <c r="AA1074" s="218"/>
      <c r="AB1074" s="218"/>
      <c r="AC1074" s="218"/>
      <c r="AD1074" s="218"/>
      <c r="AE1074" s="218"/>
      <c r="AF1074" s="218"/>
      <c r="AG1074" s="218"/>
      <c r="AH1074" s="218"/>
      <c r="AI1074" s="218"/>
      <c r="AJ1074" s="218"/>
      <c r="AK1074" s="218">
        <f>G1109+AL1074-G1074</f>
        <v>0</v>
      </c>
      <c r="AL1074" s="218"/>
      <c r="AM1074" s="353"/>
      <c r="AN1074" s="295"/>
      <c r="AO1074" s="296"/>
      <c r="AP1074" s="353"/>
      <c r="AQ1074" s="290"/>
      <c r="AR1074" s="290"/>
      <c r="AS1074" s="290"/>
    </row>
    <row r="1075" spans="1:45" ht="17.25" thickBot="1" x14ac:dyDescent="0.3">
      <c r="A1075" s="467"/>
      <c r="B1075" s="354"/>
      <c r="C1075" s="285">
        <v>1151651</v>
      </c>
      <c r="D1075" s="358" t="s">
        <v>408</v>
      </c>
      <c r="E1075" s="360"/>
      <c r="F1075" s="361">
        <f>G1110-AK1075+AL1075</f>
        <v>3</v>
      </c>
      <c r="G1075" s="369">
        <v>3</v>
      </c>
      <c r="H1075" s="369">
        <v>0</v>
      </c>
      <c r="I1075" s="369">
        <v>3</v>
      </c>
      <c r="J1075" s="369"/>
      <c r="K1075" s="369"/>
      <c r="L1075" s="218"/>
      <c r="M1075" s="218"/>
      <c r="N1075" s="218"/>
      <c r="O1075" s="218"/>
      <c r="P1075" s="352"/>
      <c r="Q1075" s="352"/>
      <c r="R1075" s="352"/>
      <c r="S1075" s="352"/>
      <c r="T1075" s="352"/>
      <c r="U1075" s="352"/>
      <c r="V1075" s="218"/>
      <c r="W1075" s="218"/>
      <c r="X1075" s="218"/>
      <c r="Y1075" s="218"/>
      <c r="Z1075" s="218">
        <v>2</v>
      </c>
      <c r="AA1075" s="218"/>
      <c r="AB1075" s="218"/>
      <c r="AC1075" s="218"/>
      <c r="AD1075" s="218"/>
      <c r="AE1075" s="218"/>
      <c r="AF1075" s="218"/>
      <c r="AG1075" s="218"/>
      <c r="AH1075" s="218"/>
      <c r="AI1075" s="218"/>
      <c r="AJ1075" s="218"/>
      <c r="AK1075" s="218">
        <f>G1110+AL1075-G1075</f>
        <v>0</v>
      </c>
      <c r="AL1075" s="218"/>
      <c r="AM1075" s="353"/>
      <c r="AN1075" s="295"/>
      <c r="AO1075" s="296"/>
      <c r="AP1075" s="353"/>
      <c r="AQ1075" s="290"/>
      <c r="AR1075" s="290"/>
      <c r="AS1075" s="290"/>
    </row>
    <row r="1076" spans="1:45" ht="17.25" thickBot="1" x14ac:dyDescent="0.3">
      <c r="A1076" s="467"/>
      <c r="B1076" s="354"/>
      <c r="C1076" s="285">
        <v>1146029</v>
      </c>
      <c r="D1076" s="358" t="s">
        <v>409</v>
      </c>
      <c r="E1076" s="360"/>
      <c r="F1076" s="361">
        <f>G1111-AK1076+AL1076</f>
        <v>2</v>
      </c>
      <c r="G1076" s="369">
        <v>2</v>
      </c>
      <c r="H1076" s="369">
        <v>1</v>
      </c>
      <c r="I1076" s="369">
        <v>2</v>
      </c>
      <c r="J1076" s="369"/>
      <c r="K1076" s="369">
        <v>1</v>
      </c>
      <c r="L1076" s="218"/>
      <c r="M1076" s="218"/>
      <c r="N1076" s="218"/>
      <c r="O1076" s="218"/>
      <c r="P1076" s="352"/>
      <c r="Q1076" s="352"/>
      <c r="R1076" s="352"/>
      <c r="S1076" s="352"/>
      <c r="T1076" s="352"/>
      <c r="U1076" s="352"/>
      <c r="V1076" s="218"/>
      <c r="W1076" s="218"/>
      <c r="X1076" s="218"/>
      <c r="Y1076" s="218"/>
      <c r="Z1076" s="218"/>
      <c r="AA1076" s="218"/>
      <c r="AB1076" s="218"/>
      <c r="AC1076" s="218"/>
      <c r="AD1076" s="218"/>
      <c r="AE1076" s="218"/>
      <c r="AF1076" s="218"/>
      <c r="AG1076" s="218"/>
      <c r="AH1076" s="218"/>
      <c r="AI1076" s="218"/>
      <c r="AJ1076" s="218"/>
      <c r="AK1076" s="218">
        <f>G1111+AL1076-G1076</f>
        <v>0</v>
      </c>
      <c r="AL1076" s="218"/>
      <c r="AM1076" s="353"/>
      <c r="AN1076" s="295"/>
      <c r="AO1076" s="296"/>
      <c r="AP1076" s="353"/>
      <c r="AQ1076" s="290"/>
      <c r="AR1076" s="290"/>
      <c r="AS1076" s="290"/>
    </row>
    <row r="1077" spans="1:45" ht="17.25" thickBot="1" x14ac:dyDescent="0.3">
      <c r="A1077" s="467"/>
      <c r="B1077" s="355" t="s">
        <v>410</v>
      </c>
      <c r="C1077" s="356"/>
      <c r="D1077" s="356"/>
      <c r="E1077" s="359"/>
      <c r="F1077" s="359"/>
      <c r="G1077" s="356"/>
      <c r="H1077" s="396"/>
      <c r="I1077" s="356"/>
      <c r="J1077" s="356"/>
      <c r="K1077" s="356"/>
      <c r="L1077" s="356"/>
      <c r="M1077" s="356"/>
      <c r="N1077" s="356"/>
      <c r="O1077" s="356"/>
      <c r="P1077" s="356"/>
      <c r="Q1077" s="356"/>
      <c r="R1077" s="356"/>
      <c r="S1077" s="356"/>
      <c r="T1077" s="356"/>
      <c r="U1077" s="356"/>
      <c r="V1077" s="356"/>
      <c r="W1077" s="356"/>
      <c r="X1077" s="356"/>
      <c r="Y1077" s="356"/>
      <c r="Z1077" s="356"/>
      <c r="AA1077" s="356"/>
      <c r="AB1077" s="356"/>
      <c r="AC1077" s="356"/>
      <c r="AD1077" s="356"/>
      <c r="AE1077" s="356"/>
      <c r="AF1077" s="356"/>
      <c r="AG1077" s="356"/>
      <c r="AH1077" s="356"/>
      <c r="AI1077" s="356"/>
      <c r="AJ1077" s="356"/>
      <c r="AK1077" s="356"/>
      <c r="AL1077" s="356"/>
      <c r="AM1077" s="356"/>
      <c r="AN1077" s="356"/>
      <c r="AO1077" s="356"/>
      <c r="AP1077" s="356"/>
      <c r="AQ1077" s="356"/>
      <c r="AR1077" s="356"/>
      <c r="AS1077" s="357"/>
    </row>
    <row r="1078" spans="1:45" ht="17.25" thickBot="1" x14ac:dyDescent="0.3">
      <c r="A1078" s="467"/>
      <c r="B1078" s="354"/>
      <c r="C1078" s="285">
        <v>1699118</v>
      </c>
      <c r="D1078" s="358" t="s">
        <v>411</v>
      </c>
      <c r="E1078" s="360"/>
      <c r="F1078" s="361">
        <f>G1113-AK1078+AL1078</f>
        <v>0</v>
      </c>
      <c r="G1078" s="364">
        <v>0</v>
      </c>
      <c r="H1078" s="397">
        <v>0</v>
      </c>
      <c r="I1078" s="364"/>
      <c r="J1078" s="364"/>
      <c r="K1078" s="364"/>
      <c r="L1078" s="218"/>
      <c r="M1078" s="218"/>
      <c r="N1078" s="218"/>
      <c r="O1078" s="218"/>
      <c r="P1078" s="352"/>
      <c r="Q1078" s="352"/>
      <c r="R1078" s="352"/>
      <c r="S1078" s="352"/>
      <c r="T1078" s="352"/>
      <c r="U1078" s="352"/>
      <c r="V1078" s="218"/>
      <c r="W1078" s="218"/>
      <c r="X1078" s="218"/>
      <c r="Y1078" s="218"/>
      <c r="Z1078" s="218"/>
      <c r="AA1078" s="218"/>
      <c r="AB1078" s="218"/>
      <c r="AC1078" s="218"/>
      <c r="AD1078" s="218"/>
      <c r="AE1078" s="218"/>
      <c r="AF1078" s="218"/>
      <c r="AG1078" s="218"/>
      <c r="AH1078" s="218"/>
      <c r="AI1078" s="218"/>
      <c r="AJ1078" s="218"/>
      <c r="AK1078" s="218">
        <f>G1113+AL1078-G1078</f>
        <v>0</v>
      </c>
      <c r="AL1078" s="218"/>
      <c r="AM1078" s="353"/>
      <c r="AN1078" s="295"/>
      <c r="AO1078" s="296"/>
      <c r="AP1078" s="353"/>
      <c r="AQ1078" s="290"/>
      <c r="AR1078" s="290"/>
      <c r="AS1078" s="290"/>
    </row>
    <row r="1079" spans="1:45" ht="17.25" thickBot="1" x14ac:dyDescent="0.3">
      <c r="A1079" s="467"/>
      <c r="B1079" s="354"/>
      <c r="C1079" s="285">
        <v>1699119</v>
      </c>
      <c r="D1079" s="358" t="s">
        <v>412</v>
      </c>
      <c r="E1079" s="360"/>
      <c r="F1079" s="361">
        <f>G1114-AK1079+AL1079</f>
        <v>2</v>
      </c>
      <c r="G1079" s="369">
        <v>2</v>
      </c>
      <c r="H1079" s="369">
        <v>0</v>
      </c>
      <c r="I1079" s="369">
        <v>2</v>
      </c>
      <c r="J1079" s="369"/>
      <c r="K1079" s="369"/>
      <c r="L1079" s="218"/>
      <c r="M1079" s="218"/>
      <c r="N1079" s="218"/>
      <c r="O1079" s="218"/>
      <c r="P1079" s="352"/>
      <c r="Q1079" s="352"/>
      <c r="R1079" s="352"/>
      <c r="S1079" s="352"/>
      <c r="T1079" s="352"/>
      <c r="U1079" s="352"/>
      <c r="V1079" s="218"/>
      <c r="W1079" s="218"/>
      <c r="X1079" s="218"/>
      <c r="Y1079" s="218"/>
      <c r="Z1079" s="218"/>
      <c r="AA1079" s="218"/>
      <c r="AB1079" s="218"/>
      <c r="AC1079" s="218"/>
      <c r="AD1079" s="218"/>
      <c r="AE1079" s="218"/>
      <c r="AF1079" s="218"/>
      <c r="AG1079" s="218"/>
      <c r="AH1079" s="218"/>
      <c r="AI1079" s="218"/>
      <c r="AJ1079" s="218"/>
      <c r="AK1079" s="218">
        <f>G1114+AL1079-G1079</f>
        <v>0</v>
      </c>
      <c r="AL1079" s="218"/>
      <c r="AM1079" s="353"/>
      <c r="AN1079" s="295"/>
      <c r="AO1079" s="296"/>
      <c r="AP1079" s="353"/>
      <c r="AQ1079" s="290"/>
      <c r="AR1079" s="290"/>
      <c r="AS1079" s="290"/>
    </row>
    <row r="1080" spans="1:45" ht="17.25" thickBot="1" x14ac:dyDescent="0.3">
      <c r="A1080" s="467"/>
      <c r="B1080" s="354"/>
      <c r="C1080" s="285">
        <v>1699130</v>
      </c>
      <c r="D1080" s="358" t="s">
        <v>413</v>
      </c>
      <c r="E1080" s="360"/>
      <c r="F1080" s="361">
        <f>G1115-AK1080+AL1080</f>
        <v>2</v>
      </c>
      <c r="G1080" s="369">
        <v>2</v>
      </c>
      <c r="H1080" s="369">
        <v>0</v>
      </c>
      <c r="I1080" s="369">
        <v>2</v>
      </c>
      <c r="J1080" s="369"/>
      <c r="K1080" s="369"/>
      <c r="L1080" s="218"/>
      <c r="M1080" s="218"/>
      <c r="N1080" s="218"/>
      <c r="O1080" s="218"/>
      <c r="P1080" s="352"/>
      <c r="Q1080" s="352"/>
      <c r="R1080" s="352"/>
      <c r="S1080" s="352"/>
      <c r="T1080" s="352"/>
      <c r="U1080" s="352"/>
      <c r="V1080" s="218"/>
      <c r="W1080" s="218"/>
      <c r="X1080" s="218"/>
      <c r="Y1080" s="218"/>
      <c r="Z1080" s="218"/>
      <c r="AA1080" s="218"/>
      <c r="AB1080" s="218"/>
      <c r="AC1080" s="218"/>
      <c r="AD1080" s="218"/>
      <c r="AE1080" s="218"/>
      <c r="AF1080" s="218"/>
      <c r="AG1080" s="218"/>
      <c r="AH1080" s="218"/>
      <c r="AI1080" s="218"/>
      <c r="AJ1080" s="218"/>
      <c r="AK1080" s="218">
        <f>G1115+AL1080-G1080</f>
        <v>0</v>
      </c>
      <c r="AL1080" s="218"/>
      <c r="AM1080" s="353"/>
      <c r="AN1080" s="295"/>
      <c r="AO1080" s="296"/>
      <c r="AP1080" s="353"/>
      <c r="AQ1080" s="290"/>
      <c r="AR1080" s="290"/>
      <c r="AS1080" s="290"/>
    </row>
    <row r="1081" spans="1:45" ht="17.25" thickBot="1" x14ac:dyDescent="0.3">
      <c r="A1081" s="467"/>
      <c r="B1081" s="354"/>
      <c r="C1081" s="285">
        <v>1699131</v>
      </c>
      <c r="D1081" s="358" t="s">
        <v>414</v>
      </c>
      <c r="E1081" s="360"/>
      <c r="F1081" s="361">
        <f>G1116-AK1081+AL1081</f>
        <v>2</v>
      </c>
      <c r="G1081" s="369">
        <v>2</v>
      </c>
      <c r="H1081" s="369">
        <v>0</v>
      </c>
      <c r="I1081" s="369">
        <v>1</v>
      </c>
      <c r="J1081" s="369"/>
      <c r="K1081" s="369"/>
      <c r="L1081" s="218"/>
      <c r="M1081" s="218"/>
      <c r="N1081" s="218"/>
      <c r="O1081" s="218"/>
      <c r="P1081" s="352"/>
      <c r="Q1081" s="352"/>
      <c r="R1081" s="352"/>
      <c r="S1081" s="352"/>
      <c r="T1081" s="352"/>
      <c r="U1081" s="352"/>
      <c r="V1081" s="218"/>
      <c r="W1081" s="218"/>
      <c r="X1081" s="218"/>
      <c r="Y1081" s="218"/>
      <c r="Z1081" s="218"/>
      <c r="AA1081" s="218"/>
      <c r="AB1081" s="218"/>
      <c r="AC1081" s="218"/>
      <c r="AD1081" s="218"/>
      <c r="AE1081" s="218"/>
      <c r="AF1081" s="218"/>
      <c r="AG1081" s="218"/>
      <c r="AH1081" s="218"/>
      <c r="AI1081" s="218"/>
      <c r="AJ1081" s="218"/>
      <c r="AK1081" s="218">
        <f>G1116+AL1081-G1081</f>
        <v>0</v>
      </c>
      <c r="AL1081" s="369">
        <v>2</v>
      </c>
      <c r="AM1081" s="353"/>
      <c r="AN1081" s="295"/>
      <c r="AO1081" s="296"/>
      <c r="AP1081" s="353"/>
      <c r="AQ1081" s="290"/>
      <c r="AR1081" s="290"/>
      <c r="AS1081" s="290"/>
    </row>
    <row r="1082" spans="1:45" ht="17.25" thickBot="1" x14ac:dyDescent="0.3">
      <c r="A1082" s="468"/>
      <c r="B1082" s="354"/>
      <c r="C1082" s="285">
        <v>1699132</v>
      </c>
      <c r="D1082" s="358" t="s">
        <v>415</v>
      </c>
      <c r="E1082" s="285"/>
      <c r="F1082" s="362">
        <f>G1117-AK1082+AL1082</f>
        <v>0</v>
      </c>
      <c r="G1082" s="364">
        <v>0</v>
      </c>
      <c r="H1082" s="397">
        <v>0</v>
      </c>
      <c r="I1082" s="364">
        <v>2</v>
      </c>
      <c r="J1082" s="364"/>
      <c r="K1082" s="364"/>
      <c r="L1082" s="218"/>
      <c r="M1082" s="218"/>
      <c r="N1082" s="218"/>
      <c r="O1082" s="218"/>
      <c r="P1082" s="352"/>
      <c r="Q1082" s="352"/>
      <c r="R1082" s="352"/>
      <c r="S1082" s="352"/>
      <c r="T1082" s="352"/>
      <c r="U1082" s="352"/>
      <c r="V1082" s="218"/>
      <c r="W1082" s="218"/>
      <c r="X1082" s="218"/>
      <c r="Y1082" s="218"/>
      <c r="Z1082" s="218"/>
      <c r="AA1082" s="218"/>
      <c r="AB1082" s="218"/>
      <c r="AC1082" s="218"/>
      <c r="AD1082" s="218"/>
      <c r="AE1082" s="218"/>
      <c r="AF1082" s="218"/>
      <c r="AG1082" s="218"/>
      <c r="AH1082" s="218"/>
      <c r="AI1082" s="218"/>
      <c r="AJ1082" s="218"/>
      <c r="AK1082" s="218">
        <f>G1117+AL1082-G1082</f>
        <v>0</v>
      </c>
      <c r="AL1082" s="218"/>
      <c r="AM1082" s="353"/>
      <c r="AN1082" s="295"/>
      <c r="AO1082" s="296"/>
      <c r="AP1082" s="353"/>
      <c r="AQ1082" s="290"/>
      <c r="AR1082" s="290"/>
      <c r="AS1082" s="290"/>
    </row>
    <row r="1083" spans="1:45" x14ac:dyDescent="0.25">
      <c r="AL1083" s="290"/>
      <c r="AM1083" s="290"/>
      <c r="AN1083" s="290"/>
      <c r="AO1083" s="290"/>
      <c r="AP1083" s="290"/>
      <c r="AQ1083" s="290"/>
      <c r="AR1083" s="290"/>
    </row>
    <row r="1084" spans="1:45" ht="14.25" thickBot="1" x14ac:dyDescent="0.3">
      <c r="B1084" s="338" t="s">
        <v>18</v>
      </c>
      <c r="C1084" s="339">
        <v>45635</v>
      </c>
      <c r="AL1084" s="290"/>
      <c r="AM1084" s="290"/>
      <c r="AN1084" s="290"/>
      <c r="AO1084" s="290"/>
      <c r="AP1084" s="290"/>
      <c r="AQ1084" s="290"/>
      <c r="AR1084" s="290"/>
    </row>
    <row r="1085" spans="1:45" ht="41.25" thickBot="1" x14ac:dyDescent="0.3">
      <c r="B1085" s="283" t="s">
        <v>0</v>
      </c>
      <c r="C1085" s="284" t="s">
        <v>1</v>
      </c>
      <c r="D1085" s="284" t="s">
        <v>2</v>
      </c>
      <c r="E1085" s="284" t="s">
        <v>3</v>
      </c>
      <c r="F1085" s="4" t="s">
        <v>318</v>
      </c>
      <c r="G1085" s="351" t="s">
        <v>495</v>
      </c>
      <c r="H1085" s="382" t="s">
        <v>460</v>
      </c>
      <c r="I1085" s="234" t="s">
        <v>496</v>
      </c>
      <c r="J1085" s="234"/>
      <c r="K1085" s="258" t="s">
        <v>497</v>
      </c>
      <c r="L1085" s="258" t="s">
        <v>328</v>
      </c>
      <c r="M1085" s="258" t="s">
        <v>327</v>
      </c>
      <c r="N1085" s="234" t="s">
        <v>389</v>
      </c>
      <c r="O1085" s="240" t="s">
        <v>130</v>
      </c>
      <c r="P1085" s="243" t="s">
        <v>303</v>
      </c>
      <c r="Q1085" s="244" t="s">
        <v>304</v>
      </c>
      <c r="R1085" s="244" t="s">
        <v>314</v>
      </c>
      <c r="S1085" s="245" t="s">
        <v>338</v>
      </c>
      <c r="T1085" s="245" t="s">
        <v>345</v>
      </c>
      <c r="U1085" s="245" t="s">
        <v>361</v>
      </c>
      <c r="V1085" s="245" t="s">
        <v>387</v>
      </c>
      <c r="W1085" s="245" t="s">
        <v>421</v>
      </c>
      <c r="X1085" s="245" t="s">
        <v>452</v>
      </c>
      <c r="Y1085" s="245" t="s">
        <v>463</v>
      </c>
      <c r="Z1085" s="245" t="s">
        <v>481</v>
      </c>
      <c r="AA1085" s="245" t="s">
        <v>498</v>
      </c>
      <c r="AB1085" s="245"/>
      <c r="AC1085" s="245"/>
      <c r="AD1085" s="245"/>
      <c r="AE1085" s="245"/>
      <c r="AF1085" s="245"/>
      <c r="AG1085" s="245"/>
      <c r="AH1085" s="245"/>
      <c r="AI1085" s="245"/>
      <c r="AJ1085" s="245" t="s">
        <v>360</v>
      </c>
      <c r="AK1085" s="246" t="s">
        <v>268</v>
      </c>
      <c r="AL1085" s="247" t="s">
        <v>269</v>
      </c>
      <c r="AM1085" s="291" t="s">
        <v>288</v>
      </c>
      <c r="AN1085" s="292" t="s">
        <v>289</v>
      </c>
      <c r="AO1085" s="292" t="s">
        <v>287</v>
      </c>
      <c r="AP1085" s="293" t="s">
        <v>290</v>
      </c>
      <c r="AQ1085" s="290" t="s">
        <v>306</v>
      </c>
      <c r="AR1085" s="290" t="s">
        <v>310</v>
      </c>
      <c r="AS1085" s="290" t="s">
        <v>311</v>
      </c>
    </row>
    <row r="1086" spans="1:45" ht="17.25" thickBot="1" x14ac:dyDescent="0.3">
      <c r="A1086" s="463" t="s">
        <v>416</v>
      </c>
      <c r="B1086" s="285">
        <v>273664</v>
      </c>
      <c r="C1086" s="286">
        <v>1135749</v>
      </c>
      <c r="D1086" s="286" t="s">
        <v>7</v>
      </c>
      <c r="E1086" s="286">
        <v>6060050026</v>
      </c>
      <c r="F1086" s="253">
        <f>G1121-AK1086+AL1086</f>
        <v>5</v>
      </c>
      <c r="G1086" s="235">
        <v>5</v>
      </c>
      <c r="H1086" s="394">
        <v>7</v>
      </c>
      <c r="I1086" s="232">
        <v>7</v>
      </c>
      <c r="J1086" s="232"/>
      <c r="K1086" s="232">
        <v>0</v>
      </c>
      <c r="L1086" s="232">
        <f>IF(K1120=K1085,L1121+AK1086,K1086)</f>
        <v>0</v>
      </c>
      <c r="M1086" s="232">
        <f>IF(K1120=K1085,0,L1121+AK1086-K1086)</f>
        <v>2</v>
      </c>
      <c r="N1086" s="267">
        <v>5</v>
      </c>
      <c r="O1086" s="241">
        <f>N1086-G1086</f>
        <v>0</v>
      </c>
      <c r="P1086" s="277">
        <v>4</v>
      </c>
      <c r="Q1086" s="278">
        <v>4</v>
      </c>
      <c r="R1086" s="279"/>
      <c r="S1086" s="279">
        <v>3</v>
      </c>
      <c r="T1086" s="279">
        <v>4</v>
      </c>
      <c r="U1086" s="279">
        <v>2</v>
      </c>
      <c r="V1086" s="279"/>
      <c r="W1086" s="279">
        <f>2+3</f>
        <v>5</v>
      </c>
      <c r="X1086" s="241"/>
      <c r="Y1086" s="241"/>
      <c r="Z1086" s="241"/>
      <c r="AA1086" s="241">
        <v>2</v>
      </c>
      <c r="AB1086" s="241"/>
      <c r="AC1086" s="241"/>
      <c r="AD1086" s="241"/>
      <c r="AE1086" s="241"/>
      <c r="AF1086" s="241"/>
      <c r="AG1086" s="241"/>
      <c r="AH1086" s="241"/>
      <c r="AI1086" s="241"/>
      <c r="AJ1086" s="241">
        <f>N1086-V1086</f>
        <v>5</v>
      </c>
      <c r="AK1086" s="235">
        <f>G1121+AL1086-G1086</f>
        <v>2</v>
      </c>
      <c r="AL1086" s="350"/>
      <c r="AM1086" s="294">
        <v>1.5</v>
      </c>
      <c r="AN1086" s="295">
        <v>4</v>
      </c>
      <c r="AO1086" s="296">
        <f>G1086/(AN1086)</f>
        <v>1.25</v>
      </c>
      <c r="AP1086" s="297">
        <f>AN1086*6</f>
        <v>24</v>
      </c>
      <c r="AQ1086" s="290">
        <f>G1086+K1086</f>
        <v>5</v>
      </c>
      <c r="AR1086" s="290">
        <f>IF(G1086&lt;G1121,(G1121-G1086+K1121-K1086),K1121-K1086)</f>
        <v>2</v>
      </c>
      <c r="AS1086" s="290">
        <f>21-8</f>
        <v>13</v>
      </c>
    </row>
    <row r="1087" spans="1:45" ht="17.25" thickBot="1" x14ac:dyDescent="0.3">
      <c r="A1087" s="464"/>
      <c r="B1087" s="285">
        <v>273672</v>
      </c>
      <c r="C1087" s="286">
        <v>1135750</v>
      </c>
      <c r="D1087" s="286" t="s">
        <v>9</v>
      </c>
      <c r="E1087" s="287">
        <v>204000000000</v>
      </c>
      <c r="F1087" s="253">
        <f>G1122-AK1087+AL1087</f>
        <v>25</v>
      </c>
      <c r="G1087" s="235">
        <v>25</v>
      </c>
      <c r="H1087" s="394">
        <v>15</v>
      </c>
      <c r="I1087" s="232">
        <f>16+10+5</f>
        <v>31</v>
      </c>
      <c r="J1087" s="232"/>
      <c r="K1087" s="232">
        <v>1</v>
      </c>
      <c r="L1087" s="232">
        <f>IF(K1120=K1085,L1122+AK1087,K1087)</f>
        <v>1</v>
      </c>
      <c r="M1087" s="232">
        <f>IF(K1120=K1085,0,L1122+AK1087-K1087)</f>
        <v>10</v>
      </c>
      <c r="N1087" s="267">
        <v>10</v>
      </c>
      <c r="O1087" s="241">
        <f>N1087-G1087</f>
        <v>-15</v>
      </c>
      <c r="P1087" s="277">
        <v>13</v>
      </c>
      <c r="Q1087" s="278">
        <v>2</v>
      </c>
      <c r="R1087" s="279">
        <v>6</v>
      </c>
      <c r="S1087" s="279">
        <v>6</v>
      </c>
      <c r="T1087" s="279">
        <v>10</v>
      </c>
      <c r="U1087" s="279">
        <v>4</v>
      </c>
      <c r="V1087" s="279">
        <v>6</v>
      </c>
      <c r="W1087" s="279">
        <v>16</v>
      </c>
      <c r="X1087" s="241"/>
      <c r="Y1087" s="241">
        <v>6</v>
      </c>
      <c r="Z1087" s="241">
        <v>4</v>
      </c>
      <c r="AA1087" s="241">
        <v>6</v>
      </c>
      <c r="AB1087" s="241"/>
      <c r="AC1087" s="241"/>
      <c r="AD1087" s="241"/>
      <c r="AE1087" s="241"/>
      <c r="AF1087" s="241"/>
      <c r="AG1087" s="241"/>
      <c r="AH1087" s="241"/>
      <c r="AI1087" s="241"/>
      <c r="AJ1087" s="241">
        <f>N1087-V1087</f>
        <v>4</v>
      </c>
      <c r="AK1087" s="235">
        <f>G1122+AL1087-G1087</f>
        <v>6</v>
      </c>
      <c r="AL1087" s="236"/>
      <c r="AM1087" s="298">
        <v>4.2</v>
      </c>
      <c r="AN1087" s="295">
        <v>9</v>
      </c>
      <c r="AO1087" s="296">
        <f>G1087/(AN1087)</f>
        <v>2.7777777777777777</v>
      </c>
      <c r="AP1087" s="297">
        <f>AN1087*6</f>
        <v>54</v>
      </c>
      <c r="AQ1087" s="290">
        <f>G1087+K1087</f>
        <v>26</v>
      </c>
      <c r="AR1087" s="290">
        <f>IF(G1087&lt;G1122,(G1122-G1087+K1122-K1087),K1122-K1087)</f>
        <v>10</v>
      </c>
      <c r="AS1087" s="290">
        <f>21-8</f>
        <v>13</v>
      </c>
    </row>
    <row r="1088" spans="1:45" ht="17.25" thickBot="1" x14ac:dyDescent="0.3">
      <c r="A1088" s="464"/>
      <c r="B1088" s="285">
        <v>273702</v>
      </c>
      <c r="C1088" s="286">
        <v>1135753</v>
      </c>
      <c r="D1088" s="286" t="s">
        <v>10</v>
      </c>
      <c r="E1088" s="287">
        <v>301000000000</v>
      </c>
      <c r="F1088" s="253">
        <f>G1123-AK1088+AL1088</f>
        <v>2</v>
      </c>
      <c r="G1088" s="235">
        <v>2</v>
      </c>
      <c r="H1088" s="394">
        <v>2</v>
      </c>
      <c r="I1088" s="232">
        <v>2</v>
      </c>
      <c r="J1088" s="232"/>
      <c r="K1088" s="232">
        <v>1</v>
      </c>
      <c r="L1088" s="232">
        <f>IF(K1120=K1085,L1123+AK1088,K1088)</f>
        <v>1</v>
      </c>
      <c r="M1088" s="232">
        <f>IF(K1120=K1085,0,L1123+AK1088-K1088)</f>
        <v>0</v>
      </c>
      <c r="N1088" s="232">
        <v>2</v>
      </c>
      <c r="O1088" s="241">
        <f>N1088-G1088</f>
        <v>0</v>
      </c>
      <c r="P1088" s="277"/>
      <c r="Q1088" s="278"/>
      <c r="R1088" s="279"/>
      <c r="S1088" s="279"/>
      <c r="T1088" s="279"/>
      <c r="U1088" s="279"/>
      <c r="V1088" s="279"/>
      <c r="W1088" s="279"/>
      <c r="X1088" s="241"/>
      <c r="Y1088" s="241"/>
      <c r="Z1088" s="241"/>
      <c r="AA1088" s="241"/>
      <c r="AB1088" s="241"/>
      <c r="AC1088" s="241"/>
      <c r="AD1088" s="241"/>
      <c r="AE1088" s="241"/>
      <c r="AF1088" s="241"/>
      <c r="AG1088" s="241"/>
      <c r="AH1088" s="241"/>
      <c r="AI1088" s="241"/>
      <c r="AJ1088" s="241">
        <f>N1088-V1088</f>
        <v>2</v>
      </c>
      <c r="AK1088" s="235">
        <f>G1123+AL1088-G1088</f>
        <v>0</v>
      </c>
      <c r="AL1088" s="236"/>
      <c r="AM1088" s="294">
        <f>4/12</f>
        <v>0.33333333333333331</v>
      </c>
      <c r="AN1088" s="295">
        <v>2</v>
      </c>
      <c r="AO1088" s="296">
        <f>G1088/(AN1088)</f>
        <v>1</v>
      </c>
      <c r="AP1088" s="297">
        <f>AN1088*6</f>
        <v>12</v>
      </c>
      <c r="AQ1088" s="290">
        <f>G1088+K1088</f>
        <v>3</v>
      </c>
      <c r="AR1088" s="290">
        <f>IF(G1088&lt;G1123,(G1123-G1088+K1123-K1088),K1123-K1088)</f>
        <v>0</v>
      </c>
      <c r="AS1088" s="290">
        <f>21-8</f>
        <v>13</v>
      </c>
    </row>
    <row r="1089" spans="1:45" ht="17.25" thickBot="1" x14ac:dyDescent="0.3">
      <c r="A1089" s="464"/>
      <c r="B1089" s="285">
        <v>273698</v>
      </c>
      <c r="C1089" s="286">
        <v>1135752</v>
      </c>
      <c r="D1089" s="286" t="s">
        <v>11</v>
      </c>
      <c r="E1089" s="287">
        <v>701000000000</v>
      </c>
      <c r="F1089" s="253">
        <f>G1124-AK1089+AL1089</f>
        <v>2</v>
      </c>
      <c r="G1089" s="235">
        <v>2</v>
      </c>
      <c r="H1089" s="394">
        <v>2</v>
      </c>
      <c r="I1089" s="232">
        <v>3</v>
      </c>
      <c r="J1089" s="232"/>
      <c r="K1089" s="232">
        <v>0</v>
      </c>
      <c r="L1089" s="232">
        <f>IF(K1120=K1085,L1124+AK1089,K1089)</f>
        <v>0</v>
      </c>
      <c r="M1089" s="232">
        <f>IF(K1120=K1085,0,L1124+AK1089-K1089)</f>
        <v>0</v>
      </c>
      <c r="N1089" s="232">
        <v>3</v>
      </c>
      <c r="O1089" s="241">
        <f>N1089-G1089</f>
        <v>1</v>
      </c>
      <c r="P1089" s="277">
        <v>2</v>
      </c>
      <c r="Q1089" s="278"/>
      <c r="R1089" s="279"/>
      <c r="S1089" s="279"/>
      <c r="T1089" s="279"/>
      <c r="U1089" s="279"/>
      <c r="V1089" s="279"/>
      <c r="W1089" s="279">
        <v>1</v>
      </c>
      <c r="X1089" s="241"/>
      <c r="Y1089" s="241"/>
      <c r="Z1089" s="241"/>
      <c r="AA1089" s="241"/>
      <c r="AB1089" s="241"/>
      <c r="AC1089" s="241"/>
      <c r="AD1089" s="241"/>
      <c r="AE1089" s="241"/>
      <c r="AF1089" s="241"/>
      <c r="AG1089" s="241"/>
      <c r="AH1089" s="241"/>
      <c r="AI1089" s="241"/>
      <c r="AJ1089" s="241">
        <f>N1089-V1089</f>
        <v>3</v>
      </c>
      <c r="AK1089" s="235">
        <f>G1124+AL1089-G1089</f>
        <v>0</v>
      </c>
      <c r="AL1089" s="236"/>
      <c r="AM1089" s="294">
        <f>4/12</f>
        <v>0.33333333333333331</v>
      </c>
      <c r="AN1089" s="295">
        <v>2</v>
      </c>
      <c r="AO1089" s="296">
        <f>G1089/(AN1089)</f>
        <v>1</v>
      </c>
      <c r="AP1089" s="297">
        <f>AN1089*6</f>
        <v>12</v>
      </c>
      <c r="AQ1089" s="290">
        <f>G1089+K1089</f>
        <v>2</v>
      </c>
      <c r="AR1089" s="290">
        <f>IF(G1089&lt;G1124,(G1124-G1089+K1124-K1089),K1124-K1089)</f>
        <v>0</v>
      </c>
      <c r="AS1089" s="290">
        <f>21-8</f>
        <v>13</v>
      </c>
    </row>
    <row r="1090" spans="1:45" ht="17.25" thickBot="1" x14ac:dyDescent="0.3">
      <c r="A1090" s="465"/>
      <c r="B1090" s="285">
        <v>273680</v>
      </c>
      <c r="C1090" s="286">
        <v>1135751</v>
      </c>
      <c r="D1090" s="286" t="s">
        <v>12</v>
      </c>
      <c r="E1090" s="286" t="s">
        <v>13</v>
      </c>
      <c r="F1090" s="254">
        <f>G1125-AK1090+AL1090</f>
        <v>14</v>
      </c>
      <c r="G1090" s="237">
        <v>14</v>
      </c>
      <c r="H1090" s="395">
        <v>5</v>
      </c>
      <c r="I1090" s="238">
        <v>14</v>
      </c>
      <c r="J1090" s="238"/>
      <c r="K1090" s="238">
        <v>11</v>
      </c>
      <c r="L1090" s="238">
        <f>IF(K1120=K1085,L1125+AK1090,K1090)</f>
        <v>11</v>
      </c>
      <c r="M1090" s="238">
        <f>IF(K1120=K1085,0,L1125+AK1090-K1090)</f>
        <v>0</v>
      </c>
      <c r="N1090" s="238">
        <v>9</v>
      </c>
      <c r="O1090" s="242">
        <f>N1090-G1090</f>
        <v>-5</v>
      </c>
      <c r="P1090" s="280"/>
      <c r="Q1090" s="281"/>
      <c r="R1090" s="282"/>
      <c r="S1090" s="282"/>
      <c r="T1090" s="282">
        <v>11</v>
      </c>
      <c r="U1090" s="282"/>
      <c r="V1090" s="282"/>
      <c r="W1090" s="282">
        <v>9</v>
      </c>
      <c r="X1090" s="242"/>
      <c r="Y1090" s="242">
        <v>9</v>
      </c>
      <c r="Z1090" s="242"/>
      <c r="AA1090" s="242"/>
      <c r="AB1090" s="242"/>
      <c r="AC1090" s="242"/>
      <c r="AD1090" s="242"/>
      <c r="AE1090" s="242"/>
      <c r="AF1090" s="242"/>
      <c r="AG1090" s="242"/>
      <c r="AH1090" s="242"/>
      <c r="AI1090" s="242"/>
      <c r="AJ1090" s="242">
        <f>N1090-V1090</f>
        <v>9</v>
      </c>
      <c r="AK1090" s="235">
        <f>G1125+AL1090-G1090</f>
        <v>0</v>
      </c>
      <c r="AL1090" s="239"/>
      <c r="AM1090" s="299">
        <f>30/12</f>
        <v>2.5</v>
      </c>
      <c r="AN1090" s="300">
        <f>AM1090*2</f>
        <v>5</v>
      </c>
      <c r="AO1090" s="301">
        <f>G1090/(AN1090)</f>
        <v>2.8</v>
      </c>
      <c r="AP1090" s="302">
        <f>AN1090*6</f>
        <v>30</v>
      </c>
      <c r="AQ1090" s="290">
        <f>G1090+K1090</f>
        <v>25</v>
      </c>
      <c r="AR1090" s="290">
        <f>IF(G1090&lt;G1125,(G1125-G1090+K1125-K1090),K1125-K1090)</f>
        <v>0</v>
      </c>
      <c r="AS1090" s="290">
        <f>21-8</f>
        <v>13</v>
      </c>
    </row>
    <row r="1091" spans="1:45" ht="17.25" thickBot="1" x14ac:dyDescent="0.3">
      <c r="A1091" s="466" t="s">
        <v>417</v>
      </c>
      <c r="B1091" s="355" t="s">
        <v>129</v>
      </c>
      <c r="C1091" s="356"/>
      <c r="D1091" s="356"/>
      <c r="E1091" s="359"/>
      <c r="F1091" s="359"/>
      <c r="G1091" s="356"/>
      <c r="H1091" s="396"/>
      <c r="I1091" s="356"/>
      <c r="J1091" s="356"/>
      <c r="K1091" s="356"/>
      <c r="L1091" s="356"/>
      <c r="M1091" s="356"/>
      <c r="N1091" s="356"/>
      <c r="O1091" s="356"/>
      <c r="P1091" s="356"/>
      <c r="Q1091" s="356"/>
      <c r="R1091" s="356"/>
      <c r="S1091" s="356"/>
      <c r="T1091" s="356"/>
      <c r="U1091" s="356"/>
      <c r="V1091" s="356"/>
      <c r="W1091" s="356"/>
      <c r="X1091" s="356"/>
      <c r="Y1091" s="356"/>
      <c r="Z1091" s="356"/>
      <c r="AA1091" s="356"/>
      <c r="AB1091" s="356"/>
      <c r="AC1091" s="356"/>
      <c r="AD1091" s="356"/>
      <c r="AE1091" s="356"/>
      <c r="AF1091" s="356"/>
      <c r="AG1091" s="356"/>
      <c r="AH1091" s="356"/>
      <c r="AI1091" s="356"/>
      <c r="AJ1091" s="356"/>
      <c r="AK1091" s="356"/>
      <c r="AL1091" s="367"/>
      <c r="AM1091" s="356"/>
      <c r="AN1091" s="356"/>
      <c r="AO1091" s="356"/>
      <c r="AP1091" s="356"/>
      <c r="AQ1091" s="356"/>
      <c r="AR1091" s="356"/>
      <c r="AS1091" s="357"/>
    </row>
    <row r="1092" spans="1:45" ht="17.25" thickBot="1" x14ac:dyDescent="0.3">
      <c r="A1092" s="467"/>
      <c r="B1092" s="354"/>
      <c r="C1092" s="354">
        <v>1140327</v>
      </c>
      <c r="D1092" s="358" t="s">
        <v>394</v>
      </c>
      <c r="E1092" s="360"/>
      <c r="F1092" s="361">
        <f>G1127-AK1092+AL1092</f>
        <v>22</v>
      </c>
      <c r="G1092" s="218">
        <v>22</v>
      </c>
      <c r="H1092" s="397">
        <v>26</v>
      </c>
      <c r="I1092" s="218">
        <f>5+4</f>
        <v>9</v>
      </c>
      <c r="J1092" s="218"/>
      <c r="K1092" s="218">
        <v>0</v>
      </c>
      <c r="L1092" s="218">
        <f>IF(K1120=K1085,L1127+AK1092,K1092)</f>
        <v>0</v>
      </c>
      <c r="M1092" s="218">
        <f>IF(K1120=K1085,0,L1127+AK1092-K1092)</f>
        <v>2</v>
      </c>
      <c r="N1092" s="218"/>
      <c r="O1092" s="218"/>
      <c r="P1092" s="352"/>
      <c r="Q1092" s="352"/>
      <c r="R1092" s="352"/>
      <c r="S1092" s="352"/>
      <c r="T1092" s="352"/>
      <c r="U1092" s="352"/>
      <c r="V1092" s="218"/>
      <c r="W1092" s="218"/>
      <c r="X1092" s="218">
        <v>4</v>
      </c>
      <c r="Y1092" s="218">
        <v>9</v>
      </c>
      <c r="Z1092" s="218">
        <v>14</v>
      </c>
      <c r="AA1092" s="218">
        <v>0</v>
      </c>
      <c r="AB1092" s="218"/>
      <c r="AC1092" s="218"/>
      <c r="AD1092" s="218"/>
      <c r="AE1092" s="218"/>
      <c r="AF1092" s="218"/>
      <c r="AG1092" s="218"/>
      <c r="AH1092" s="218"/>
      <c r="AI1092" s="218"/>
      <c r="AJ1092" s="242">
        <f>N1092-V1092</f>
        <v>0</v>
      </c>
      <c r="AK1092" s="274">
        <f>G1127+AL1092-G1092</f>
        <v>0</v>
      </c>
      <c r="AL1092" s="232">
        <v>12</v>
      </c>
      <c r="AM1092" s="353"/>
      <c r="AN1092" s="295"/>
      <c r="AO1092" s="296"/>
      <c r="AP1092" s="353"/>
      <c r="AQ1092" s="290"/>
      <c r="AR1092" s="290"/>
      <c r="AS1092" s="290"/>
    </row>
    <row r="1093" spans="1:45" ht="17.25" thickBot="1" x14ac:dyDescent="0.3">
      <c r="A1093" s="467"/>
      <c r="B1093" s="354"/>
      <c r="C1093" s="285">
        <v>1151231</v>
      </c>
      <c r="D1093" s="358" t="s">
        <v>395</v>
      </c>
      <c r="E1093" s="360"/>
      <c r="F1093" s="361">
        <f>G1128-AK1093+AL1093</f>
        <v>12</v>
      </c>
      <c r="G1093" s="369">
        <v>12</v>
      </c>
      <c r="H1093" s="397">
        <v>3</v>
      </c>
      <c r="I1093" s="218">
        <v>8</v>
      </c>
      <c r="J1093" s="218"/>
      <c r="K1093" s="218">
        <v>7</v>
      </c>
      <c r="L1093" s="218">
        <f>IF(K1120=K1085,L1128+AK1093,K1093)</f>
        <v>7</v>
      </c>
      <c r="M1093" s="218">
        <f>IF(K1120=K1085,0,L1128+AK1093-K1093)</f>
        <v>0</v>
      </c>
      <c r="N1093" s="218"/>
      <c r="O1093" s="218"/>
      <c r="P1093" s="352"/>
      <c r="Q1093" s="352"/>
      <c r="R1093" s="352"/>
      <c r="S1093" s="352"/>
      <c r="T1093" s="352"/>
      <c r="U1093" s="352"/>
      <c r="V1093" s="218"/>
      <c r="W1093" s="218"/>
      <c r="X1093" s="218">
        <v>3</v>
      </c>
      <c r="Y1093" s="218">
        <v>8</v>
      </c>
      <c r="Z1093" s="218">
        <v>6</v>
      </c>
      <c r="AA1093" s="218"/>
      <c r="AB1093" s="218"/>
      <c r="AC1093" s="218"/>
      <c r="AD1093" s="218"/>
      <c r="AE1093" s="218"/>
      <c r="AF1093" s="218"/>
      <c r="AG1093" s="218"/>
      <c r="AH1093" s="218"/>
      <c r="AI1093" s="218"/>
      <c r="AJ1093" s="242">
        <f>N1093-V1093</f>
        <v>0</v>
      </c>
      <c r="AK1093" s="274">
        <f>G1128+AL1093-G1093</f>
        <v>0</v>
      </c>
      <c r="AL1093" s="232">
        <v>4</v>
      </c>
      <c r="AM1093" s="353"/>
      <c r="AN1093" s="295"/>
      <c r="AO1093" s="296"/>
      <c r="AP1093" s="353"/>
      <c r="AQ1093" s="290"/>
      <c r="AR1093" s="290"/>
      <c r="AS1093" s="290"/>
    </row>
    <row r="1094" spans="1:45" ht="17.25" thickBot="1" x14ac:dyDescent="0.3">
      <c r="A1094" s="467"/>
      <c r="B1094" s="355" t="s">
        <v>420</v>
      </c>
      <c r="C1094" s="356"/>
      <c r="D1094" s="356"/>
      <c r="E1094" s="359"/>
      <c r="F1094" s="359"/>
      <c r="G1094" s="356"/>
      <c r="H1094" s="396"/>
      <c r="I1094" s="356"/>
      <c r="J1094" s="356"/>
      <c r="K1094" s="356"/>
      <c r="L1094" s="356"/>
      <c r="M1094" s="356"/>
      <c r="N1094" s="356"/>
      <c r="O1094" s="356"/>
      <c r="P1094" s="356"/>
      <c r="Q1094" s="356"/>
      <c r="R1094" s="356"/>
      <c r="S1094" s="356"/>
      <c r="T1094" s="356"/>
      <c r="U1094" s="356"/>
      <c r="V1094" s="356"/>
      <c r="W1094" s="356"/>
      <c r="X1094" s="356"/>
      <c r="Y1094" s="356"/>
      <c r="Z1094" s="356"/>
      <c r="AA1094" s="356"/>
      <c r="AB1094" s="356"/>
      <c r="AC1094" s="356"/>
      <c r="AD1094" s="356"/>
      <c r="AE1094" s="356"/>
      <c r="AF1094" s="356"/>
      <c r="AG1094" s="356"/>
      <c r="AH1094" s="356"/>
      <c r="AI1094" s="356"/>
      <c r="AJ1094" s="356"/>
      <c r="AK1094" s="356"/>
      <c r="AL1094" s="368"/>
      <c r="AM1094" s="356"/>
      <c r="AN1094" s="356"/>
      <c r="AO1094" s="356"/>
      <c r="AP1094" s="356"/>
      <c r="AQ1094" s="356"/>
      <c r="AR1094" s="356"/>
      <c r="AS1094" s="357"/>
    </row>
    <row r="1095" spans="1:45" ht="17.25" thickBot="1" x14ac:dyDescent="0.3">
      <c r="A1095" s="467"/>
      <c r="B1095" s="354"/>
      <c r="C1095" s="285">
        <v>1146032</v>
      </c>
      <c r="D1095" s="358" t="s">
        <v>396</v>
      </c>
      <c r="E1095" s="360"/>
      <c r="F1095" s="361">
        <f>G1130-AK1095+AL1095</f>
        <v>1</v>
      </c>
      <c r="G1095" s="364">
        <v>1</v>
      </c>
      <c r="H1095" s="397">
        <v>1</v>
      </c>
      <c r="I1095" s="364">
        <v>1</v>
      </c>
      <c r="J1095" s="364"/>
      <c r="K1095" s="364">
        <v>1</v>
      </c>
      <c r="L1095" s="218"/>
      <c r="M1095" s="218"/>
      <c r="N1095" s="218"/>
      <c r="O1095" s="218"/>
      <c r="P1095" s="352"/>
      <c r="Q1095" s="352"/>
      <c r="R1095" s="352"/>
      <c r="S1095" s="352"/>
      <c r="T1095" s="352"/>
      <c r="U1095" s="352"/>
      <c r="V1095" s="218"/>
      <c r="W1095" s="218"/>
      <c r="X1095" s="218"/>
      <c r="Y1095" s="218"/>
      <c r="Z1095" s="218"/>
      <c r="AA1095" s="218"/>
      <c r="AB1095" s="218"/>
      <c r="AC1095" s="218"/>
      <c r="AD1095" s="218"/>
      <c r="AE1095" s="218"/>
      <c r="AF1095" s="218"/>
      <c r="AG1095" s="218"/>
      <c r="AH1095" s="218"/>
      <c r="AI1095" s="218"/>
      <c r="AJ1095" s="218"/>
      <c r="AK1095" s="218">
        <f>G1130+AL1095-G1095</f>
        <v>0</v>
      </c>
      <c r="AL1095" s="218"/>
      <c r="AM1095" s="353"/>
      <c r="AN1095" s="295"/>
      <c r="AO1095" s="296"/>
      <c r="AP1095" s="353"/>
      <c r="AQ1095" s="290"/>
      <c r="AR1095" s="290"/>
      <c r="AS1095" s="290"/>
    </row>
    <row r="1096" spans="1:45" ht="17.25" thickBot="1" x14ac:dyDescent="0.3">
      <c r="A1096" s="467"/>
      <c r="B1096" s="354"/>
      <c r="C1096" s="285">
        <v>1146021</v>
      </c>
      <c r="D1096" s="358" t="s">
        <v>397</v>
      </c>
      <c r="E1096" s="360"/>
      <c r="F1096" s="361">
        <f>G1131-AK1096+AL1096</f>
        <v>2</v>
      </c>
      <c r="G1096" s="364">
        <v>2</v>
      </c>
      <c r="H1096" s="397">
        <v>2</v>
      </c>
      <c r="I1096" s="364"/>
      <c r="J1096" s="364"/>
      <c r="K1096" s="364">
        <v>2</v>
      </c>
      <c r="L1096" s="218"/>
      <c r="M1096" s="218"/>
      <c r="N1096" s="218"/>
      <c r="O1096" s="218"/>
      <c r="P1096" s="352"/>
      <c r="Q1096" s="352"/>
      <c r="R1096" s="352"/>
      <c r="S1096" s="352"/>
      <c r="T1096" s="352"/>
      <c r="U1096" s="352"/>
      <c r="V1096" s="218"/>
      <c r="W1096" s="218"/>
      <c r="X1096" s="218"/>
      <c r="Y1096" s="218"/>
      <c r="Z1096" s="218"/>
      <c r="AA1096" s="218"/>
      <c r="AB1096" s="218"/>
      <c r="AC1096" s="218"/>
      <c r="AD1096" s="218"/>
      <c r="AE1096" s="218"/>
      <c r="AF1096" s="218"/>
      <c r="AG1096" s="218"/>
      <c r="AH1096" s="218"/>
      <c r="AI1096" s="218"/>
      <c r="AJ1096" s="218"/>
      <c r="AK1096" s="218">
        <f>G1131+AL1096-G1096</f>
        <v>0</v>
      </c>
      <c r="AL1096" s="218"/>
      <c r="AM1096" s="353"/>
      <c r="AN1096" s="295"/>
      <c r="AO1096" s="296"/>
      <c r="AP1096" s="353"/>
      <c r="AQ1096" s="290"/>
      <c r="AR1096" s="290"/>
      <c r="AS1096" s="290"/>
    </row>
    <row r="1097" spans="1:45" ht="17.25" thickBot="1" x14ac:dyDescent="0.3">
      <c r="A1097" s="467"/>
      <c r="B1097" s="354"/>
      <c r="C1097" s="285">
        <v>1146018</v>
      </c>
      <c r="D1097" s="358" t="s">
        <v>398</v>
      </c>
      <c r="E1097" s="360"/>
      <c r="F1097" s="361">
        <f>G1132-AK1097+AL1097</f>
        <v>4</v>
      </c>
      <c r="G1097" s="364">
        <v>4</v>
      </c>
      <c r="H1097" s="397">
        <v>4</v>
      </c>
      <c r="I1097" s="364" t="s">
        <v>493</v>
      </c>
      <c r="J1097" s="364"/>
      <c r="K1097" s="364">
        <v>0</v>
      </c>
      <c r="L1097" s="218"/>
      <c r="M1097" s="218"/>
      <c r="N1097" s="218"/>
      <c r="O1097" s="218"/>
      <c r="P1097" s="352"/>
      <c r="Q1097" s="352"/>
      <c r="R1097" s="352"/>
      <c r="S1097" s="352"/>
      <c r="T1097" s="352"/>
      <c r="U1097" s="352"/>
      <c r="V1097" s="218"/>
      <c r="W1097" s="218"/>
      <c r="X1097" s="218"/>
      <c r="Y1097" s="218"/>
      <c r="Z1097" s="218"/>
      <c r="AA1097" s="218"/>
      <c r="AB1097" s="218"/>
      <c r="AC1097" s="218"/>
      <c r="AD1097" s="218"/>
      <c r="AE1097" s="218"/>
      <c r="AF1097" s="218"/>
      <c r="AG1097" s="218"/>
      <c r="AH1097" s="218"/>
      <c r="AI1097" s="218"/>
      <c r="AJ1097" s="218"/>
      <c r="AK1097" s="218">
        <f>G1132+AL1097-G1097</f>
        <v>0</v>
      </c>
      <c r="AL1097" s="218"/>
      <c r="AM1097" s="353"/>
      <c r="AN1097" s="295"/>
      <c r="AO1097" s="296"/>
      <c r="AP1097" s="353"/>
      <c r="AQ1097" s="290"/>
      <c r="AR1097" s="290"/>
      <c r="AS1097" s="290"/>
    </row>
    <row r="1098" spans="1:45" ht="17.25" thickBot="1" x14ac:dyDescent="0.3">
      <c r="A1098" s="467"/>
      <c r="B1098" s="354"/>
      <c r="C1098" s="285">
        <v>1146024</v>
      </c>
      <c r="D1098" s="358" t="s">
        <v>399</v>
      </c>
      <c r="E1098" s="360"/>
      <c r="F1098" s="361">
        <v>1</v>
      </c>
      <c r="G1098" s="369">
        <v>3</v>
      </c>
      <c r="H1098" s="369">
        <v>0</v>
      </c>
      <c r="I1098" s="369">
        <v>3</v>
      </c>
      <c r="J1098" s="369"/>
      <c r="K1098" s="369"/>
      <c r="L1098" s="218"/>
      <c r="M1098" s="218"/>
      <c r="N1098" s="218"/>
      <c r="O1098" s="218"/>
      <c r="P1098" s="352"/>
      <c r="Q1098" s="352"/>
      <c r="R1098" s="352"/>
      <c r="S1098" s="352"/>
      <c r="T1098" s="352"/>
      <c r="U1098" s="352"/>
      <c r="V1098" s="218"/>
      <c r="W1098" s="218"/>
      <c r="X1098" s="218"/>
      <c r="Y1098" s="218"/>
      <c r="Z1098" s="218"/>
      <c r="AA1098" s="218"/>
      <c r="AB1098" s="218"/>
      <c r="AC1098" s="218"/>
      <c r="AD1098" s="218"/>
      <c r="AE1098" s="218"/>
      <c r="AF1098" s="218"/>
      <c r="AG1098" s="218"/>
      <c r="AH1098" s="218"/>
      <c r="AI1098" s="218"/>
      <c r="AJ1098" s="218"/>
      <c r="AK1098" s="218">
        <f>G1133+AL1098-G1098</f>
        <v>0</v>
      </c>
      <c r="AL1098" s="218"/>
      <c r="AM1098" s="353"/>
      <c r="AN1098" s="295"/>
      <c r="AO1098" s="296"/>
      <c r="AP1098" s="353"/>
      <c r="AQ1098" s="290"/>
      <c r="AR1098" s="290"/>
      <c r="AS1098" s="290"/>
    </row>
    <row r="1099" spans="1:45" ht="17.25" thickBot="1" x14ac:dyDescent="0.3">
      <c r="A1099" s="467"/>
      <c r="B1099" s="354"/>
      <c r="C1099" s="285">
        <v>1146028</v>
      </c>
      <c r="D1099" s="358" t="s">
        <v>400</v>
      </c>
      <c r="E1099" s="360"/>
      <c r="F1099" s="361">
        <f>G1134-AK1099+AL1099</f>
        <v>1</v>
      </c>
      <c r="G1099" s="364">
        <v>1</v>
      </c>
      <c r="H1099" s="397">
        <v>3</v>
      </c>
      <c r="I1099" s="364"/>
      <c r="J1099" s="364"/>
      <c r="K1099" s="364">
        <v>1</v>
      </c>
      <c r="L1099" s="218"/>
      <c r="M1099" s="218"/>
      <c r="N1099" s="218"/>
      <c r="O1099" s="218"/>
      <c r="P1099" s="352"/>
      <c r="Q1099" s="352"/>
      <c r="R1099" s="352"/>
      <c r="S1099" s="352"/>
      <c r="T1099" s="352"/>
      <c r="U1099" s="352"/>
      <c r="V1099" s="218"/>
      <c r="W1099" s="218"/>
      <c r="X1099" s="218"/>
      <c r="Y1099" s="218"/>
      <c r="Z1099" s="218"/>
      <c r="AA1099" s="218"/>
      <c r="AB1099" s="218"/>
      <c r="AC1099" s="218"/>
      <c r="AD1099" s="218"/>
      <c r="AE1099" s="218"/>
      <c r="AF1099" s="218"/>
      <c r="AG1099" s="218"/>
      <c r="AH1099" s="218"/>
      <c r="AI1099" s="218"/>
      <c r="AJ1099" s="218"/>
      <c r="AK1099" s="218">
        <f>G1134+AL1099-G1099</f>
        <v>0</v>
      </c>
      <c r="AL1099" s="218"/>
      <c r="AM1099" s="353"/>
      <c r="AN1099" s="295"/>
      <c r="AO1099" s="296"/>
      <c r="AP1099" s="353"/>
      <c r="AQ1099" s="290"/>
      <c r="AR1099" s="290"/>
      <c r="AS1099" s="290"/>
    </row>
    <row r="1100" spans="1:45" ht="17.25" thickBot="1" x14ac:dyDescent="0.3">
      <c r="A1100" s="467"/>
      <c r="B1100" s="355" t="s">
        <v>419</v>
      </c>
      <c r="C1100" s="356"/>
      <c r="D1100" s="356"/>
      <c r="E1100" s="359"/>
      <c r="F1100" s="359"/>
      <c r="G1100" s="356"/>
      <c r="H1100" s="396"/>
      <c r="I1100" s="356"/>
      <c r="J1100" s="356"/>
      <c r="K1100" s="356"/>
      <c r="L1100" s="356"/>
      <c r="M1100" s="356"/>
      <c r="N1100" s="356"/>
      <c r="O1100" s="356"/>
      <c r="P1100" s="356"/>
      <c r="Q1100" s="356"/>
      <c r="R1100" s="356"/>
      <c r="S1100" s="356"/>
      <c r="T1100" s="356"/>
      <c r="U1100" s="356"/>
      <c r="V1100" s="356"/>
      <c r="W1100" s="356"/>
      <c r="X1100" s="356"/>
      <c r="Y1100" s="356"/>
      <c r="Z1100" s="356"/>
      <c r="AA1100" s="356"/>
      <c r="AB1100" s="356"/>
      <c r="AC1100" s="356"/>
      <c r="AD1100" s="356"/>
      <c r="AE1100" s="356"/>
      <c r="AF1100" s="356"/>
      <c r="AG1100" s="356"/>
      <c r="AH1100" s="356"/>
      <c r="AI1100" s="356"/>
      <c r="AJ1100" s="356"/>
      <c r="AK1100" s="356"/>
      <c r="AL1100" s="356"/>
      <c r="AM1100" s="356"/>
      <c r="AN1100" s="356"/>
      <c r="AO1100" s="356"/>
      <c r="AP1100" s="356"/>
      <c r="AQ1100" s="356"/>
      <c r="AR1100" s="356"/>
      <c r="AS1100" s="357"/>
    </row>
    <row r="1101" spans="1:45" ht="17.25" thickBot="1" x14ac:dyDescent="0.3">
      <c r="A1101" s="467"/>
      <c r="B1101" s="372"/>
      <c r="C1101" s="373">
        <v>1146031</v>
      </c>
      <c r="D1101" s="374" t="s">
        <v>401</v>
      </c>
      <c r="E1101" s="375"/>
      <c r="F1101" s="376">
        <f>G1136-AK1101+AL1101</f>
        <v>2</v>
      </c>
      <c r="G1101" s="377">
        <v>2</v>
      </c>
      <c r="H1101" s="397">
        <v>2</v>
      </c>
      <c r="I1101" s="377">
        <v>1</v>
      </c>
      <c r="J1101" s="377"/>
      <c r="K1101" s="377">
        <v>2</v>
      </c>
      <c r="L1101" s="377"/>
      <c r="M1101" s="377"/>
      <c r="N1101" s="377"/>
      <c r="O1101" s="377"/>
      <c r="P1101" s="377"/>
      <c r="Q1101" s="377"/>
      <c r="R1101" s="377"/>
      <c r="S1101" s="377"/>
      <c r="T1101" s="377"/>
      <c r="U1101" s="377"/>
      <c r="V1101" s="377"/>
      <c r="W1101" s="377"/>
      <c r="X1101" s="377"/>
      <c r="Y1101" s="377"/>
      <c r="Z1101" s="377"/>
      <c r="AA1101" s="377"/>
      <c r="AB1101" s="377"/>
      <c r="AC1101" s="377"/>
      <c r="AD1101" s="377"/>
      <c r="AE1101" s="377"/>
      <c r="AF1101" s="377"/>
      <c r="AG1101" s="377"/>
      <c r="AH1101" s="377"/>
      <c r="AI1101" s="377"/>
      <c r="AJ1101" s="377"/>
      <c r="AK1101" s="377">
        <f>G1136+AL1101-G1101</f>
        <v>0</v>
      </c>
      <c r="AL1101" s="377"/>
      <c r="AM1101" s="378"/>
      <c r="AN1101" s="379"/>
      <c r="AO1101" s="380"/>
      <c r="AP1101" s="378"/>
      <c r="AQ1101" s="381"/>
      <c r="AR1101" s="381"/>
      <c r="AS1101" s="381"/>
    </row>
    <row r="1102" spans="1:45" ht="17.25" thickBot="1" x14ac:dyDescent="0.3">
      <c r="A1102" s="467"/>
      <c r="B1102" s="372"/>
      <c r="C1102" s="373">
        <v>1146020</v>
      </c>
      <c r="D1102" s="374" t="s">
        <v>402</v>
      </c>
      <c r="E1102" s="375"/>
      <c r="F1102" s="376">
        <f>G1137-AK1102+AL1102</f>
        <v>1</v>
      </c>
      <c r="G1102" s="377">
        <v>1</v>
      </c>
      <c r="H1102" s="397">
        <v>1</v>
      </c>
      <c r="I1102" s="377"/>
      <c r="J1102" s="377"/>
      <c r="K1102" s="377"/>
      <c r="L1102" s="377"/>
      <c r="M1102" s="377"/>
      <c r="N1102" s="377"/>
      <c r="O1102" s="377"/>
      <c r="P1102" s="377"/>
      <c r="Q1102" s="377"/>
      <c r="R1102" s="377"/>
      <c r="S1102" s="377"/>
      <c r="T1102" s="377"/>
      <c r="U1102" s="377"/>
      <c r="V1102" s="377"/>
      <c r="W1102" s="377"/>
      <c r="X1102" s="377"/>
      <c r="Y1102" s="377"/>
      <c r="Z1102" s="377"/>
      <c r="AA1102" s="377"/>
      <c r="AB1102" s="377"/>
      <c r="AC1102" s="377"/>
      <c r="AD1102" s="377"/>
      <c r="AE1102" s="377"/>
      <c r="AF1102" s="377"/>
      <c r="AG1102" s="377"/>
      <c r="AH1102" s="377"/>
      <c r="AI1102" s="377"/>
      <c r="AJ1102" s="377"/>
      <c r="AK1102" s="377">
        <f>G1137+AL1102-G1102</f>
        <v>0</v>
      </c>
      <c r="AL1102" s="377"/>
      <c r="AM1102" s="378"/>
      <c r="AN1102" s="379"/>
      <c r="AO1102" s="380"/>
      <c r="AP1102" s="378"/>
      <c r="AQ1102" s="381"/>
      <c r="AR1102" s="381"/>
      <c r="AS1102" s="381"/>
    </row>
    <row r="1103" spans="1:45" ht="17.25" thickBot="1" x14ac:dyDescent="0.3">
      <c r="A1103" s="467"/>
      <c r="B1103" s="372"/>
      <c r="C1103" s="373">
        <v>1146016</v>
      </c>
      <c r="D1103" s="374" t="s">
        <v>398</v>
      </c>
      <c r="E1103" s="375"/>
      <c r="F1103" s="376">
        <f>G1138-AK1103+AL1103</f>
        <v>6</v>
      </c>
      <c r="G1103" s="377">
        <v>6</v>
      </c>
      <c r="H1103" s="397">
        <v>6</v>
      </c>
      <c r="I1103" s="377" t="s">
        <v>493</v>
      </c>
      <c r="J1103" s="377"/>
      <c r="K1103" s="377">
        <v>2</v>
      </c>
      <c r="L1103" s="377"/>
      <c r="M1103" s="377"/>
      <c r="N1103" s="377"/>
      <c r="O1103" s="377"/>
      <c r="P1103" s="377"/>
      <c r="Q1103" s="377"/>
      <c r="R1103" s="377"/>
      <c r="S1103" s="377"/>
      <c r="T1103" s="377"/>
      <c r="U1103" s="377"/>
      <c r="V1103" s="377"/>
      <c r="W1103" s="377"/>
      <c r="X1103" s="377"/>
      <c r="Y1103" s="377"/>
      <c r="Z1103" s="377"/>
      <c r="AA1103" s="377"/>
      <c r="AB1103" s="377"/>
      <c r="AC1103" s="377"/>
      <c r="AD1103" s="377"/>
      <c r="AE1103" s="377"/>
      <c r="AF1103" s="377"/>
      <c r="AG1103" s="377"/>
      <c r="AH1103" s="377"/>
      <c r="AI1103" s="377"/>
      <c r="AJ1103" s="377"/>
      <c r="AK1103" s="377">
        <f>G1138+AL1103-G1103</f>
        <v>0</v>
      </c>
      <c r="AL1103" s="377"/>
      <c r="AM1103" s="378"/>
      <c r="AN1103" s="379"/>
      <c r="AO1103" s="380"/>
      <c r="AP1103" s="378"/>
      <c r="AQ1103" s="381"/>
      <c r="AR1103" s="381"/>
      <c r="AS1103" s="381"/>
    </row>
    <row r="1104" spans="1:45" ht="17.25" thickBot="1" x14ac:dyDescent="0.3">
      <c r="A1104" s="467"/>
      <c r="B1104" s="372"/>
      <c r="C1104" s="373">
        <v>1146022</v>
      </c>
      <c r="D1104" s="374" t="s">
        <v>403</v>
      </c>
      <c r="E1104" s="375"/>
      <c r="F1104" s="376">
        <f>G1139-AK1104+AL1104</f>
        <v>0</v>
      </c>
      <c r="G1104" s="377">
        <v>0</v>
      </c>
      <c r="H1104" s="397">
        <v>0</v>
      </c>
      <c r="I1104" s="377"/>
      <c r="J1104" s="377"/>
      <c r="K1104" s="377"/>
      <c r="L1104" s="377"/>
      <c r="M1104" s="377"/>
      <c r="N1104" s="377"/>
      <c r="O1104" s="377"/>
      <c r="P1104" s="377"/>
      <c r="Q1104" s="377"/>
      <c r="R1104" s="377"/>
      <c r="S1104" s="377"/>
      <c r="T1104" s="377"/>
      <c r="U1104" s="377"/>
      <c r="V1104" s="377"/>
      <c r="W1104" s="377"/>
      <c r="X1104" s="377"/>
      <c r="Y1104" s="377"/>
      <c r="Z1104" s="377"/>
      <c r="AA1104" s="377"/>
      <c r="AB1104" s="377"/>
      <c r="AC1104" s="377"/>
      <c r="AD1104" s="377"/>
      <c r="AE1104" s="377"/>
      <c r="AF1104" s="377"/>
      <c r="AG1104" s="377"/>
      <c r="AH1104" s="377"/>
      <c r="AI1104" s="377"/>
      <c r="AJ1104" s="377"/>
      <c r="AK1104" s="377">
        <f>G1139+AL1104-G1104</f>
        <v>0</v>
      </c>
      <c r="AL1104" s="377"/>
      <c r="AM1104" s="378"/>
      <c r="AN1104" s="379"/>
      <c r="AO1104" s="380"/>
      <c r="AP1104" s="378"/>
      <c r="AQ1104" s="381"/>
      <c r="AR1104" s="381"/>
      <c r="AS1104" s="381"/>
    </row>
    <row r="1105" spans="1:45" ht="17.25" thickBot="1" x14ac:dyDescent="0.3">
      <c r="A1105" s="467"/>
      <c r="B1105" s="372"/>
      <c r="C1105" s="373">
        <v>1146027</v>
      </c>
      <c r="D1105" s="374" t="s">
        <v>404</v>
      </c>
      <c r="E1105" s="375"/>
      <c r="F1105" s="376">
        <f>G1140-AK1105+AL1105</f>
        <v>2</v>
      </c>
      <c r="G1105" s="377">
        <v>2</v>
      </c>
      <c r="H1105" s="397">
        <v>2</v>
      </c>
      <c r="I1105" s="377">
        <v>1</v>
      </c>
      <c r="J1105" s="377"/>
      <c r="K1105" s="377">
        <v>1</v>
      </c>
      <c r="L1105" s="377"/>
      <c r="M1105" s="377"/>
      <c r="N1105" s="377"/>
      <c r="O1105" s="377"/>
      <c r="P1105" s="377"/>
      <c r="Q1105" s="377"/>
      <c r="R1105" s="377"/>
      <c r="S1105" s="377"/>
      <c r="T1105" s="377"/>
      <c r="U1105" s="377"/>
      <c r="V1105" s="377"/>
      <c r="W1105" s="377"/>
      <c r="X1105" s="377"/>
      <c r="Y1105" s="377"/>
      <c r="Z1105" s="377"/>
      <c r="AA1105" s="377"/>
      <c r="AB1105" s="377"/>
      <c r="AC1105" s="377"/>
      <c r="AD1105" s="377"/>
      <c r="AE1105" s="377"/>
      <c r="AF1105" s="377"/>
      <c r="AG1105" s="377"/>
      <c r="AH1105" s="377"/>
      <c r="AI1105" s="377"/>
      <c r="AJ1105" s="377"/>
      <c r="AK1105" s="377">
        <f>G1140+AL1105-G1105</f>
        <v>0</v>
      </c>
      <c r="AL1105" s="377"/>
      <c r="AM1105" s="378"/>
      <c r="AN1105" s="379"/>
      <c r="AO1105" s="380"/>
      <c r="AP1105" s="378"/>
      <c r="AQ1105" s="381"/>
      <c r="AR1105" s="381"/>
      <c r="AS1105" s="381"/>
    </row>
    <row r="1106" spans="1:45" ht="17.25" thickBot="1" x14ac:dyDescent="0.3">
      <c r="A1106" s="467"/>
      <c r="B1106" s="355" t="s">
        <v>418</v>
      </c>
      <c r="C1106" s="356"/>
      <c r="D1106" s="356"/>
      <c r="E1106" s="359"/>
      <c r="F1106" s="359"/>
      <c r="G1106" s="356"/>
      <c r="H1106" s="396"/>
      <c r="I1106" s="356"/>
      <c r="J1106" s="356"/>
      <c r="K1106" s="356"/>
      <c r="L1106" s="356"/>
      <c r="M1106" s="356"/>
      <c r="N1106" s="356"/>
      <c r="O1106" s="356"/>
      <c r="P1106" s="356"/>
      <c r="Q1106" s="356"/>
      <c r="R1106" s="356"/>
      <c r="S1106" s="356"/>
      <c r="T1106" s="356"/>
      <c r="U1106" s="356"/>
      <c r="V1106" s="356"/>
      <c r="W1106" s="356"/>
      <c r="X1106" s="356"/>
      <c r="Y1106" s="356"/>
      <c r="Z1106" s="356"/>
      <c r="AA1106" s="356"/>
      <c r="AB1106" s="356"/>
      <c r="AC1106" s="356"/>
      <c r="AD1106" s="356"/>
      <c r="AE1106" s="356"/>
      <c r="AF1106" s="356"/>
      <c r="AG1106" s="356"/>
      <c r="AH1106" s="356"/>
      <c r="AI1106" s="356"/>
      <c r="AJ1106" s="356"/>
      <c r="AK1106" s="356"/>
      <c r="AL1106" s="356"/>
      <c r="AM1106" s="356"/>
      <c r="AN1106" s="356"/>
      <c r="AO1106" s="356"/>
      <c r="AP1106" s="356"/>
      <c r="AQ1106" s="356"/>
      <c r="AR1106" s="356"/>
      <c r="AS1106" s="357"/>
    </row>
    <row r="1107" spans="1:45" ht="17.25" thickBot="1" x14ac:dyDescent="0.3">
      <c r="A1107" s="467"/>
      <c r="B1107" s="354"/>
      <c r="C1107" s="285">
        <v>1151653</v>
      </c>
      <c r="D1107" s="358" t="s">
        <v>405</v>
      </c>
      <c r="E1107" s="360"/>
      <c r="F1107" s="361">
        <f>G1142-AK1107+AL1107</f>
        <v>0</v>
      </c>
      <c r="G1107" s="364">
        <v>0</v>
      </c>
      <c r="H1107" s="397">
        <v>0</v>
      </c>
      <c r="I1107" s="364">
        <v>1</v>
      </c>
      <c r="J1107" s="364"/>
      <c r="K1107" s="364"/>
      <c r="L1107" s="218"/>
      <c r="M1107" s="218"/>
      <c r="N1107" s="218"/>
      <c r="O1107" s="218"/>
      <c r="P1107" s="352"/>
      <c r="Q1107" s="352"/>
      <c r="R1107" s="352"/>
      <c r="S1107" s="352"/>
      <c r="T1107" s="352"/>
      <c r="U1107" s="352"/>
      <c r="V1107" s="218"/>
      <c r="W1107" s="218"/>
      <c r="X1107" s="218"/>
      <c r="Y1107" s="218"/>
      <c r="Z1107" s="218"/>
      <c r="AA1107" s="218"/>
      <c r="AB1107" s="218"/>
      <c r="AC1107" s="218"/>
      <c r="AD1107" s="218"/>
      <c r="AE1107" s="218"/>
      <c r="AF1107" s="218"/>
      <c r="AG1107" s="218"/>
      <c r="AH1107" s="218"/>
      <c r="AI1107" s="218"/>
      <c r="AJ1107" s="218"/>
      <c r="AK1107" s="218">
        <f>G1142+AL1107-G1107</f>
        <v>0</v>
      </c>
      <c r="AL1107" s="218"/>
      <c r="AM1107" s="353"/>
      <c r="AN1107" s="295"/>
      <c r="AO1107" s="296"/>
      <c r="AP1107" s="353"/>
      <c r="AQ1107" s="290"/>
      <c r="AR1107" s="290"/>
      <c r="AS1107" s="290"/>
    </row>
    <row r="1108" spans="1:45" ht="17.25" thickBot="1" x14ac:dyDescent="0.3">
      <c r="A1108" s="467"/>
      <c r="B1108" s="354"/>
      <c r="C1108" s="285">
        <v>1151650</v>
      </c>
      <c r="D1108" s="358" t="s">
        <v>406</v>
      </c>
      <c r="E1108" s="360"/>
      <c r="F1108" s="361">
        <f>G1143-AK1108+AL1108</f>
        <v>1</v>
      </c>
      <c r="G1108" s="364">
        <v>1</v>
      </c>
      <c r="H1108" s="397">
        <v>1</v>
      </c>
      <c r="I1108" s="364"/>
      <c r="J1108" s="364"/>
      <c r="K1108" s="364">
        <v>5</v>
      </c>
      <c r="L1108" s="218"/>
      <c r="M1108" s="218"/>
      <c r="N1108" s="218"/>
      <c r="O1108" s="218"/>
      <c r="P1108" s="352"/>
      <c r="Q1108" s="352"/>
      <c r="R1108" s="352"/>
      <c r="S1108" s="352"/>
      <c r="T1108" s="352"/>
      <c r="U1108" s="352"/>
      <c r="V1108" s="218"/>
      <c r="W1108" s="218"/>
      <c r="X1108" s="218"/>
      <c r="Y1108" s="218"/>
      <c r="Z1108" s="218"/>
      <c r="AA1108" s="218"/>
      <c r="AB1108" s="218"/>
      <c r="AC1108" s="218"/>
      <c r="AD1108" s="218"/>
      <c r="AE1108" s="218"/>
      <c r="AF1108" s="218"/>
      <c r="AG1108" s="218"/>
      <c r="AH1108" s="218"/>
      <c r="AI1108" s="218"/>
      <c r="AJ1108" s="218"/>
      <c r="AK1108" s="218">
        <f>G1143+AL1108-G1108</f>
        <v>0</v>
      </c>
      <c r="AL1108" s="218"/>
      <c r="AM1108" s="353"/>
      <c r="AN1108" s="295"/>
      <c r="AO1108" s="296"/>
      <c r="AP1108" s="353"/>
      <c r="AQ1108" s="290"/>
      <c r="AR1108" s="290"/>
      <c r="AS1108" s="290"/>
    </row>
    <row r="1109" spans="1:45" ht="17.25" thickBot="1" x14ac:dyDescent="0.3">
      <c r="A1109" s="467"/>
      <c r="B1109" s="354"/>
      <c r="C1109" s="285">
        <v>1151649</v>
      </c>
      <c r="D1109" s="358" t="s">
        <v>407</v>
      </c>
      <c r="E1109" s="360"/>
      <c r="F1109" s="361">
        <f>G1144-AK1109+AL1109</f>
        <v>2</v>
      </c>
      <c r="G1109" s="364">
        <v>2</v>
      </c>
      <c r="H1109" s="397">
        <v>2</v>
      </c>
      <c r="I1109" s="364" t="s">
        <v>493</v>
      </c>
      <c r="J1109" s="364"/>
      <c r="K1109" s="364">
        <v>0</v>
      </c>
      <c r="L1109" s="218"/>
      <c r="M1109" s="218"/>
      <c r="N1109" s="218"/>
      <c r="O1109" s="218"/>
      <c r="P1109" s="352"/>
      <c r="Q1109" s="352"/>
      <c r="R1109" s="352"/>
      <c r="S1109" s="352"/>
      <c r="T1109" s="352"/>
      <c r="U1109" s="352"/>
      <c r="V1109" s="218"/>
      <c r="W1109" s="218"/>
      <c r="X1109" s="218"/>
      <c r="Y1109" s="218"/>
      <c r="Z1109" s="218"/>
      <c r="AA1109" s="218"/>
      <c r="AB1109" s="218"/>
      <c r="AC1109" s="218"/>
      <c r="AD1109" s="218"/>
      <c r="AE1109" s="218"/>
      <c r="AF1109" s="218"/>
      <c r="AG1109" s="218"/>
      <c r="AH1109" s="218"/>
      <c r="AI1109" s="218"/>
      <c r="AJ1109" s="218"/>
      <c r="AK1109" s="218">
        <f>G1144+AL1109-G1109</f>
        <v>0</v>
      </c>
      <c r="AL1109" s="218"/>
      <c r="AM1109" s="353"/>
      <c r="AN1109" s="295"/>
      <c r="AO1109" s="296"/>
      <c r="AP1109" s="353"/>
      <c r="AQ1109" s="290"/>
      <c r="AR1109" s="290"/>
      <c r="AS1109" s="290"/>
    </row>
    <row r="1110" spans="1:45" ht="17.25" thickBot="1" x14ac:dyDescent="0.3">
      <c r="A1110" s="467"/>
      <c r="B1110" s="354"/>
      <c r="C1110" s="285">
        <v>1151651</v>
      </c>
      <c r="D1110" s="358" t="s">
        <v>408</v>
      </c>
      <c r="E1110" s="360"/>
      <c r="F1110" s="361">
        <f>G1145-AK1110+AL1110</f>
        <v>3</v>
      </c>
      <c r="G1110" s="369">
        <v>3</v>
      </c>
      <c r="H1110" s="369">
        <v>0</v>
      </c>
      <c r="I1110" s="369"/>
      <c r="J1110" s="369"/>
      <c r="K1110" s="369"/>
      <c r="L1110" s="218"/>
      <c r="M1110" s="218"/>
      <c r="N1110" s="218"/>
      <c r="O1110" s="218"/>
      <c r="P1110" s="352"/>
      <c r="Q1110" s="352"/>
      <c r="R1110" s="352"/>
      <c r="S1110" s="352"/>
      <c r="T1110" s="352"/>
      <c r="U1110" s="352"/>
      <c r="V1110" s="218"/>
      <c r="W1110" s="218"/>
      <c r="X1110" s="218"/>
      <c r="Y1110" s="218"/>
      <c r="Z1110" s="218">
        <v>2</v>
      </c>
      <c r="AA1110" s="218"/>
      <c r="AB1110" s="218"/>
      <c r="AC1110" s="218"/>
      <c r="AD1110" s="218"/>
      <c r="AE1110" s="218"/>
      <c r="AF1110" s="218"/>
      <c r="AG1110" s="218"/>
      <c r="AH1110" s="218"/>
      <c r="AI1110" s="218"/>
      <c r="AJ1110" s="218"/>
      <c r="AK1110" s="218">
        <f>G1145+AL1110-G1110</f>
        <v>0</v>
      </c>
      <c r="AL1110" s="218">
        <v>3</v>
      </c>
      <c r="AM1110" s="353"/>
      <c r="AN1110" s="295"/>
      <c r="AO1110" s="296"/>
      <c r="AP1110" s="353"/>
      <c r="AQ1110" s="290"/>
      <c r="AR1110" s="290"/>
      <c r="AS1110" s="290"/>
    </row>
    <row r="1111" spans="1:45" ht="17.25" thickBot="1" x14ac:dyDescent="0.3">
      <c r="A1111" s="467"/>
      <c r="B1111" s="354"/>
      <c r="C1111" s="285">
        <v>1146029</v>
      </c>
      <c r="D1111" s="358" t="s">
        <v>409</v>
      </c>
      <c r="E1111" s="360"/>
      <c r="F1111" s="361">
        <f>G1146-AK1111+AL1111</f>
        <v>2</v>
      </c>
      <c r="G1111" s="369">
        <v>2</v>
      </c>
      <c r="H1111" s="369">
        <v>1</v>
      </c>
      <c r="I1111" s="369">
        <v>2</v>
      </c>
      <c r="J1111" s="369"/>
      <c r="K1111" s="369">
        <v>1</v>
      </c>
      <c r="L1111" s="218"/>
      <c r="M1111" s="218"/>
      <c r="N1111" s="218"/>
      <c r="O1111" s="218"/>
      <c r="P1111" s="352"/>
      <c r="Q1111" s="352"/>
      <c r="R1111" s="352"/>
      <c r="S1111" s="352"/>
      <c r="T1111" s="352"/>
      <c r="U1111" s="352"/>
      <c r="V1111" s="218"/>
      <c r="W1111" s="218"/>
      <c r="X1111" s="218"/>
      <c r="Y1111" s="218"/>
      <c r="Z1111" s="218"/>
      <c r="AA1111" s="218"/>
      <c r="AB1111" s="218"/>
      <c r="AC1111" s="218"/>
      <c r="AD1111" s="218"/>
      <c r="AE1111" s="218"/>
      <c r="AF1111" s="218"/>
      <c r="AG1111" s="218"/>
      <c r="AH1111" s="218"/>
      <c r="AI1111" s="218"/>
      <c r="AJ1111" s="218"/>
      <c r="AK1111" s="218">
        <f>G1146+AL1111-G1111</f>
        <v>0</v>
      </c>
      <c r="AL1111" s="218"/>
      <c r="AM1111" s="353"/>
      <c r="AN1111" s="295"/>
      <c r="AO1111" s="296"/>
      <c r="AP1111" s="353"/>
      <c r="AQ1111" s="290"/>
      <c r="AR1111" s="290"/>
      <c r="AS1111" s="290"/>
    </row>
    <row r="1112" spans="1:45" ht="17.25" thickBot="1" x14ac:dyDescent="0.3">
      <c r="A1112" s="467"/>
      <c r="B1112" s="355" t="s">
        <v>410</v>
      </c>
      <c r="C1112" s="356"/>
      <c r="D1112" s="356"/>
      <c r="E1112" s="359"/>
      <c r="F1112" s="359"/>
      <c r="G1112" s="356"/>
      <c r="H1112" s="396"/>
      <c r="I1112" s="356"/>
      <c r="J1112" s="356"/>
      <c r="K1112" s="356"/>
      <c r="L1112" s="356"/>
      <c r="M1112" s="356"/>
      <c r="N1112" s="356"/>
      <c r="O1112" s="356"/>
      <c r="P1112" s="356"/>
      <c r="Q1112" s="356"/>
      <c r="R1112" s="356"/>
      <c r="S1112" s="356"/>
      <c r="T1112" s="356"/>
      <c r="U1112" s="356"/>
      <c r="V1112" s="356"/>
      <c r="W1112" s="356"/>
      <c r="X1112" s="356"/>
      <c r="Y1112" s="356"/>
      <c r="Z1112" s="356"/>
      <c r="AA1112" s="356"/>
      <c r="AB1112" s="356"/>
      <c r="AC1112" s="356"/>
      <c r="AD1112" s="356"/>
      <c r="AE1112" s="356"/>
      <c r="AF1112" s="356"/>
      <c r="AG1112" s="356"/>
      <c r="AH1112" s="356"/>
      <c r="AI1112" s="356"/>
      <c r="AJ1112" s="356"/>
      <c r="AK1112" s="356"/>
      <c r="AL1112" s="356"/>
      <c r="AM1112" s="356"/>
      <c r="AN1112" s="356"/>
      <c r="AO1112" s="356"/>
      <c r="AP1112" s="356"/>
      <c r="AQ1112" s="356"/>
      <c r="AR1112" s="356"/>
      <c r="AS1112" s="357"/>
    </row>
    <row r="1113" spans="1:45" ht="17.25" thickBot="1" x14ac:dyDescent="0.3">
      <c r="A1113" s="467"/>
      <c r="B1113" s="354"/>
      <c r="C1113" s="285">
        <v>1699118</v>
      </c>
      <c r="D1113" s="358" t="s">
        <v>411</v>
      </c>
      <c r="E1113" s="360"/>
      <c r="F1113" s="361">
        <f>G1148-AK1113+AL1113</f>
        <v>0</v>
      </c>
      <c r="G1113" s="364">
        <v>0</v>
      </c>
      <c r="H1113" s="397">
        <v>0</v>
      </c>
      <c r="I1113" s="364"/>
      <c r="J1113" s="364"/>
      <c r="K1113" s="364"/>
      <c r="L1113" s="218"/>
      <c r="M1113" s="218"/>
      <c r="N1113" s="218"/>
      <c r="O1113" s="218"/>
      <c r="P1113" s="352"/>
      <c r="Q1113" s="352"/>
      <c r="R1113" s="352"/>
      <c r="S1113" s="352"/>
      <c r="T1113" s="352"/>
      <c r="U1113" s="352"/>
      <c r="V1113" s="218"/>
      <c r="W1113" s="218"/>
      <c r="X1113" s="218"/>
      <c r="Y1113" s="218"/>
      <c r="Z1113" s="218"/>
      <c r="AA1113" s="218"/>
      <c r="AB1113" s="218"/>
      <c r="AC1113" s="218"/>
      <c r="AD1113" s="218"/>
      <c r="AE1113" s="218"/>
      <c r="AF1113" s="218"/>
      <c r="AG1113" s="218"/>
      <c r="AH1113" s="218"/>
      <c r="AI1113" s="218"/>
      <c r="AJ1113" s="218"/>
      <c r="AK1113" s="218">
        <f>G1148+AL1113-G1113</f>
        <v>0</v>
      </c>
      <c r="AL1113" s="218"/>
      <c r="AM1113" s="353"/>
      <c r="AN1113" s="295"/>
      <c r="AO1113" s="296"/>
      <c r="AP1113" s="353"/>
      <c r="AQ1113" s="290"/>
      <c r="AR1113" s="290"/>
      <c r="AS1113" s="290"/>
    </row>
    <row r="1114" spans="1:45" ht="17.25" thickBot="1" x14ac:dyDescent="0.3">
      <c r="A1114" s="467"/>
      <c r="B1114" s="354"/>
      <c r="C1114" s="285">
        <v>1699119</v>
      </c>
      <c r="D1114" s="358" t="s">
        <v>412</v>
      </c>
      <c r="E1114" s="360"/>
      <c r="F1114" s="361">
        <f>G1149-AK1114+AL1114</f>
        <v>2</v>
      </c>
      <c r="G1114" s="369">
        <v>2</v>
      </c>
      <c r="H1114" s="369">
        <v>0</v>
      </c>
      <c r="I1114" s="369"/>
      <c r="J1114" s="369"/>
      <c r="K1114" s="369"/>
      <c r="L1114" s="218"/>
      <c r="M1114" s="218"/>
      <c r="N1114" s="218"/>
      <c r="O1114" s="218"/>
      <c r="P1114" s="352"/>
      <c r="Q1114" s="352"/>
      <c r="R1114" s="352"/>
      <c r="S1114" s="352"/>
      <c r="T1114" s="352"/>
      <c r="U1114" s="352"/>
      <c r="V1114" s="218"/>
      <c r="W1114" s="218"/>
      <c r="X1114" s="218"/>
      <c r="Y1114" s="218"/>
      <c r="Z1114" s="218"/>
      <c r="AA1114" s="218"/>
      <c r="AB1114" s="218"/>
      <c r="AC1114" s="218"/>
      <c r="AD1114" s="218"/>
      <c r="AE1114" s="218"/>
      <c r="AF1114" s="218"/>
      <c r="AG1114" s="218"/>
      <c r="AH1114" s="218"/>
      <c r="AI1114" s="218"/>
      <c r="AJ1114" s="218"/>
      <c r="AK1114" s="218">
        <f>G1149+AL1114-G1114</f>
        <v>0</v>
      </c>
      <c r="AL1114" s="218">
        <v>2</v>
      </c>
      <c r="AM1114" s="353"/>
      <c r="AN1114" s="295"/>
      <c r="AO1114" s="296"/>
      <c r="AP1114" s="353"/>
      <c r="AQ1114" s="290"/>
      <c r="AR1114" s="290"/>
      <c r="AS1114" s="290"/>
    </row>
    <row r="1115" spans="1:45" ht="17.25" thickBot="1" x14ac:dyDescent="0.3">
      <c r="A1115" s="467"/>
      <c r="B1115" s="354"/>
      <c r="C1115" s="285">
        <v>1699130</v>
      </c>
      <c r="D1115" s="358" t="s">
        <v>413</v>
      </c>
      <c r="E1115" s="360"/>
      <c r="F1115" s="361">
        <f>G1150-AK1115+AL1115</f>
        <v>2</v>
      </c>
      <c r="G1115" s="369">
        <v>2</v>
      </c>
      <c r="H1115" s="369">
        <v>0</v>
      </c>
      <c r="I1115" s="369"/>
      <c r="J1115" s="369"/>
      <c r="K1115" s="369"/>
      <c r="L1115" s="218"/>
      <c r="M1115" s="218"/>
      <c r="N1115" s="218"/>
      <c r="O1115" s="218"/>
      <c r="P1115" s="352"/>
      <c r="Q1115" s="352"/>
      <c r="R1115" s="352"/>
      <c r="S1115" s="352"/>
      <c r="T1115" s="352"/>
      <c r="U1115" s="352"/>
      <c r="V1115" s="218"/>
      <c r="W1115" s="218"/>
      <c r="X1115" s="218"/>
      <c r="Y1115" s="218"/>
      <c r="Z1115" s="218"/>
      <c r="AA1115" s="218"/>
      <c r="AB1115" s="218"/>
      <c r="AC1115" s="218"/>
      <c r="AD1115" s="218"/>
      <c r="AE1115" s="218"/>
      <c r="AF1115" s="218"/>
      <c r="AG1115" s="218"/>
      <c r="AH1115" s="218"/>
      <c r="AI1115" s="218"/>
      <c r="AJ1115" s="218"/>
      <c r="AK1115" s="218">
        <f>G1150+AL1115-G1115</f>
        <v>0</v>
      </c>
      <c r="AL1115" s="218">
        <v>2</v>
      </c>
      <c r="AM1115" s="353"/>
      <c r="AN1115" s="295"/>
      <c r="AO1115" s="296"/>
      <c r="AP1115" s="353"/>
      <c r="AQ1115" s="290"/>
      <c r="AR1115" s="290"/>
      <c r="AS1115" s="290"/>
    </row>
    <row r="1116" spans="1:45" ht="17.25" thickBot="1" x14ac:dyDescent="0.3">
      <c r="A1116" s="467"/>
      <c r="B1116" s="354"/>
      <c r="C1116" s="285">
        <v>1699131</v>
      </c>
      <c r="D1116" s="358" t="s">
        <v>414</v>
      </c>
      <c r="E1116" s="360"/>
      <c r="F1116" s="361">
        <f>G1151-AK1116+AL1116</f>
        <v>0</v>
      </c>
      <c r="G1116" s="364">
        <v>0</v>
      </c>
      <c r="H1116" s="397">
        <v>0</v>
      </c>
      <c r="I1116" s="364">
        <v>1</v>
      </c>
      <c r="J1116" s="364"/>
      <c r="K1116" s="364"/>
      <c r="L1116" s="218"/>
      <c r="M1116" s="218"/>
      <c r="N1116" s="218"/>
      <c r="O1116" s="218"/>
      <c r="P1116" s="352"/>
      <c r="Q1116" s="352"/>
      <c r="R1116" s="352"/>
      <c r="S1116" s="352"/>
      <c r="T1116" s="352"/>
      <c r="U1116" s="352"/>
      <c r="V1116" s="218"/>
      <c r="W1116" s="218"/>
      <c r="X1116" s="218"/>
      <c r="Y1116" s="218"/>
      <c r="Z1116" s="218"/>
      <c r="AA1116" s="218"/>
      <c r="AB1116" s="218"/>
      <c r="AC1116" s="218"/>
      <c r="AD1116" s="218"/>
      <c r="AE1116" s="218"/>
      <c r="AF1116" s="218"/>
      <c r="AG1116" s="218"/>
      <c r="AH1116" s="218"/>
      <c r="AI1116" s="218"/>
      <c r="AJ1116" s="218"/>
      <c r="AK1116" s="218">
        <f>G1151+AL1116-G1116</f>
        <v>0</v>
      </c>
      <c r="AL1116" s="218"/>
      <c r="AM1116" s="353"/>
      <c r="AN1116" s="295"/>
      <c r="AO1116" s="296"/>
      <c r="AP1116" s="353"/>
      <c r="AQ1116" s="290"/>
      <c r="AR1116" s="290"/>
      <c r="AS1116" s="290"/>
    </row>
    <row r="1117" spans="1:45" ht="17.25" thickBot="1" x14ac:dyDescent="0.3">
      <c r="A1117" s="468"/>
      <c r="B1117" s="354"/>
      <c r="C1117" s="285">
        <v>1699132</v>
      </c>
      <c r="D1117" s="358" t="s">
        <v>415</v>
      </c>
      <c r="E1117" s="285"/>
      <c r="F1117" s="362">
        <f>G1152-AK1117+AL1117</f>
        <v>0</v>
      </c>
      <c r="G1117" s="364">
        <v>0</v>
      </c>
      <c r="H1117" s="397">
        <v>0</v>
      </c>
      <c r="I1117" s="364">
        <v>2</v>
      </c>
      <c r="J1117" s="364"/>
      <c r="K1117" s="364"/>
      <c r="L1117" s="218"/>
      <c r="M1117" s="218"/>
      <c r="N1117" s="218"/>
      <c r="O1117" s="218"/>
      <c r="P1117" s="352"/>
      <c r="Q1117" s="352"/>
      <c r="R1117" s="352"/>
      <c r="S1117" s="352"/>
      <c r="T1117" s="352"/>
      <c r="U1117" s="352"/>
      <c r="V1117" s="218"/>
      <c r="W1117" s="218"/>
      <c r="X1117" s="218"/>
      <c r="Y1117" s="218"/>
      <c r="Z1117" s="218"/>
      <c r="AA1117" s="218"/>
      <c r="AB1117" s="218"/>
      <c r="AC1117" s="218"/>
      <c r="AD1117" s="218"/>
      <c r="AE1117" s="218"/>
      <c r="AF1117" s="218"/>
      <c r="AG1117" s="218"/>
      <c r="AH1117" s="218"/>
      <c r="AI1117" s="218"/>
      <c r="AJ1117" s="218"/>
      <c r="AK1117" s="218">
        <f>G1152+AL1117-G1117</f>
        <v>0</v>
      </c>
      <c r="AL1117" s="218"/>
      <c r="AM1117" s="353"/>
      <c r="AN1117" s="295"/>
      <c r="AO1117" s="296"/>
      <c r="AP1117" s="353"/>
      <c r="AQ1117" s="290"/>
      <c r="AR1117" s="290"/>
      <c r="AS1117" s="290"/>
    </row>
    <row r="1118" spans="1:45" x14ac:dyDescent="0.25">
      <c r="AL1118" s="290"/>
      <c r="AM1118" s="290"/>
      <c r="AN1118" s="290"/>
      <c r="AO1118" s="290"/>
      <c r="AP1118" s="290"/>
      <c r="AQ1118" s="290"/>
      <c r="AR1118" s="290"/>
    </row>
    <row r="1119" spans="1:45" ht="14.25" thickBot="1" x14ac:dyDescent="0.3">
      <c r="B1119" s="338" t="s">
        <v>18</v>
      </c>
      <c r="C1119" s="339">
        <v>45628</v>
      </c>
      <c r="AL1119" s="290"/>
      <c r="AM1119" s="290"/>
      <c r="AN1119" s="290"/>
      <c r="AO1119" s="290"/>
      <c r="AP1119" s="290"/>
      <c r="AQ1119" s="290"/>
      <c r="AR1119" s="290"/>
    </row>
    <row r="1120" spans="1:45" ht="41.25" thickBot="1" x14ac:dyDescent="0.3">
      <c r="B1120" s="283" t="s">
        <v>0</v>
      </c>
      <c r="C1120" s="284" t="s">
        <v>1</v>
      </c>
      <c r="D1120" s="284" t="s">
        <v>2</v>
      </c>
      <c r="E1120" s="284" t="s">
        <v>3</v>
      </c>
      <c r="F1120" s="4" t="s">
        <v>318</v>
      </c>
      <c r="G1120" s="351" t="s">
        <v>491</v>
      </c>
      <c r="H1120" s="382" t="s">
        <v>460</v>
      </c>
      <c r="I1120" s="234" t="s">
        <v>492</v>
      </c>
      <c r="J1120" s="234"/>
      <c r="K1120" s="258" t="s">
        <v>494</v>
      </c>
      <c r="L1120" s="258" t="s">
        <v>328</v>
      </c>
      <c r="M1120" s="258" t="s">
        <v>327</v>
      </c>
      <c r="N1120" s="234" t="s">
        <v>389</v>
      </c>
      <c r="O1120" s="240" t="s">
        <v>130</v>
      </c>
      <c r="P1120" s="243" t="s">
        <v>303</v>
      </c>
      <c r="Q1120" s="244" t="s">
        <v>304</v>
      </c>
      <c r="R1120" s="244" t="s">
        <v>314</v>
      </c>
      <c r="S1120" s="245" t="s">
        <v>338</v>
      </c>
      <c r="T1120" s="245" t="s">
        <v>345</v>
      </c>
      <c r="U1120" s="245" t="s">
        <v>361</v>
      </c>
      <c r="V1120" s="245" t="s">
        <v>387</v>
      </c>
      <c r="W1120" s="245" t="s">
        <v>421</v>
      </c>
      <c r="X1120" s="245" t="s">
        <v>452</v>
      </c>
      <c r="Y1120" s="245" t="s">
        <v>463</v>
      </c>
      <c r="Z1120" s="245" t="s">
        <v>481</v>
      </c>
      <c r="AA1120" s="245"/>
      <c r="AB1120" s="245"/>
      <c r="AC1120" s="245"/>
      <c r="AD1120" s="245"/>
      <c r="AE1120" s="245"/>
      <c r="AF1120" s="245"/>
      <c r="AG1120" s="245"/>
      <c r="AH1120" s="245"/>
      <c r="AI1120" s="245"/>
      <c r="AJ1120" s="245" t="s">
        <v>360</v>
      </c>
      <c r="AK1120" s="246" t="s">
        <v>268</v>
      </c>
      <c r="AL1120" s="247" t="s">
        <v>269</v>
      </c>
      <c r="AM1120" s="291" t="s">
        <v>288</v>
      </c>
      <c r="AN1120" s="292" t="s">
        <v>289</v>
      </c>
      <c r="AO1120" s="292" t="s">
        <v>287</v>
      </c>
      <c r="AP1120" s="293" t="s">
        <v>290</v>
      </c>
      <c r="AQ1120" s="290" t="s">
        <v>306</v>
      </c>
      <c r="AR1120" s="290" t="s">
        <v>310</v>
      </c>
      <c r="AS1120" s="290" t="s">
        <v>311</v>
      </c>
    </row>
    <row r="1121" spans="1:45" ht="17.25" thickBot="1" x14ac:dyDescent="0.3">
      <c r="A1121" s="463" t="s">
        <v>416</v>
      </c>
      <c r="B1121" s="285">
        <v>273664</v>
      </c>
      <c r="C1121" s="286">
        <v>1135749</v>
      </c>
      <c r="D1121" s="286" t="s">
        <v>7</v>
      </c>
      <c r="E1121" s="286">
        <v>6060050026</v>
      </c>
      <c r="F1121" s="253">
        <f>G1156-AK1121+AL1121</f>
        <v>7</v>
      </c>
      <c r="G1121" s="235">
        <v>7</v>
      </c>
      <c r="H1121" s="394">
        <v>7</v>
      </c>
      <c r="I1121" s="232">
        <v>7</v>
      </c>
      <c r="J1121" s="232"/>
      <c r="K1121" s="232">
        <v>0</v>
      </c>
      <c r="L1121" s="232">
        <f>IF(K1155=K1120,L1156+AK1121,K1121)</f>
        <v>0</v>
      </c>
      <c r="M1121" s="232">
        <f>IF(K1155=K1120,0,L1156+AK1121-K1121)</f>
        <v>1</v>
      </c>
      <c r="N1121" s="267">
        <v>5</v>
      </c>
      <c r="O1121" s="241">
        <f>N1121-G1121</f>
        <v>-2</v>
      </c>
      <c r="P1121" s="277">
        <v>4</v>
      </c>
      <c r="Q1121" s="278">
        <v>4</v>
      </c>
      <c r="R1121" s="279"/>
      <c r="S1121" s="279">
        <v>3</v>
      </c>
      <c r="T1121" s="279">
        <v>4</v>
      </c>
      <c r="U1121" s="279">
        <v>2</v>
      </c>
      <c r="V1121" s="279"/>
      <c r="W1121" s="279">
        <f>2+3</f>
        <v>5</v>
      </c>
      <c r="X1121" s="241"/>
      <c r="Y1121" s="241"/>
      <c r="Z1121" s="241"/>
      <c r="AA1121" s="241"/>
      <c r="AB1121" s="241"/>
      <c r="AC1121" s="241"/>
      <c r="AD1121" s="241"/>
      <c r="AE1121" s="241"/>
      <c r="AF1121" s="241"/>
      <c r="AG1121" s="241"/>
      <c r="AH1121" s="241"/>
      <c r="AI1121" s="241"/>
      <c r="AJ1121" s="241">
        <f>N1121-V1121</f>
        <v>5</v>
      </c>
      <c r="AK1121" s="235">
        <f>G1156+AL1121-G1121</f>
        <v>0</v>
      </c>
      <c r="AL1121" s="350"/>
      <c r="AM1121" s="294">
        <v>1.5</v>
      </c>
      <c r="AN1121" s="295">
        <v>4</v>
      </c>
      <c r="AO1121" s="296">
        <f>G1121/(AN1121)</f>
        <v>1.75</v>
      </c>
      <c r="AP1121" s="297">
        <f>AN1121*6</f>
        <v>24</v>
      </c>
      <c r="AQ1121" s="290">
        <f>G1121+K1121</f>
        <v>7</v>
      </c>
      <c r="AR1121" s="290">
        <f>IF(G1121&lt;G1156,(G1156-G1121+K1156-K1121),K1156-K1121)</f>
        <v>1</v>
      </c>
      <c r="AS1121" s="290">
        <f>21-8</f>
        <v>13</v>
      </c>
    </row>
    <row r="1122" spans="1:45" ht="17.25" thickBot="1" x14ac:dyDescent="0.3">
      <c r="A1122" s="464"/>
      <c r="B1122" s="285">
        <v>273672</v>
      </c>
      <c r="C1122" s="286">
        <v>1135750</v>
      </c>
      <c r="D1122" s="286" t="s">
        <v>9</v>
      </c>
      <c r="E1122" s="287">
        <v>204000000000</v>
      </c>
      <c r="F1122" s="253">
        <f>G1157-AK1122+AL1122</f>
        <v>31</v>
      </c>
      <c r="G1122" s="235">
        <v>31</v>
      </c>
      <c r="H1122" s="394">
        <v>15</v>
      </c>
      <c r="I1122" s="232">
        <f>16+10+5</f>
        <v>31</v>
      </c>
      <c r="J1122" s="232"/>
      <c r="K1122" s="232">
        <v>5</v>
      </c>
      <c r="L1122" s="232">
        <f>IF(K1155=K1120,L1157+AK1122,K1122)</f>
        <v>5</v>
      </c>
      <c r="M1122" s="232">
        <f>IF(K1155=K1120,0,L1157+AK1122-K1122)</f>
        <v>2</v>
      </c>
      <c r="N1122" s="267">
        <v>10</v>
      </c>
      <c r="O1122" s="241">
        <f>N1122-G1122</f>
        <v>-21</v>
      </c>
      <c r="P1122" s="277">
        <v>13</v>
      </c>
      <c r="Q1122" s="278">
        <v>2</v>
      </c>
      <c r="R1122" s="279">
        <v>6</v>
      </c>
      <c r="S1122" s="279">
        <v>6</v>
      </c>
      <c r="T1122" s="279">
        <v>10</v>
      </c>
      <c r="U1122" s="279">
        <v>4</v>
      </c>
      <c r="V1122" s="279">
        <v>6</v>
      </c>
      <c r="W1122" s="279">
        <v>16</v>
      </c>
      <c r="X1122" s="241"/>
      <c r="Y1122" s="241">
        <v>6</v>
      </c>
      <c r="Z1122" s="241">
        <v>4</v>
      </c>
      <c r="AA1122" s="241"/>
      <c r="AB1122" s="241"/>
      <c r="AC1122" s="241"/>
      <c r="AD1122" s="241"/>
      <c r="AE1122" s="241"/>
      <c r="AF1122" s="241"/>
      <c r="AG1122" s="241"/>
      <c r="AH1122" s="241"/>
      <c r="AI1122" s="241"/>
      <c r="AJ1122" s="241">
        <f>N1122-V1122</f>
        <v>4</v>
      </c>
      <c r="AK1122" s="235">
        <f>G1157+AL1122-G1122</f>
        <v>0</v>
      </c>
      <c r="AL1122" s="236"/>
      <c r="AM1122" s="298">
        <v>4.2</v>
      </c>
      <c r="AN1122" s="295">
        <v>9</v>
      </c>
      <c r="AO1122" s="296">
        <f>G1122/(AN1122)</f>
        <v>3.4444444444444446</v>
      </c>
      <c r="AP1122" s="297">
        <f>AN1122*6</f>
        <v>54</v>
      </c>
      <c r="AQ1122" s="290">
        <f>G1122+K1122</f>
        <v>36</v>
      </c>
      <c r="AR1122" s="290">
        <f>IF(G1122&lt;G1157,(G1157-G1122+K1157-K1122),K1157-K1122)</f>
        <v>2</v>
      </c>
      <c r="AS1122" s="290">
        <f>21-8</f>
        <v>13</v>
      </c>
    </row>
    <row r="1123" spans="1:45" ht="17.25" thickBot="1" x14ac:dyDescent="0.3">
      <c r="A1123" s="464"/>
      <c r="B1123" s="285">
        <v>273702</v>
      </c>
      <c r="C1123" s="286">
        <v>1135753</v>
      </c>
      <c r="D1123" s="286" t="s">
        <v>10</v>
      </c>
      <c r="E1123" s="287">
        <v>301000000000</v>
      </c>
      <c r="F1123" s="253">
        <f>G1158-AK1123+AL1123</f>
        <v>2</v>
      </c>
      <c r="G1123" s="235">
        <v>2</v>
      </c>
      <c r="H1123" s="394">
        <v>2</v>
      </c>
      <c r="I1123" s="232">
        <v>2</v>
      </c>
      <c r="J1123" s="232"/>
      <c r="K1123" s="232">
        <v>1</v>
      </c>
      <c r="L1123" s="232">
        <f>IF(K1155=K1120,L1158+AK1123,K1123)</f>
        <v>1</v>
      </c>
      <c r="M1123" s="232">
        <f>IF(K1155=K1120,0,L1158+AK1123-K1123)</f>
        <v>0</v>
      </c>
      <c r="N1123" s="232">
        <v>2</v>
      </c>
      <c r="O1123" s="241">
        <f>N1123-G1123</f>
        <v>0</v>
      </c>
      <c r="P1123" s="277"/>
      <c r="Q1123" s="278"/>
      <c r="R1123" s="279"/>
      <c r="S1123" s="279"/>
      <c r="T1123" s="279"/>
      <c r="U1123" s="279"/>
      <c r="V1123" s="279"/>
      <c r="W1123" s="279"/>
      <c r="X1123" s="241"/>
      <c r="Y1123" s="241"/>
      <c r="Z1123" s="241"/>
      <c r="AA1123" s="241"/>
      <c r="AB1123" s="241"/>
      <c r="AC1123" s="241"/>
      <c r="AD1123" s="241"/>
      <c r="AE1123" s="241"/>
      <c r="AF1123" s="241"/>
      <c r="AG1123" s="241"/>
      <c r="AH1123" s="241"/>
      <c r="AI1123" s="241"/>
      <c r="AJ1123" s="241">
        <f>N1123-V1123</f>
        <v>2</v>
      </c>
      <c r="AK1123" s="235">
        <f>G1158+AL1123-G1123</f>
        <v>0</v>
      </c>
      <c r="AL1123" s="236"/>
      <c r="AM1123" s="294">
        <f>4/12</f>
        <v>0.33333333333333331</v>
      </c>
      <c r="AN1123" s="295">
        <v>2</v>
      </c>
      <c r="AO1123" s="296">
        <f>G1123/(AN1123)</f>
        <v>1</v>
      </c>
      <c r="AP1123" s="297">
        <f>AN1123*6</f>
        <v>12</v>
      </c>
      <c r="AQ1123" s="290">
        <f>G1123+K1123</f>
        <v>3</v>
      </c>
      <c r="AR1123" s="290">
        <f>IF(G1123&lt;G1158,(G1158-G1123+K1158-K1123),K1158-K1123)</f>
        <v>0</v>
      </c>
      <c r="AS1123" s="290">
        <f>21-8</f>
        <v>13</v>
      </c>
    </row>
    <row r="1124" spans="1:45" ht="17.25" thickBot="1" x14ac:dyDescent="0.3">
      <c r="A1124" s="464"/>
      <c r="B1124" s="285">
        <v>273698</v>
      </c>
      <c r="C1124" s="286">
        <v>1135752</v>
      </c>
      <c r="D1124" s="286" t="s">
        <v>11</v>
      </c>
      <c r="E1124" s="287">
        <v>701000000000</v>
      </c>
      <c r="F1124" s="253">
        <f>G1159-AK1124+AL1124</f>
        <v>2</v>
      </c>
      <c r="G1124" s="235">
        <v>2</v>
      </c>
      <c r="H1124" s="394">
        <v>2</v>
      </c>
      <c r="I1124" s="232">
        <v>3</v>
      </c>
      <c r="J1124" s="232"/>
      <c r="K1124" s="232">
        <v>0</v>
      </c>
      <c r="L1124" s="232">
        <f>IF(K1155=K1120,L1159+AK1124,K1124)</f>
        <v>0</v>
      </c>
      <c r="M1124" s="232">
        <f>IF(K1155=K1120,0,L1159+AK1124-K1124)</f>
        <v>0</v>
      </c>
      <c r="N1124" s="232">
        <v>3</v>
      </c>
      <c r="O1124" s="241">
        <f>N1124-G1124</f>
        <v>1</v>
      </c>
      <c r="P1124" s="277">
        <v>2</v>
      </c>
      <c r="Q1124" s="278"/>
      <c r="R1124" s="279"/>
      <c r="S1124" s="279"/>
      <c r="T1124" s="279"/>
      <c r="U1124" s="279"/>
      <c r="V1124" s="279"/>
      <c r="W1124" s="279">
        <v>1</v>
      </c>
      <c r="X1124" s="241"/>
      <c r="Y1124" s="241"/>
      <c r="Z1124" s="241"/>
      <c r="AA1124" s="241"/>
      <c r="AB1124" s="241"/>
      <c r="AC1124" s="241"/>
      <c r="AD1124" s="241"/>
      <c r="AE1124" s="241"/>
      <c r="AF1124" s="241"/>
      <c r="AG1124" s="241"/>
      <c r="AH1124" s="241"/>
      <c r="AI1124" s="241"/>
      <c r="AJ1124" s="241">
        <f>N1124-V1124</f>
        <v>3</v>
      </c>
      <c r="AK1124" s="235">
        <f>G1159+AL1124-G1124</f>
        <v>0</v>
      </c>
      <c r="AL1124" s="236"/>
      <c r="AM1124" s="294">
        <f>4/12</f>
        <v>0.33333333333333331</v>
      </c>
      <c r="AN1124" s="295">
        <v>2</v>
      </c>
      <c r="AO1124" s="296">
        <f>G1124/(AN1124)</f>
        <v>1</v>
      </c>
      <c r="AP1124" s="297">
        <f>AN1124*6</f>
        <v>12</v>
      </c>
      <c r="AQ1124" s="290">
        <f>G1124+K1124</f>
        <v>2</v>
      </c>
      <c r="AR1124" s="290">
        <f>IF(G1124&lt;G1159,(G1159-G1124+K1159-K1124),K1159-K1124)</f>
        <v>0</v>
      </c>
      <c r="AS1124" s="290">
        <f>21-8</f>
        <v>13</v>
      </c>
    </row>
    <row r="1125" spans="1:45" ht="17.25" thickBot="1" x14ac:dyDescent="0.3">
      <c r="A1125" s="465"/>
      <c r="B1125" s="285">
        <v>273680</v>
      </c>
      <c r="C1125" s="286">
        <v>1135751</v>
      </c>
      <c r="D1125" s="286" t="s">
        <v>12</v>
      </c>
      <c r="E1125" s="286" t="s">
        <v>13</v>
      </c>
      <c r="F1125" s="254">
        <f>G1160-AK1125+AL1125</f>
        <v>14</v>
      </c>
      <c r="G1125" s="237">
        <v>14</v>
      </c>
      <c r="H1125" s="395">
        <v>5</v>
      </c>
      <c r="I1125" s="238">
        <v>14</v>
      </c>
      <c r="J1125" s="238"/>
      <c r="K1125" s="238">
        <v>11</v>
      </c>
      <c r="L1125" s="238">
        <f>IF(K1155=K1120,L1160+AK1125,K1125)</f>
        <v>11</v>
      </c>
      <c r="M1125" s="238">
        <f>IF(K1155=K1120,0,L1160+AK1125-K1125)</f>
        <v>0</v>
      </c>
      <c r="N1125" s="238">
        <v>9</v>
      </c>
      <c r="O1125" s="242">
        <f>N1125-G1125</f>
        <v>-5</v>
      </c>
      <c r="P1125" s="280"/>
      <c r="Q1125" s="281"/>
      <c r="R1125" s="282"/>
      <c r="S1125" s="282"/>
      <c r="T1125" s="282">
        <v>11</v>
      </c>
      <c r="U1125" s="282"/>
      <c r="V1125" s="282"/>
      <c r="W1125" s="282">
        <v>9</v>
      </c>
      <c r="X1125" s="242"/>
      <c r="Y1125" s="242">
        <v>9</v>
      </c>
      <c r="Z1125" s="242"/>
      <c r="AA1125" s="242"/>
      <c r="AB1125" s="242"/>
      <c r="AC1125" s="242"/>
      <c r="AD1125" s="242"/>
      <c r="AE1125" s="242"/>
      <c r="AF1125" s="242"/>
      <c r="AG1125" s="242"/>
      <c r="AH1125" s="242"/>
      <c r="AI1125" s="242"/>
      <c r="AJ1125" s="242">
        <f>N1125-V1125</f>
        <v>9</v>
      </c>
      <c r="AK1125" s="235">
        <f>G1160+AL1125-G1125</f>
        <v>0</v>
      </c>
      <c r="AL1125" s="239"/>
      <c r="AM1125" s="299">
        <f>30/12</f>
        <v>2.5</v>
      </c>
      <c r="AN1125" s="300">
        <f>AM1125*2</f>
        <v>5</v>
      </c>
      <c r="AO1125" s="301">
        <f>G1125/(AN1125)</f>
        <v>2.8</v>
      </c>
      <c r="AP1125" s="302">
        <f>AN1125*6</f>
        <v>30</v>
      </c>
      <c r="AQ1125" s="290">
        <f>G1125+K1125</f>
        <v>25</v>
      </c>
      <c r="AR1125" s="290">
        <f>IF(G1125&lt;G1160,(G1160-G1125+K1160-K1125),K1160-K1125)</f>
        <v>0</v>
      </c>
      <c r="AS1125" s="290">
        <f>21-8</f>
        <v>13</v>
      </c>
    </row>
    <row r="1126" spans="1:45" ht="17.25" thickBot="1" x14ac:dyDescent="0.3">
      <c r="A1126" s="466" t="s">
        <v>417</v>
      </c>
      <c r="B1126" s="355" t="s">
        <v>129</v>
      </c>
      <c r="C1126" s="356"/>
      <c r="D1126" s="356"/>
      <c r="E1126" s="359"/>
      <c r="F1126" s="359"/>
      <c r="G1126" s="356"/>
      <c r="H1126" s="396"/>
      <c r="I1126" s="356"/>
      <c r="J1126" s="356"/>
      <c r="K1126" s="356"/>
      <c r="L1126" s="356"/>
      <c r="M1126" s="356"/>
      <c r="N1126" s="356"/>
      <c r="O1126" s="356"/>
      <c r="P1126" s="356"/>
      <c r="Q1126" s="356"/>
      <c r="R1126" s="356"/>
      <c r="S1126" s="356"/>
      <c r="T1126" s="356"/>
      <c r="U1126" s="356"/>
      <c r="V1126" s="356"/>
      <c r="W1126" s="356"/>
      <c r="X1126" s="356"/>
      <c r="Y1126" s="356"/>
      <c r="Z1126" s="356"/>
      <c r="AA1126" s="356"/>
      <c r="AB1126" s="356"/>
      <c r="AC1126" s="356"/>
      <c r="AD1126" s="356"/>
      <c r="AE1126" s="356"/>
      <c r="AF1126" s="356"/>
      <c r="AG1126" s="356"/>
      <c r="AH1126" s="356"/>
      <c r="AI1126" s="356"/>
      <c r="AJ1126" s="356"/>
      <c r="AK1126" s="356"/>
      <c r="AL1126" s="367"/>
      <c r="AM1126" s="356"/>
      <c r="AN1126" s="356"/>
      <c r="AO1126" s="356"/>
      <c r="AP1126" s="356"/>
      <c r="AQ1126" s="356"/>
      <c r="AR1126" s="356"/>
      <c r="AS1126" s="357"/>
    </row>
    <row r="1127" spans="1:45" ht="17.25" thickBot="1" x14ac:dyDescent="0.3">
      <c r="A1127" s="467"/>
      <c r="B1127" s="354"/>
      <c r="C1127" s="354">
        <v>1140327</v>
      </c>
      <c r="D1127" s="358" t="s">
        <v>394</v>
      </c>
      <c r="E1127" s="360"/>
      <c r="F1127" s="361">
        <f>G1162-AK1127+AL1127</f>
        <v>10</v>
      </c>
      <c r="G1127" s="218">
        <v>10</v>
      </c>
      <c r="H1127" s="397">
        <v>26</v>
      </c>
      <c r="I1127" s="218">
        <f>5+4</f>
        <v>9</v>
      </c>
      <c r="J1127" s="218"/>
      <c r="K1127" s="218">
        <v>2</v>
      </c>
      <c r="L1127" s="218">
        <f>IF(K1155=K1120,L1162+AK1127,K1127)</f>
        <v>2</v>
      </c>
      <c r="M1127" s="218">
        <f>IF(K1155=K1120,0,L1162+AK1127-K1127)</f>
        <v>3</v>
      </c>
      <c r="N1127" s="218"/>
      <c r="O1127" s="218"/>
      <c r="P1127" s="352"/>
      <c r="Q1127" s="352"/>
      <c r="R1127" s="352"/>
      <c r="S1127" s="352"/>
      <c r="T1127" s="352"/>
      <c r="U1127" s="352"/>
      <c r="V1127" s="218"/>
      <c r="W1127" s="218"/>
      <c r="X1127" s="218">
        <v>4</v>
      </c>
      <c r="Y1127" s="218">
        <v>9</v>
      </c>
      <c r="Z1127" s="218">
        <v>14</v>
      </c>
      <c r="AA1127" s="218"/>
      <c r="AB1127" s="218"/>
      <c r="AC1127" s="218"/>
      <c r="AD1127" s="218"/>
      <c r="AE1127" s="218"/>
      <c r="AF1127" s="218"/>
      <c r="AG1127" s="218"/>
      <c r="AH1127" s="218"/>
      <c r="AI1127" s="218"/>
      <c r="AJ1127" s="242">
        <f>N1127-V1127</f>
        <v>0</v>
      </c>
      <c r="AK1127" s="274">
        <f>G1162+AL1127-G1127</f>
        <v>0</v>
      </c>
      <c r="AL1127" s="232"/>
      <c r="AM1127" s="353"/>
      <c r="AN1127" s="295"/>
      <c r="AO1127" s="296"/>
      <c r="AP1127" s="353"/>
      <c r="AQ1127" s="290"/>
      <c r="AR1127" s="290"/>
      <c r="AS1127" s="290"/>
    </row>
    <row r="1128" spans="1:45" ht="17.25" thickBot="1" x14ac:dyDescent="0.3">
      <c r="A1128" s="467"/>
      <c r="B1128" s="354"/>
      <c r="C1128" s="285">
        <v>1151231</v>
      </c>
      <c r="D1128" s="358" t="s">
        <v>395</v>
      </c>
      <c r="E1128" s="360"/>
      <c r="F1128" s="361">
        <f>G1163-AK1128+AL1128</f>
        <v>8</v>
      </c>
      <c r="G1128" s="369">
        <v>8</v>
      </c>
      <c r="H1128" s="397">
        <v>3</v>
      </c>
      <c r="I1128" s="218">
        <v>8</v>
      </c>
      <c r="J1128" s="218"/>
      <c r="K1128" s="218">
        <v>7</v>
      </c>
      <c r="L1128" s="218">
        <f>IF(K1155=K1120,L1163+AK1128,K1128)</f>
        <v>7</v>
      </c>
      <c r="M1128" s="218">
        <f>IF(K1155=K1120,0,L1163+AK1128-K1128)</f>
        <v>1</v>
      </c>
      <c r="N1128" s="218"/>
      <c r="O1128" s="218"/>
      <c r="P1128" s="352"/>
      <c r="Q1128" s="352"/>
      <c r="R1128" s="352"/>
      <c r="S1128" s="352"/>
      <c r="T1128" s="352"/>
      <c r="U1128" s="352"/>
      <c r="V1128" s="218"/>
      <c r="W1128" s="218"/>
      <c r="X1128" s="218">
        <v>3</v>
      </c>
      <c r="Y1128" s="218">
        <v>8</v>
      </c>
      <c r="Z1128" s="218">
        <v>6</v>
      </c>
      <c r="AA1128" s="218"/>
      <c r="AB1128" s="218"/>
      <c r="AC1128" s="218"/>
      <c r="AD1128" s="218"/>
      <c r="AE1128" s="218"/>
      <c r="AF1128" s="218"/>
      <c r="AG1128" s="218"/>
      <c r="AH1128" s="218"/>
      <c r="AI1128" s="218"/>
      <c r="AJ1128" s="242">
        <f>N1128-V1128</f>
        <v>0</v>
      </c>
      <c r="AK1128" s="274">
        <f>G1163+AL1128-G1128</f>
        <v>0</v>
      </c>
      <c r="AL1128" s="232"/>
      <c r="AM1128" s="353"/>
      <c r="AN1128" s="295"/>
      <c r="AO1128" s="296"/>
      <c r="AP1128" s="353"/>
      <c r="AQ1128" s="290"/>
      <c r="AR1128" s="290"/>
      <c r="AS1128" s="290"/>
    </row>
    <row r="1129" spans="1:45" ht="17.25" thickBot="1" x14ac:dyDescent="0.3">
      <c r="A1129" s="467"/>
      <c r="B1129" s="355" t="s">
        <v>420</v>
      </c>
      <c r="C1129" s="356"/>
      <c r="D1129" s="356"/>
      <c r="E1129" s="359"/>
      <c r="F1129" s="359"/>
      <c r="G1129" s="356"/>
      <c r="H1129" s="396"/>
      <c r="I1129" s="356"/>
      <c r="J1129" s="356"/>
      <c r="K1129" s="356"/>
      <c r="L1129" s="356"/>
      <c r="M1129" s="356"/>
      <c r="N1129" s="356"/>
      <c r="O1129" s="356"/>
      <c r="P1129" s="356"/>
      <c r="Q1129" s="356"/>
      <c r="R1129" s="356"/>
      <c r="S1129" s="356"/>
      <c r="T1129" s="356"/>
      <c r="U1129" s="356"/>
      <c r="V1129" s="356"/>
      <c r="W1129" s="356"/>
      <c r="X1129" s="356"/>
      <c r="Y1129" s="356"/>
      <c r="Z1129" s="356"/>
      <c r="AA1129" s="356"/>
      <c r="AB1129" s="356"/>
      <c r="AC1129" s="356"/>
      <c r="AD1129" s="356"/>
      <c r="AE1129" s="356"/>
      <c r="AF1129" s="356"/>
      <c r="AG1129" s="356"/>
      <c r="AH1129" s="356"/>
      <c r="AI1129" s="356"/>
      <c r="AJ1129" s="356"/>
      <c r="AK1129" s="356"/>
      <c r="AL1129" s="368"/>
      <c r="AM1129" s="356"/>
      <c r="AN1129" s="356"/>
      <c r="AO1129" s="356"/>
      <c r="AP1129" s="356"/>
      <c r="AQ1129" s="356"/>
      <c r="AR1129" s="356"/>
      <c r="AS1129" s="357"/>
    </row>
    <row r="1130" spans="1:45" ht="17.25" thickBot="1" x14ac:dyDescent="0.3">
      <c r="A1130" s="467"/>
      <c r="B1130" s="354"/>
      <c r="C1130" s="285">
        <v>1146032</v>
      </c>
      <c r="D1130" s="358" t="s">
        <v>396</v>
      </c>
      <c r="E1130" s="360"/>
      <c r="F1130" s="361">
        <f>G1165-AK1130+AL1130</f>
        <v>1</v>
      </c>
      <c r="G1130" s="364">
        <v>1</v>
      </c>
      <c r="H1130" s="397">
        <v>1</v>
      </c>
      <c r="I1130" s="364">
        <v>1</v>
      </c>
      <c r="J1130" s="364"/>
      <c r="K1130" s="364">
        <v>1</v>
      </c>
      <c r="L1130" s="218"/>
      <c r="M1130" s="218"/>
      <c r="N1130" s="218"/>
      <c r="O1130" s="218"/>
      <c r="P1130" s="352"/>
      <c r="Q1130" s="352"/>
      <c r="R1130" s="352"/>
      <c r="S1130" s="352"/>
      <c r="T1130" s="352"/>
      <c r="U1130" s="352"/>
      <c r="V1130" s="218"/>
      <c r="W1130" s="218"/>
      <c r="X1130" s="218"/>
      <c r="Y1130" s="218"/>
      <c r="Z1130" s="218"/>
      <c r="AA1130" s="218"/>
      <c r="AB1130" s="218"/>
      <c r="AC1130" s="218"/>
      <c r="AD1130" s="218"/>
      <c r="AE1130" s="218"/>
      <c r="AF1130" s="218"/>
      <c r="AG1130" s="218"/>
      <c r="AH1130" s="218"/>
      <c r="AI1130" s="218"/>
      <c r="AJ1130" s="218"/>
      <c r="AK1130" s="218">
        <f>G1165+AL1130-G1130</f>
        <v>0</v>
      </c>
      <c r="AL1130" s="218"/>
      <c r="AM1130" s="353"/>
      <c r="AN1130" s="295"/>
      <c r="AO1130" s="296"/>
      <c r="AP1130" s="353"/>
      <c r="AQ1130" s="290"/>
      <c r="AR1130" s="290"/>
      <c r="AS1130" s="290"/>
    </row>
    <row r="1131" spans="1:45" ht="17.25" thickBot="1" x14ac:dyDescent="0.3">
      <c r="A1131" s="467"/>
      <c r="B1131" s="354"/>
      <c r="C1131" s="285">
        <v>1146021</v>
      </c>
      <c r="D1131" s="358" t="s">
        <v>397</v>
      </c>
      <c r="E1131" s="360"/>
      <c r="F1131" s="361">
        <f>G1166-AK1131+AL1131</f>
        <v>2</v>
      </c>
      <c r="G1131" s="364">
        <v>2</v>
      </c>
      <c r="H1131" s="397">
        <v>2</v>
      </c>
      <c r="I1131" s="364"/>
      <c r="J1131" s="364"/>
      <c r="K1131" s="364">
        <v>2</v>
      </c>
      <c r="L1131" s="218"/>
      <c r="M1131" s="218"/>
      <c r="N1131" s="218"/>
      <c r="O1131" s="218"/>
      <c r="P1131" s="352"/>
      <c r="Q1131" s="352"/>
      <c r="R1131" s="352"/>
      <c r="S1131" s="352"/>
      <c r="T1131" s="352"/>
      <c r="U1131" s="352"/>
      <c r="V1131" s="218"/>
      <c r="W1131" s="218"/>
      <c r="X1131" s="218"/>
      <c r="Y1131" s="218"/>
      <c r="Z1131" s="218"/>
      <c r="AA1131" s="218"/>
      <c r="AB1131" s="218"/>
      <c r="AC1131" s="218"/>
      <c r="AD1131" s="218"/>
      <c r="AE1131" s="218"/>
      <c r="AF1131" s="218"/>
      <c r="AG1131" s="218"/>
      <c r="AH1131" s="218"/>
      <c r="AI1131" s="218"/>
      <c r="AJ1131" s="218"/>
      <c r="AK1131" s="218">
        <f>G1166+AL1131-G1131</f>
        <v>0</v>
      </c>
      <c r="AL1131" s="218"/>
      <c r="AM1131" s="353"/>
      <c r="AN1131" s="295"/>
      <c r="AO1131" s="296"/>
      <c r="AP1131" s="353"/>
      <c r="AQ1131" s="290"/>
      <c r="AR1131" s="290"/>
      <c r="AS1131" s="290"/>
    </row>
    <row r="1132" spans="1:45" ht="17.25" thickBot="1" x14ac:dyDescent="0.3">
      <c r="A1132" s="467"/>
      <c r="B1132" s="354"/>
      <c r="C1132" s="285">
        <v>1146018</v>
      </c>
      <c r="D1132" s="358" t="s">
        <v>398</v>
      </c>
      <c r="E1132" s="360"/>
      <c r="F1132" s="361">
        <f>G1167-AK1132+AL1132</f>
        <v>4</v>
      </c>
      <c r="G1132" s="364">
        <v>4</v>
      </c>
      <c r="H1132" s="397">
        <v>4</v>
      </c>
      <c r="I1132" s="364" t="s">
        <v>493</v>
      </c>
      <c r="J1132" s="364"/>
      <c r="K1132" s="364">
        <v>0</v>
      </c>
      <c r="L1132" s="218"/>
      <c r="M1132" s="218"/>
      <c r="N1132" s="218"/>
      <c r="O1132" s="218"/>
      <c r="P1132" s="352"/>
      <c r="Q1132" s="352"/>
      <c r="R1132" s="352"/>
      <c r="S1132" s="352"/>
      <c r="T1132" s="352"/>
      <c r="U1132" s="352"/>
      <c r="V1132" s="218"/>
      <c r="W1132" s="218"/>
      <c r="X1132" s="218"/>
      <c r="Y1132" s="218"/>
      <c r="Z1132" s="218"/>
      <c r="AA1132" s="218"/>
      <c r="AB1132" s="218"/>
      <c r="AC1132" s="218"/>
      <c r="AD1132" s="218"/>
      <c r="AE1132" s="218"/>
      <c r="AF1132" s="218"/>
      <c r="AG1132" s="218"/>
      <c r="AH1132" s="218"/>
      <c r="AI1132" s="218"/>
      <c r="AJ1132" s="218"/>
      <c r="AK1132" s="218">
        <f>G1167+AL1132-G1132</f>
        <v>0</v>
      </c>
      <c r="AL1132" s="218"/>
      <c r="AM1132" s="353"/>
      <c r="AN1132" s="295"/>
      <c r="AO1132" s="296"/>
      <c r="AP1132" s="353"/>
      <c r="AQ1132" s="290"/>
      <c r="AR1132" s="290"/>
      <c r="AS1132" s="290"/>
    </row>
    <row r="1133" spans="1:45" ht="17.25" thickBot="1" x14ac:dyDescent="0.3">
      <c r="A1133" s="467"/>
      <c r="B1133" s="354"/>
      <c r="C1133" s="285">
        <v>1146024</v>
      </c>
      <c r="D1133" s="358" t="s">
        <v>399</v>
      </c>
      <c r="E1133" s="360"/>
      <c r="F1133" s="361">
        <v>1</v>
      </c>
      <c r="G1133" s="369">
        <v>3</v>
      </c>
      <c r="H1133" s="369">
        <v>0</v>
      </c>
      <c r="I1133" s="369">
        <v>3</v>
      </c>
      <c r="J1133" s="369"/>
      <c r="K1133" s="369"/>
      <c r="L1133" s="218"/>
      <c r="M1133" s="218"/>
      <c r="N1133" s="218"/>
      <c r="O1133" s="218"/>
      <c r="P1133" s="352"/>
      <c r="Q1133" s="352"/>
      <c r="R1133" s="352"/>
      <c r="S1133" s="352"/>
      <c r="T1133" s="352"/>
      <c r="U1133" s="352"/>
      <c r="V1133" s="218"/>
      <c r="W1133" s="218"/>
      <c r="X1133" s="218"/>
      <c r="Y1133" s="218"/>
      <c r="Z1133" s="218"/>
      <c r="AA1133" s="218"/>
      <c r="AB1133" s="218"/>
      <c r="AC1133" s="218"/>
      <c r="AD1133" s="218"/>
      <c r="AE1133" s="218"/>
      <c r="AF1133" s="218"/>
      <c r="AG1133" s="218"/>
      <c r="AH1133" s="218"/>
      <c r="AI1133" s="218"/>
      <c r="AJ1133" s="218"/>
      <c r="AK1133" s="218">
        <f>G1168+AL1133-G1133</f>
        <v>0</v>
      </c>
      <c r="AL1133" s="218"/>
      <c r="AM1133" s="353"/>
      <c r="AN1133" s="295"/>
      <c r="AO1133" s="296"/>
      <c r="AP1133" s="353"/>
      <c r="AQ1133" s="290"/>
      <c r="AR1133" s="290"/>
      <c r="AS1133" s="290"/>
    </row>
    <row r="1134" spans="1:45" ht="17.25" thickBot="1" x14ac:dyDescent="0.3">
      <c r="A1134" s="467"/>
      <c r="B1134" s="354"/>
      <c r="C1134" s="285">
        <v>1146028</v>
      </c>
      <c r="D1134" s="358" t="s">
        <v>400</v>
      </c>
      <c r="E1134" s="360"/>
      <c r="F1134" s="361">
        <f>G1169-AK1134+AL1134</f>
        <v>1</v>
      </c>
      <c r="G1134" s="364">
        <v>1</v>
      </c>
      <c r="H1134" s="397">
        <v>3</v>
      </c>
      <c r="I1134" s="364"/>
      <c r="J1134" s="364"/>
      <c r="K1134" s="364">
        <v>1</v>
      </c>
      <c r="L1134" s="218"/>
      <c r="M1134" s="218"/>
      <c r="N1134" s="218"/>
      <c r="O1134" s="218"/>
      <c r="P1134" s="352"/>
      <c r="Q1134" s="352"/>
      <c r="R1134" s="352"/>
      <c r="S1134" s="352"/>
      <c r="T1134" s="352"/>
      <c r="U1134" s="352"/>
      <c r="V1134" s="218"/>
      <c r="W1134" s="218"/>
      <c r="X1134" s="218"/>
      <c r="Y1134" s="218"/>
      <c r="Z1134" s="218"/>
      <c r="AA1134" s="218"/>
      <c r="AB1134" s="218"/>
      <c r="AC1134" s="218"/>
      <c r="AD1134" s="218"/>
      <c r="AE1134" s="218"/>
      <c r="AF1134" s="218"/>
      <c r="AG1134" s="218"/>
      <c r="AH1134" s="218"/>
      <c r="AI1134" s="218"/>
      <c r="AJ1134" s="218"/>
      <c r="AK1134" s="218">
        <f>G1169+AL1134-G1134</f>
        <v>0</v>
      </c>
      <c r="AL1134" s="218"/>
      <c r="AM1134" s="353"/>
      <c r="AN1134" s="295"/>
      <c r="AO1134" s="296"/>
      <c r="AP1134" s="353"/>
      <c r="AQ1134" s="290"/>
      <c r="AR1134" s="290"/>
      <c r="AS1134" s="290"/>
    </row>
    <row r="1135" spans="1:45" ht="17.25" thickBot="1" x14ac:dyDescent="0.3">
      <c r="A1135" s="467"/>
      <c r="B1135" s="355" t="s">
        <v>419</v>
      </c>
      <c r="C1135" s="356"/>
      <c r="D1135" s="356"/>
      <c r="E1135" s="359"/>
      <c r="F1135" s="359"/>
      <c r="G1135" s="356"/>
      <c r="H1135" s="396"/>
      <c r="I1135" s="356"/>
      <c r="J1135" s="356"/>
      <c r="K1135" s="356"/>
      <c r="L1135" s="356"/>
      <c r="M1135" s="356"/>
      <c r="N1135" s="356"/>
      <c r="O1135" s="356"/>
      <c r="P1135" s="356"/>
      <c r="Q1135" s="356"/>
      <c r="R1135" s="356"/>
      <c r="S1135" s="356"/>
      <c r="T1135" s="356"/>
      <c r="U1135" s="356"/>
      <c r="V1135" s="356"/>
      <c r="W1135" s="356"/>
      <c r="X1135" s="356"/>
      <c r="Y1135" s="356"/>
      <c r="Z1135" s="356"/>
      <c r="AA1135" s="356"/>
      <c r="AB1135" s="356"/>
      <c r="AC1135" s="356"/>
      <c r="AD1135" s="356"/>
      <c r="AE1135" s="356"/>
      <c r="AF1135" s="356"/>
      <c r="AG1135" s="356"/>
      <c r="AH1135" s="356"/>
      <c r="AI1135" s="356"/>
      <c r="AJ1135" s="356"/>
      <c r="AK1135" s="356"/>
      <c r="AL1135" s="356"/>
      <c r="AM1135" s="356"/>
      <c r="AN1135" s="356"/>
      <c r="AO1135" s="356"/>
      <c r="AP1135" s="356"/>
      <c r="AQ1135" s="356"/>
      <c r="AR1135" s="356"/>
      <c r="AS1135" s="357"/>
    </row>
    <row r="1136" spans="1:45" ht="17.25" thickBot="1" x14ac:dyDescent="0.3">
      <c r="A1136" s="467"/>
      <c r="B1136" s="372"/>
      <c r="C1136" s="373">
        <v>1146031</v>
      </c>
      <c r="D1136" s="374" t="s">
        <v>401</v>
      </c>
      <c r="E1136" s="375"/>
      <c r="F1136" s="376">
        <f>G1171-AK1136+AL1136</f>
        <v>2</v>
      </c>
      <c r="G1136" s="377">
        <v>2</v>
      </c>
      <c r="H1136" s="397">
        <v>2</v>
      </c>
      <c r="I1136" s="377">
        <v>1</v>
      </c>
      <c r="J1136" s="377"/>
      <c r="K1136" s="377">
        <v>2</v>
      </c>
      <c r="L1136" s="377"/>
      <c r="M1136" s="377"/>
      <c r="N1136" s="377"/>
      <c r="O1136" s="377"/>
      <c r="P1136" s="377"/>
      <c r="Q1136" s="377"/>
      <c r="R1136" s="377"/>
      <c r="S1136" s="377"/>
      <c r="T1136" s="377"/>
      <c r="U1136" s="377"/>
      <c r="V1136" s="377"/>
      <c r="W1136" s="377"/>
      <c r="X1136" s="377"/>
      <c r="Y1136" s="377"/>
      <c r="Z1136" s="377"/>
      <c r="AA1136" s="377"/>
      <c r="AB1136" s="377"/>
      <c r="AC1136" s="377"/>
      <c r="AD1136" s="377"/>
      <c r="AE1136" s="377"/>
      <c r="AF1136" s="377"/>
      <c r="AG1136" s="377"/>
      <c r="AH1136" s="377"/>
      <c r="AI1136" s="377"/>
      <c r="AJ1136" s="377"/>
      <c r="AK1136" s="377">
        <f>G1171+AL1136-G1136</f>
        <v>0</v>
      </c>
      <c r="AL1136" s="377"/>
      <c r="AM1136" s="378"/>
      <c r="AN1136" s="379"/>
      <c r="AO1136" s="380"/>
      <c r="AP1136" s="378"/>
      <c r="AQ1136" s="381"/>
      <c r="AR1136" s="381"/>
      <c r="AS1136" s="381"/>
    </row>
    <row r="1137" spans="1:45" ht="17.25" thickBot="1" x14ac:dyDescent="0.3">
      <c r="A1137" s="467"/>
      <c r="B1137" s="372"/>
      <c r="C1137" s="373">
        <v>1146020</v>
      </c>
      <c r="D1137" s="374" t="s">
        <v>402</v>
      </c>
      <c r="E1137" s="375"/>
      <c r="F1137" s="376">
        <f>G1172-AK1137+AL1137</f>
        <v>1</v>
      </c>
      <c r="G1137" s="377">
        <v>1</v>
      </c>
      <c r="H1137" s="397">
        <v>1</v>
      </c>
      <c r="I1137" s="377"/>
      <c r="J1137" s="377"/>
      <c r="K1137" s="377"/>
      <c r="L1137" s="377"/>
      <c r="M1137" s="377"/>
      <c r="N1137" s="377"/>
      <c r="O1137" s="377"/>
      <c r="P1137" s="377"/>
      <c r="Q1137" s="377"/>
      <c r="R1137" s="377"/>
      <c r="S1137" s="377"/>
      <c r="T1137" s="377"/>
      <c r="U1137" s="377"/>
      <c r="V1137" s="377"/>
      <c r="W1137" s="377"/>
      <c r="X1137" s="377"/>
      <c r="Y1137" s="377"/>
      <c r="Z1137" s="377"/>
      <c r="AA1137" s="377"/>
      <c r="AB1137" s="377"/>
      <c r="AC1137" s="377"/>
      <c r="AD1137" s="377"/>
      <c r="AE1137" s="377"/>
      <c r="AF1137" s="377"/>
      <c r="AG1137" s="377"/>
      <c r="AH1137" s="377"/>
      <c r="AI1137" s="377"/>
      <c r="AJ1137" s="377"/>
      <c r="AK1137" s="377">
        <f>G1172+AL1137-G1137</f>
        <v>0</v>
      </c>
      <c r="AL1137" s="377"/>
      <c r="AM1137" s="378"/>
      <c r="AN1137" s="379"/>
      <c r="AO1137" s="380"/>
      <c r="AP1137" s="378"/>
      <c r="AQ1137" s="381"/>
      <c r="AR1137" s="381"/>
      <c r="AS1137" s="381"/>
    </row>
    <row r="1138" spans="1:45" ht="17.25" thickBot="1" x14ac:dyDescent="0.3">
      <c r="A1138" s="467"/>
      <c r="B1138" s="372"/>
      <c r="C1138" s="373">
        <v>1146016</v>
      </c>
      <c r="D1138" s="374" t="s">
        <v>398</v>
      </c>
      <c r="E1138" s="375"/>
      <c r="F1138" s="376">
        <f>G1173-AK1138+AL1138</f>
        <v>6</v>
      </c>
      <c r="G1138" s="377">
        <v>6</v>
      </c>
      <c r="H1138" s="397">
        <v>6</v>
      </c>
      <c r="I1138" s="377" t="s">
        <v>493</v>
      </c>
      <c r="J1138" s="377"/>
      <c r="K1138" s="377">
        <v>2</v>
      </c>
      <c r="L1138" s="377"/>
      <c r="M1138" s="377"/>
      <c r="N1138" s="377"/>
      <c r="O1138" s="377"/>
      <c r="P1138" s="377"/>
      <c r="Q1138" s="377"/>
      <c r="R1138" s="377"/>
      <c r="S1138" s="377"/>
      <c r="T1138" s="377"/>
      <c r="U1138" s="377"/>
      <c r="V1138" s="377"/>
      <c r="W1138" s="377"/>
      <c r="X1138" s="377"/>
      <c r="Y1138" s="377"/>
      <c r="Z1138" s="377"/>
      <c r="AA1138" s="377"/>
      <c r="AB1138" s="377"/>
      <c r="AC1138" s="377"/>
      <c r="AD1138" s="377"/>
      <c r="AE1138" s="377"/>
      <c r="AF1138" s="377"/>
      <c r="AG1138" s="377"/>
      <c r="AH1138" s="377"/>
      <c r="AI1138" s="377"/>
      <c r="AJ1138" s="377"/>
      <c r="AK1138" s="377">
        <f>G1173+AL1138-G1138</f>
        <v>0</v>
      </c>
      <c r="AL1138" s="377"/>
      <c r="AM1138" s="378"/>
      <c r="AN1138" s="379"/>
      <c r="AO1138" s="380"/>
      <c r="AP1138" s="378"/>
      <c r="AQ1138" s="381"/>
      <c r="AR1138" s="381"/>
      <c r="AS1138" s="381"/>
    </row>
    <row r="1139" spans="1:45" ht="17.25" thickBot="1" x14ac:dyDescent="0.3">
      <c r="A1139" s="467"/>
      <c r="B1139" s="372"/>
      <c r="C1139" s="373">
        <v>1146022</v>
      </c>
      <c r="D1139" s="374" t="s">
        <v>403</v>
      </c>
      <c r="E1139" s="375"/>
      <c r="F1139" s="376">
        <f>G1174-AK1139+AL1139</f>
        <v>0</v>
      </c>
      <c r="G1139" s="377">
        <v>0</v>
      </c>
      <c r="H1139" s="397">
        <v>0</v>
      </c>
      <c r="I1139" s="377"/>
      <c r="J1139" s="377"/>
      <c r="K1139" s="377"/>
      <c r="L1139" s="377"/>
      <c r="M1139" s="377"/>
      <c r="N1139" s="377"/>
      <c r="O1139" s="377"/>
      <c r="P1139" s="377"/>
      <c r="Q1139" s="377"/>
      <c r="R1139" s="377"/>
      <c r="S1139" s="377"/>
      <c r="T1139" s="377"/>
      <c r="U1139" s="377"/>
      <c r="V1139" s="377"/>
      <c r="W1139" s="377"/>
      <c r="X1139" s="377"/>
      <c r="Y1139" s="377"/>
      <c r="Z1139" s="377"/>
      <c r="AA1139" s="377"/>
      <c r="AB1139" s="377"/>
      <c r="AC1139" s="377"/>
      <c r="AD1139" s="377"/>
      <c r="AE1139" s="377"/>
      <c r="AF1139" s="377"/>
      <c r="AG1139" s="377"/>
      <c r="AH1139" s="377"/>
      <c r="AI1139" s="377"/>
      <c r="AJ1139" s="377"/>
      <c r="AK1139" s="377">
        <f>G1174+AL1139-G1139</f>
        <v>0</v>
      </c>
      <c r="AL1139" s="377"/>
      <c r="AM1139" s="378"/>
      <c r="AN1139" s="379"/>
      <c r="AO1139" s="380"/>
      <c r="AP1139" s="378"/>
      <c r="AQ1139" s="381"/>
      <c r="AR1139" s="381"/>
      <c r="AS1139" s="381"/>
    </row>
    <row r="1140" spans="1:45" ht="17.25" thickBot="1" x14ac:dyDescent="0.3">
      <c r="A1140" s="467"/>
      <c r="B1140" s="372"/>
      <c r="C1140" s="373">
        <v>1146027</v>
      </c>
      <c r="D1140" s="374" t="s">
        <v>404</v>
      </c>
      <c r="E1140" s="375"/>
      <c r="F1140" s="376">
        <f>G1175-AK1140+AL1140</f>
        <v>2</v>
      </c>
      <c r="G1140" s="377">
        <v>2</v>
      </c>
      <c r="H1140" s="397">
        <v>2</v>
      </c>
      <c r="I1140" s="377">
        <v>1</v>
      </c>
      <c r="J1140" s="377"/>
      <c r="K1140" s="377">
        <v>1</v>
      </c>
      <c r="L1140" s="377"/>
      <c r="M1140" s="377"/>
      <c r="N1140" s="377"/>
      <c r="O1140" s="377"/>
      <c r="P1140" s="377"/>
      <c r="Q1140" s="377"/>
      <c r="R1140" s="377"/>
      <c r="S1140" s="377"/>
      <c r="T1140" s="377"/>
      <c r="U1140" s="377"/>
      <c r="V1140" s="377"/>
      <c r="W1140" s="377"/>
      <c r="X1140" s="377"/>
      <c r="Y1140" s="377"/>
      <c r="Z1140" s="377"/>
      <c r="AA1140" s="377"/>
      <c r="AB1140" s="377"/>
      <c r="AC1140" s="377"/>
      <c r="AD1140" s="377"/>
      <c r="AE1140" s="377"/>
      <c r="AF1140" s="377"/>
      <c r="AG1140" s="377"/>
      <c r="AH1140" s="377"/>
      <c r="AI1140" s="377"/>
      <c r="AJ1140" s="377"/>
      <c r="AK1140" s="377">
        <f>G1175+AL1140-G1140</f>
        <v>0</v>
      </c>
      <c r="AL1140" s="377"/>
      <c r="AM1140" s="378"/>
      <c r="AN1140" s="379"/>
      <c r="AO1140" s="380"/>
      <c r="AP1140" s="378"/>
      <c r="AQ1140" s="381"/>
      <c r="AR1140" s="381"/>
      <c r="AS1140" s="381"/>
    </row>
    <row r="1141" spans="1:45" ht="17.25" thickBot="1" x14ac:dyDescent="0.3">
      <c r="A1141" s="467"/>
      <c r="B1141" s="355" t="s">
        <v>418</v>
      </c>
      <c r="C1141" s="356"/>
      <c r="D1141" s="356"/>
      <c r="E1141" s="359"/>
      <c r="F1141" s="359"/>
      <c r="G1141" s="356"/>
      <c r="H1141" s="396"/>
      <c r="I1141" s="356"/>
      <c r="J1141" s="356"/>
      <c r="K1141" s="356"/>
      <c r="L1141" s="356"/>
      <c r="M1141" s="356"/>
      <c r="N1141" s="356"/>
      <c r="O1141" s="356"/>
      <c r="P1141" s="356"/>
      <c r="Q1141" s="356"/>
      <c r="R1141" s="356"/>
      <c r="S1141" s="356"/>
      <c r="T1141" s="356"/>
      <c r="U1141" s="356"/>
      <c r="V1141" s="356"/>
      <c r="W1141" s="356"/>
      <c r="X1141" s="356"/>
      <c r="Y1141" s="356"/>
      <c r="Z1141" s="356"/>
      <c r="AA1141" s="356"/>
      <c r="AB1141" s="356"/>
      <c r="AC1141" s="356"/>
      <c r="AD1141" s="356"/>
      <c r="AE1141" s="356"/>
      <c r="AF1141" s="356"/>
      <c r="AG1141" s="356"/>
      <c r="AH1141" s="356"/>
      <c r="AI1141" s="356"/>
      <c r="AJ1141" s="356"/>
      <c r="AK1141" s="356"/>
      <c r="AL1141" s="356"/>
      <c r="AM1141" s="356"/>
      <c r="AN1141" s="356"/>
      <c r="AO1141" s="356"/>
      <c r="AP1141" s="356"/>
      <c r="AQ1141" s="356"/>
      <c r="AR1141" s="356"/>
      <c r="AS1141" s="357"/>
    </row>
    <row r="1142" spans="1:45" ht="17.25" thickBot="1" x14ac:dyDescent="0.3">
      <c r="A1142" s="467"/>
      <c r="B1142" s="354"/>
      <c r="C1142" s="285">
        <v>1151653</v>
      </c>
      <c r="D1142" s="358" t="s">
        <v>405</v>
      </c>
      <c r="E1142" s="360"/>
      <c r="F1142" s="361">
        <f>G1177-AK1142+AL1142</f>
        <v>0</v>
      </c>
      <c r="G1142" s="364">
        <v>0</v>
      </c>
      <c r="H1142" s="397">
        <v>0</v>
      </c>
      <c r="I1142" s="364">
        <v>1</v>
      </c>
      <c r="J1142" s="364"/>
      <c r="K1142" s="364"/>
      <c r="L1142" s="218"/>
      <c r="M1142" s="218"/>
      <c r="N1142" s="218"/>
      <c r="O1142" s="218"/>
      <c r="P1142" s="352"/>
      <c r="Q1142" s="352"/>
      <c r="R1142" s="352"/>
      <c r="S1142" s="352"/>
      <c r="T1142" s="352"/>
      <c r="U1142" s="352"/>
      <c r="V1142" s="218"/>
      <c r="W1142" s="218"/>
      <c r="X1142" s="218"/>
      <c r="Y1142" s="218"/>
      <c r="Z1142" s="218"/>
      <c r="AA1142" s="218"/>
      <c r="AB1142" s="218"/>
      <c r="AC1142" s="218"/>
      <c r="AD1142" s="218"/>
      <c r="AE1142" s="218"/>
      <c r="AF1142" s="218"/>
      <c r="AG1142" s="218"/>
      <c r="AH1142" s="218"/>
      <c r="AI1142" s="218"/>
      <c r="AJ1142" s="218"/>
      <c r="AK1142" s="218">
        <f>G1177+AL1142-G1142</f>
        <v>0</v>
      </c>
      <c r="AL1142" s="218"/>
      <c r="AM1142" s="353"/>
      <c r="AN1142" s="295"/>
      <c r="AO1142" s="296"/>
      <c r="AP1142" s="353"/>
      <c r="AQ1142" s="290"/>
      <c r="AR1142" s="290"/>
      <c r="AS1142" s="290"/>
    </row>
    <row r="1143" spans="1:45" ht="17.25" thickBot="1" x14ac:dyDescent="0.3">
      <c r="A1143" s="467"/>
      <c r="B1143" s="354"/>
      <c r="C1143" s="285">
        <v>1151650</v>
      </c>
      <c r="D1143" s="358" t="s">
        <v>406</v>
      </c>
      <c r="E1143" s="360"/>
      <c r="F1143" s="361">
        <f>G1178-AK1143+AL1143</f>
        <v>1</v>
      </c>
      <c r="G1143" s="364">
        <v>1</v>
      </c>
      <c r="H1143" s="397">
        <v>1</v>
      </c>
      <c r="I1143" s="364"/>
      <c r="J1143" s="364"/>
      <c r="K1143" s="364">
        <v>5</v>
      </c>
      <c r="L1143" s="218"/>
      <c r="M1143" s="218"/>
      <c r="N1143" s="218"/>
      <c r="O1143" s="218"/>
      <c r="P1143" s="352"/>
      <c r="Q1143" s="352"/>
      <c r="R1143" s="352"/>
      <c r="S1143" s="352"/>
      <c r="T1143" s="352"/>
      <c r="U1143" s="352"/>
      <c r="V1143" s="218"/>
      <c r="W1143" s="218"/>
      <c r="X1143" s="218"/>
      <c r="Y1143" s="218"/>
      <c r="Z1143" s="218"/>
      <c r="AA1143" s="218"/>
      <c r="AB1143" s="218"/>
      <c r="AC1143" s="218"/>
      <c r="AD1143" s="218"/>
      <c r="AE1143" s="218"/>
      <c r="AF1143" s="218"/>
      <c r="AG1143" s="218"/>
      <c r="AH1143" s="218"/>
      <c r="AI1143" s="218"/>
      <c r="AJ1143" s="218"/>
      <c r="AK1143" s="218">
        <f>G1178+AL1143-G1143</f>
        <v>0</v>
      </c>
      <c r="AL1143" s="218"/>
      <c r="AM1143" s="353"/>
      <c r="AN1143" s="295"/>
      <c r="AO1143" s="296"/>
      <c r="AP1143" s="353"/>
      <c r="AQ1143" s="290"/>
      <c r="AR1143" s="290"/>
      <c r="AS1143" s="290"/>
    </row>
    <row r="1144" spans="1:45" ht="17.25" thickBot="1" x14ac:dyDescent="0.3">
      <c r="A1144" s="467"/>
      <c r="B1144" s="354"/>
      <c r="C1144" s="285">
        <v>1151649</v>
      </c>
      <c r="D1144" s="358" t="s">
        <v>407</v>
      </c>
      <c r="E1144" s="360"/>
      <c r="F1144" s="361">
        <f>G1179-AK1144+AL1144</f>
        <v>2</v>
      </c>
      <c r="G1144" s="364">
        <v>2</v>
      </c>
      <c r="H1144" s="397">
        <v>2</v>
      </c>
      <c r="I1144" s="364" t="s">
        <v>493</v>
      </c>
      <c r="J1144" s="364"/>
      <c r="K1144" s="364">
        <v>0</v>
      </c>
      <c r="L1144" s="218"/>
      <c r="M1144" s="218"/>
      <c r="N1144" s="218"/>
      <c r="O1144" s="218"/>
      <c r="P1144" s="352"/>
      <c r="Q1144" s="352"/>
      <c r="R1144" s="352"/>
      <c r="S1144" s="352"/>
      <c r="T1144" s="352"/>
      <c r="U1144" s="352"/>
      <c r="V1144" s="218"/>
      <c r="W1144" s="218"/>
      <c r="X1144" s="218"/>
      <c r="Y1144" s="218"/>
      <c r="Z1144" s="218"/>
      <c r="AA1144" s="218"/>
      <c r="AB1144" s="218"/>
      <c r="AC1144" s="218"/>
      <c r="AD1144" s="218"/>
      <c r="AE1144" s="218"/>
      <c r="AF1144" s="218"/>
      <c r="AG1144" s="218"/>
      <c r="AH1144" s="218"/>
      <c r="AI1144" s="218"/>
      <c r="AJ1144" s="218"/>
      <c r="AK1144" s="218">
        <f>G1179+AL1144-G1144</f>
        <v>0</v>
      </c>
      <c r="AL1144" s="218"/>
      <c r="AM1144" s="353"/>
      <c r="AN1144" s="295"/>
      <c r="AO1144" s="296"/>
      <c r="AP1144" s="353"/>
      <c r="AQ1144" s="290"/>
      <c r="AR1144" s="290"/>
      <c r="AS1144" s="290"/>
    </row>
    <row r="1145" spans="1:45" ht="17.25" thickBot="1" x14ac:dyDescent="0.3">
      <c r="A1145" s="467"/>
      <c r="B1145" s="354"/>
      <c r="C1145" s="285">
        <v>1151651</v>
      </c>
      <c r="D1145" s="358" t="s">
        <v>408</v>
      </c>
      <c r="E1145" s="360"/>
      <c r="F1145" s="361">
        <f>G1180-AK1145+AL1145</f>
        <v>0</v>
      </c>
      <c r="G1145" s="364">
        <v>0</v>
      </c>
      <c r="H1145" s="397">
        <v>0</v>
      </c>
      <c r="I1145" s="364"/>
      <c r="J1145" s="364"/>
      <c r="K1145" s="364"/>
      <c r="L1145" s="218"/>
      <c r="M1145" s="218"/>
      <c r="N1145" s="218"/>
      <c r="O1145" s="218"/>
      <c r="P1145" s="352"/>
      <c r="Q1145" s="352"/>
      <c r="R1145" s="352"/>
      <c r="S1145" s="352"/>
      <c r="T1145" s="352"/>
      <c r="U1145" s="352"/>
      <c r="V1145" s="218"/>
      <c r="W1145" s="218"/>
      <c r="X1145" s="218"/>
      <c r="Y1145" s="218"/>
      <c r="Z1145" s="218">
        <v>2</v>
      </c>
      <c r="AA1145" s="218"/>
      <c r="AB1145" s="218"/>
      <c r="AC1145" s="218"/>
      <c r="AD1145" s="218"/>
      <c r="AE1145" s="218"/>
      <c r="AF1145" s="218"/>
      <c r="AG1145" s="218"/>
      <c r="AH1145" s="218"/>
      <c r="AI1145" s="218"/>
      <c r="AJ1145" s="218"/>
      <c r="AK1145" s="218">
        <f>G1180+AL1145-G1145</f>
        <v>0</v>
      </c>
      <c r="AL1145" s="218"/>
      <c r="AM1145" s="353"/>
      <c r="AN1145" s="295"/>
      <c r="AO1145" s="296"/>
      <c r="AP1145" s="353"/>
      <c r="AQ1145" s="290"/>
      <c r="AR1145" s="290"/>
      <c r="AS1145" s="290"/>
    </row>
    <row r="1146" spans="1:45" ht="17.25" thickBot="1" x14ac:dyDescent="0.3">
      <c r="A1146" s="467"/>
      <c r="B1146" s="354"/>
      <c r="C1146" s="285">
        <v>1146029</v>
      </c>
      <c r="D1146" s="358" t="s">
        <v>409</v>
      </c>
      <c r="E1146" s="360"/>
      <c r="F1146" s="361">
        <f>G1181-AK1146+AL1146</f>
        <v>2</v>
      </c>
      <c r="G1146" s="369">
        <v>2</v>
      </c>
      <c r="H1146" s="369">
        <v>1</v>
      </c>
      <c r="I1146" s="369">
        <v>2</v>
      </c>
      <c r="J1146" s="369"/>
      <c r="K1146" s="369">
        <v>1</v>
      </c>
      <c r="L1146" s="218"/>
      <c r="M1146" s="218"/>
      <c r="N1146" s="218"/>
      <c r="O1146" s="218"/>
      <c r="P1146" s="352"/>
      <c r="Q1146" s="352"/>
      <c r="R1146" s="352"/>
      <c r="S1146" s="352"/>
      <c r="T1146" s="352"/>
      <c r="U1146" s="352"/>
      <c r="V1146" s="218"/>
      <c r="W1146" s="218"/>
      <c r="X1146" s="218"/>
      <c r="Y1146" s="218"/>
      <c r="Z1146" s="218"/>
      <c r="AA1146" s="218"/>
      <c r="AB1146" s="218"/>
      <c r="AC1146" s="218"/>
      <c r="AD1146" s="218"/>
      <c r="AE1146" s="218"/>
      <c r="AF1146" s="218"/>
      <c r="AG1146" s="218"/>
      <c r="AH1146" s="218"/>
      <c r="AI1146" s="218"/>
      <c r="AJ1146" s="218"/>
      <c r="AK1146" s="218">
        <f>G1181+AL1146-G1146</f>
        <v>0</v>
      </c>
      <c r="AL1146" s="218"/>
      <c r="AM1146" s="353"/>
      <c r="AN1146" s="295"/>
      <c r="AO1146" s="296"/>
      <c r="AP1146" s="353"/>
      <c r="AQ1146" s="290"/>
      <c r="AR1146" s="290"/>
      <c r="AS1146" s="290"/>
    </row>
    <row r="1147" spans="1:45" ht="17.25" thickBot="1" x14ac:dyDescent="0.3">
      <c r="A1147" s="467"/>
      <c r="B1147" s="355" t="s">
        <v>410</v>
      </c>
      <c r="C1147" s="356"/>
      <c r="D1147" s="356"/>
      <c r="E1147" s="359"/>
      <c r="F1147" s="359"/>
      <c r="G1147" s="356"/>
      <c r="H1147" s="396"/>
      <c r="I1147" s="356"/>
      <c r="J1147" s="356"/>
      <c r="K1147" s="356"/>
      <c r="L1147" s="356"/>
      <c r="M1147" s="356"/>
      <c r="N1147" s="356"/>
      <c r="O1147" s="356"/>
      <c r="P1147" s="356"/>
      <c r="Q1147" s="356"/>
      <c r="R1147" s="356"/>
      <c r="S1147" s="356"/>
      <c r="T1147" s="356"/>
      <c r="U1147" s="356"/>
      <c r="V1147" s="356"/>
      <c r="W1147" s="356"/>
      <c r="X1147" s="356"/>
      <c r="Y1147" s="356"/>
      <c r="Z1147" s="356"/>
      <c r="AA1147" s="356"/>
      <c r="AB1147" s="356"/>
      <c r="AC1147" s="356"/>
      <c r="AD1147" s="356"/>
      <c r="AE1147" s="356"/>
      <c r="AF1147" s="356"/>
      <c r="AG1147" s="356"/>
      <c r="AH1147" s="356"/>
      <c r="AI1147" s="356"/>
      <c r="AJ1147" s="356"/>
      <c r="AK1147" s="356"/>
      <c r="AL1147" s="356"/>
      <c r="AM1147" s="356"/>
      <c r="AN1147" s="356"/>
      <c r="AO1147" s="356"/>
      <c r="AP1147" s="356"/>
      <c r="AQ1147" s="356"/>
      <c r="AR1147" s="356"/>
      <c r="AS1147" s="357"/>
    </row>
    <row r="1148" spans="1:45" ht="17.25" thickBot="1" x14ac:dyDescent="0.3">
      <c r="A1148" s="467"/>
      <c r="B1148" s="354"/>
      <c r="C1148" s="285">
        <v>1699118</v>
      </c>
      <c r="D1148" s="358" t="s">
        <v>411</v>
      </c>
      <c r="E1148" s="360"/>
      <c r="F1148" s="361">
        <f>G1183-AK1148+AL1148</f>
        <v>0</v>
      </c>
      <c r="G1148" s="364">
        <v>0</v>
      </c>
      <c r="H1148" s="397">
        <v>0</v>
      </c>
      <c r="I1148" s="364"/>
      <c r="J1148" s="364"/>
      <c r="K1148" s="364"/>
      <c r="L1148" s="218"/>
      <c r="M1148" s="218"/>
      <c r="N1148" s="218"/>
      <c r="O1148" s="218"/>
      <c r="P1148" s="352"/>
      <c r="Q1148" s="352"/>
      <c r="R1148" s="352"/>
      <c r="S1148" s="352"/>
      <c r="T1148" s="352"/>
      <c r="U1148" s="352"/>
      <c r="V1148" s="218"/>
      <c r="W1148" s="218"/>
      <c r="X1148" s="218"/>
      <c r="Y1148" s="218"/>
      <c r="Z1148" s="218"/>
      <c r="AA1148" s="218"/>
      <c r="AB1148" s="218"/>
      <c r="AC1148" s="218"/>
      <c r="AD1148" s="218"/>
      <c r="AE1148" s="218"/>
      <c r="AF1148" s="218"/>
      <c r="AG1148" s="218"/>
      <c r="AH1148" s="218"/>
      <c r="AI1148" s="218"/>
      <c r="AJ1148" s="218"/>
      <c r="AK1148" s="218">
        <f>G1183+AL1148-G1148</f>
        <v>0</v>
      </c>
      <c r="AL1148" s="218"/>
      <c r="AM1148" s="353"/>
      <c r="AN1148" s="295"/>
      <c r="AO1148" s="296"/>
      <c r="AP1148" s="353"/>
      <c r="AQ1148" s="290"/>
      <c r="AR1148" s="290"/>
      <c r="AS1148" s="290"/>
    </row>
    <row r="1149" spans="1:45" ht="17.25" thickBot="1" x14ac:dyDescent="0.3">
      <c r="A1149" s="467"/>
      <c r="B1149" s="354"/>
      <c r="C1149" s="285">
        <v>1699119</v>
      </c>
      <c r="D1149" s="358" t="s">
        <v>412</v>
      </c>
      <c r="E1149" s="360"/>
      <c r="F1149" s="361">
        <f>G1184-AK1149+AL1149</f>
        <v>0</v>
      </c>
      <c r="G1149" s="364">
        <v>0</v>
      </c>
      <c r="H1149" s="397">
        <v>0</v>
      </c>
      <c r="I1149" s="364"/>
      <c r="J1149" s="364"/>
      <c r="K1149" s="364"/>
      <c r="L1149" s="218"/>
      <c r="M1149" s="218"/>
      <c r="N1149" s="218"/>
      <c r="O1149" s="218"/>
      <c r="P1149" s="352"/>
      <c r="Q1149" s="352"/>
      <c r="R1149" s="352"/>
      <c r="S1149" s="352"/>
      <c r="T1149" s="352"/>
      <c r="U1149" s="352"/>
      <c r="V1149" s="218"/>
      <c r="W1149" s="218"/>
      <c r="X1149" s="218"/>
      <c r="Y1149" s="218"/>
      <c r="Z1149" s="218"/>
      <c r="AA1149" s="218"/>
      <c r="AB1149" s="218"/>
      <c r="AC1149" s="218"/>
      <c r="AD1149" s="218"/>
      <c r="AE1149" s="218"/>
      <c r="AF1149" s="218"/>
      <c r="AG1149" s="218"/>
      <c r="AH1149" s="218"/>
      <c r="AI1149" s="218"/>
      <c r="AJ1149" s="218"/>
      <c r="AK1149" s="218">
        <f>G1184+AL1149-G1149</f>
        <v>0</v>
      </c>
      <c r="AL1149" s="218"/>
      <c r="AM1149" s="353"/>
      <c r="AN1149" s="295"/>
      <c r="AO1149" s="296"/>
      <c r="AP1149" s="353"/>
      <c r="AQ1149" s="290"/>
      <c r="AR1149" s="290"/>
      <c r="AS1149" s="290"/>
    </row>
    <row r="1150" spans="1:45" ht="17.25" thickBot="1" x14ac:dyDescent="0.3">
      <c r="A1150" s="467"/>
      <c r="B1150" s="354"/>
      <c r="C1150" s="285">
        <v>1699130</v>
      </c>
      <c r="D1150" s="358" t="s">
        <v>413</v>
      </c>
      <c r="E1150" s="360"/>
      <c r="F1150" s="361">
        <f>G1185-AK1150+AL1150</f>
        <v>0</v>
      </c>
      <c r="G1150" s="364">
        <v>0</v>
      </c>
      <c r="H1150" s="397">
        <v>0</v>
      </c>
      <c r="I1150" s="364"/>
      <c r="J1150" s="364"/>
      <c r="K1150" s="364"/>
      <c r="L1150" s="218"/>
      <c r="M1150" s="218"/>
      <c r="N1150" s="218"/>
      <c r="O1150" s="218"/>
      <c r="P1150" s="352"/>
      <c r="Q1150" s="352"/>
      <c r="R1150" s="352"/>
      <c r="S1150" s="352"/>
      <c r="T1150" s="352"/>
      <c r="U1150" s="352"/>
      <c r="V1150" s="218"/>
      <c r="W1150" s="218"/>
      <c r="X1150" s="218"/>
      <c r="Y1150" s="218"/>
      <c r="Z1150" s="218"/>
      <c r="AA1150" s="218"/>
      <c r="AB1150" s="218"/>
      <c r="AC1150" s="218"/>
      <c r="AD1150" s="218"/>
      <c r="AE1150" s="218"/>
      <c r="AF1150" s="218"/>
      <c r="AG1150" s="218"/>
      <c r="AH1150" s="218"/>
      <c r="AI1150" s="218"/>
      <c r="AJ1150" s="218"/>
      <c r="AK1150" s="218">
        <f>G1185+AL1150-G1150</f>
        <v>0</v>
      </c>
      <c r="AL1150" s="218"/>
      <c r="AM1150" s="353"/>
      <c r="AN1150" s="295"/>
      <c r="AO1150" s="296"/>
      <c r="AP1150" s="353"/>
      <c r="AQ1150" s="290"/>
      <c r="AR1150" s="290"/>
      <c r="AS1150" s="290"/>
    </row>
    <row r="1151" spans="1:45" ht="17.25" thickBot="1" x14ac:dyDescent="0.3">
      <c r="A1151" s="467"/>
      <c r="B1151" s="354"/>
      <c r="C1151" s="285">
        <v>1699131</v>
      </c>
      <c r="D1151" s="358" t="s">
        <v>414</v>
      </c>
      <c r="E1151" s="360"/>
      <c r="F1151" s="361">
        <f>G1186-AK1151+AL1151</f>
        <v>0</v>
      </c>
      <c r="G1151" s="364">
        <v>0</v>
      </c>
      <c r="H1151" s="397">
        <v>0</v>
      </c>
      <c r="I1151" s="364">
        <v>1</v>
      </c>
      <c r="J1151" s="364"/>
      <c r="K1151" s="364"/>
      <c r="L1151" s="218"/>
      <c r="M1151" s="218"/>
      <c r="N1151" s="218"/>
      <c r="O1151" s="218"/>
      <c r="P1151" s="352"/>
      <c r="Q1151" s="352"/>
      <c r="R1151" s="352"/>
      <c r="S1151" s="352"/>
      <c r="T1151" s="352"/>
      <c r="U1151" s="352"/>
      <c r="V1151" s="218"/>
      <c r="W1151" s="218"/>
      <c r="X1151" s="218"/>
      <c r="Y1151" s="218"/>
      <c r="Z1151" s="218"/>
      <c r="AA1151" s="218"/>
      <c r="AB1151" s="218"/>
      <c r="AC1151" s="218"/>
      <c r="AD1151" s="218"/>
      <c r="AE1151" s="218"/>
      <c r="AF1151" s="218"/>
      <c r="AG1151" s="218"/>
      <c r="AH1151" s="218"/>
      <c r="AI1151" s="218"/>
      <c r="AJ1151" s="218"/>
      <c r="AK1151" s="218">
        <f>G1186+AL1151-G1151</f>
        <v>0</v>
      </c>
      <c r="AL1151" s="218"/>
      <c r="AM1151" s="353"/>
      <c r="AN1151" s="295"/>
      <c r="AO1151" s="296"/>
      <c r="AP1151" s="353"/>
      <c r="AQ1151" s="290"/>
      <c r="AR1151" s="290"/>
      <c r="AS1151" s="290"/>
    </row>
    <row r="1152" spans="1:45" ht="17.25" thickBot="1" x14ac:dyDescent="0.3">
      <c r="A1152" s="468"/>
      <c r="B1152" s="354"/>
      <c r="C1152" s="285">
        <v>1699132</v>
      </c>
      <c r="D1152" s="358" t="s">
        <v>415</v>
      </c>
      <c r="E1152" s="285"/>
      <c r="F1152" s="362">
        <f>G1187-AK1152+AL1152</f>
        <v>0</v>
      </c>
      <c r="G1152" s="364">
        <v>0</v>
      </c>
      <c r="H1152" s="397">
        <v>0</v>
      </c>
      <c r="I1152" s="364">
        <v>2</v>
      </c>
      <c r="J1152" s="364"/>
      <c r="K1152" s="364"/>
      <c r="L1152" s="218"/>
      <c r="M1152" s="218"/>
      <c r="N1152" s="218"/>
      <c r="O1152" s="218"/>
      <c r="P1152" s="352"/>
      <c r="Q1152" s="352"/>
      <c r="R1152" s="352"/>
      <c r="S1152" s="352"/>
      <c r="T1152" s="352"/>
      <c r="U1152" s="352"/>
      <c r="V1152" s="218"/>
      <c r="W1152" s="218"/>
      <c r="X1152" s="218"/>
      <c r="Y1152" s="218"/>
      <c r="Z1152" s="218"/>
      <c r="AA1152" s="218"/>
      <c r="AB1152" s="218"/>
      <c r="AC1152" s="218"/>
      <c r="AD1152" s="218"/>
      <c r="AE1152" s="218"/>
      <c r="AF1152" s="218"/>
      <c r="AG1152" s="218"/>
      <c r="AH1152" s="218"/>
      <c r="AI1152" s="218"/>
      <c r="AJ1152" s="218"/>
      <c r="AK1152" s="218">
        <f>G1187+AL1152-G1152</f>
        <v>0</v>
      </c>
      <c r="AL1152" s="218"/>
      <c r="AM1152" s="353"/>
      <c r="AN1152" s="295"/>
      <c r="AO1152" s="296"/>
      <c r="AP1152" s="353"/>
      <c r="AQ1152" s="290"/>
      <c r="AR1152" s="290"/>
      <c r="AS1152" s="290"/>
    </row>
    <row r="1153" spans="1:45" x14ac:dyDescent="0.25">
      <c r="AL1153" s="290"/>
      <c r="AM1153" s="290"/>
      <c r="AN1153" s="290"/>
      <c r="AO1153" s="290"/>
      <c r="AP1153" s="290"/>
      <c r="AQ1153" s="290"/>
      <c r="AR1153" s="290"/>
    </row>
    <row r="1154" spans="1:45" ht="14.25" thickBot="1" x14ac:dyDescent="0.3">
      <c r="B1154" s="338" t="s">
        <v>18</v>
      </c>
      <c r="C1154" s="339">
        <v>45621</v>
      </c>
      <c r="AL1154" s="290"/>
      <c r="AM1154" s="290"/>
      <c r="AN1154" s="290"/>
      <c r="AO1154" s="290"/>
      <c r="AP1154" s="290"/>
      <c r="AQ1154" s="290"/>
      <c r="AR1154" s="290"/>
    </row>
    <row r="1155" spans="1:45" ht="41.25" thickBot="1" x14ac:dyDescent="0.3">
      <c r="B1155" s="283" t="s">
        <v>0</v>
      </c>
      <c r="C1155" s="284" t="s">
        <v>1</v>
      </c>
      <c r="D1155" s="284" t="s">
        <v>2</v>
      </c>
      <c r="E1155" s="284" t="s">
        <v>3</v>
      </c>
      <c r="F1155" s="4" t="s">
        <v>318</v>
      </c>
      <c r="G1155" s="351" t="s">
        <v>490</v>
      </c>
      <c r="H1155" s="382" t="s">
        <v>460</v>
      </c>
      <c r="I1155" s="234" t="s">
        <v>488</v>
      </c>
      <c r="J1155" s="234"/>
      <c r="K1155" s="258" t="s">
        <v>489</v>
      </c>
      <c r="L1155" s="258" t="s">
        <v>328</v>
      </c>
      <c r="M1155" s="258" t="s">
        <v>327</v>
      </c>
      <c r="N1155" s="234" t="s">
        <v>389</v>
      </c>
      <c r="O1155" s="240" t="s">
        <v>130</v>
      </c>
      <c r="P1155" s="243" t="s">
        <v>303</v>
      </c>
      <c r="Q1155" s="244" t="s">
        <v>304</v>
      </c>
      <c r="R1155" s="244" t="s">
        <v>314</v>
      </c>
      <c r="S1155" s="245" t="s">
        <v>338</v>
      </c>
      <c r="T1155" s="245" t="s">
        <v>345</v>
      </c>
      <c r="U1155" s="245" t="s">
        <v>361</v>
      </c>
      <c r="V1155" s="245" t="s">
        <v>387</v>
      </c>
      <c r="W1155" s="245" t="s">
        <v>421</v>
      </c>
      <c r="X1155" s="245" t="s">
        <v>452</v>
      </c>
      <c r="Y1155" s="245" t="s">
        <v>463</v>
      </c>
      <c r="Z1155" s="245" t="s">
        <v>481</v>
      </c>
      <c r="AA1155" s="245"/>
      <c r="AB1155" s="245"/>
      <c r="AC1155" s="245"/>
      <c r="AD1155" s="245"/>
      <c r="AE1155" s="245"/>
      <c r="AF1155" s="245"/>
      <c r="AG1155" s="245"/>
      <c r="AH1155" s="245"/>
      <c r="AI1155" s="245"/>
      <c r="AJ1155" s="245" t="s">
        <v>360</v>
      </c>
      <c r="AK1155" s="246" t="s">
        <v>268</v>
      </c>
      <c r="AL1155" s="247" t="s">
        <v>269</v>
      </c>
      <c r="AM1155" s="291" t="s">
        <v>288</v>
      </c>
      <c r="AN1155" s="292" t="s">
        <v>289</v>
      </c>
      <c r="AO1155" s="292" t="s">
        <v>287</v>
      </c>
      <c r="AP1155" s="293" t="s">
        <v>290</v>
      </c>
      <c r="AQ1155" s="290" t="s">
        <v>306</v>
      </c>
      <c r="AR1155" s="290" t="s">
        <v>310</v>
      </c>
      <c r="AS1155" s="290" t="s">
        <v>311</v>
      </c>
    </row>
    <row r="1156" spans="1:45" ht="17.25" thickBot="1" x14ac:dyDescent="0.3">
      <c r="A1156" s="463" t="s">
        <v>416</v>
      </c>
      <c r="B1156" s="285">
        <v>273664</v>
      </c>
      <c r="C1156" s="286">
        <v>1135749</v>
      </c>
      <c r="D1156" s="286" t="s">
        <v>7</v>
      </c>
      <c r="E1156" s="286">
        <v>6060050026</v>
      </c>
      <c r="F1156" s="253">
        <f>G1191-AK1156+AL1156</f>
        <v>7</v>
      </c>
      <c r="G1156" s="235">
        <v>7</v>
      </c>
      <c r="H1156" s="394">
        <v>7</v>
      </c>
      <c r="I1156" s="232">
        <v>7</v>
      </c>
      <c r="J1156" s="232"/>
      <c r="K1156" s="232">
        <v>1</v>
      </c>
      <c r="L1156" s="232">
        <f>IF(K1190=K1155,L1191+AK1156,K1156)</f>
        <v>1</v>
      </c>
      <c r="M1156" s="232">
        <f>IF(K1190=K1155,0,L1191+AK1156-K1156)</f>
        <v>0</v>
      </c>
      <c r="N1156" s="267">
        <v>5</v>
      </c>
      <c r="O1156" s="241">
        <f>N1156-G1156</f>
        <v>-2</v>
      </c>
      <c r="P1156" s="277">
        <v>4</v>
      </c>
      <c r="Q1156" s="278">
        <v>4</v>
      </c>
      <c r="R1156" s="279"/>
      <c r="S1156" s="279">
        <v>3</v>
      </c>
      <c r="T1156" s="279">
        <v>4</v>
      </c>
      <c r="U1156" s="279">
        <v>2</v>
      </c>
      <c r="V1156" s="279"/>
      <c r="W1156" s="279">
        <f>2+3</f>
        <v>5</v>
      </c>
      <c r="X1156" s="241"/>
      <c r="Y1156" s="241"/>
      <c r="Z1156" s="241"/>
      <c r="AA1156" s="241"/>
      <c r="AB1156" s="241"/>
      <c r="AC1156" s="241"/>
      <c r="AD1156" s="241"/>
      <c r="AE1156" s="241"/>
      <c r="AF1156" s="241"/>
      <c r="AG1156" s="241"/>
      <c r="AH1156" s="241"/>
      <c r="AI1156" s="241"/>
      <c r="AJ1156" s="241">
        <f>N1156-V1156</f>
        <v>5</v>
      </c>
      <c r="AK1156" s="235">
        <f>G1191+AL1156-G1156</f>
        <v>0</v>
      </c>
      <c r="AL1156" s="350"/>
      <c r="AM1156" s="294">
        <v>1.5</v>
      </c>
      <c r="AN1156" s="295">
        <v>4</v>
      </c>
      <c r="AO1156" s="296">
        <f>G1156/(AN1156)</f>
        <v>1.75</v>
      </c>
      <c r="AP1156" s="297">
        <f>AN1156*6</f>
        <v>24</v>
      </c>
      <c r="AQ1156" s="290">
        <f>G1156+K1156</f>
        <v>8</v>
      </c>
      <c r="AR1156" s="290">
        <f>IF(G1156&lt;G1191,(G1191-G1156+K1191-K1156),K1191-K1156)</f>
        <v>0</v>
      </c>
      <c r="AS1156" s="290">
        <f>21-8</f>
        <v>13</v>
      </c>
    </row>
    <row r="1157" spans="1:45" ht="17.25" thickBot="1" x14ac:dyDescent="0.3">
      <c r="A1157" s="464"/>
      <c r="B1157" s="285">
        <v>273672</v>
      </c>
      <c r="C1157" s="286">
        <v>1135750</v>
      </c>
      <c r="D1157" s="286" t="s">
        <v>9</v>
      </c>
      <c r="E1157" s="287">
        <v>204000000000</v>
      </c>
      <c r="F1157" s="253">
        <f>G1192-AK1157+AL1157</f>
        <v>31</v>
      </c>
      <c r="G1157" s="235">
        <v>31</v>
      </c>
      <c r="H1157" s="394">
        <v>15</v>
      </c>
      <c r="I1157" s="232">
        <v>31</v>
      </c>
      <c r="J1157" s="232"/>
      <c r="K1157" s="232">
        <v>7</v>
      </c>
      <c r="L1157" s="232">
        <f>IF(K1190=K1155,L1192+AK1157,K1157)</f>
        <v>7</v>
      </c>
      <c r="M1157" s="232">
        <f>IF(K1190=K1155,0,L1192+AK1157-K1157)</f>
        <v>2</v>
      </c>
      <c r="N1157" s="267">
        <v>10</v>
      </c>
      <c r="O1157" s="241">
        <f>N1157-G1157</f>
        <v>-21</v>
      </c>
      <c r="P1157" s="277">
        <v>13</v>
      </c>
      <c r="Q1157" s="278">
        <v>2</v>
      </c>
      <c r="R1157" s="279">
        <v>6</v>
      </c>
      <c r="S1157" s="279">
        <v>6</v>
      </c>
      <c r="T1157" s="279">
        <v>10</v>
      </c>
      <c r="U1157" s="279">
        <v>4</v>
      </c>
      <c r="V1157" s="279">
        <v>6</v>
      </c>
      <c r="W1157" s="279">
        <v>16</v>
      </c>
      <c r="X1157" s="241"/>
      <c r="Y1157" s="241">
        <v>6</v>
      </c>
      <c r="Z1157" s="241">
        <v>4</v>
      </c>
      <c r="AA1157" s="241"/>
      <c r="AB1157" s="241"/>
      <c r="AC1157" s="241"/>
      <c r="AD1157" s="241"/>
      <c r="AE1157" s="241"/>
      <c r="AF1157" s="241"/>
      <c r="AG1157" s="241"/>
      <c r="AH1157" s="241"/>
      <c r="AI1157" s="241"/>
      <c r="AJ1157" s="241">
        <f>N1157-V1157</f>
        <v>4</v>
      </c>
      <c r="AK1157" s="235">
        <f>G1192+AL1157-G1157</f>
        <v>0</v>
      </c>
      <c r="AL1157" s="236"/>
      <c r="AM1157" s="298">
        <v>4.2</v>
      </c>
      <c r="AN1157" s="295">
        <v>9</v>
      </c>
      <c r="AO1157" s="296">
        <f>G1157/(AN1157)</f>
        <v>3.4444444444444446</v>
      </c>
      <c r="AP1157" s="297">
        <f>AN1157*6</f>
        <v>54</v>
      </c>
      <c r="AQ1157" s="290">
        <f>G1157+K1157</f>
        <v>38</v>
      </c>
      <c r="AR1157" s="290">
        <f>IF(G1157&lt;G1192,(G1192-G1157+K1192-K1157),K1192-K1157)</f>
        <v>2</v>
      </c>
      <c r="AS1157" s="290">
        <f>21-8</f>
        <v>13</v>
      </c>
    </row>
    <row r="1158" spans="1:45" ht="17.25" thickBot="1" x14ac:dyDescent="0.3">
      <c r="A1158" s="464"/>
      <c r="B1158" s="285">
        <v>273702</v>
      </c>
      <c r="C1158" s="286">
        <v>1135753</v>
      </c>
      <c r="D1158" s="286" t="s">
        <v>10</v>
      </c>
      <c r="E1158" s="287">
        <v>301000000000</v>
      </c>
      <c r="F1158" s="253">
        <f>G1193-AK1158+AL1158</f>
        <v>2</v>
      </c>
      <c r="G1158" s="235">
        <v>2</v>
      </c>
      <c r="H1158" s="394">
        <v>2</v>
      </c>
      <c r="I1158" s="232">
        <v>2</v>
      </c>
      <c r="J1158" s="232"/>
      <c r="K1158" s="232">
        <v>1</v>
      </c>
      <c r="L1158" s="232">
        <f>IF(K1190=K1155,L1193+AK1158,K1158)</f>
        <v>1</v>
      </c>
      <c r="M1158" s="232">
        <f>IF(K1190=K1155,0,L1193+AK1158-K1158)</f>
        <v>0</v>
      </c>
      <c r="N1158" s="232">
        <v>2</v>
      </c>
      <c r="O1158" s="241">
        <f>N1158-G1158</f>
        <v>0</v>
      </c>
      <c r="P1158" s="277"/>
      <c r="Q1158" s="278"/>
      <c r="R1158" s="279"/>
      <c r="S1158" s="279"/>
      <c r="T1158" s="279"/>
      <c r="U1158" s="279"/>
      <c r="V1158" s="279"/>
      <c r="W1158" s="279"/>
      <c r="X1158" s="241"/>
      <c r="Y1158" s="241"/>
      <c r="Z1158" s="241"/>
      <c r="AA1158" s="241"/>
      <c r="AB1158" s="241"/>
      <c r="AC1158" s="241"/>
      <c r="AD1158" s="241"/>
      <c r="AE1158" s="241"/>
      <c r="AF1158" s="241"/>
      <c r="AG1158" s="241"/>
      <c r="AH1158" s="241"/>
      <c r="AI1158" s="241"/>
      <c r="AJ1158" s="241">
        <f>N1158-V1158</f>
        <v>2</v>
      </c>
      <c r="AK1158" s="235">
        <f>G1193+AL1158-G1158</f>
        <v>0</v>
      </c>
      <c r="AL1158" s="236"/>
      <c r="AM1158" s="294">
        <f>4/12</f>
        <v>0.33333333333333331</v>
      </c>
      <c r="AN1158" s="295">
        <v>2</v>
      </c>
      <c r="AO1158" s="296">
        <f>G1158/(AN1158)</f>
        <v>1</v>
      </c>
      <c r="AP1158" s="297">
        <f>AN1158*6</f>
        <v>12</v>
      </c>
      <c r="AQ1158" s="290">
        <f>G1158+K1158</f>
        <v>3</v>
      </c>
      <c r="AR1158" s="290">
        <f>IF(G1158&lt;G1193,(G1193-G1158+K1193-K1158),K1193-K1158)</f>
        <v>0</v>
      </c>
      <c r="AS1158" s="290">
        <f>21-8</f>
        <v>13</v>
      </c>
    </row>
    <row r="1159" spans="1:45" ht="17.25" thickBot="1" x14ac:dyDescent="0.3">
      <c r="A1159" s="464"/>
      <c r="B1159" s="285">
        <v>273698</v>
      </c>
      <c r="C1159" s="286">
        <v>1135752</v>
      </c>
      <c r="D1159" s="286" t="s">
        <v>11</v>
      </c>
      <c r="E1159" s="287">
        <v>701000000000</v>
      </c>
      <c r="F1159" s="253">
        <f>G1194-AK1159+AL1159</f>
        <v>2</v>
      </c>
      <c r="G1159" s="235">
        <v>2</v>
      </c>
      <c r="H1159" s="394">
        <v>2</v>
      </c>
      <c r="I1159" s="232">
        <v>3</v>
      </c>
      <c r="J1159" s="232"/>
      <c r="K1159" s="232">
        <v>0</v>
      </c>
      <c r="L1159" s="232">
        <f>IF(K1190=K1155,L1194+AK1159,K1159)</f>
        <v>0</v>
      </c>
      <c r="M1159" s="232">
        <f>IF(K1190=K1155,0,L1194+AK1159-K1159)</f>
        <v>0</v>
      </c>
      <c r="N1159" s="232">
        <v>3</v>
      </c>
      <c r="O1159" s="241">
        <f>N1159-G1159</f>
        <v>1</v>
      </c>
      <c r="P1159" s="277">
        <v>2</v>
      </c>
      <c r="Q1159" s="278"/>
      <c r="R1159" s="279"/>
      <c r="S1159" s="279"/>
      <c r="T1159" s="279"/>
      <c r="U1159" s="279"/>
      <c r="V1159" s="279"/>
      <c r="W1159" s="279">
        <v>1</v>
      </c>
      <c r="X1159" s="241"/>
      <c r="Y1159" s="241"/>
      <c r="Z1159" s="241"/>
      <c r="AA1159" s="241"/>
      <c r="AB1159" s="241"/>
      <c r="AC1159" s="241"/>
      <c r="AD1159" s="241"/>
      <c r="AE1159" s="241"/>
      <c r="AF1159" s="241"/>
      <c r="AG1159" s="241"/>
      <c r="AH1159" s="241"/>
      <c r="AI1159" s="241"/>
      <c r="AJ1159" s="241">
        <f>N1159-V1159</f>
        <v>3</v>
      </c>
      <c r="AK1159" s="235">
        <f>G1194+AL1159-G1159</f>
        <v>0</v>
      </c>
      <c r="AL1159" s="236"/>
      <c r="AM1159" s="294">
        <f>4/12</f>
        <v>0.33333333333333331</v>
      </c>
      <c r="AN1159" s="295">
        <v>2</v>
      </c>
      <c r="AO1159" s="296">
        <f>G1159/(AN1159)</f>
        <v>1</v>
      </c>
      <c r="AP1159" s="297">
        <f>AN1159*6</f>
        <v>12</v>
      </c>
      <c r="AQ1159" s="290">
        <f>G1159+K1159</f>
        <v>2</v>
      </c>
      <c r="AR1159" s="290">
        <f>IF(G1159&lt;G1194,(G1194-G1159+K1194-K1159),K1194-K1159)</f>
        <v>0</v>
      </c>
      <c r="AS1159" s="290">
        <f>21-8</f>
        <v>13</v>
      </c>
    </row>
    <row r="1160" spans="1:45" ht="17.25" thickBot="1" x14ac:dyDescent="0.3">
      <c r="A1160" s="465"/>
      <c r="B1160" s="285">
        <v>273680</v>
      </c>
      <c r="C1160" s="286">
        <v>1135751</v>
      </c>
      <c r="D1160" s="286" t="s">
        <v>12</v>
      </c>
      <c r="E1160" s="286" t="s">
        <v>13</v>
      </c>
      <c r="F1160" s="254">
        <f>G1195-AK1160+AL1160</f>
        <v>14</v>
      </c>
      <c r="G1160" s="237">
        <v>14</v>
      </c>
      <c r="H1160" s="395">
        <v>5</v>
      </c>
      <c r="I1160" s="238">
        <v>14</v>
      </c>
      <c r="J1160" s="238"/>
      <c r="K1160" s="238">
        <v>11</v>
      </c>
      <c r="L1160" s="238">
        <f>IF(K1190=K1155,L1195+AK1160,K1160)</f>
        <v>11</v>
      </c>
      <c r="M1160" s="238">
        <f>IF(K1190=K1155,0,L1195+AK1160-K1160)</f>
        <v>0</v>
      </c>
      <c r="N1160" s="238">
        <v>9</v>
      </c>
      <c r="O1160" s="242">
        <f>N1160-G1160</f>
        <v>-5</v>
      </c>
      <c r="P1160" s="280"/>
      <c r="Q1160" s="281"/>
      <c r="R1160" s="282"/>
      <c r="S1160" s="282"/>
      <c r="T1160" s="282">
        <v>11</v>
      </c>
      <c r="U1160" s="282"/>
      <c r="V1160" s="282"/>
      <c r="W1160" s="282">
        <v>9</v>
      </c>
      <c r="X1160" s="242"/>
      <c r="Y1160" s="242">
        <v>9</v>
      </c>
      <c r="Z1160" s="242"/>
      <c r="AA1160" s="242"/>
      <c r="AB1160" s="242"/>
      <c r="AC1160" s="242"/>
      <c r="AD1160" s="242"/>
      <c r="AE1160" s="242"/>
      <c r="AF1160" s="242"/>
      <c r="AG1160" s="242"/>
      <c r="AH1160" s="242"/>
      <c r="AI1160" s="242"/>
      <c r="AJ1160" s="242">
        <f>N1160-V1160</f>
        <v>9</v>
      </c>
      <c r="AK1160" s="235">
        <f>G1195+AL1160-G1160</f>
        <v>0</v>
      </c>
      <c r="AL1160" s="239"/>
      <c r="AM1160" s="299">
        <f>30/12</f>
        <v>2.5</v>
      </c>
      <c r="AN1160" s="300">
        <f>AM1160*2</f>
        <v>5</v>
      </c>
      <c r="AO1160" s="301">
        <f>G1160/(AN1160)</f>
        <v>2.8</v>
      </c>
      <c r="AP1160" s="302">
        <f>AN1160*6</f>
        <v>30</v>
      </c>
      <c r="AQ1160" s="290">
        <f>G1160+K1160</f>
        <v>25</v>
      </c>
      <c r="AR1160" s="290">
        <f>IF(G1160&lt;G1195,(G1195-G1160+K1195-K1160),K1195-K1160)</f>
        <v>0</v>
      </c>
      <c r="AS1160" s="290">
        <f>21-8</f>
        <v>13</v>
      </c>
    </row>
    <row r="1161" spans="1:45" ht="17.25" thickBot="1" x14ac:dyDescent="0.3">
      <c r="A1161" s="466" t="s">
        <v>417</v>
      </c>
      <c r="B1161" s="355" t="s">
        <v>129</v>
      </c>
      <c r="C1161" s="356"/>
      <c r="D1161" s="356"/>
      <c r="E1161" s="359"/>
      <c r="F1161" s="359"/>
      <c r="G1161" s="356"/>
      <c r="H1161" s="396"/>
      <c r="I1161" s="356"/>
      <c r="J1161" s="356"/>
      <c r="K1161" s="356"/>
      <c r="L1161" s="356"/>
      <c r="M1161" s="356"/>
      <c r="N1161" s="356"/>
      <c r="O1161" s="356"/>
      <c r="P1161" s="356"/>
      <c r="Q1161" s="356"/>
      <c r="R1161" s="356"/>
      <c r="S1161" s="356"/>
      <c r="T1161" s="356"/>
      <c r="U1161" s="356"/>
      <c r="V1161" s="356"/>
      <c r="W1161" s="356"/>
      <c r="X1161" s="356"/>
      <c r="Y1161" s="356"/>
      <c r="Z1161" s="356"/>
      <c r="AA1161" s="356"/>
      <c r="AB1161" s="356"/>
      <c r="AC1161" s="356"/>
      <c r="AD1161" s="356"/>
      <c r="AE1161" s="356"/>
      <c r="AF1161" s="356"/>
      <c r="AG1161" s="356"/>
      <c r="AH1161" s="356"/>
      <c r="AI1161" s="356"/>
      <c r="AJ1161" s="356"/>
      <c r="AK1161" s="356"/>
      <c r="AL1161" s="367"/>
      <c r="AM1161" s="356"/>
      <c r="AN1161" s="356"/>
      <c r="AO1161" s="356"/>
      <c r="AP1161" s="356"/>
      <c r="AQ1161" s="356"/>
      <c r="AR1161" s="356"/>
      <c r="AS1161" s="357"/>
    </row>
    <row r="1162" spans="1:45" ht="17.25" thickBot="1" x14ac:dyDescent="0.3">
      <c r="A1162" s="467"/>
      <c r="B1162" s="354"/>
      <c r="C1162" s="354">
        <v>1140327</v>
      </c>
      <c r="D1162" s="358" t="s">
        <v>394</v>
      </c>
      <c r="E1162" s="360"/>
      <c r="F1162" s="361">
        <f>G1197-AK1162+AL1162</f>
        <v>10</v>
      </c>
      <c r="G1162" s="218">
        <v>10</v>
      </c>
      <c r="H1162" s="397">
        <v>26</v>
      </c>
      <c r="I1162" s="218">
        <v>9</v>
      </c>
      <c r="J1162" s="218"/>
      <c r="K1162" s="218">
        <v>5</v>
      </c>
      <c r="L1162" s="218">
        <f>IF(K1190=K1155,L1197+AK1162,K1162)</f>
        <v>5</v>
      </c>
      <c r="M1162" s="218">
        <f>IF(K1190=K1155,0,L1197+AK1162-K1162)</f>
        <v>4</v>
      </c>
      <c r="N1162" s="218"/>
      <c r="O1162" s="218"/>
      <c r="P1162" s="352"/>
      <c r="Q1162" s="352"/>
      <c r="R1162" s="352"/>
      <c r="S1162" s="352"/>
      <c r="T1162" s="352"/>
      <c r="U1162" s="352"/>
      <c r="V1162" s="218"/>
      <c r="W1162" s="218"/>
      <c r="X1162" s="218">
        <v>4</v>
      </c>
      <c r="Y1162" s="218">
        <v>9</v>
      </c>
      <c r="Z1162" s="218">
        <v>14</v>
      </c>
      <c r="AA1162" s="218"/>
      <c r="AB1162" s="218"/>
      <c r="AC1162" s="218"/>
      <c r="AD1162" s="218"/>
      <c r="AE1162" s="218"/>
      <c r="AF1162" s="218"/>
      <c r="AG1162" s="218"/>
      <c r="AH1162" s="218"/>
      <c r="AI1162" s="218"/>
      <c r="AJ1162" s="242">
        <f>N1162-V1162</f>
        <v>0</v>
      </c>
      <c r="AK1162" s="274">
        <f>G1197+AL1162-G1162</f>
        <v>9</v>
      </c>
      <c r="AL1162" s="232"/>
      <c r="AM1162" s="353"/>
      <c r="AN1162" s="295"/>
      <c r="AO1162" s="296"/>
      <c r="AP1162" s="353"/>
      <c r="AQ1162" s="290"/>
      <c r="AR1162" s="290"/>
      <c r="AS1162" s="290"/>
    </row>
    <row r="1163" spans="1:45" ht="17.25" thickBot="1" x14ac:dyDescent="0.3">
      <c r="A1163" s="467"/>
      <c r="B1163" s="354"/>
      <c r="C1163" s="285">
        <v>1151231</v>
      </c>
      <c r="D1163" s="358" t="s">
        <v>395</v>
      </c>
      <c r="E1163" s="360"/>
      <c r="F1163" s="361">
        <f>G1198-AK1163+AL1163</f>
        <v>8</v>
      </c>
      <c r="G1163" s="369">
        <v>8</v>
      </c>
      <c r="H1163" s="397">
        <v>3</v>
      </c>
      <c r="I1163" s="218">
        <v>8</v>
      </c>
      <c r="J1163" s="218"/>
      <c r="K1163" s="218">
        <v>8</v>
      </c>
      <c r="L1163" s="218">
        <f>IF(K1190=K1155,L1198+AK1163,K1163)</f>
        <v>8</v>
      </c>
      <c r="M1163" s="218">
        <f>IF(K1190=K1155,0,L1198+AK1163-K1163)</f>
        <v>0</v>
      </c>
      <c r="N1163" s="218"/>
      <c r="O1163" s="218"/>
      <c r="P1163" s="352"/>
      <c r="Q1163" s="352"/>
      <c r="R1163" s="352"/>
      <c r="S1163" s="352"/>
      <c r="T1163" s="352"/>
      <c r="U1163" s="352"/>
      <c r="V1163" s="218"/>
      <c r="W1163" s="218"/>
      <c r="X1163" s="218">
        <v>3</v>
      </c>
      <c r="Y1163" s="218">
        <v>8</v>
      </c>
      <c r="Z1163" s="218">
        <v>6</v>
      </c>
      <c r="AA1163" s="218"/>
      <c r="AB1163" s="218"/>
      <c r="AC1163" s="218"/>
      <c r="AD1163" s="218"/>
      <c r="AE1163" s="218"/>
      <c r="AF1163" s="218"/>
      <c r="AG1163" s="218"/>
      <c r="AH1163" s="218"/>
      <c r="AI1163" s="218"/>
      <c r="AJ1163" s="242">
        <f>N1163-V1163</f>
        <v>0</v>
      </c>
      <c r="AK1163" s="274">
        <f>G1198+AL1163-G1163</f>
        <v>6</v>
      </c>
      <c r="AL1163" s="232"/>
      <c r="AM1163" s="353"/>
      <c r="AN1163" s="295"/>
      <c r="AO1163" s="296"/>
      <c r="AP1163" s="353"/>
      <c r="AQ1163" s="290"/>
      <c r="AR1163" s="290"/>
      <c r="AS1163" s="290"/>
    </row>
    <row r="1164" spans="1:45" ht="17.25" thickBot="1" x14ac:dyDescent="0.3">
      <c r="A1164" s="467"/>
      <c r="B1164" s="355" t="s">
        <v>420</v>
      </c>
      <c r="C1164" s="356"/>
      <c r="D1164" s="356"/>
      <c r="E1164" s="359"/>
      <c r="F1164" s="359"/>
      <c r="G1164" s="356"/>
      <c r="H1164" s="396"/>
      <c r="I1164" s="356"/>
      <c r="J1164" s="356"/>
      <c r="K1164" s="356"/>
      <c r="L1164" s="356"/>
      <c r="M1164" s="356"/>
      <c r="N1164" s="356"/>
      <c r="O1164" s="356"/>
      <c r="P1164" s="356"/>
      <c r="Q1164" s="356"/>
      <c r="R1164" s="356"/>
      <c r="S1164" s="356"/>
      <c r="T1164" s="356"/>
      <c r="U1164" s="356"/>
      <c r="V1164" s="356"/>
      <c r="W1164" s="356"/>
      <c r="X1164" s="356"/>
      <c r="Y1164" s="356"/>
      <c r="Z1164" s="356"/>
      <c r="AA1164" s="356"/>
      <c r="AB1164" s="356"/>
      <c r="AC1164" s="356"/>
      <c r="AD1164" s="356"/>
      <c r="AE1164" s="356"/>
      <c r="AF1164" s="356"/>
      <c r="AG1164" s="356"/>
      <c r="AH1164" s="356"/>
      <c r="AI1164" s="356"/>
      <c r="AJ1164" s="356"/>
      <c r="AK1164" s="356"/>
      <c r="AL1164" s="368"/>
      <c r="AM1164" s="356"/>
      <c r="AN1164" s="356"/>
      <c r="AO1164" s="356"/>
      <c r="AP1164" s="356"/>
      <c r="AQ1164" s="356"/>
      <c r="AR1164" s="356"/>
      <c r="AS1164" s="357"/>
    </row>
    <row r="1165" spans="1:45" ht="17.25" thickBot="1" x14ac:dyDescent="0.3">
      <c r="A1165" s="467"/>
      <c r="B1165" s="354"/>
      <c r="C1165" s="285">
        <v>1146032</v>
      </c>
      <c r="D1165" s="358" t="s">
        <v>396</v>
      </c>
      <c r="E1165" s="360"/>
      <c r="F1165" s="361">
        <f>G1200-AK1165+AL1165</f>
        <v>1</v>
      </c>
      <c r="G1165" s="364">
        <v>1</v>
      </c>
      <c r="H1165" s="397">
        <v>1</v>
      </c>
      <c r="I1165" s="364">
        <v>1</v>
      </c>
      <c r="J1165" s="364"/>
      <c r="K1165" s="364">
        <v>1</v>
      </c>
      <c r="L1165" s="218"/>
      <c r="M1165" s="218"/>
      <c r="N1165" s="218"/>
      <c r="O1165" s="218"/>
      <c r="P1165" s="352"/>
      <c r="Q1165" s="352"/>
      <c r="R1165" s="352"/>
      <c r="S1165" s="352"/>
      <c r="T1165" s="352"/>
      <c r="U1165" s="352"/>
      <c r="V1165" s="218"/>
      <c r="W1165" s="218"/>
      <c r="X1165" s="218"/>
      <c r="Y1165" s="218"/>
      <c r="Z1165" s="218"/>
      <c r="AA1165" s="218"/>
      <c r="AB1165" s="218"/>
      <c r="AC1165" s="218"/>
      <c r="AD1165" s="218"/>
      <c r="AE1165" s="218"/>
      <c r="AF1165" s="218"/>
      <c r="AG1165" s="218"/>
      <c r="AH1165" s="218"/>
      <c r="AI1165" s="218"/>
      <c r="AJ1165" s="218"/>
      <c r="AK1165" s="218">
        <f>G1200+AL1165-G1165</f>
        <v>0</v>
      </c>
      <c r="AL1165" s="218"/>
      <c r="AM1165" s="353"/>
      <c r="AN1165" s="295"/>
      <c r="AO1165" s="296"/>
      <c r="AP1165" s="353"/>
      <c r="AQ1165" s="290"/>
      <c r="AR1165" s="290"/>
      <c r="AS1165" s="290"/>
    </row>
    <row r="1166" spans="1:45" ht="17.25" thickBot="1" x14ac:dyDescent="0.3">
      <c r="A1166" s="467"/>
      <c r="B1166" s="354"/>
      <c r="C1166" s="285">
        <v>1146021</v>
      </c>
      <c r="D1166" s="358" t="s">
        <v>397</v>
      </c>
      <c r="E1166" s="360"/>
      <c r="F1166" s="361">
        <f>G1201-AK1166+AL1166</f>
        <v>2</v>
      </c>
      <c r="G1166" s="364">
        <v>2</v>
      </c>
      <c r="H1166" s="397">
        <v>2</v>
      </c>
      <c r="I1166" s="364"/>
      <c r="J1166" s="364"/>
      <c r="K1166" s="364">
        <v>2</v>
      </c>
      <c r="L1166" s="218"/>
      <c r="M1166" s="218"/>
      <c r="N1166" s="218"/>
      <c r="O1166" s="218"/>
      <c r="P1166" s="352"/>
      <c r="Q1166" s="352"/>
      <c r="R1166" s="352"/>
      <c r="S1166" s="352"/>
      <c r="T1166" s="352"/>
      <c r="U1166" s="352"/>
      <c r="V1166" s="218"/>
      <c r="W1166" s="218"/>
      <c r="X1166" s="218"/>
      <c r="Y1166" s="218"/>
      <c r="Z1166" s="218"/>
      <c r="AA1166" s="218"/>
      <c r="AB1166" s="218"/>
      <c r="AC1166" s="218"/>
      <c r="AD1166" s="218"/>
      <c r="AE1166" s="218"/>
      <c r="AF1166" s="218"/>
      <c r="AG1166" s="218"/>
      <c r="AH1166" s="218"/>
      <c r="AI1166" s="218"/>
      <c r="AJ1166" s="218"/>
      <c r="AK1166" s="218">
        <f>G1201+AL1166-G1166</f>
        <v>0</v>
      </c>
      <c r="AL1166" s="218"/>
      <c r="AM1166" s="353"/>
      <c r="AN1166" s="295"/>
      <c r="AO1166" s="296"/>
      <c r="AP1166" s="353"/>
      <c r="AQ1166" s="290"/>
      <c r="AR1166" s="290"/>
      <c r="AS1166" s="290"/>
    </row>
    <row r="1167" spans="1:45" ht="17.25" thickBot="1" x14ac:dyDescent="0.3">
      <c r="A1167" s="467"/>
      <c r="B1167" s="354"/>
      <c r="C1167" s="285">
        <v>1146018</v>
      </c>
      <c r="D1167" s="358" t="s">
        <v>398</v>
      </c>
      <c r="E1167" s="360"/>
      <c r="F1167" s="361">
        <f>G1202-AK1167+AL1167</f>
        <v>4</v>
      </c>
      <c r="G1167" s="364">
        <v>4</v>
      </c>
      <c r="H1167" s="397">
        <v>4</v>
      </c>
      <c r="I1167" s="364"/>
      <c r="J1167" s="364"/>
      <c r="K1167" s="364">
        <v>0</v>
      </c>
      <c r="L1167" s="218"/>
      <c r="M1167" s="218"/>
      <c r="N1167" s="218"/>
      <c r="O1167" s="218"/>
      <c r="P1167" s="352"/>
      <c r="Q1167" s="352"/>
      <c r="R1167" s="352"/>
      <c r="S1167" s="352"/>
      <c r="T1167" s="352"/>
      <c r="U1167" s="352"/>
      <c r="V1167" s="218"/>
      <c r="W1167" s="218"/>
      <c r="X1167" s="218"/>
      <c r="Y1167" s="218"/>
      <c r="Z1167" s="218"/>
      <c r="AA1167" s="218"/>
      <c r="AB1167" s="218"/>
      <c r="AC1167" s="218"/>
      <c r="AD1167" s="218"/>
      <c r="AE1167" s="218"/>
      <c r="AF1167" s="218"/>
      <c r="AG1167" s="218"/>
      <c r="AH1167" s="218"/>
      <c r="AI1167" s="218"/>
      <c r="AJ1167" s="218"/>
      <c r="AK1167" s="218">
        <f>G1202+AL1167-G1167</f>
        <v>0</v>
      </c>
      <c r="AL1167" s="218"/>
      <c r="AM1167" s="353"/>
      <c r="AN1167" s="295"/>
      <c r="AO1167" s="296"/>
      <c r="AP1167" s="353"/>
      <c r="AQ1167" s="290"/>
      <c r="AR1167" s="290"/>
      <c r="AS1167" s="290"/>
    </row>
    <row r="1168" spans="1:45" ht="17.25" thickBot="1" x14ac:dyDescent="0.3">
      <c r="A1168" s="467"/>
      <c r="B1168" s="354"/>
      <c r="C1168" s="285">
        <v>1146024</v>
      </c>
      <c r="D1168" s="358" t="s">
        <v>399</v>
      </c>
      <c r="E1168" s="360"/>
      <c r="F1168" s="361">
        <v>1</v>
      </c>
      <c r="G1168" s="369">
        <v>3</v>
      </c>
      <c r="H1168" s="369">
        <v>0</v>
      </c>
      <c r="I1168" s="369">
        <v>3</v>
      </c>
      <c r="J1168" s="369"/>
      <c r="K1168" s="369"/>
      <c r="L1168" s="218"/>
      <c r="M1168" s="218"/>
      <c r="N1168" s="218"/>
      <c r="O1168" s="218"/>
      <c r="P1168" s="352"/>
      <c r="Q1168" s="352"/>
      <c r="R1168" s="352"/>
      <c r="S1168" s="352"/>
      <c r="T1168" s="352"/>
      <c r="U1168" s="352"/>
      <c r="V1168" s="218"/>
      <c r="W1168" s="218"/>
      <c r="X1168" s="218"/>
      <c r="Y1168" s="218"/>
      <c r="Z1168" s="218"/>
      <c r="AA1168" s="218"/>
      <c r="AB1168" s="218"/>
      <c r="AC1168" s="218"/>
      <c r="AD1168" s="218"/>
      <c r="AE1168" s="218"/>
      <c r="AF1168" s="218"/>
      <c r="AG1168" s="218"/>
      <c r="AH1168" s="218"/>
      <c r="AI1168" s="218"/>
      <c r="AJ1168" s="218"/>
      <c r="AK1168" s="218">
        <f>G1203+AL1168-G1168</f>
        <v>0</v>
      </c>
      <c r="AL1168" s="218"/>
      <c r="AM1168" s="353"/>
      <c r="AN1168" s="295"/>
      <c r="AO1168" s="296"/>
      <c r="AP1168" s="353"/>
      <c r="AQ1168" s="290"/>
      <c r="AR1168" s="290"/>
      <c r="AS1168" s="290"/>
    </row>
    <row r="1169" spans="1:45" ht="17.25" thickBot="1" x14ac:dyDescent="0.3">
      <c r="A1169" s="467"/>
      <c r="B1169" s="354"/>
      <c r="C1169" s="285">
        <v>1146028</v>
      </c>
      <c r="D1169" s="358" t="s">
        <v>400</v>
      </c>
      <c r="E1169" s="360"/>
      <c r="F1169" s="361">
        <f>G1204-AK1169+AL1169</f>
        <v>1</v>
      </c>
      <c r="G1169" s="364">
        <v>1</v>
      </c>
      <c r="H1169" s="397">
        <v>3</v>
      </c>
      <c r="I1169" s="364"/>
      <c r="J1169" s="364"/>
      <c r="K1169" s="364">
        <v>1</v>
      </c>
      <c r="L1169" s="218"/>
      <c r="M1169" s="218"/>
      <c r="N1169" s="218"/>
      <c r="O1169" s="218"/>
      <c r="P1169" s="352"/>
      <c r="Q1169" s="352"/>
      <c r="R1169" s="352"/>
      <c r="S1169" s="352"/>
      <c r="T1169" s="352"/>
      <c r="U1169" s="352"/>
      <c r="V1169" s="218"/>
      <c r="W1169" s="218"/>
      <c r="X1169" s="218"/>
      <c r="Y1169" s="218"/>
      <c r="Z1169" s="218"/>
      <c r="AA1169" s="218"/>
      <c r="AB1169" s="218"/>
      <c r="AC1169" s="218"/>
      <c r="AD1169" s="218"/>
      <c r="AE1169" s="218"/>
      <c r="AF1169" s="218"/>
      <c r="AG1169" s="218"/>
      <c r="AH1169" s="218"/>
      <c r="AI1169" s="218"/>
      <c r="AJ1169" s="218"/>
      <c r="AK1169" s="218">
        <f>G1204+AL1169-G1169</f>
        <v>0</v>
      </c>
      <c r="AL1169" s="218"/>
      <c r="AM1169" s="353"/>
      <c r="AN1169" s="295"/>
      <c r="AO1169" s="296"/>
      <c r="AP1169" s="353"/>
      <c r="AQ1169" s="290"/>
      <c r="AR1169" s="290"/>
      <c r="AS1169" s="290"/>
    </row>
    <row r="1170" spans="1:45" ht="17.25" thickBot="1" x14ac:dyDescent="0.3">
      <c r="A1170" s="467"/>
      <c r="B1170" s="355" t="s">
        <v>419</v>
      </c>
      <c r="C1170" s="356"/>
      <c r="D1170" s="356"/>
      <c r="E1170" s="359"/>
      <c r="F1170" s="359"/>
      <c r="G1170" s="356"/>
      <c r="H1170" s="396"/>
      <c r="I1170" s="356"/>
      <c r="J1170" s="356"/>
      <c r="K1170" s="356"/>
      <c r="L1170" s="356"/>
      <c r="M1170" s="356"/>
      <c r="N1170" s="356"/>
      <c r="O1170" s="356"/>
      <c r="P1170" s="356"/>
      <c r="Q1170" s="356"/>
      <c r="R1170" s="356"/>
      <c r="S1170" s="356"/>
      <c r="T1170" s="356"/>
      <c r="U1170" s="356"/>
      <c r="V1170" s="356"/>
      <c r="W1170" s="356"/>
      <c r="X1170" s="356"/>
      <c r="Y1170" s="356"/>
      <c r="Z1170" s="356"/>
      <c r="AA1170" s="356"/>
      <c r="AB1170" s="356"/>
      <c r="AC1170" s="356"/>
      <c r="AD1170" s="356"/>
      <c r="AE1170" s="356"/>
      <c r="AF1170" s="356"/>
      <c r="AG1170" s="356"/>
      <c r="AH1170" s="356"/>
      <c r="AI1170" s="356"/>
      <c r="AJ1170" s="356"/>
      <c r="AK1170" s="356"/>
      <c r="AL1170" s="356"/>
      <c r="AM1170" s="356"/>
      <c r="AN1170" s="356"/>
      <c r="AO1170" s="356"/>
      <c r="AP1170" s="356"/>
      <c r="AQ1170" s="356"/>
      <c r="AR1170" s="356"/>
      <c r="AS1170" s="357"/>
    </row>
    <row r="1171" spans="1:45" ht="17.25" thickBot="1" x14ac:dyDescent="0.3">
      <c r="A1171" s="467"/>
      <c r="B1171" s="372"/>
      <c r="C1171" s="373">
        <v>1146031</v>
      </c>
      <c r="D1171" s="374" t="s">
        <v>401</v>
      </c>
      <c r="E1171" s="375"/>
      <c r="F1171" s="376">
        <f>G1206-AK1171+AL1171</f>
        <v>2</v>
      </c>
      <c r="G1171" s="377">
        <v>2</v>
      </c>
      <c r="H1171" s="397">
        <v>2</v>
      </c>
      <c r="I1171" s="377">
        <v>1</v>
      </c>
      <c r="J1171" s="377"/>
      <c r="K1171" s="377">
        <v>2</v>
      </c>
      <c r="L1171" s="377"/>
      <c r="M1171" s="377"/>
      <c r="N1171" s="377"/>
      <c r="O1171" s="377"/>
      <c r="P1171" s="377"/>
      <c r="Q1171" s="377"/>
      <c r="R1171" s="377"/>
      <c r="S1171" s="377"/>
      <c r="T1171" s="377"/>
      <c r="U1171" s="377"/>
      <c r="V1171" s="377"/>
      <c r="W1171" s="377"/>
      <c r="X1171" s="377"/>
      <c r="Y1171" s="377"/>
      <c r="Z1171" s="377"/>
      <c r="AA1171" s="377"/>
      <c r="AB1171" s="377"/>
      <c r="AC1171" s="377"/>
      <c r="AD1171" s="377"/>
      <c r="AE1171" s="377"/>
      <c r="AF1171" s="377"/>
      <c r="AG1171" s="377"/>
      <c r="AH1171" s="377"/>
      <c r="AI1171" s="377"/>
      <c r="AJ1171" s="377"/>
      <c r="AK1171" s="377">
        <f>G1206+AL1171-G1171</f>
        <v>0</v>
      </c>
      <c r="AL1171" s="377"/>
      <c r="AM1171" s="378"/>
      <c r="AN1171" s="379"/>
      <c r="AO1171" s="380"/>
      <c r="AP1171" s="378"/>
      <c r="AQ1171" s="381"/>
      <c r="AR1171" s="381"/>
      <c r="AS1171" s="381"/>
    </row>
    <row r="1172" spans="1:45" ht="17.25" thickBot="1" x14ac:dyDescent="0.3">
      <c r="A1172" s="467"/>
      <c r="B1172" s="372"/>
      <c r="C1172" s="373">
        <v>1146020</v>
      </c>
      <c r="D1172" s="374" t="s">
        <v>402</v>
      </c>
      <c r="E1172" s="375"/>
      <c r="F1172" s="376">
        <f>G1207-AK1172+AL1172</f>
        <v>1</v>
      </c>
      <c r="G1172" s="377">
        <v>1</v>
      </c>
      <c r="H1172" s="397">
        <v>1</v>
      </c>
      <c r="I1172" s="377"/>
      <c r="J1172" s="377"/>
      <c r="K1172" s="377"/>
      <c r="L1172" s="377"/>
      <c r="M1172" s="377"/>
      <c r="N1172" s="377"/>
      <c r="O1172" s="377"/>
      <c r="P1172" s="377"/>
      <c r="Q1172" s="377"/>
      <c r="R1172" s="377"/>
      <c r="S1172" s="377"/>
      <c r="T1172" s="377"/>
      <c r="U1172" s="377"/>
      <c r="V1172" s="377"/>
      <c r="W1172" s="377"/>
      <c r="X1172" s="377"/>
      <c r="Y1172" s="377"/>
      <c r="Z1172" s="377"/>
      <c r="AA1172" s="377"/>
      <c r="AB1172" s="377"/>
      <c r="AC1172" s="377"/>
      <c r="AD1172" s="377"/>
      <c r="AE1172" s="377"/>
      <c r="AF1172" s="377"/>
      <c r="AG1172" s="377"/>
      <c r="AH1172" s="377"/>
      <c r="AI1172" s="377"/>
      <c r="AJ1172" s="377"/>
      <c r="AK1172" s="377">
        <f>G1207+AL1172-G1172</f>
        <v>0</v>
      </c>
      <c r="AL1172" s="377"/>
      <c r="AM1172" s="378"/>
      <c r="AN1172" s="379"/>
      <c r="AO1172" s="380"/>
      <c r="AP1172" s="378"/>
      <c r="AQ1172" s="381"/>
      <c r="AR1172" s="381"/>
      <c r="AS1172" s="381"/>
    </row>
    <row r="1173" spans="1:45" ht="17.25" thickBot="1" x14ac:dyDescent="0.3">
      <c r="A1173" s="467"/>
      <c r="B1173" s="372"/>
      <c r="C1173" s="373">
        <v>1146016</v>
      </c>
      <c r="D1173" s="374" t="s">
        <v>398</v>
      </c>
      <c r="E1173" s="375"/>
      <c r="F1173" s="376">
        <f>G1208-AK1173+AL1173</f>
        <v>6</v>
      </c>
      <c r="G1173" s="377">
        <v>6</v>
      </c>
      <c r="H1173" s="397">
        <v>6</v>
      </c>
      <c r="I1173" s="377"/>
      <c r="J1173" s="377"/>
      <c r="K1173" s="377">
        <v>2</v>
      </c>
      <c r="L1173" s="377"/>
      <c r="M1173" s="377"/>
      <c r="N1173" s="377"/>
      <c r="O1173" s="377"/>
      <c r="P1173" s="377"/>
      <c r="Q1173" s="377"/>
      <c r="R1173" s="377"/>
      <c r="S1173" s="377"/>
      <c r="T1173" s="377"/>
      <c r="U1173" s="377"/>
      <c r="V1173" s="377"/>
      <c r="W1173" s="377"/>
      <c r="X1173" s="377"/>
      <c r="Y1173" s="377"/>
      <c r="Z1173" s="377"/>
      <c r="AA1173" s="377"/>
      <c r="AB1173" s="377"/>
      <c r="AC1173" s="377"/>
      <c r="AD1173" s="377"/>
      <c r="AE1173" s="377"/>
      <c r="AF1173" s="377"/>
      <c r="AG1173" s="377"/>
      <c r="AH1173" s="377"/>
      <c r="AI1173" s="377"/>
      <c r="AJ1173" s="377"/>
      <c r="AK1173" s="377">
        <f>G1208+AL1173-G1173</f>
        <v>0</v>
      </c>
      <c r="AL1173" s="377"/>
      <c r="AM1173" s="378"/>
      <c r="AN1173" s="379"/>
      <c r="AO1173" s="380"/>
      <c r="AP1173" s="378"/>
      <c r="AQ1173" s="381"/>
      <c r="AR1173" s="381"/>
      <c r="AS1173" s="381"/>
    </row>
    <row r="1174" spans="1:45" ht="17.25" thickBot="1" x14ac:dyDescent="0.3">
      <c r="A1174" s="467"/>
      <c r="B1174" s="372"/>
      <c r="C1174" s="373">
        <v>1146022</v>
      </c>
      <c r="D1174" s="374" t="s">
        <v>403</v>
      </c>
      <c r="E1174" s="375"/>
      <c r="F1174" s="376">
        <f>G1209-AK1174+AL1174</f>
        <v>0</v>
      </c>
      <c r="G1174" s="377">
        <v>0</v>
      </c>
      <c r="H1174" s="397">
        <v>0</v>
      </c>
      <c r="I1174" s="377">
        <v>1</v>
      </c>
      <c r="J1174" s="377"/>
      <c r="K1174" s="377"/>
      <c r="L1174" s="377"/>
      <c r="M1174" s="377"/>
      <c r="N1174" s="377"/>
      <c r="O1174" s="377"/>
      <c r="P1174" s="377"/>
      <c r="Q1174" s="377"/>
      <c r="R1174" s="377"/>
      <c r="S1174" s="377"/>
      <c r="T1174" s="377"/>
      <c r="U1174" s="377"/>
      <c r="V1174" s="377"/>
      <c r="W1174" s="377"/>
      <c r="X1174" s="377"/>
      <c r="Y1174" s="377"/>
      <c r="Z1174" s="377"/>
      <c r="AA1174" s="377"/>
      <c r="AB1174" s="377"/>
      <c r="AC1174" s="377"/>
      <c r="AD1174" s="377"/>
      <c r="AE1174" s="377"/>
      <c r="AF1174" s="377"/>
      <c r="AG1174" s="377"/>
      <c r="AH1174" s="377"/>
      <c r="AI1174" s="377"/>
      <c r="AJ1174" s="377"/>
      <c r="AK1174" s="377">
        <f>G1209+AL1174-G1174</f>
        <v>0</v>
      </c>
      <c r="AL1174" s="377"/>
      <c r="AM1174" s="378"/>
      <c r="AN1174" s="379"/>
      <c r="AO1174" s="380"/>
      <c r="AP1174" s="378"/>
      <c r="AQ1174" s="381"/>
      <c r="AR1174" s="381"/>
      <c r="AS1174" s="381"/>
    </row>
    <row r="1175" spans="1:45" ht="17.25" thickBot="1" x14ac:dyDescent="0.3">
      <c r="A1175" s="467"/>
      <c r="B1175" s="372"/>
      <c r="C1175" s="373">
        <v>1146027</v>
      </c>
      <c r="D1175" s="374" t="s">
        <v>404</v>
      </c>
      <c r="E1175" s="375"/>
      <c r="F1175" s="376">
        <f>G1210-AK1175+AL1175</f>
        <v>2</v>
      </c>
      <c r="G1175" s="377">
        <v>2</v>
      </c>
      <c r="H1175" s="397">
        <v>2</v>
      </c>
      <c r="I1175" s="377">
        <v>1</v>
      </c>
      <c r="J1175" s="377"/>
      <c r="K1175" s="377"/>
      <c r="L1175" s="377"/>
      <c r="M1175" s="377"/>
      <c r="N1175" s="377"/>
      <c r="O1175" s="377"/>
      <c r="P1175" s="377"/>
      <c r="Q1175" s="377"/>
      <c r="R1175" s="377"/>
      <c r="S1175" s="377"/>
      <c r="T1175" s="377"/>
      <c r="U1175" s="377"/>
      <c r="V1175" s="377"/>
      <c r="W1175" s="377"/>
      <c r="X1175" s="377"/>
      <c r="Y1175" s="377"/>
      <c r="Z1175" s="377"/>
      <c r="AA1175" s="377"/>
      <c r="AB1175" s="377"/>
      <c r="AC1175" s="377"/>
      <c r="AD1175" s="377"/>
      <c r="AE1175" s="377"/>
      <c r="AF1175" s="377"/>
      <c r="AG1175" s="377"/>
      <c r="AH1175" s="377"/>
      <c r="AI1175" s="377"/>
      <c r="AJ1175" s="377"/>
      <c r="AK1175" s="377">
        <f>G1210+AL1175-G1175</f>
        <v>0</v>
      </c>
      <c r="AL1175" s="377"/>
      <c r="AM1175" s="378"/>
      <c r="AN1175" s="379"/>
      <c r="AO1175" s="380"/>
      <c r="AP1175" s="378"/>
      <c r="AQ1175" s="381"/>
      <c r="AR1175" s="381"/>
      <c r="AS1175" s="381"/>
    </row>
    <row r="1176" spans="1:45" ht="17.25" thickBot="1" x14ac:dyDescent="0.3">
      <c r="A1176" s="467"/>
      <c r="B1176" s="355" t="s">
        <v>418</v>
      </c>
      <c r="C1176" s="356"/>
      <c r="D1176" s="356"/>
      <c r="E1176" s="359"/>
      <c r="F1176" s="359"/>
      <c r="G1176" s="356"/>
      <c r="H1176" s="396"/>
      <c r="I1176" s="356"/>
      <c r="J1176" s="356"/>
      <c r="K1176" s="356"/>
      <c r="L1176" s="356"/>
      <c r="M1176" s="356"/>
      <c r="N1176" s="356"/>
      <c r="O1176" s="356"/>
      <c r="P1176" s="356"/>
      <c r="Q1176" s="356"/>
      <c r="R1176" s="356"/>
      <c r="S1176" s="356"/>
      <c r="T1176" s="356"/>
      <c r="U1176" s="356"/>
      <c r="V1176" s="356"/>
      <c r="W1176" s="356"/>
      <c r="X1176" s="356"/>
      <c r="Y1176" s="356"/>
      <c r="Z1176" s="356"/>
      <c r="AA1176" s="356"/>
      <c r="AB1176" s="356"/>
      <c r="AC1176" s="356"/>
      <c r="AD1176" s="356"/>
      <c r="AE1176" s="356"/>
      <c r="AF1176" s="356"/>
      <c r="AG1176" s="356"/>
      <c r="AH1176" s="356"/>
      <c r="AI1176" s="356"/>
      <c r="AJ1176" s="356"/>
      <c r="AK1176" s="356"/>
      <c r="AL1176" s="356"/>
      <c r="AM1176" s="356"/>
      <c r="AN1176" s="356"/>
      <c r="AO1176" s="356"/>
      <c r="AP1176" s="356"/>
      <c r="AQ1176" s="356"/>
      <c r="AR1176" s="356"/>
      <c r="AS1176" s="357"/>
    </row>
    <row r="1177" spans="1:45" ht="17.25" thickBot="1" x14ac:dyDescent="0.3">
      <c r="A1177" s="467"/>
      <c r="B1177" s="354"/>
      <c r="C1177" s="285">
        <v>1151653</v>
      </c>
      <c r="D1177" s="358" t="s">
        <v>405</v>
      </c>
      <c r="E1177" s="360"/>
      <c r="F1177" s="361">
        <f>G1212-AK1177+AL1177</f>
        <v>0</v>
      </c>
      <c r="G1177" s="364">
        <v>0</v>
      </c>
      <c r="H1177" s="397">
        <v>0</v>
      </c>
      <c r="I1177" s="364">
        <v>1</v>
      </c>
      <c r="J1177" s="364"/>
      <c r="K1177" s="364"/>
      <c r="L1177" s="218"/>
      <c r="M1177" s="218"/>
      <c r="N1177" s="218"/>
      <c r="O1177" s="218"/>
      <c r="P1177" s="352"/>
      <c r="Q1177" s="352"/>
      <c r="R1177" s="352"/>
      <c r="S1177" s="352"/>
      <c r="T1177" s="352"/>
      <c r="U1177" s="352"/>
      <c r="V1177" s="218"/>
      <c r="W1177" s="218"/>
      <c r="X1177" s="218"/>
      <c r="Y1177" s="218"/>
      <c r="Z1177" s="218"/>
      <c r="AA1177" s="218"/>
      <c r="AB1177" s="218"/>
      <c r="AC1177" s="218"/>
      <c r="AD1177" s="218"/>
      <c r="AE1177" s="218"/>
      <c r="AF1177" s="218"/>
      <c r="AG1177" s="218"/>
      <c r="AH1177" s="218"/>
      <c r="AI1177" s="218"/>
      <c r="AJ1177" s="218"/>
      <c r="AK1177" s="218">
        <f>G1212+AL1177-G1177</f>
        <v>0</v>
      </c>
      <c r="AL1177" s="218"/>
      <c r="AM1177" s="353"/>
      <c r="AN1177" s="295"/>
      <c r="AO1177" s="296"/>
      <c r="AP1177" s="353"/>
      <c r="AQ1177" s="290"/>
      <c r="AR1177" s="290"/>
      <c r="AS1177" s="290"/>
    </row>
    <row r="1178" spans="1:45" ht="17.25" thickBot="1" x14ac:dyDescent="0.3">
      <c r="A1178" s="467"/>
      <c r="B1178" s="354"/>
      <c r="C1178" s="285">
        <v>1151650</v>
      </c>
      <c r="D1178" s="358" t="s">
        <v>406</v>
      </c>
      <c r="E1178" s="360"/>
      <c r="F1178" s="361">
        <f>G1213-AK1178+AL1178</f>
        <v>1</v>
      </c>
      <c r="G1178" s="364">
        <v>1</v>
      </c>
      <c r="H1178" s="397">
        <v>1</v>
      </c>
      <c r="I1178" s="364"/>
      <c r="J1178" s="364"/>
      <c r="K1178" s="364">
        <v>5</v>
      </c>
      <c r="L1178" s="218"/>
      <c r="M1178" s="218"/>
      <c r="N1178" s="218"/>
      <c r="O1178" s="218"/>
      <c r="P1178" s="352"/>
      <c r="Q1178" s="352"/>
      <c r="R1178" s="352"/>
      <c r="S1178" s="352"/>
      <c r="T1178" s="352"/>
      <c r="U1178" s="352"/>
      <c r="V1178" s="218"/>
      <c r="W1178" s="218"/>
      <c r="X1178" s="218"/>
      <c r="Y1178" s="218"/>
      <c r="Z1178" s="218"/>
      <c r="AA1178" s="218"/>
      <c r="AB1178" s="218"/>
      <c r="AC1178" s="218"/>
      <c r="AD1178" s="218"/>
      <c r="AE1178" s="218"/>
      <c r="AF1178" s="218"/>
      <c r="AG1178" s="218"/>
      <c r="AH1178" s="218"/>
      <c r="AI1178" s="218"/>
      <c r="AJ1178" s="218"/>
      <c r="AK1178" s="218">
        <f>G1213+AL1178-G1178</f>
        <v>0</v>
      </c>
      <c r="AL1178" s="218"/>
      <c r="AM1178" s="353"/>
      <c r="AN1178" s="295"/>
      <c r="AO1178" s="296"/>
      <c r="AP1178" s="353"/>
      <c r="AQ1178" s="290"/>
      <c r="AR1178" s="290"/>
      <c r="AS1178" s="290"/>
    </row>
    <row r="1179" spans="1:45" ht="17.25" thickBot="1" x14ac:dyDescent="0.3">
      <c r="A1179" s="467"/>
      <c r="B1179" s="354"/>
      <c r="C1179" s="285">
        <v>1151649</v>
      </c>
      <c r="D1179" s="358" t="s">
        <v>407</v>
      </c>
      <c r="E1179" s="360"/>
      <c r="F1179" s="361">
        <f>G1214-AK1179+AL1179</f>
        <v>2</v>
      </c>
      <c r="G1179" s="364">
        <v>2</v>
      </c>
      <c r="H1179" s="397">
        <v>2</v>
      </c>
      <c r="I1179" s="364"/>
      <c r="J1179" s="364"/>
      <c r="K1179" s="364">
        <v>0</v>
      </c>
      <c r="L1179" s="218"/>
      <c r="M1179" s="218"/>
      <c r="N1179" s="218"/>
      <c r="O1179" s="218"/>
      <c r="P1179" s="352"/>
      <c r="Q1179" s="352"/>
      <c r="R1179" s="352"/>
      <c r="S1179" s="352"/>
      <c r="T1179" s="352"/>
      <c r="U1179" s="352"/>
      <c r="V1179" s="218"/>
      <c r="W1179" s="218"/>
      <c r="X1179" s="218"/>
      <c r="Y1179" s="218"/>
      <c r="Z1179" s="218"/>
      <c r="AA1179" s="218"/>
      <c r="AB1179" s="218"/>
      <c r="AC1179" s="218"/>
      <c r="AD1179" s="218"/>
      <c r="AE1179" s="218"/>
      <c r="AF1179" s="218"/>
      <c r="AG1179" s="218"/>
      <c r="AH1179" s="218"/>
      <c r="AI1179" s="218"/>
      <c r="AJ1179" s="218"/>
      <c r="AK1179" s="218">
        <f>G1214+AL1179-G1179</f>
        <v>0</v>
      </c>
      <c r="AL1179" s="218"/>
      <c r="AM1179" s="353"/>
      <c r="AN1179" s="295"/>
      <c r="AO1179" s="296"/>
      <c r="AP1179" s="353"/>
      <c r="AQ1179" s="290"/>
      <c r="AR1179" s="290"/>
      <c r="AS1179" s="290"/>
    </row>
    <row r="1180" spans="1:45" ht="17.25" thickBot="1" x14ac:dyDescent="0.3">
      <c r="A1180" s="467"/>
      <c r="B1180" s="354"/>
      <c r="C1180" s="285">
        <v>1151651</v>
      </c>
      <c r="D1180" s="358" t="s">
        <v>408</v>
      </c>
      <c r="E1180" s="360"/>
      <c r="F1180" s="361">
        <f>G1215-AK1180+AL1180</f>
        <v>0</v>
      </c>
      <c r="G1180" s="364">
        <v>0</v>
      </c>
      <c r="H1180" s="397">
        <v>0</v>
      </c>
      <c r="I1180" s="364"/>
      <c r="J1180" s="364"/>
      <c r="K1180" s="364"/>
      <c r="L1180" s="218"/>
      <c r="M1180" s="218"/>
      <c r="N1180" s="218"/>
      <c r="O1180" s="218"/>
      <c r="P1180" s="352"/>
      <c r="Q1180" s="352"/>
      <c r="R1180" s="352"/>
      <c r="S1180" s="352"/>
      <c r="T1180" s="352"/>
      <c r="U1180" s="352"/>
      <c r="V1180" s="218"/>
      <c r="W1180" s="218"/>
      <c r="X1180" s="218"/>
      <c r="Y1180" s="218"/>
      <c r="Z1180" s="218">
        <v>2</v>
      </c>
      <c r="AA1180" s="218"/>
      <c r="AB1180" s="218"/>
      <c r="AC1180" s="218"/>
      <c r="AD1180" s="218"/>
      <c r="AE1180" s="218"/>
      <c r="AF1180" s="218"/>
      <c r="AG1180" s="218"/>
      <c r="AH1180" s="218"/>
      <c r="AI1180" s="218"/>
      <c r="AJ1180" s="218"/>
      <c r="AK1180" s="218">
        <f>G1215+AL1180-G1180</f>
        <v>0</v>
      </c>
      <c r="AL1180" s="218"/>
      <c r="AM1180" s="353"/>
      <c r="AN1180" s="295"/>
      <c r="AO1180" s="296"/>
      <c r="AP1180" s="353"/>
      <c r="AQ1180" s="290"/>
      <c r="AR1180" s="290"/>
      <c r="AS1180" s="290"/>
    </row>
    <row r="1181" spans="1:45" ht="17.25" thickBot="1" x14ac:dyDescent="0.3">
      <c r="A1181" s="467"/>
      <c r="B1181" s="354"/>
      <c r="C1181" s="285">
        <v>1146029</v>
      </c>
      <c r="D1181" s="358" t="s">
        <v>409</v>
      </c>
      <c r="E1181" s="360"/>
      <c r="F1181" s="361">
        <f>G1216-AK1181+AL1181</f>
        <v>2</v>
      </c>
      <c r="G1181" s="369">
        <v>2</v>
      </c>
      <c r="H1181" s="369">
        <v>1</v>
      </c>
      <c r="I1181" s="369">
        <v>2</v>
      </c>
      <c r="J1181" s="369"/>
      <c r="K1181" s="369">
        <v>1</v>
      </c>
      <c r="L1181" s="218"/>
      <c r="M1181" s="218"/>
      <c r="N1181" s="218"/>
      <c r="O1181" s="218"/>
      <c r="P1181" s="352"/>
      <c r="Q1181" s="352"/>
      <c r="R1181" s="352"/>
      <c r="S1181" s="352"/>
      <c r="T1181" s="352"/>
      <c r="U1181" s="352"/>
      <c r="V1181" s="218"/>
      <c r="W1181" s="218"/>
      <c r="X1181" s="218"/>
      <c r="Y1181" s="218"/>
      <c r="Z1181" s="218"/>
      <c r="AA1181" s="218"/>
      <c r="AB1181" s="218"/>
      <c r="AC1181" s="218"/>
      <c r="AD1181" s="218"/>
      <c r="AE1181" s="218"/>
      <c r="AF1181" s="218"/>
      <c r="AG1181" s="218"/>
      <c r="AH1181" s="218"/>
      <c r="AI1181" s="218"/>
      <c r="AJ1181" s="218"/>
      <c r="AK1181" s="218">
        <f>G1216+AL1181-G1181</f>
        <v>0</v>
      </c>
      <c r="AL1181" s="218"/>
      <c r="AM1181" s="353"/>
      <c r="AN1181" s="295"/>
      <c r="AO1181" s="296"/>
      <c r="AP1181" s="353"/>
      <c r="AQ1181" s="290"/>
      <c r="AR1181" s="290"/>
      <c r="AS1181" s="290"/>
    </row>
    <row r="1182" spans="1:45" ht="17.25" thickBot="1" x14ac:dyDescent="0.3">
      <c r="A1182" s="467"/>
      <c r="B1182" s="355" t="s">
        <v>410</v>
      </c>
      <c r="C1182" s="356"/>
      <c r="D1182" s="356"/>
      <c r="E1182" s="359"/>
      <c r="F1182" s="359"/>
      <c r="G1182" s="356"/>
      <c r="H1182" s="396"/>
      <c r="I1182" s="356"/>
      <c r="J1182" s="356"/>
      <c r="K1182" s="356"/>
      <c r="L1182" s="356"/>
      <c r="M1182" s="356"/>
      <c r="N1182" s="356"/>
      <c r="O1182" s="356"/>
      <c r="P1182" s="356"/>
      <c r="Q1182" s="356"/>
      <c r="R1182" s="356"/>
      <c r="S1182" s="356"/>
      <c r="T1182" s="356"/>
      <c r="U1182" s="356"/>
      <c r="V1182" s="356"/>
      <c r="W1182" s="356"/>
      <c r="X1182" s="356"/>
      <c r="Y1182" s="356"/>
      <c r="Z1182" s="356"/>
      <c r="AA1182" s="356"/>
      <c r="AB1182" s="356"/>
      <c r="AC1182" s="356"/>
      <c r="AD1182" s="356"/>
      <c r="AE1182" s="356"/>
      <c r="AF1182" s="356"/>
      <c r="AG1182" s="356"/>
      <c r="AH1182" s="356"/>
      <c r="AI1182" s="356"/>
      <c r="AJ1182" s="356"/>
      <c r="AK1182" s="356"/>
      <c r="AL1182" s="356"/>
      <c r="AM1182" s="356"/>
      <c r="AN1182" s="356"/>
      <c r="AO1182" s="356"/>
      <c r="AP1182" s="356"/>
      <c r="AQ1182" s="356"/>
      <c r="AR1182" s="356"/>
      <c r="AS1182" s="357"/>
    </row>
    <row r="1183" spans="1:45" ht="17.25" thickBot="1" x14ac:dyDescent="0.3">
      <c r="A1183" s="467"/>
      <c r="B1183" s="354"/>
      <c r="C1183" s="285">
        <v>1699118</v>
      </c>
      <c r="D1183" s="358" t="s">
        <v>411</v>
      </c>
      <c r="E1183" s="360"/>
      <c r="F1183" s="361">
        <f>G1218-AK1183+AL1183</f>
        <v>0</v>
      </c>
      <c r="G1183" s="364">
        <v>0</v>
      </c>
      <c r="H1183" s="397">
        <v>0</v>
      </c>
      <c r="I1183" s="364"/>
      <c r="J1183" s="364"/>
      <c r="K1183" s="364"/>
      <c r="L1183" s="218"/>
      <c r="M1183" s="218"/>
      <c r="N1183" s="218"/>
      <c r="O1183" s="218"/>
      <c r="P1183" s="352"/>
      <c r="Q1183" s="352"/>
      <c r="R1183" s="352"/>
      <c r="S1183" s="352"/>
      <c r="T1183" s="352"/>
      <c r="U1183" s="352"/>
      <c r="V1183" s="218"/>
      <c r="W1183" s="218"/>
      <c r="X1183" s="218"/>
      <c r="Y1183" s="218"/>
      <c r="Z1183" s="218"/>
      <c r="AA1183" s="218"/>
      <c r="AB1183" s="218"/>
      <c r="AC1183" s="218"/>
      <c r="AD1183" s="218"/>
      <c r="AE1183" s="218"/>
      <c r="AF1183" s="218"/>
      <c r="AG1183" s="218"/>
      <c r="AH1183" s="218"/>
      <c r="AI1183" s="218"/>
      <c r="AJ1183" s="218"/>
      <c r="AK1183" s="218">
        <f>G1218+AL1183-G1183</f>
        <v>0</v>
      </c>
      <c r="AL1183" s="218"/>
      <c r="AM1183" s="353"/>
      <c r="AN1183" s="295"/>
      <c r="AO1183" s="296"/>
      <c r="AP1183" s="353"/>
      <c r="AQ1183" s="290"/>
      <c r="AR1183" s="290"/>
      <c r="AS1183" s="290"/>
    </row>
    <row r="1184" spans="1:45" ht="17.25" thickBot="1" x14ac:dyDescent="0.3">
      <c r="A1184" s="467"/>
      <c r="B1184" s="354"/>
      <c r="C1184" s="285">
        <v>1699119</v>
      </c>
      <c r="D1184" s="358" t="s">
        <v>412</v>
      </c>
      <c r="E1184" s="360"/>
      <c r="F1184" s="361">
        <f>G1219-AK1184+AL1184</f>
        <v>0</v>
      </c>
      <c r="G1184" s="364">
        <v>0</v>
      </c>
      <c r="H1184" s="397">
        <v>0</v>
      </c>
      <c r="I1184" s="364"/>
      <c r="J1184" s="364"/>
      <c r="K1184" s="364"/>
      <c r="L1184" s="218"/>
      <c r="M1184" s="218"/>
      <c r="N1184" s="218"/>
      <c r="O1184" s="218"/>
      <c r="P1184" s="352"/>
      <c r="Q1184" s="352"/>
      <c r="R1184" s="352"/>
      <c r="S1184" s="352"/>
      <c r="T1184" s="352"/>
      <c r="U1184" s="352"/>
      <c r="V1184" s="218"/>
      <c r="W1184" s="218"/>
      <c r="X1184" s="218"/>
      <c r="Y1184" s="218"/>
      <c r="Z1184" s="218"/>
      <c r="AA1184" s="218"/>
      <c r="AB1184" s="218"/>
      <c r="AC1184" s="218"/>
      <c r="AD1184" s="218"/>
      <c r="AE1184" s="218"/>
      <c r="AF1184" s="218"/>
      <c r="AG1184" s="218"/>
      <c r="AH1184" s="218"/>
      <c r="AI1184" s="218"/>
      <c r="AJ1184" s="218"/>
      <c r="AK1184" s="218">
        <f>G1219+AL1184-G1184</f>
        <v>0</v>
      </c>
      <c r="AL1184" s="218"/>
      <c r="AM1184" s="353"/>
      <c r="AN1184" s="295"/>
      <c r="AO1184" s="296"/>
      <c r="AP1184" s="353"/>
      <c r="AQ1184" s="290"/>
      <c r="AR1184" s="290"/>
      <c r="AS1184" s="290"/>
    </row>
    <row r="1185" spans="1:45" ht="17.25" thickBot="1" x14ac:dyDescent="0.3">
      <c r="A1185" s="467"/>
      <c r="B1185" s="354"/>
      <c r="C1185" s="285">
        <v>1699130</v>
      </c>
      <c r="D1185" s="358" t="s">
        <v>413</v>
      </c>
      <c r="E1185" s="360"/>
      <c r="F1185" s="361">
        <f>G1220-AK1185+AL1185</f>
        <v>0</v>
      </c>
      <c r="G1185" s="364">
        <v>0</v>
      </c>
      <c r="H1185" s="397">
        <v>0</v>
      </c>
      <c r="I1185" s="364"/>
      <c r="J1185" s="364"/>
      <c r="K1185" s="364"/>
      <c r="L1185" s="218"/>
      <c r="M1185" s="218"/>
      <c r="N1185" s="218"/>
      <c r="O1185" s="218"/>
      <c r="P1185" s="352"/>
      <c r="Q1185" s="352"/>
      <c r="R1185" s="352"/>
      <c r="S1185" s="352"/>
      <c r="T1185" s="352"/>
      <c r="U1185" s="352"/>
      <c r="V1185" s="218"/>
      <c r="W1185" s="218"/>
      <c r="X1185" s="218"/>
      <c r="Y1185" s="218"/>
      <c r="Z1185" s="218"/>
      <c r="AA1185" s="218"/>
      <c r="AB1185" s="218"/>
      <c r="AC1185" s="218"/>
      <c r="AD1185" s="218"/>
      <c r="AE1185" s="218"/>
      <c r="AF1185" s="218"/>
      <c r="AG1185" s="218"/>
      <c r="AH1185" s="218"/>
      <c r="AI1185" s="218"/>
      <c r="AJ1185" s="218"/>
      <c r="AK1185" s="218">
        <f>G1220+AL1185-G1185</f>
        <v>0</v>
      </c>
      <c r="AL1185" s="218"/>
      <c r="AM1185" s="353"/>
      <c r="AN1185" s="295"/>
      <c r="AO1185" s="296"/>
      <c r="AP1185" s="353"/>
      <c r="AQ1185" s="290"/>
      <c r="AR1185" s="290"/>
      <c r="AS1185" s="290"/>
    </row>
    <row r="1186" spans="1:45" ht="17.25" thickBot="1" x14ac:dyDescent="0.3">
      <c r="A1186" s="467"/>
      <c r="B1186" s="354"/>
      <c r="C1186" s="285">
        <v>1699131</v>
      </c>
      <c r="D1186" s="358" t="s">
        <v>414</v>
      </c>
      <c r="E1186" s="360"/>
      <c r="F1186" s="361">
        <f>G1221-AK1186+AL1186</f>
        <v>0</v>
      </c>
      <c r="G1186" s="364">
        <v>0</v>
      </c>
      <c r="H1186" s="397">
        <v>0</v>
      </c>
      <c r="I1186" s="364">
        <v>1</v>
      </c>
      <c r="J1186" s="364"/>
      <c r="K1186" s="364"/>
      <c r="L1186" s="218"/>
      <c r="M1186" s="218"/>
      <c r="N1186" s="218"/>
      <c r="O1186" s="218"/>
      <c r="P1186" s="352"/>
      <c r="Q1186" s="352"/>
      <c r="R1186" s="352"/>
      <c r="S1186" s="352"/>
      <c r="T1186" s="352"/>
      <c r="U1186" s="352"/>
      <c r="V1186" s="218"/>
      <c r="W1186" s="218"/>
      <c r="X1186" s="218"/>
      <c r="Y1186" s="218"/>
      <c r="Z1186" s="218"/>
      <c r="AA1186" s="218"/>
      <c r="AB1186" s="218"/>
      <c r="AC1186" s="218"/>
      <c r="AD1186" s="218"/>
      <c r="AE1186" s="218"/>
      <c r="AF1186" s="218"/>
      <c r="AG1186" s="218"/>
      <c r="AH1186" s="218"/>
      <c r="AI1186" s="218"/>
      <c r="AJ1186" s="218"/>
      <c r="AK1186" s="218">
        <f>G1221+AL1186-G1186</f>
        <v>0</v>
      </c>
      <c r="AL1186" s="218"/>
      <c r="AM1186" s="353"/>
      <c r="AN1186" s="295"/>
      <c r="AO1186" s="296"/>
      <c r="AP1186" s="353"/>
      <c r="AQ1186" s="290"/>
      <c r="AR1186" s="290"/>
      <c r="AS1186" s="290"/>
    </row>
    <row r="1187" spans="1:45" ht="17.25" thickBot="1" x14ac:dyDescent="0.3">
      <c r="A1187" s="468"/>
      <c r="B1187" s="354"/>
      <c r="C1187" s="285">
        <v>1699132</v>
      </c>
      <c r="D1187" s="358" t="s">
        <v>415</v>
      </c>
      <c r="E1187" s="285"/>
      <c r="F1187" s="362">
        <f>G1222-AK1187+AL1187</f>
        <v>0</v>
      </c>
      <c r="G1187" s="364">
        <v>0</v>
      </c>
      <c r="H1187" s="397">
        <v>0</v>
      </c>
      <c r="I1187" s="364"/>
      <c r="J1187" s="364"/>
      <c r="K1187" s="364">
        <v>2</v>
      </c>
      <c r="L1187" s="218"/>
      <c r="M1187" s="218"/>
      <c r="N1187" s="218"/>
      <c r="O1187" s="218"/>
      <c r="P1187" s="352"/>
      <c r="Q1187" s="352"/>
      <c r="R1187" s="352"/>
      <c r="S1187" s="352"/>
      <c r="T1187" s="352"/>
      <c r="U1187" s="352"/>
      <c r="V1187" s="218"/>
      <c r="W1187" s="218"/>
      <c r="X1187" s="218"/>
      <c r="Y1187" s="218"/>
      <c r="Z1187" s="218"/>
      <c r="AA1187" s="218"/>
      <c r="AB1187" s="218"/>
      <c r="AC1187" s="218"/>
      <c r="AD1187" s="218"/>
      <c r="AE1187" s="218"/>
      <c r="AF1187" s="218"/>
      <c r="AG1187" s="218"/>
      <c r="AH1187" s="218"/>
      <c r="AI1187" s="218"/>
      <c r="AJ1187" s="218"/>
      <c r="AK1187" s="218">
        <f>G1222+AL1187-G1187</f>
        <v>0</v>
      </c>
      <c r="AL1187" s="218"/>
      <c r="AM1187" s="353"/>
      <c r="AN1187" s="295"/>
      <c r="AO1187" s="296"/>
      <c r="AP1187" s="353"/>
      <c r="AQ1187" s="290"/>
      <c r="AR1187" s="290"/>
      <c r="AS1187" s="290"/>
    </row>
    <row r="1188" spans="1:45" x14ac:dyDescent="0.25">
      <c r="AL1188" s="290"/>
      <c r="AM1188" s="290"/>
      <c r="AN1188" s="290"/>
      <c r="AO1188" s="290"/>
      <c r="AP1188" s="290"/>
      <c r="AQ1188" s="290"/>
      <c r="AR1188" s="290"/>
    </row>
    <row r="1189" spans="1:45" ht="14.25" thickBot="1" x14ac:dyDescent="0.3">
      <c r="B1189" s="338" t="s">
        <v>18</v>
      </c>
      <c r="C1189" s="339">
        <v>45615</v>
      </c>
      <c r="AL1189" s="290"/>
      <c r="AM1189" s="290"/>
      <c r="AN1189" s="290"/>
      <c r="AO1189" s="290"/>
      <c r="AP1189" s="290"/>
      <c r="AQ1189" s="290"/>
      <c r="AR1189" s="290"/>
    </row>
    <row r="1190" spans="1:45" ht="41.25" thickBot="1" x14ac:dyDescent="0.3">
      <c r="B1190" s="283" t="s">
        <v>0</v>
      </c>
      <c r="C1190" s="284" t="s">
        <v>1</v>
      </c>
      <c r="D1190" s="284" t="s">
        <v>2</v>
      </c>
      <c r="E1190" s="284" t="s">
        <v>3</v>
      </c>
      <c r="F1190" s="4" t="s">
        <v>318</v>
      </c>
      <c r="G1190" s="351" t="s">
        <v>485</v>
      </c>
      <c r="H1190" s="382" t="s">
        <v>460</v>
      </c>
      <c r="I1190" s="234" t="s">
        <v>486</v>
      </c>
      <c r="J1190" s="234"/>
      <c r="K1190" s="258" t="s">
        <v>487</v>
      </c>
      <c r="L1190" s="258" t="s">
        <v>328</v>
      </c>
      <c r="M1190" s="258" t="s">
        <v>327</v>
      </c>
      <c r="N1190" s="234" t="s">
        <v>389</v>
      </c>
      <c r="O1190" s="240" t="s">
        <v>130</v>
      </c>
      <c r="P1190" s="243" t="s">
        <v>303</v>
      </c>
      <c r="Q1190" s="244" t="s">
        <v>304</v>
      </c>
      <c r="R1190" s="244" t="s">
        <v>314</v>
      </c>
      <c r="S1190" s="245" t="s">
        <v>338</v>
      </c>
      <c r="T1190" s="245" t="s">
        <v>345</v>
      </c>
      <c r="U1190" s="245" t="s">
        <v>361</v>
      </c>
      <c r="V1190" s="245" t="s">
        <v>387</v>
      </c>
      <c r="W1190" s="245" t="s">
        <v>421</v>
      </c>
      <c r="X1190" s="245" t="s">
        <v>452</v>
      </c>
      <c r="Y1190" s="245" t="s">
        <v>463</v>
      </c>
      <c r="Z1190" s="245" t="s">
        <v>481</v>
      </c>
      <c r="AA1190" s="245"/>
      <c r="AB1190" s="245"/>
      <c r="AC1190" s="245"/>
      <c r="AD1190" s="245"/>
      <c r="AE1190" s="245"/>
      <c r="AF1190" s="245"/>
      <c r="AG1190" s="245"/>
      <c r="AH1190" s="245"/>
      <c r="AI1190" s="245"/>
      <c r="AJ1190" s="245" t="s">
        <v>360</v>
      </c>
      <c r="AK1190" s="246" t="s">
        <v>268</v>
      </c>
      <c r="AL1190" s="247" t="s">
        <v>269</v>
      </c>
      <c r="AM1190" s="291" t="s">
        <v>288</v>
      </c>
      <c r="AN1190" s="292" t="s">
        <v>289</v>
      </c>
      <c r="AO1190" s="292" t="s">
        <v>287</v>
      </c>
      <c r="AP1190" s="293" t="s">
        <v>290</v>
      </c>
      <c r="AQ1190" s="290" t="s">
        <v>306</v>
      </c>
      <c r="AR1190" s="290" t="s">
        <v>310</v>
      </c>
      <c r="AS1190" s="290" t="s">
        <v>311</v>
      </c>
    </row>
    <row r="1191" spans="1:45" ht="17.25" thickBot="1" x14ac:dyDescent="0.3">
      <c r="A1191" s="463" t="s">
        <v>416</v>
      </c>
      <c r="B1191" s="285">
        <v>273664</v>
      </c>
      <c r="C1191" s="286">
        <v>1135749</v>
      </c>
      <c r="D1191" s="286" t="s">
        <v>7</v>
      </c>
      <c r="E1191" s="286">
        <v>6060050026</v>
      </c>
      <c r="F1191" s="253">
        <f>G1226-AK1191+AL1191</f>
        <v>7</v>
      </c>
      <c r="G1191" s="235">
        <v>7</v>
      </c>
      <c r="H1191" s="394">
        <v>7</v>
      </c>
      <c r="I1191" s="232">
        <v>7</v>
      </c>
      <c r="J1191" s="232"/>
      <c r="K1191" s="232">
        <v>1</v>
      </c>
      <c r="L1191" s="232">
        <f>IF(K1225=K1190,L1226+AK1191,K1191)</f>
        <v>1</v>
      </c>
      <c r="M1191" s="232">
        <f>IF(K1225=K1190,0,L1226+AK1191-K1191)</f>
        <v>0</v>
      </c>
      <c r="N1191" s="267">
        <v>5</v>
      </c>
      <c r="O1191" s="241">
        <f>N1191-G1191</f>
        <v>-2</v>
      </c>
      <c r="P1191" s="277">
        <v>4</v>
      </c>
      <c r="Q1191" s="278">
        <v>4</v>
      </c>
      <c r="R1191" s="279"/>
      <c r="S1191" s="279">
        <v>3</v>
      </c>
      <c r="T1191" s="279">
        <v>4</v>
      </c>
      <c r="U1191" s="279">
        <v>2</v>
      </c>
      <c r="V1191" s="279"/>
      <c r="W1191" s="279">
        <f>2+3</f>
        <v>5</v>
      </c>
      <c r="X1191" s="241"/>
      <c r="Y1191" s="241"/>
      <c r="Z1191" s="241"/>
      <c r="AA1191" s="241"/>
      <c r="AB1191" s="241"/>
      <c r="AC1191" s="241"/>
      <c r="AD1191" s="241"/>
      <c r="AE1191" s="241"/>
      <c r="AF1191" s="241"/>
      <c r="AG1191" s="241"/>
      <c r="AH1191" s="241"/>
      <c r="AI1191" s="241"/>
      <c r="AJ1191" s="241">
        <f>N1191-V1191</f>
        <v>5</v>
      </c>
      <c r="AK1191" s="235">
        <f>G1226+AL1191-G1191</f>
        <v>0</v>
      </c>
      <c r="AL1191" s="350"/>
      <c r="AM1191" s="294">
        <v>1.5</v>
      </c>
      <c r="AN1191" s="295">
        <v>4</v>
      </c>
      <c r="AO1191" s="296">
        <f>G1191/(AN1191)</f>
        <v>1.75</v>
      </c>
      <c r="AP1191" s="297">
        <f>AN1191*6</f>
        <v>24</v>
      </c>
      <c r="AQ1191" s="290">
        <f>G1191+K1191</f>
        <v>8</v>
      </c>
      <c r="AR1191" s="290">
        <f>IF(G1191&lt;G1226,(G1226-G1191+K1226-K1191),K1226-K1191)</f>
        <v>0</v>
      </c>
      <c r="AS1191" s="290">
        <f>21-8</f>
        <v>13</v>
      </c>
    </row>
    <row r="1192" spans="1:45" ht="17.25" thickBot="1" x14ac:dyDescent="0.3">
      <c r="A1192" s="464"/>
      <c r="B1192" s="285">
        <v>273672</v>
      </c>
      <c r="C1192" s="286">
        <v>1135750</v>
      </c>
      <c r="D1192" s="286" t="s">
        <v>9</v>
      </c>
      <c r="E1192" s="287">
        <v>204000000000</v>
      </c>
      <c r="F1192" s="253">
        <f>G1227-AK1192+AL1192</f>
        <v>31</v>
      </c>
      <c r="G1192" s="235">
        <v>31</v>
      </c>
      <c r="H1192" s="394">
        <v>15</v>
      </c>
      <c r="I1192" s="232">
        <f>16+15</f>
        <v>31</v>
      </c>
      <c r="J1192" s="232"/>
      <c r="K1192" s="232">
        <v>9</v>
      </c>
      <c r="L1192" s="232">
        <f>IF(K1225=K1190,L1227+AK1192,K1192)</f>
        <v>9</v>
      </c>
      <c r="M1192" s="232">
        <f>IF(K1225=K1190,0,L1227+AK1192-K1192)</f>
        <v>2</v>
      </c>
      <c r="N1192" s="267">
        <v>10</v>
      </c>
      <c r="O1192" s="241">
        <f>N1192-G1192</f>
        <v>-21</v>
      </c>
      <c r="P1192" s="277">
        <v>13</v>
      </c>
      <c r="Q1192" s="278">
        <v>2</v>
      </c>
      <c r="R1192" s="279">
        <v>6</v>
      </c>
      <c r="S1192" s="279">
        <v>6</v>
      </c>
      <c r="T1192" s="279">
        <v>10</v>
      </c>
      <c r="U1192" s="279">
        <v>4</v>
      </c>
      <c r="V1192" s="279">
        <v>6</v>
      </c>
      <c r="W1192" s="279">
        <v>16</v>
      </c>
      <c r="X1192" s="241"/>
      <c r="Y1192" s="241">
        <v>6</v>
      </c>
      <c r="Z1192" s="241">
        <v>4</v>
      </c>
      <c r="AA1192" s="241"/>
      <c r="AB1192" s="241"/>
      <c r="AC1192" s="241"/>
      <c r="AD1192" s="241"/>
      <c r="AE1192" s="241"/>
      <c r="AF1192" s="241"/>
      <c r="AG1192" s="241"/>
      <c r="AH1192" s="241"/>
      <c r="AI1192" s="241"/>
      <c r="AJ1192" s="241">
        <f>N1192-V1192</f>
        <v>4</v>
      </c>
      <c r="AK1192" s="235">
        <f>G1227+AL1192-G1192</f>
        <v>4</v>
      </c>
      <c r="AL1192" s="236"/>
      <c r="AM1192" s="298">
        <v>4.2</v>
      </c>
      <c r="AN1192" s="295">
        <v>9</v>
      </c>
      <c r="AO1192" s="296">
        <f>G1192/(AN1192)</f>
        <v>3.4444444444444446</v>
      </c>
      <c r="AP1192" s="297">
        <f>AN1192*6</f>
        <v>54</v>
      </c>
      <c r="AQ1192" s="290">
        <f>G1192+K1192</f>
        <v>40</v>
      </c>
      <c r="AR1192" s="290">
        <f>IF(G1192&lt;G1227,(G1227-G1192+K1227-K1192),K1227-K1192)</f>
        <v>2</v>
      </c>
      <c r="AS1192" s="290">
        <f>21-8</f>
        <v>13</v>
      </c>
    </row>
    <row r="1193" spans="1:45" ht="17.25" thickBot="1" x14ac:dyDescent="0.3">
      <c r="A1193" s="464"/>
      <c r="B1193" s="285">
        <v>273702</v>
      </c>
      <c r="C1193" s="286">
        <v>1135753</v>
      </c>
      <c r="D1193" s="286" t="s">
        <v>10</v>
      </c>
      <c r="E1193" s="287">
        <v>301000000000</v>
      </c>
      <c r="F1193" s="253">
        <f>G1228-AK1193+AL1193</f>
        <v>2</v>
      </c>
      <c r="G1193" s="235">
        <v>2</v>
      </c>
      <c r="H1193" s="394">
        <v>2</v>
      </c>
      <c r="I1193" s="232">
        <v>2</v>
      </c>
      <c r="J1193" s="232"/>
      <c r="K1193" s="232">
        <v>1</v>
      </c>
      <c r="L1193" s="232">
        <f>IF(K1225=K1190,L1228+AK1193,K1193)</f>
        <v>1</v>
      </c>
      <c r="M1193" s="232">
        <f>IF(K1225=K1190,0,L1228+AK1193-K1193)</f>
        <v>0</v>
      </c>
      <c r="N1193" s="232">
        <v>2</v>
      </c>
      <c r="O1193" s="241">
        <f>N1193-G1193</f>
        <v>0</v>
      </c>
      <c r="P1193" s="277"/>
      <c r="Q1193" s="278"/>
      <c r="R1193" s="279"/>
      <c r="S1193" s="279"/>
      <c r="T1193" s="279"/>
      <c r="U1193" s="279"/>
      <c r="V1193" s="279"/>
      <c r="W1193" s="279"/>
      <c r="X1193" s="241"/>
      <c r="Y1193" s="241"/>
      <c r="Z1193" s="241"/>
      <c r="AA1193" s="241"/>
      <c r="AB1193" s="241"/>
      <c r="AC1193" s="241"/>
      <c r="AD1193" s="241"/>
      <c r="AE1193" s="241"/>
      <c r="AF1193" s="241"/>
      <c r="AG1193" s="241"/>
      <c r="AH1193" s="241"/>
      <c r="AI1193" s="241"/>
      <c r="AJ1193" s="241">
        <f>N1193-V1193</f>
        <v>2</v>
      </c>
      <c r="AK1193" s="235">
        <f>G1228+AL1193-G1193</f>
        <v>0</v>
      </c>
      <c r="AL1193" s="236"/>
      <c r="AM1193" s="294">
        <f>4/12</f>
        <v>0.33333333333333331</v>
      </c>
      <c r="AN1193" s="295">
        <v>2</v>
      </c>
      <c r="AO1193" s="296">
        <f>G1193/(AN1193)</f>
        <v>1</v>
      </c>
      <c r="AP1193" s="297">
        <f>AN1193*6</f>
        <v>12</v>
      </c>
      <c r="AQ1193" s="290">
        <f>G1193+K1193</f>
        <v>3</v>
      </c>
      <c r="AR1193" s="290">
        <f>IF(G1193&lt;G1228,(G1228-G1193+K1228-K1193),K1228-K1193)</f>
        <v>0</v>
      </c>
      <c r="AS1193" s="290">
        <f>21-8</f>
        <v>13</v>
      </c>
    </row>
    <row r="1194" spans="1:45" ht="17.25" thickBot="1" x14ac:dyDescent="0.3">
      <c r="A1194" s="464"/>
      <c r="B1194" s="285">
        <v>273698</v>
      </c>
      <c r="C1194" s="286">
        <v>1135752</v>
      </c>
      <c r="D1194" s="286" t="s">
        <v>11</v>
      </c>
      <c r="E1194" s="287">
        <v>701000000000</v>
      </c>
      <c r="F1194" s="253">
        <f>G1229-AK1194+AL1194</f>
        <v>2</v>
      </c>
      <c r="G1194" s="235">
        <v>2</v>
      </c>
      <c r="H1194" s="394">
        <v>2</v>
      </c>
      <c r="I1194" s="232">
        <v>3</v>
      </c>
      <c r="J1194" s="232"/>
      <c r="K1194" s="232">
        <v>0</v>
      </c>
      <c r="L1194" s="232">
        <f>IF(K1225=K1190,L1229+AK1194,K1194)</f>
        <v>0</v>
      </c>
      <c r="M1194" s="232">
        <f>IF(K1225=K1190,0,L1229+AK1194-K1194)</f>
        <v>0</v>
      </c>
      <c r="N1194" s="232">
        <v>3</v>
      </c>
      <c r="O1194" s="241">
        <f>N1194-G1194</f>
        <v>1</v>
      </c>
      <c r="P1194" s="277">
        <v>2</v>
      </c>
      <c r="Q1194" s="278"/>
      <c r="R1194" s="279"/>
      <c r="S1194" s="279"/>
      <c r="T1194" s="279"/>
      <c r="U1194" s="279"/>
      <c r="V1194" s="279"/>
      <c r="W1194" s="279">
        <v>1</v>
      </c>
      <c r="X1194" s="241"/>
      <c r="Y1194" s="241"/>
      <c r="Z1194" s="241"/>
      <c r="AA1194" s="241"/>
      <c r="AB1194" s="241"/>
      <c r="AC1194" s="241"/>
      <c r="AD1194" s="241"/>
      <c r="AE1194" s="241"/>
      <c r="AF1194" s="241"/>
      <c r="AG1194" s="241"/>
      <c r="AH1194" s="241"/>
      <c r="AI1194" s="241"/>
      <c r="AJ1194" s="241">
        <f>N1194-V1194</f>
        <v>3</v>
      </c>
      <c r="AK1194" s="235">
        <f>G1229+AL1194-G1194</f>
        <v>0</v>
      </c>
      <c r="AL1194" s="236"/>
      <c r="AM1194" s="294">
        <f>4/12</f>
        <v>0.33333333333333331</v>
      </c>
      <c r="AN1194" s="295">
        <v>2</v>
      </c>
      <c r="AO1194" s="296">
        <f>G1194/(AN1194)</f>
        <v>1</v>
      </c>
      <c r="AP1194" s="297">
        <f>AN1194*6</f>
        <v>12</v>
      </c>
      <c r="AQ1194" s="290">
        <f>G1194+K1194</f>
        <v>2</v>
      </c>
      <c r="AR1194" s="290">
        <f>IF(G1194&lt;G1229,(G1229-G1194+K1229-K1194),K1229-K1194)</f>
        <v>0</v>
      </c>
      <c r="AS1194" s="290">
        <f>21-8</f>
        <v>13</v>
      </c>
    </row>
    <row r="1195" spans="1:45" ht="17.25" thickBot="1" x14ac:dyDescent="0.3">
      <c r="A1195" s="465"/>
      <c r="B1195" s="285">
        <v>273680</v>
      </c>
      <c r="C1195" s="286">
        <v>1135751</v>
      </c>
      <c r="D1195" s="286" t="s">
        <v>12</v>
      </c>
      <c r="E1195" s="286" t="s">
        <v>13</v>
      </c>
      <c r="F1195" s="254">
        <f>G1230-AK1195+AL1195</f>
        <v>14</v>
      </c>
      <c r="G1195" s="237">
        <v>14</v>
      </c>
      <c r="H1195" s="395">
        <v>5</v>
      </c>
      <c r="I1195" s="238">
        <v>14</v>
      </c>
      <c r="J1195" s="238"/>
      <c r="K1195" s="238">
        <v>11</v>
      </c>
      <c r="L1195" s="238">
        <f>IF(K1225=K1190,L1230+AK1195,K1195)</f>
        <v>11</v>
      </c>
      <c r="M1195" s="238">
        <f>IF(K1225=K1190,0,L1230+AK1195-K1195)</f>
        <v>0</v>
      </c>
      <c r="N1195" s="238">
        <v>9</v>
      </c>
      <c r="O1195" s="242">
        <f>N1195-G1195</f>
        <v>-5</v>
      </c>
      <c r="P1195" s="280"/>
      <c r="Q1195" s="281"/>
      <c r="R1195" s="282"/>
      <c r="S1195" s="282"/>
      <c r="T1195" s="282">
        <v>11</v>
      </c>
      <c r="U1195" s="282"/>
      <c r="V1195" s="282"/>
      <c r="W1195" s="282">
        <v>9</v>
      </c>
      <c r="X1195" s="242"/>
      <c r="Y1195" s="242">
        <v>9</v>
      </c>
      <c r="Z1195" s="242"/>
      <c r="AA1195" s="242"/>
      <c r="AB1195" s="242"/>
      <c r="AC1195" s="242"/>
      <c r="AD1195" s="242"/>
      <c r="AE1195" s="242"/>
      <c r="AF1195" s="242"/>
      <c r="AG1195" s="242"/>
      <c r="AH1195" s="242"/>
      <c r="AI1195" s="242"/>
      <c r="AJ1195" s="242">
        <f>N1195-V1195</f>
        <v>9</v>
      </c>
      <c r="AK1195" s="235">
        <f>G1230+AL1195-G1195</f>
        <v>0</v>
      </c>
      <c r="AL1195" s="239">
        <v>9</v>
      </c>
      <c r="AM1195" s="299">
        <f>30/12</f>
        <v>2.5</v>
      </c>
      <c r="AN1195" s="300">
        <f>AM1195*2</f>
        <v>5</v>
      </c>
      <c r="AO1195" s="301">
        <f>G1195/(AN1195)</f>
        <v>2.8</v>
      </c>
      <c r="AP1195" s="302">
        <f>AN1195*6</f>
        <v>30</v>
      </c>
      <c r="AQ1195" s="290">
        <f>G1195+K1195</f>
        <v>25</v>
      </c>
      <c r="AR1195" s="290">
        <f>IF(G1195&lt;G1230,(G1230-G1195+K1230-K1195),K1230-K1195)</f>
        <v>0</v>
      </c>
      <c r="AS1195" s="290">
        <f>21-8</f>
        <v>13</v>
      </c>
    </row>
    <row r="1196" spans="1:45" ht="17.25" thickBot="1" x14ac:dyDescent="0.3">
      <c r="A1196" s="466" t="s">
        <v>417</v>
      </c>
      <c r="B1196" s="355" t="s">
        <v>129</v>
      </c>
      <c r="C1196" s="356"/>
      <c r="D1196" s="356"/>
      <c r="E1196" s="359"/>
      <c r="F1196" s="359"/>
      <c r="G1196" s="356"/>
      <c r="H1196" s="396"/>
      <c r="I1196" s="356"/>
      <c r="J1196" s="356"/>
      <c r="K1196" s="356"/>
      <c r="L1196" s="356"/>
      <c r="M1196" s="356"/>
      <c r="N1196" s="356"/>
      <c r="O1196" s="356"/>
      <c r="P1196" s="356"/>
      <c r="Q1196" s="356"/>
      <c r="R1196" s="356"/>
      <c r="S1196" s="356"/>
      <c r="T1196" s="356"/>
      <c r="U1196" s="356"/>
      <c r="V1196" s="356"/>
      <c r="W1196" s="356"/>
      <c r="X1196" s="356"/>
      <c r="Y1196" s="356"/>
      <c r="Z1196" s="356"/>
      <c r="AA1196" s="356"/>
      <c r="AB1196" s="356"/>
      <c r="AC1196" s="356"/>
      <c r="AD1196" s="356"/>
      <c r="AE1196" s="356"/>
      <c r="AF1196" s="356"/>
      <c r="AG1196" s="356"/>
      <c r="AH1196" s="356"/>
      <c r="AI1196" s="356"/>
      <c r="AJ1196" s="356"/>
      <c r="AK1196" s="356"/>
      <c r="AL1196" s="367"/>
      <c r="AM1196" s="356"/>
      <c r="AN1196" s="356"/>
      <c r="AO1196" s="356"/>
      <c r="AP1196" s="356"/>
      <c r="AQ1196" s="356"/>
      <c r="AR1196" s="356"/>
      <c r="AS1196" s="357"/>
    </row>
    <row r="1197" spans="1:45" ht="17.25" thickBot="1" x14ac:dyDescent="0.3">
      <c r="A1197" s="467"/>
      <c r="B1197" s="354"/>
      <c r="C1197" s="354">
        <v>1140327</v>
      </c>
      <c r="D1197" s="358" t="s">
        <v>394</v>
      </c>
      <c r="E1197" s="360"/>
      <c r="F1197" s="361">
        <f>G1232-AK1197+AL1197</f>
        <v>19</v>
      </c>
      <c r="G1197" s="218">
        <v>19</v>
      </c>
      <c r="H1197" s="397">
        <v>26</v>
      </c>
      <c r="I1197" s="218">
        <v>18</v>
      </c>
      <c r="J1197" s="218"/>
      <c r="K1197" s="218">
        <v>0</v>
      </c>
      <c r="L1197" s="218">
        <f>IF(K1225=K1190,L1232+AK1197,K1197)</f>
        <v>0</v>
      </c>
      <c r="M1197" s="218">
        <f>IF(K1225=K1190,0,L1232+AK1197-K1197)</f>
        <v>1</v>
      </c>
      <c r="N1197" s="218"/>
      <c r="O1197" s="218"/>
      <c r="P1197" s="352"/>
      <c r="Q1197" s="352"/>
      <c r="R1197" s="352"/>
      <c r="S1197" s="352"/>
      <c r="T1197" s="352"/>
      <c r="U1197" s="352"/>
      <c r="V1197" s="218"/>
      <c r="W1197" s="218"/>
      <c r="X1197" s="218">
        <v>4</v>
      </c>
      <c r="Y1197" s="218">
        <v>9</v>
      </c>
      <c r="Z1197" s="218">
        <v>4</v>
      </c>
      <c r="AA1197" s="218"/>
      <c r="AB1197" s="218"/>
      <c r="AC1197" s="218"/>
      <c r="AD1197" s="218"/>
      <c r="AE1197" s="218"/>
      <c r="AF1197" s="218"/>
      <c r="AG1197" s="218"/>
      <c r="AH1197" s="218"/>
      <c r="AI1197" s="218"/>
      <c r="AJ1197" s="242">
        <f>N1197-V1197</f>
        <v>0</v>
      </c>
      <c r="AK1197" s="274">
        <f>G1232+AL1197-G1197</f>
        <v>0</v>
      </c>
      <c r="AL1197" s="232"/>
      <c r="AM1197" s="353"/>
      <c r="AN1197" s="295"/>
      <c r="AO1197" s="296"/>
      <c r="AP1197" s="353"/>
      <c r="AQ1197" s="290"/>
      <c r="AR1197" s="290"/>
      <c r="AS1197" s="290"/>
    </row>
    <row r="1198" spans="1:45" ht="17.25" thickBot="1" x14ac:dyDescent="0.3">
      <c r="A1198" s="467"/>
      <c r="B1198" s="354"/>
      <c r="C1198" s="285">
        <v>1151231</v>
      </c>
      <c r="D1198" s="358" t="s">
        <v>395</v>
      </c>
      <c r="E1198" s="360"/>
      <c r="F1198" s="361">
        <f>G1233-AK1198+AL1198</f>
        <v>14</v>
      </c>
      <c r="G1198" s="369">
        <v>14</v>
      </c>
      <c r="H1198" s="397">
        <v>3</v>
      </c>
      <c r="I1198" s="218">
        <v>14</v>
      </c>
      <c r="J1198" s="218"/>
      <c r="K1198" s="218">
        <v>2</v>
      </c>
      <c r="L1198" s="218">
        <f>IF(K1225=K1190,L1233+AK1198,K1198)</f>
        <v>2</v>
      </c>
      <c r="M1198" s="218">
        <f>IF(K1225=K1190,0,L1233+AK1198-K1198)</f>
        <v>1</v>
      </c>
      <c r="N1198" s="218"/>
      <c r="O1198" s="218"/>
      <c r="P1198" s="352"/>
      <c r="Q1198" s="352"/>
      <c r="R1198" s="352"/>
      <c r="S1198" s="352"/>
      <c r="T1198" s="352"/>
      <c r="U1198" s="352"/>
      <c r="V1198" s="218"/>
      <c r="W1198" s="218"/>
      <c r="X1198" s="218">
        <v>3</v>
      </c>
      <c r="Y1198" s="218">
        <v>8</v>
      </c>
      <c r="Z1198" s="218"/>
      <c r="AA1198" s="218"/>
      <c r="AB1198" s="218"/>
      <c r="AC1198" s="218"/>
      <c r="AD1198" s="218"/>
      <c r="AE1198" s="218"/>
      <c r="AF1198" s="218"/>
      <c r="AG1198" s="218"/>
      <c r="AH1198" s="218"/>
      <c r="AI1198" s="218"/>
      <c r="AJ1198" s="242">
        <f>N1198-V1198</f>
        <v>0</v>
      </c>
      <c r="AK1198" s="274">
        <f>G1233+AL1198-G1198</f>
        <v>0</v>
      </c>
      <c r="AL1198" s="232">
        <v>3</v>
      </c>
      <c r="AM1198" s="353"/>
      <c r="AN1198" s="295"/>
      <c r="AO1198" s="296"/>
      <c r="AP1198" s="353"/>
      <c r="AQ1198" s="290"/>
      <c r="AR1198" s="290"/>
      <c r="AS1198" s="290"/>
    </row>
    <row r="1199" spans="1:45" ht="17.25" thickBot="1" x14ac:dyDescent="0.3">
      <c r="A1199" s="467"/>
      <c r="B1199" s="355" t="s">
        <v>420</v>
      </c>
      <c r="C1199" s="356"/>
      <c r="D1199" s="356"/>
      <c r="E1199" s="359"/>
      <c r="F1199" s="359"/>
      <c r="G1199" s="356"/>
      <c r="H1199" s="396"/>
      <c r="I1199" s="356"/>
      <c r="J1199" s="356"/>
      <c r="K1199" s="356"/>
      <c r="L1199" s="356"/>
      <c r="M1199" s="356"/>
      <c r="N1199" s="356"/>
      <c r="O1199" s="356"/>
      <c r="P1199" s="356"/>
      <c r="Q1199" s="356"/>
      <c r="R1199" s="356"/>
      <c r="S1199" s="356"/>
      <c r="T1199" s="356"/>
      <c r="U1199" s="356"/>
      <c r="V1199" s="356"/>
      <c r="W1199" s="356"/>
      <c r="X1199" s="356"/>
      <c r="Y1199" s="356"/>
      <c r="Z1199" s="356"/>
      <c r="AA1199" s="356"/>
      <c r="AB1199" s="356"/>
      <c r="AC1199" s="356"/>
      <c r="AD1199" s="356"/>
      <c r="AE1199" s="356"/>
      <c r="AF1199" s="356"/>
      <c r="AG1199" s="356"/>
      <c r="AH1199" s="356"/>
      <c r="AI1199" s="356"/>
      <c r="AJ1199" s="356"/>
      <c r="AK1199" s="356"/>
      <c r="AL1199" s="368"/>
      <c r="AM1199" s="356"/>
      <c r="AN1199" s="356"/>
      <c r="AO1199" s="356"/>
      <c r="AP1199" s="356"/>
      <c r="AQ1199" s="356"/>
      <c r="AR1199" s="356"/>
      <c r="AS1199" s="357"/>
    </row>
    <row r="1200" spans="1:45" ht="17.25" thickBot="1" x14ac:dyDescent="0.3">
      <c r="A1200" s="467"/>
      <c r="B1200" s="354"/>
      <c r="C1200" s="285">
        <v>1146032</v>
      </c>
      <c r="D1200" s="358" t="s">
        <v>396</v>
      </c>
      <c r="E1200" s="360"/>
      <c r="F1200" s="361">
        <f>G1235-AK1200+AL1200</f>
        <v>1</v>
      </c>
      <c r="G1200" s="364">
        <v>1</v>
      </c>
      <c r="H1200" s="397">
        <v>1</v>
      </c>
      <c r="I1200" s="364">
        <v>2</v>
      </c>
      <c r="J1200" s="364"/>
      <c r="K1200" s="364">
        <v>1</v>
      </c>
      <c r="L1200" s="218"/>
      <c r="M1200" s="218"/>
      <c r="N1200" s="218"/>
      <c r="O1200" s="218"/>
      <c r="P1200" s="352"/>
      <c r="Q1200" s="352"/>
      <c r="R1200" s="352"/>
      <c r="S1200" s="352"/>
      <c r="T1200" s="352"/>
      <c r="U1200" s="352"/>
      <c r="V1200" s="218"/>
      <c r="W1200" s="218"/>
      <c r="X1200" s="218"/>
      <c r="Y1200" s="218"/>
      <c r="Z1200" s="218"/>
      <c r="AA1200" s="218"/>
      <c r="AB1200" s="218"/>
      <c r="AC1200" s="218"/>
      <c r="AD1200" s="218"/>
      <c r="AE1200" s="218"/>
      <c r="AF1200" s="218"/>
      <c r="AG1200" s="218"/>
      <c r="AH1200" s="218"/>
      <c r="AI1200" s="218"/>
      <c r="AJ1200" s="218"/>
      <c r="AK1200" s="218">
        <f>G1235+AL1200-G1200</f>
        <v>0</v>
      </c>
      <c r="AL1200" s="218"/>
      <c r="AM1200" s="353"/>
      <c r="AN1200" s="295"/>
      <c r="AO1200" s="296"/>
      <c r="AP1200" s="353"/>
      <c r="AQ1200" s="290"/>
      <c r="AR1200" s="290"/>
      <c r="AS1200" s="290"/>
    </row>
    <row r="1201" spans="1:45" ht="17.25" thickBot="1" x14ac:dyDescent="0.3">
      <c r="A1201" s="467"/>
      <c r="B1201" s="354"/>
      <c r="C1201" s="285">
        <v>1146021</v>
      </c>
      <c r="D1201" s="358" t="s">
        <v>397</v>
      </c>
      <c r="E1201" s="360"/>
      <c r="F1201" s="361">
        <f>G1236-AK1201+AL1201</f>
        <v>2</v>
      </c>
      <c r="G1201" s="364">
        <v>2</v>
      </c>
      <c r="H1201" s="397">
        <v>2</v>
      </c>
      <c r="I1201" s="364">
        <v>2</v>
      </c>
      <c r="J1201" s="364"/>
      <c r="K1201" s="364">
        <v>2</v>
      </c>
      <c r="L1201" s="218"/>
      <c r="M1201" s="218"/>
      <c r="N1201" s="218"/>
      <c r="O1201" s="218"/>
      <c r="P1201" s="352"/>
      <c r="Q1201" s="352"/>
      <c r="R1201" s="352"/>
      <c r="S1201" s="352"/>
      <c r="T1201" s="352"/>
      <c r="U1201" s="352"/>
      <c r="V1201" s="218"/>
      <c r="W1201" s="218"/>
      <c r="X1201" s="218"/>
      <c r="Y1201" s="218"/>
      <c r="Z1201" s="218"/>
      <c r="AA1201" s="218"/>
      <c r="AB1201" s="218"/>
      <c r="AC1201" s="218"/>
      <c r="AD1201" s="218"/>
      <c r="AE1201" s="218"/>
      <c r="AF1201" s="218"/>
      <c r="AG1201" s="218"/>
      <c r="AH1201" s="218"/>
      <c r="AI1201" s="218"/>
      <c r="AJ1201" s="218"/>
      <c r="AK1201" s="218">
        <f>G1236+AL1201-G1201</f>
        <v>0</v>
      </c>
      <c r="AL1201" s="218"/>
      <c r="AM1201" s="353"/>
      <c r="AN1201" s="295"/>
      <c r="AO1201" s="296"/>
      <c r="AP1201" s="353"/>
      <c r="AQ1201" s="290"/>
      <c r="AR1201" s="290"/>
      <c r="AS1201" s="290"/>
    </row>
    <row r="1202" spans="1:45" ht="17.25" thickBot="1" x14ac:dyDescent="0.3">
      <c r="A1202" s="467"/>
      <c r="B1202" s="354"/>
      <c r="C1202" s="285">
        <v>1146018</v>
      </c>
      <c r="D1202" s="358" t="s">
        <v>398</v>
      </c>
      <c r="E1202" s="360"/>
      <c r="F1202" s="361">
        <f>G1237-AK1202+AL1202</f>
        <v>4</v>
      </c>
      <c r="G1202" s="364">
        <v>4</v>
      </c>
      <c r="H1202" s="397">
        <v>4</v>
      </c>
      <c r="I1202" s="364"/>
      <c r="J1202" s="364"/>
      <c r="K1202" s="364">
        <v>0</v>
      </c>
      <c r="L1202" s="218"/>
      <c r="M1202" s="218"/>
      <c r="N1202" s="218"/>
      <c r="O1202" s="218"/>
      <c r="P1202" s="352"/>
      <c r="Q1202" s="352"/>
      <c r="R1202" s="352"/>
      <c r="S1202" s="352"/>
      <c r="T1202" s="352"/>
      <c r="U1202" s="352"/>
      <c r="V1202" s="218"/>
      <c r="W1202" s="218"/>
      <c r="X1202" s="218"/>
      <c r="Y1202" s="218"/>
      <c r="Z1202" s="218"/>
      <c r="AA1202" s="218"/>
      <c r="AB1202" s="218"/>
      <c r="AC1202" s="218"/>
      <c r="AD1202" s="218"/>
      <c r="AE1202" s="218"/>
      <c r="AF1202" s="218"/>
      <c r="AG1202" s="218"/>
      <c r="AH1202" s="218"/>
      <c r="AI1202" s="218"/>
      <c r="AJ1202" s="218"/>
      <c r="AK1202" s="218">
        <f>G1237+AL1202-G1202</f>
        <v>0</v>
      </c>
      <c r="AL1202" s="218"/>
      <c r="AM1202" s="353"/>
      <c r="AN1202" s="295"/>
      <c r="AO1202" s="296"/>
      <c r="AP1202" s="353"/>
      <c r="AQ1202" s="290"/>
      <c r="AR1202" s="290"/>
      <c r="AS1202" s="290"/>
    </row>
    <row r="1203" spans="1:45" ht="17.25" thickBot="1" x14ac:dyDescent="0.3">
      <c r="A1203" s="467"/>
      <c r="B1203" s="354"/>
      <c r="C1203" s="285">
        <v>1146024</v>
      </c>
      <c r="D1203" s="358" t="s">
        <v>399</v>
      </c>
      <c r="E1203" s="360"/>
      <c r="F1203" s="361">
        <v>1</v>
      </c>
      <c r="G1203" s="369">
        <v>3</v>
      </c>
      <c r="H1203" s="369">
        <v>0</v>
      </c>
      <c r="I1203" s="369">
        <v>3</v>
      </c>
      <c r="J1203" s="369"/>
      <c r="K1203" s="369"/>
      <c r="L1203" s="218"/>
      <c r="M1203" s="218"/>
      <c r="N1203" s="218"/>
      <c r="O1203" s="218"/>
      <c r="P1203" s="352"/>
      <c r="Q1203" s="352"/>
      <c r="R1203" s="352"/>
      <c r="S1203" s="352"/>
      <c r="T1203" s="352"/>
      <c r="U1203" s="352"/>
      <c r="V1203" s="218"/>
      <c r="W1203" s="218"/>
      <c r="X1203" s="218"/>
      <c r="Y1203" s="218"/>
      <c r="Z1203" s="218"/>
      <c r="AA1203" s="218"/>
      <c r="AB1203" s="218"/>
      <c r="AC1203" s="218"/>
      <c r="AD1203" s="218"/>
      <c r="AE1203" s="218"/>
      <c r="AF1203" s="218"/>
      <c r="AG1203" s="218"/>
      <c r="AH1203" s="218"/>
      <c r="AI1203" s="218"/>
      <c r="AJ1203" s="218"/>
      <c r="AK1203" s="218">
        <f>G1238+AL1203-G1203</f>
        <v>0</v>
      </c>
      <c r="AL1203" s="218">
        <v>2</v>
      </c>
      <c r="AM1203" s="353"/>
      <c r="AN1203" s="295"/>
      <c r="AO1203" s="296"/>
      <c r="AP1203" s="353"/>
      <c r="AQ1203" s="290"/>
      <c r="AR1203" s="290"/>
      <c r="AS1203" s="290"/>
    </row>
    <row r="1204" spans="1:45" ht="17.25" thickBot="1" x14ac:dyDescent="0.3">
      <c r="A1204" s="467"/>
      <c r="B1204" s="354"/>
      <c r="C1204" s="285">
        <v>1146028</v>
      </c>
      <c r="D1204" s="358" t="s">
        <v>400</v>
      </c>
      <c r="E1204" s="360"/>
      <c r="F1204" s="361">
        <f>G1239-AK1204+AL1204</f>
        <v>1</v>
      </c>
      <c r="G1204" s="364">
        <v>1</v>
      </c>
      <c r="H1204" s="397">
        <v>3</v>
      </c>
      <c r="I1204" s="364">
        <v>1</v>
      </c>
      <c r="J1204" s="364"/>
      <c r="K1204" s="364">
        <v>1</v>
      </c>
      <c r="L1204" s="218"/>
      <c r="M1204" s="218"/>
      <c r="N1204" s="218"/>
      <c r="O1204" s="218"/>
      <c r="P1204" s="352"/>
      <c r="Q1204" s="352"/>
      <c r="R1204" s="352"/>
      <c r="S1204" s="352"/>
      <c r="T1204" s="352"/>
      <c r="U1204" s="352"/>
      <c r="V1204" s="218"/>
      <c r="W1204" s="218"/>
      <c r="X1204" s="218"/>
      <c r="Y1204" s="218"/>
      <c r="Z1204" s="218"/>
      <c r="AA1204" s="218"/>
      <c r="AB1204" s="218"/>
      <c r="AC1204" s="218"/>
      <c r="AD1204" s="218"/>
      <c r="AE1204" s="218"/>
      <c r="AF1204" s="218"/>
      <c r="AG1204" s="218"/>
      <c r="AH1204" s="218"/>
      <c r="AI1204" s="218"/>
      <c r="AJ1204" s="218"/>
      <c r="AK1204" s="218">
        <f>G1239+AL1204-G1204</f>
        <v>0</v>
      </c>
      <c r="AL1204" s="218"/>
      <c r="AM1204" s="353"/>
      <c r="AN1204" s="295"/>
      <c r="AO1204" s="296"/>
      <c r="AP1204" s="353"/>
      <c r="AQ1204" s="290"/>
      <c r="AR1204" s="290"/>
      <c r="AS1204" s="290"/>
    </row>
    <row r="1205" spans="1:45" ht="17.25" thickBot="1" x14ac:dyDescent="0.3">
      <c r="A1205" s="467"/>
      <c r="B1205" s="355" t="s">
        <v>419</v>
      </c>
      <c r="C1205" s="356"/>
      <c r="D1205" s="356"/>
      <c r="E1205" s="359"/>
      <c r="F1205" s="359"/>
      <c r="G1205" s="356"/>
      <c r="H1205" s="396"/>
      <c r="I1205" s="356"/>
      <c r="J1205" s="356"/>
      <c r="K1205" s="356"/>
      <c r="L1205" s="356"/>
      <c r="M1205" s="356"/>
      <c r="N1205" s="356"/>
      <c r="O1205" s="356"/>
      <c r="P1205" s="356"/>
      <c r="Q1205" s="356"/>
      <c r="R1205" s="356"/>
      <c r="S1205" s="356"/>
      <c r="T1205" s="356"/>
      <c r="U1205" s="356"/>
      <c r="V1205" s="356"/>
      <c r="W1205" s="356"/>
      <c r="X1205" s="356"/>
      <c r="Y1205" s="356"/>
      <c r="Z1205" s="356"/>
      <c r="AA1205" s="356"/>
      <c r="AB1205" s="356"/>
      <c r="AC1205" s="356"/>
      <c r="AD1205" s="356"/>
      <c r="AE1205" s="356"/>
      <c r="AF1205" s="356"/>
      <c r="AG1205" s="356"/>
      <c r="AH1205" s="356"/>
      <c r="AI1205" s="356"/>
      <c r="AJ1205" s="356"/>
      <c r="AK1205" s="356"/>
      <c r="AL1205" s="356"/>
      <c r="AM1205" s="356"/>
      <c r="AN1205" s="356"/>
      <c r="AO1205" s="356"/>
      <c r="AP1205" s="356"/>
      <c r="AQ1205" s="356"/>
      <c r="AR1205" s="356"/>
      <c r="AS1205" s="357"/>
    </row>
    <row r="1206" spans="1:45" ht="17.25" thickBot="1" x14ac:dyDescent="0.3">
      <c r="A1206" s="467"/>
      <c r="B1206" s="372"/>
      <c r="C1206" s="373">
        <v>1146031</v>
      </c>
      <c r="D1206" s="374" t="s">
        <v>401</v>
      </c>
      <c r="E1206" s="375"/>
      <c r="F1206" s="376">
        <f>G1241-AK1206+AL1206</f>
        <v>2</v>
      </c>
      <c r="G1206" s="377">
        <v>2</v>
      </c>
      <c r="H1206" s="397">
        <v>2</v>
      </c>
      <c r="I1206" s="377">
        <v>3</v>
      </c>
      <c r="J1206" s="377"/>
      <c r="K1206" s="377">
        <v>2</v>
      </c>
      <c r="L1206" s="377"/>
      <c r="M1206" s="377"/>
      <c r="N1206" s="377"/>
      <c r="O1206" s="377"/>
      <c r="P1206" s="377"/>
      <c r="Q1206" s="377"/>
      <c r="R1206" s="377"/>
      <c r="S1206" s="377"/>
      <c r="T1206" s="377"/>
      <c r="U1206" s="377"/>
      <c r="V1206" s="377"/>
      <c r="W1206" s="377"/>
      <c r="X1206" s="377"/>
      <c r="Y1206" s="377"/>
      <c r="Z1206" s="377"/>
      <c r="AA1206" s="377"/>
      <c r="AB1206" s="377"/>
      <c r="AC1206" s="377"/>
      <c r="AD1206" s="377"/>
      <c r="AE1206" s="377"/>
      <c r="AF1206" s="377"/>
      <c r="AG1206" s="377"/>
      <c r="AH1206" s="377"/>
      <c r="AI1206" s="377"/>
      <c r="AJ1206" s="377"/>
      <c r="AK1206" s="377">
        <f>G1241+AL1206-G1206</f>
        <v>0</v>
      </c>
      <c r="AL1206" s="377"/>
      <c r="AM1206" s="378"/>
      <c r="AN1206" s="379"/>
      <c r="AO1206" s="380"/>
      <c r="AP1206" s="378"/>
      <c r="AQ1206" s="381"/>
      <c r="AR1206" s="381"/>
      <c r="AS1206" s="381"/>
    </row>
    <row r="1207" spans="1:45" ht="17.25" thickBot="1" x14ac:dyDescent="0.3">
      <c r="A1207" s="467"/>
      <c r="B1207" s="372"/>
      <c r="C1207" s="373">
        <v>1146020</v>
      </c>
      <c r="D1207" s="374" t="s">
        <v>402</v>
      </c>
      <c r="E1207" s="375"/>
      <c r="F1207" s="376">
        <f>G1242-AK1207+AL1207</f>
        <v>1</v>
      </c>
      <c r="G1207" s="377">
        <v>1</v>
      </c>
      <c r="H1207" s="397">
        <v>1</v>
      </c>
      <c r="I1207" s="377">
        <v>1</v>
      </c>
      <c r="J1207" s="377"/>
      <c r="K1207" s="377"/>
      <c r="L1207" s="377"/>
      <c r="M1207" s="377"/>
      <c r="N1207" s="377"/>
      <c r="O1207" s="377"/>
      <c r="P1207" s="377"/>
      <c r="Q1207" s="377"/>
      <c r="R1207" s="377"/>
      <c r="S1207" s="377"/>
      <c r="T1207" s="377"/>
      <c r="U1207" s="377"/>
      <c r="V1207" s="377"/>
      <c r="W1207" s="377"/>
      <c r="X1207" s="377"/>
      <c r="Y1207" s="377"/>
      <c r="Z1207" s="377"/>
      <c r="AA1207" s="377"/>
      <c r="AB1207" s="377"/>
      <c r="AC1207" s="377"/>
      <c r="AD1207" s="377"/>
      <c r="AE1207" s="377"/>
      <c r="AF1207" s="377"/>
      <c r="AG1207" s="377"/>
      <c r="AH1207" s="377"/>
      <c r="AI1207" s="377"/>
      <c r="AJ1207" s="377"/>
      <c r="AK1207" s="377">
        <f>G1242+AL1207-G1207</f>
        <v>0</v>
      </c>
      <c r="AL1207" s="377"/>
      <c r="AM1207" s="378"/>
      <c r="AN1207" s="379"/>
      <c r="AO1207" s="380"/>
      <c r="AP1207" s="378"/>
      <c r="AQ1207" s="381"/>
      <c r="AR1207" s="381"/>
      <c r="AS1207" s="381"/>
    </row>
    <row r="1208" spans="1:45" ht="17.25" thickBot="1" x14ac:dyDescent="0.3">
      <c r="A1208" s="467"/>
      <c r="B1208" s="372"/>
      <c r="C1208" s="373">
        <v>1146016</v>
      </c>
      <c r="D1208" s="374" t="s">
        <v>398</v>
      </c>
      <c r="E1208" s="375"/>
      <c r="F1208" s="376">
        <f>G1243-AK1208+AL1208</f>
        <v>6</v>
      </c>
      <c r="G1208" s="377">
        <v>6</v>
      </c>
      <c r="H1208" s="397">
        <v>6</v>
      </c>
      <c r="I1208" s="377"/>
      <c r="J1208" s="377"/>
      <c r="K1208" s="377">
        <v>2</v>
      </c>
      <c r="L1208" s="377"/>
      <c r="M1208" s="377"/>
      <c r="N1208" s="377"/>
      <c r="O1208" s="377"/>
      <c r="P1208" s="377"/>
      <c r="Q1208" s="377"/>
      <c r="R1208" s="377"/>
      <c r="S1208" s="377"/>
      <c r="T1208" s="377"/>
      <c r="U1208" s="377"/>
      <c r="V1208" s="377"/>
      <c r="W1208" s="377"/>
      <c r="X1208" s="377"/>
      <c r="Y1208" s="377"/>
      <c r="Z1208" s="377"/>
      <c r="AA1208" s="377"/>
      <c r="AB1208" s="377"/>
      <c r="AC1208" s="377"/>
      <c r="AD1208" s="377"/>
      <c r="AE1208" s="377"/>
      <c r="AF1208" s="377"/>
      <c r="AG1208" s="377"/>
      <c r="AH1208" s="377"/>
      <c r="AI1208" s="377"/>
      <c r="AJ1208" s="377"/>
      <c r="AK1208" s="377">
        <f>G1243+AL1208-G1208</f>
        <v>0</v>
      </c>
      <c r="AL1208" s="377"/>
      <c r="AM1208" s="378"/>
      <c r="AN1208" s="379"/>
      <c r="AO1208" s="380"/>
      <c r="AP1208" s="378"/>
      <c r="AQ1208" s="381"/>
      <c r="AR1208" s="381"/>
      <c r="AS1208" s="381"/>
    </row>
    <row r="1209" spans="1:45" ht="17.25" thickBot="1" x14ac:dyDescent="0.3">
      <c r="A1209" s="467"/>
      <c r="B1209" s="372"/>
      <c r="C1209" s="373">
        <v>1146022</v>
      </c>
      <c r="D1209" s="374" t="s">
        <v>403</v>
      </c>
      <c r="E1209" s="375"/>
      <c r="F1209" s="376">
        <f>G1244-AK1209+AL1209</f>
        <v>0</v>
      </c>
      <c r="G1209" s="377">
        <v>0</v>
      </c>
      <c r="H1209" s="397">
        <v>0</v>
      </c>
      <c r="I1209" s="377">
        <v>1</v>
      </c>
      <c r="J1209" s="377"/>
      <c r="K1209" s="377"/>
      <c r="L1209" s="377"/>
      <c r="M1209" s="377"/>
      <c r="N1209" s="377"/>
      <c r="O1209" s="377"/>
      <c r="P1209" s="377"/>
      <c r="Q1209" s="377"/>
      <c r="R1209" s="377"/>
      <c r="S1209" s="377"/>
      <c r="T1209" s="377"/>
      <c r="U1209" s="377"/>
      <c r="V1209" s="377"/>
      <c r="W1209" s="377"/>
      <c r="X1209" s="377"/>
      <c r="Y1209" s="377"/>
      <c r="Z1209" s="377"/>
      <c r="AA1209" s="377"/>
      <c r="AB1209" s="377"/>
      <c r="AC1209" s="377"/>
      <c r="AD1209" s="377"/>
      <c r="AE1209" s="377"/>
      <c r="AF1209" s="377"/>
      <c r="AG1209" s="377"/>
      <c r="AH1209" s="377"/>
      <c r="AI1209" s="377"/>
      <c r="AJ1209" s="377"/>
      <c r="AK1209" s="377">
        <f>G1244+AL1209-G1209</f>
        <v>0</v>
      </c>
      <c r="AL1209" s="377"/>
      <c r="AM1209" s="378"/>
      <c r="AN1209" s="379"/>
      <c r="AO1209" s="380"/>
      <c r="AP1209" s="378"/>
      <c r="AQ1209" s="381"/>
      <c r="AR1209" s="381"/>
      <c r="AS1209" s="381"/>
    </row>
    <row r="1210" spans="1:45" ht="17.25" thickBot="1" x14ac:dyDescent="0.3">
      <c r="A1210" s="467"/>
      <c r="B1210" s="372"/>
      <c r="C1210" s="373">
        <v>1146027</v>
      </c>
      <c r="D1210" s="374" t="s">
        <v>404</v>
      </c>
      <c r="E1210" s="375"/>
      <c r="F1210" s="376">
        <f>G1245-AK1210+AL1210</f>
        <v>2</v>
      </c>
      <c r="G1210" s="377">
        <v>2</v>
      </c>
      <c r="H1210" s="397">
        <v>2</v>
      </c>
      <c r="I1210" s="377">
        <v>3</v>
      </c>
      <c r="J1210" s="377"/>
      <c r="K1210" s="377"/>
      <c r="L1210" s="377"/>
      <c r="M1210" s="377"/>
      <c r="N1210" s="377"/>
      <c r="O1210" s="377"/>
      <c r="P1210" s="377"/>
      <c r="Q1210" s="377"/>
      <c r="R1210" s="377"/>
      <c r="S1210" s="377"/>
      <c r="T1210" s="377"/>
      <c r="U1210" s="377"/>
      <c r="V1210" s="377"/>
      <c r="W1210" s="377"/>
      <c r="X1210" s="377"/>
      <c r="Y1210" s="377"/>
      <c r="Z1210" s="377"/>
      <c r="AA1210" s="377"/>
      <c r="AB1210" s="377"/>
      <c r="AC1210" s="377"/>
      <c r="AD1210" s="377"/>
      <c r="AE1210" s="377"/>
      <c r="AF1210" s="377"/>
      <c r="AG1210" s="377"/>
      <c r="AH1210" s="377"/>
      <c r="AI1210" s="377"/>
      <c r="AJ1210" s="377"/>
      <c r="AK1210" s="377">
        <f>G1245+AL1210-G1210</f>
        <v>0</v>
      </c>
      <c r="AL1210" s="377"/>
      <c r="AM1210" s="378"/>
      <c r="AN1210" s="379"/>
      <c r="AO1210" s="380"/>
      <c r="AP1210" s="378"/>
      <c r="AQ1210" s="381"/>
      <c r="AR1210" s="381"/>
      <c r="AS1210" s="381"/>
    </row>
    <row r="1211" spans="1:45" ht="17.25" thickBot="1" x14ac:dyDescent="0.3">
      <c r="A1211" s="467"/>
      <c r="B1211" s="355" t="s">
        <v>418</v>
      </c>
      <c r="C1211" s="356"/>
      <c r="D1211" s="356"/>
      <c r="E1211" s="359"/>
      <c r="F1211" s="359"/>
      <c r="G1211" s="356"/>
      <c r="H1211" s="396"/>
      <c r="I1211" s="356"/>
      <c r="J1211" s="356"/>
      <c r="K1211" s="356"/>
      <c r="L1211" s="356"/>
      <c r="M1211" s="356"/>
      <c r="N1211" s="356"/>
      <c r="O1211" s="356"/>
      <c r="P1211" s="356"/>
      <c r="Q1211" s="356"/>
      <c r="R1211" s="356"/>
      <c r="S1211" s="356"/>
      <c r="T1211" s="356"/>
      <c r="U1211" s="356"/>
      <c r="V1211" s="356"/>
      <c r="W1211" s="356"/>
      <c r="X1211" s="356"/>
      <c r="Y1211" s="356"/>
      <c r="Z1211" s="356"/>
      <c r="AA1211" s="356"/>
      <c r="AB1211" s="356"/>
      <c r="AC1211" s="356"/>
      <c r="AD1211" s="356"/>
      <c r="AE1211" s="356"/>
      <c r="AF1211" s="356"/>
      <c r="AG1211" s="356"/>
      <c r="AH1211" s="356"/>
      <c r="AI1211" s="356"/>
      <c r="AJ1211" s="356"/>
      <c r="AK1211" s="356"/>
      <c r="AL1211" s="356"/>
      <c r="AM1211" s="356"/>
      <c r="AN1211" s="356"/>
      <c r="AO1211" s="356"/>
      <c r="AP1211" s="356"/>
      <c r="AQ1211" s="356"/>
      <c r="AR1211" s="356"/>
      <c r="AS1211" s="357"/>
    </row>
    <row r="1212" spans="1:45" ht="17.25" thickBot="1" x14ac:dyDescent="0.3">
      <c r="A1212" s="467"/>
      <c r="B1212" s="354"/>
      <c r="C1212" s="285">
        <v>1151653</v>
      </c>
      <c r="D1212" s="358" t="s">
        <v>405</v>
      </c>
      <c r="E1212" s="360"/>
      <c r="F1212" s="361">
        <f>G1247-AK1212+AL1212</f>
        <v>0</v>
      </c>
      <c r="G1212" s="364">
        <v>0</v>
      </c>
      <c r="H1212" s="397">
        <v>0</v>
      </c>
      <c r="I1212" s="364">
        <v>1</v>
      </c>
      <c r="J1212" s="364"/>
      <c r="K1212" s="364"/>
      <c r="L1212" s="218"/>
      <c r="M1212" s="218"/>
      <c r="N1212" s="218"/>
      <c r="O1212" s="218"/>
      <c r="P1212" s="352"/>
      <c r="Q1212" s="352"/>
      <c r="R1212" s="352"/>
      <c r="S1212" s="352"/>
      <c r="T1212" s="352"/>
      <c r="U1212" s="352"/>
      <c r="V1212" s="218"/>
      <c r="W1212" s="218"/>
      <c r="X1212" s="218"/>
      <c r="Y1212" s="218"/>
      <c r="Z1212" s="218"/>
      <c r="AA1212" s="218"/>
      <c r="AB1212" s="218"/>
      <c r="AC1212" s="218"/>
      <c r="AD1212" s="218"/>
      <c r="AE1212" s="218"/>
      <c r="AF1212" s="218"/>
      <c r="AG1212" s="218"/>
      <c r="AH1212" s="218"/>
      <c r="AI1212" s="218"/>
      <c r="AJ1212" s="218"/>
      <c r="AK1212" s="218">
        <f>G1247+AL1212-G1212</f>
        <v>0</v>
      </c>
      <c r="AL1212" s="218"/>
      <c r="AM1212" s="353"/>
      <c r="AN1212" s="295"/>
      <c r="AO1212" s="296"/>
      <c r="AP1212" s="353"/>
      <c r="AQ1212" s="290"/>
      <c r="AR1212" s="290"/>
      <c r="AS1212" s="290"/>
    </row>
    <row r="1213" spans="1:45" ht="17.25" thickBot="1" x14ac:dyDescent="0.3">
      <c r="A1213" s="467"/>
      <c r="B1213" s="354"/>
      <c r="C1213" s="285">
        <v>1151650</v>
      </c>
      <c r="D1213" s="358" t="s">
        <v>406</v>
      </c>
      <c r="E1213" s="360"/>
      <c r="F1213" s="361">
        <f>G1248-AK1213+AL1213</f>
        <v>1</v>
      </c>
      <c r="G1213" s="364">
        <v>1</v>
      </c>
      <c r="H1213" s="397">
        <v>1</v>
      </c>
      <c r="I1213" s="364">
        <v>1</v>
      </c>
      <c r="J1213" s="364"/>
      <c r="K1213" s="364">
        <v>5</v>
      </c>
      <c r="L1213" s="218"/>
      <c r="M1213" s="218"/>
      <c r="N1213" s="218"/>
      <c r="O1213" s="218"/>
      <c r="P1213" s="352"/>
      <c r="Q1213" s="352"/>
      <c r="R1213" s="352"/>
      <c r="S1213" s="352"/>
      <c r="T1213" s="352"/>
      <c r="U1213" s="352"/>
      <c r="V1213" s="218"/>
      <c r="W1213" s="218"/>
      <c r="X1213" s="218"/>
      <c r="Y1213" s="218"/>
      <c r="Z1213" s="218"/>
      <c r="AA1213" s="218"/>
      <c r="AB1213" s="218"/>
      <c r="AC1213" s="218"/>
      <c r="AD1213" s="218"/>
      <c r="AE1213" s="218"/>
      <c r="AF1213" s="218"/>
      <c r="AG1213" s="218"/>
      <c r="AH1213" s="218"/>
      <c r="AI1213" s="218"/>
      <c r="AJ1213" s="218"/>
      <c r="AK1213" s="218">
        <f>G1248+AL1213-G1213</f>
        <v>0</v>
      </c>
      <c r="AL1213" s="218"/>
      <c r="AM1213" s="353"/>
      <c r="AN1213" s="295"/>
      <c r="AO1213" s="296"/>
      <c r="AP1213" s="353"/>
      <c r="AQ1213" s="290"/>
      <c r="AR1213" s="290"/>
      <c r="AS1213" s="290"/>
    </row>
    <row r="1214" spans="1:45" ht="17.25" thickBot="1" x14ac:dyDescent="0.3">
      <c r="A1214" s="467"/>
      <c r="B1214" s="354"/>
      <c r="C1214" s="285">
        <v>1151649</v>
      </c>
      <c r="D1214" s="358" t="s">
        <v>407</v>
      </c>
      <c r="E1214" s="360"/>
      <c r="F1214" s="361">
        <f>G1249-AK1214+AL1214</f>
        <v>2</v>
      </c>
      <c r="G1214" s="364">
        <v>2</v>
      </c>
      <c r="H1214" s="397">
        <v>2</v>
      </c>
      <c r="I1214" s="364"/>
      <c r="J1214" s="364"/>
      <c r="K1214" s="364">
        <v>0</v>
      </c>
      <c r="L1214" s="218"/>
      <c r="M1214" s="218"/>
      <c r="N1214" s="218"/>
      <c r="O1214" s="218"/>
      <c r="P1214" s="352"/>
      <c r="Q1214" s="352"/>
      <c r="R1214" s="352"/>
      <c r="S1214" s="352"/>
      <c r="T1214" s="352"/>
      <c r="U1214" s="352"/>
      <c r="V1214" s="218"/>
      <c r="W1214" s="218"/>
      <c r="X1214" s="218"/>
      <c r="Y1214" s="218"/>
      <c r="Z1214" s="218"/>
      <c r="AA1214" s="218"/>
      <c r="AB1214" s="218"/>
      <c r="AC1214" s="218"/>
      <c r="AD1214" s="218"/>
      <c r="AE1214" s="218"/>
      <c r="AF1214" s="218"/>
      <c r="AG1214" s="218"/>
      <c r="AH1214" s="218"/>
      <c r="AI1214" s="218"/>
      <c r="AJ1214" s="218"/>
      <c r="AK1214" s="218">
        <f>G1249+AL1214-G1214</f>
        <v>0</v>
      </c>
      <c r="AL1214" s="218"/>
      <c r="AM1214" s="353"/>
      <c r="AN1214" s="295"/>
      <c r="AO1214" s="296"/>
      <c r="AP1214" s="353"/>
      <c r="AQ1214" s="290"/>
      <c r="AR1214" s="290"/>
      <c r="AS1214" s="290"/>
    </row>
    <row r="1215" spans="1:45" ht="17.25" thickBot="1" x14ac:dyDescent="0.3">
      <c r="A1215" s="467"/>
      <c r="B1215" s="354"/>
      <c r="C1215" s="285">
        <v>1151651</v>
      </c>
      <c r="D1215" s="358" t="s">
        <v>408</v>
      </c>
      <c r="E1215" s="360"/>
      <c r="F1215" s="361">
        <f>G1250-AK1215+AL1215</f>
        <v>0</v>
      </c>
      <c r="G1215" s="364">
        <v>0</v>
      </c>
      <c r="H1215" s="397">
        <v>0</v>
      </c>
      <c r="I1215" s="364"/>
      <c r="J1215" s="364"/>
      <c r="K1215" s="364"/>
      <c r="L1215" s="218"/>
      <c r="M1215" s="218"/>
      <c r="N1215" s="218"/>
      <c r="O1215" s="218"/>
      <c r="P1215" s="352"/>
      <c r="Q1215" s="352"/>
      <c r="R1215" s="352"/>
      <c r="S1215" s="352"/>
      <c r="T1215" s="352"/>
      <c r="U1215" s="352"/>
      <c r="V1215" s="218"/>
      <c r="W1215" s="218"/>
      <c r="X1215" s="218"/>
      <c r="Y1215" s="218"/>
      <c r="Z1215" s="218">
        <v>2</v>
      </c>
      <c r="AA1215" s="218"/>
      <c r="AB1215" s="218"/>
      <c r="AC1215" s="218"/>
      <c r="AD1215" s="218"/>
      <c r="AE1215" s="218"/>
      <c r="AF1215" s="218"/>
      <c r="AG1215" s="218"/>
      <c r="AH1215" s="218"/>
      <c r="AI1215" s="218"/>
      <c r="AJ1215" s="218"/>
      <c r="AK1215" s="218">
        <f>G1250+AL1215-G1215</f>
        <v>0</v>
      </c>
      <c r="AL1215" s="218"/>
      <c r="AM1215" s="353"/>
      <c r="AN1215" s="295"/>
      <c r="AO1215" s="296"/>
      <c r="AP1215" s="353"/>
      <c r="AQ1215" s="290"/>
      <c r="AR1215" s="290"/>
      <c r="AS1215" s="290"/>
    </row>
    <row r="1216" spans="1:45" ht="17.25" thickBot="1" x14ac:dyDescent="0.3">
      <c r="A1216" s="467"/>
      <c r="B1216" s="354"/>
      <c r="C1216" s="285">
        <v>1146029</v>
      </c>
      <c r="D1216" s="358" t="s">
        <v>409</v>
      </c>
      <c r="E1216" s="360"/>
      <c r="F1216" s="361">
        <f>G1251-AK1216+AL1216</f>
        <v>2</v>
      </c>
      <c r="G1216" s="369">
        <v>2</v>
      </c>
      <c r="H1216" s="369">
        <v>1</v>
      </c>
      <c r="I1216" s="369">
        <v>2</v>
      </c>
      <c r="J1216" s="369"/>
      <c r="K1216" s="369">
        <v>1</v>
      </c>
      <c r="L1216" s="218"/>
      <c r="M1216" s="218"/>
      <c r="N1216" s="218"/>
      <c r="O1216" s="218"/>
      <c r="P1216" s="352"/>
      <c r="Q1216" s="352"/>
      <c r="R1216" s="352"/>
      <c r="S1216" s="352"/>
      <c r="T1216" s="352"/>
      <c r="U1216" s="352"/>
      <c r="V1216" s="218"/>
      <c r="W1216" s="218"/>
      <c r="X1216" s="218"/>
      <c r="Y1216" s="218"/>
      <c r="Z1216" s="218"/>
      <c r="AA1216" s="218"/>
      <c r="AB1216" s="218"/>
      <c r="AC1216" s="218"/>
      <c r="AD1216" s="218"/>
      <c r="AE1216" s="218"/>
      <c r="AF1216" s="218"/>
      <c r="AG1216" s="218"/>
      <c r="AH1216" s="218"/>
      <c r="AI1216" s="218"/>
      <c r="AJ1216" s="218"/>
      <c r="AK1216" s="218">
        <f>G1251+AL1216-G1216</f>
        <v>0</v>
      </c>
      <c r="AL1216" s="218">
        <v>2</v>
      </c>
      <c r="AM1216" s="353"/>
      <c r="AN1216" s="295"/>
      <c r="AO1216" s="296"/>
      <c r="AP1216" s="353"/>
      <c r="AQ1216" s="290"/>
      <c r="AR1216" s="290"/>
      <c r="AS1216" s="290"/>
    </row>
    <row r="1217" spans="1:45" ht="17.25" thickBot="1" x14ac:dyDescent="0.3">
      <c r="A1217" s="467"/>
      <c r="B1217" s="355" t="s">
        <v>410</v>
      </c>
      <c r="C1217" s="356"/>
      <c r="D1217" s="356"/>
      <c r="E1217" s="359"/>
      <c r="F1217" s="359"/>
      <c r="G1217" s="356"/>
      <c r="H1217" s="396"/>
      <c r="I1217" s="356"/>
      <c r="J1217" s="356"/>
      <c r="K1217" s="356"/>
      <c r="L1217" s="356"/>
      <c r="M1217" s="356"/>
      <c r="N1217" s="356"/>
      <c r="O1217" s="356"/>
      <c r="P1217" s="356"/>
      <c r="Q1217" s="356"/>
      <c r="R1217" s="356"/>
      <c r="S1217" s="356"/>
      <c r="T1217" s="356"/>
      <c r="U1217" s="356"/>
      <c r="V1217" s="356"/>
      <c r="W1217" s="356"/>
      <c r="X1217" s="356"/>
      <c r="Y1217" s="356"/>
      <c r="Z1217" s="356"/>
      <c r="AA1217" s="356"/>
      <c r="AB1217" s="356"/>
      <c r="AC1217" s="356"/>
      <c r="AD1217" s="356"/>
      <c r="AE1217" s="356"/>
      <c r="AF1217" s="356"/>
      <c r="AG1217" s="356"/>
      <c r="AH1217" s="356"/>
      <c r="AI1217" s="356"/>
      <c r="AJ1217" s="356"/>
      <c r="AK1217" s="356"/>
      <c r="AL1217" s="356"/>
      <c r="AM1217" s="356"/>
      <c r="AN1217" s="356"/>
      <c r="AO1217" s="356"/>
      <c r="AP1217" s="356"/>
      <c r="AQ1217" s="356"/>
      <c r="AR1217" s="356"/>
      <c r="AS1217" s="357"/>
    </row>
    <row r="1218" spans="1:45" ht="17.25" thickBot="1" x14ac:dyDescent="0.3">
      <c r="A1218" s="467"/>
      <c r="B1218" s="354"/>
      <c r="C1218" s="285">
        <v>1699118</v>
      </c>
      <c r="D1218" s="358" t="s">
        <v>411</v>
      </c>
      <c r="E1218" s="360"/>
      <c r="F1218" s="361">
        <f>G1253-AK1218+AL1218</f>
        <v>0</v>
      </c>
      <c r="G1218" s="364">
        <v>0</v>
      </c>
      <c r="H1218" s="397">
        <v>0</v>
      </c>
      <c r="I1218" s="364"/>
      <c r="J1218" s="364"/>
      <c r="K1218" s="364"/>
      <c r="L1218" s="218"/>
      <c r="M1218" s="218"/>
      <c r="N1218" s="218"/>
      <c r="O1218" s="218"/>
      <c r="P1218" s="352"/>
      <c r="Q1218" s="352"/>
      <c r="R1218" s="352"/>
      <c r="S1218" s="352"/>
      <c r="T1218" s="352"/>
      <c r="U1218" s="352"/>
      <c r="V1218" s="218"/>
      <c r="W1218" s="218"/>
      <c r="X1218" s="218"/>
      <c r="Y1218" s="218"/>
      <c r="Z1218" s="218"/>
      <c r="AA1218" s="218"/>
      <c r="AB1218" s="218"/>
      <c r="AC1218" s="218"/>
      <c r="AD1218" s="218"/>
      <c r="AE1218" s="218"/>
      <c r="AF1218" s="218"/>
      <c r="AG1218" s="218"/>
      <c r="AH1218" s="218"/>
      <c r="AI1218" s="218"/>
      <c r="AJ1218" s="218"/>
      <c r="AK1218" s="218">
        <f>G1253+AL1218-G1218</f>
        <v>0</v>
      </c>
      <c r="AL1218" s="218"/>
      <c r="AM1218" s="353"/>
      <c r="AN1218" s="295"/>
      <c r="AO1218" s="296"/>
      <c r="AP1218" s="353"/>
      <c r="AQ1218" s="290"/>
      <c r="AR1218" s="290"/>
      <c r="AS1218" s="290"/>
    </row>
    <row r="1219" spans="1:45" ht="17.25" thickBot="1" x14ac:dyDescent="0.3">
      <c r="A1219" s="467"/>
      <c r="B1219" s="354"/>
      <c r="C1219" s="285">
        <v>1699119</v>
      </c>
      <c r="D1219" s="358" t="s">
        <v>412</v>
      </c>
      <c r="E1219" s="360"/>
      <c r="F1219" s="361">
        <f>G1254-AK1219+AL1219</f>
        <v>0</v>
      </c>
      <c r="G1219" s="364">
        <v>0</v>
      </c>
      <c r="H1219" s="397">
        <v>0</v>
      </c>
      <c r="I1219" s="364"/>
      <c r="J1219" s="364"/>
      <c r="K1219" s="364"/>
      <c r="L1219" s="218"/>
      <c r="M1219" s="218"/>
      <c r="N1219" s="218"/>
      <c r="O1219" s="218"/>
      <c r="P1219" s="352"/>
      <c r="Q1219" s="352"/>
      <c r="R1219" s="352"/>
      <c r="S1219" s="352"/>
      <c r="T1219" s="352"/>
      <c r="U1219" s="352"/>
      <c r="V1219" s="218"/>
      <c r="W1219" s="218"/>
      <c r="X1219" s="218"/>
      <c r="Y1219" s="218"/>
      <c r="Z1219" s="218"/>
      <c r="AA1219" s="218"/>
      <c r="AB1219" s="218"/>
      <c r="AC1219" s="218"/>
      <c r="AD1219" s="218"/>
      <c r="AE1219" s="218"/>
      <c r="AF1219" s="218"/>
      <c r="AG1219" s="218"/>
      <c r="AH1219" s="218"/>
      <c r="AI1219" s="218"/>
      <c r="AJ1219" s="218"/>
      <c r="AK1219" s="218">
        <f>G1254+AL1219-G1219</f>
        <v>0</v>
      </c>
      <c r="AL1219" s="218"/>
      <c r="AM1219" s="353"/>
      <c r="AN1219" s="295"/>
      <c r="AO1219" s="296"/>
      <c r="AP1219" s="353"/>
      <c r="AQ1219" s="290"/>
      <c r="AR1219" s="290"/>
      <c r="AS1219" s="290"/>
    </row>
    <row r="1220" spans="1:45" ht="17.25" thickBot="1" x14ac:dyDescent="0.3">
      <c r="A1220" s="467"/>
      <c r="B1220" s="354"/>
      <c r="C1220" s="285">
        <v>1699130</v>
      </c>
      <c r="D1220" s="358" t="s">
        <v>413</v>
      </c>
      <c r="E1220" s="360"/>
      <c r="F1220" s="361">
        <f>G1255-AK1220+AL1220</f>
        <v>0</v>
      </c>
      <c r="G1220" s="364">
        <v>0</v>
      </c>
      <c r="H1220" s="397">
        <v>0</v>
      </c>
      <c r="I1220" s="364"/>
      <c r="J1220" s="364"/>
      <c r="K1220" s="364"/>
      <c r="L1220" s="218"/>
      <c r="M1220" s="218"/>
      <c r="N1220" s="218"/>
      <c r="O1220" s="218"/>
      <c r="P1220" s="352"/>
      <c r="Q1220" s="352"/>
      <c r="R1220" s="352"/>
      <c r="S1220" s="352"/>
      <c r="T1220" s="352"/>
      <c r="U1220" s="352"/>
      <c r="V1220" s="218"/>
      <c r="W1220" s="218"/>
      <c r="X1220" s="218"/>
      <c r="Y1220" s="218"/>
      <c r="Z1220" s="218"/>
      <c r="AA1220" s="218"/>
      <c r="AB1220" s="218"/>
      <c r="AC1220" s="218"/>
      <c r="AD1220" s="218"/>
      <c r="AE1220" s="218"/>
      <c r="AF1220" s="218"/>
      <c r="AG1220" s="218"/>
      <c r="AH1220" s="218"/>
      <c r="AI1220" s="218"/>
      <c r="AJ1220" s="218"/>
      <c r="AK1220" s="218">
        <f>G1255+AL1220-G1220</f>
        <v>0</v>
      </c>
      <c r="AL1220" s="218"/>
      <c r="AM1220" s="353"/>
      <c r="AN1220" s="295"/>
      <c r="AO1220" s="296"/>
      <c r="AP1220" s="353"/>
      <c r="AQ1220" s="290"/>
      <c r="AR1220" s="290"/>
      <c r="AS1220" s="290"/>
    </row>
    <row r="1221" spans="1:45" ht="17.25" thickBot="1" x14ac:dyDescent="0.3">
      <c r="A1221" s="467"/>
      <c r="B1221" s="354"/>
      <c r="C1221" s="285">
        <v>1699131</v>
      </c>
      <c r="D1221" s="358" t="s">
        <v>414</v>
      </c>
      <c r="E1221" s="360"/>
      <c r="F1221" s="361">
        <f>G1256-AK1221+AL1221</f>
        <v>0</v>
      </c>
      <c r="G1221" s="364">
        <v>0</v>
      </c>
      <c r="H1221" s="397">
        <v>0</v>
      </c>
      <c r="I1221" s="364"/>
      <c r="J1221" s="364"/>
      <c r="K1221" s="364"/>
      <c r="L1221" s="218"/>
      <c r="M1221" s="218"/>
      <c r="N1221" s="218"/>
      <c r="O1221" s="218"/>
      <c r="P1221" s="352"/>
      <c r="Q1221" s="352"/>
      <c r="R1221" s="352"/>
      <c r="S1221" s="352"/>
      <c r="T1221" s="352"/>
      <c r="U1221" s="352"/>
      <c r="V1221" s="218"/>
      <c r="W1221" s="218"/>
      <c r="X1221" s="218"/>
      <c r="Y1221" s="218"/>
      <c r="Z1221" s="218"/>
      <c r="AA1221" s="218"/>
      <c r="AB1221" s="218"/>
      <c r="AC1221" s="218"/>
      <c r="AD1221" s="218"/>
      <c r="AE1221" s="218"/>
      <c r="AF1221" s="218"/>
      <c r="AG1221" s="218"/>
      <c r="AH1221" s="218"/>
      <c r="AI1221" s="218"/>
      <c r="AJ1221" s="218"/>
      <c r="AK1221" s="218">
        <f>G1256+AL1221-G1221</f>
        <v>0</v>
      </c>
      <c r="AL1221" s="218"/>
      <c r="AM1221" s="353"/>
      <c r="AN1221" s="295"/>
      <c r="AO1221" s="296"/>
      <c r="AP1221" s="353"/>
      <c r="AQ1221" s="290"/>
      <c r="AR1221" s="290"/>
      <c r="AS1221" s="290"/>
    </row>
    <row r="1222" spans="1:45" ht="17.25" thickBot="1" x14ac:dyDescent="0.3">
      <c r="A1222" s="468"/>
      <c r="B1222" s="354"/>
      <c r="C1222" s="285">
        <v>1699132</v>
      </c>
      <c r="D1222" s="358" t="s">
        <v>415</v>
      </c>
      <c r="E1222" s="285"/>
      <c r="F1222" s="362">
        <f>G1257-AK1222+AL1222</f>
        <v>0</v>
      </c>
      <c r="G1222" s="364">
        <v>0</v>
      </c>
      <c r="H1222" s="397">
        <v>0</v>
      </c>
      <c r="I1222" s="364"/>
      <c r="J1222" s="364"/>
      <c r="K1222" s="364">
        <v>2</v>
      </c>
      <c r="L1222" s="218"/>
      <c r="M1222" s="218"/>
      <c r="N1222" s="218"/>
      <c r="O1222" s="218"/>
      <c r="P1222" s="352"/>
      <c r="Q1222" s="352"/>
      <c r="R1222" s="352"/>
      <c r="S1222" s="352"/>
      <c r="T1222" s="352"/>
      <c r="U1222" s="352"/>
      <c r="V1222" s="218"/>
      <c r="W1222" s="218"/>
      <c r="X1222" s="218"/>
      <c r="Y1222" s="218"/>
      <c r="Z1222" s="218"/>
      <c r="AA1222" s="218"/>
      <c r="AB1222" s="218"/>
      <c r="AC1222" s="218"/>
      <c r="AD1222" s="218"/>
      <c r="AE1222" s="218"/>
      <c r="AF1222" s="218"/>
      <c r="AG1222" s="218"/>
      <c r="AH1222" s="218"/>
      <c r="AI1222" s="218"/>
      <c r="AJ1222" s="218"/>
      <c r="AK1222" s="218">
        <f>G1257+AL1222-G1222</f>
        <v>0</v>
      </c>
      <c r="AL1222" s="218"/>
      <c r="AM1222" s="353"/>
      <c r="AN1222" s="295"/>
      <c r="AO1222" s="296"/>
      <c r="AP1222" s="353"/>
      <c r="AQ1222" s="290"/>
      <c r="AR1222" s="290"/>
      <c r="AS1222" s="290"/>
    </row>
    <row r="1223" spans="1:45" x14ac:dyDescent="0.25">
      <c r="AL1223" s="290"/>
      <c r="AM1223" s="290"/>
      <c r="AN1223" s="290"/>
      <c r="AO1223" s="290"/>
      <c r="AP1223" s="290"/>
      <c r="AQ1223" s="290"/>
      <c r="AR1223" s="290"/>
    </row>
    <row r="1224" spans="1:45" ht="14.25" thickBot="1" x14ac:dyDescent="0.3">
      <c r="B1224" s="338" t="s">
        <v>18</v>
      </c>
      <c r="C1224" s="339">
        <v>45607</v>
      </c>
      <c r="AL1224" s="290"/>
      <c r="AM1224" s="290"/>
      <c r="AN1224" s="290"/>
      <c r="AO1224" s="290"/>
      <c r="AP1224" s="290"/>
      <c r="AQ1224" s="290"/>
      <c r="AR1224" s="290"/>
    </row>
    <row r="1225" spans="1:45" ht="41.25" thickBot="1" x14ac:dyDescent="0.3">
      <c r="B1225" s="283" t="s">
        <v>0</v>
      </c>
      <c r="C1225" s="284" t="s">
        <v>1</v>
      </c>
      <c r="D1225" s="284" t="s">
        <v>2</v>
      </c>
      <c r="E1225" s="284" t="s">
        <v>3</v>
      </c>
      <c r="F1225" s="4" t="s">
        <v>318</v>
      </c>
      <c r="G1225" s="351" t="s">
        <v>482</v>
      </c>
      <c r="H1225" s="382" t="s">
        <v>460</v>
      </c>
      <c r="I1225" s="234" t="s">
        <v>484</v>
      </c>
      <c r="J1225" s="234"/>
      <c r="K1225" s="258" t="s">
        <v>483</v>
      </c>
      <c r="L1225" s="258" t="s">
        <v>328</v>
      </c>
      <c r="M1225" s="258" t="s">
        <v>327</v>
      </c>
      <c r="N1225" s="234" t="s">
        <v>389</v>
      </c>
      <c r="O1225" s="240" t="s">
        <v>130</v>
      </c>
      <c r="P1225" s="243" t="s">
        <v>303</v>
      </c>
      <c r="Q1225" s="244" t="s">
        <v>304</v>
      </c>
      <c r="R1225" s="244" t="s">
        <v>314</v>
      </c>
      <c r="S1225" s="245" t="s">
        <v>338</v>
      </c>
      <c r="T1225" s="245" t="s">
        <v>345</v>
      </c>
      <c r="U1225" s="245" t="s">
        <v>361</v>
      </c>
      <c r="V1225" s="245" t="s">
        <v>387</v>
      </c>
      <c r="W1225" s="245" t="s">
        <v>421</v>
      </c>
      <c r="X1225" s="245" t="s">
        <v>452</v>
      </c>
      <c r="Y1225" s="245" t="s">
        <v>463</v>
      </c>
      <c r="Z1225" s="245" t="s">
        <v>481</v>
      </c>
      <c r="AA1225" s="245"/>
      <c r="AB1225" s="245"/>
      <c r="AC1225" s="245"/>
      <c r="AD1225" s="245"/>
      <c r="AE1225" s="245"/>
      <c r="AF1225" s="245"/>
      <c r="AG1225" s="245"/>
      <c r="AH1225" s="245"/>
      <c r="AI1225" s="245"/>
      <c r="AJ1225" s="245" t="s">
        <v>360</v>
      </c>
      <c r="AK1225" s="246" t="s">
        <v>268</v>
      </c>
      <c r="AL1225" s="247" t="s">
        <v>269</v>
      </c>
      <c r="AM1225" s="291" t="s">
        <v>288</v>
      </c>
      <c r="AN1225" s="292" t="s">
        <v>289</v>
      </c>
      <c r="AO1225" s="292" t="s">
        <v>287</v>
      </c>
      <c r="AP1225" s="293" t="s">
        <v>290</v>
      </c>
      <c r="AQ1225" s="290" t="s">
        <v>306</v>
      </c>
      <c r="AR1225" s="290" t="s">
        <v>310</v>
      </c>
      <c r="AS1225" s="290" t="s">
        <v>311</v>
      </c>
    </row>
    <row r="1226" spans="1:45" ht="17.25" thickBot="1" x14ac:dyDescent="0.3">
      <c r="A1226" s="463" t="s">
        <v>416</v>
      </c>
      <c r="B1226" s="285">
        <v>273664</v>
      </c>
      <c r="C1226" s="286">
        <v>1135749</v>
      </c>
      <c r="D1226" s="286" t="s">
        <v>7</v>
      </c>
      <c r="E1226" s="286">
        <v>6060050026</v>
      </c>
      <c r="F1226" s="253">
        <f>G1261-AK1226+AL1226</f>
        <v>7</v>
      </c>
      <c r="G1226" s="235">
        <v>7</v>
      </c>
      <c r="H1226" s="394">
        <v>7</v>
      </c>
      <c r="I1226" s="232">
        <v>7</v>
      </c>
      <c r="J1226" s="232"/>
      <c r="K1226" s="232">
        <v>1</v>
      </c>
      <c r="L1226" s="232">
        <f>IF(K1260=K1225,L1261+AK1226,K1226)</f>
        <v>1</v>
      </c>
      <c r="M1226" s="232">
        <f>IF(K1260=K1225,0,L1261+AK1226-K1226)</f>
        <v>0</v>
      </c>
      <c r="N1226" s="267">
        <v>5</v>
      </c>
      <c r="O1226" s="241">
        <f>N1226-G1226</f>
        <v>-2</v>
      </c>
      <c r="P1226" s="277">
        <v>4</v>
      </c>
      <c r="Q1226" s="278">
        <v>4</v>
      </c>
      <c r="R1226" s="279"/>
      <c r="S1226" s="279">
        <v>3</v>
      </c>
      <c r="T1226" s="279">
        <v>4</v>
      </c>
      <c r="U1226" s="279">
        <v>2</v>
      </c>
      <c r="V1226" s="279"/>
      <c r="W1226" s="279">
        <f>2+3</f>
        <v>5</v>
      </c>
      <c r="X1226" s="241"/>
      <c r="Y1226" s="241"/>
      <c r="Z1226" s="241"/>
      <c r="AA1226" s="241"/>
      <c r="AB1226" s="241"/>
      <c r="AC1226" s="241"/>
      <c r="AD1226" s="241"/>
      <c r="AE1226" s="241"/>
      <c r="AF1226" s="241"/>
      <c r="AG1226" s="241"/>
      <c r="AH1226" s="241"/>
      <c r="AI1226" s="241"/>
      <c r="AJ1226" s="241">
        <f>N1226-V1226</f>
        <v>5</v>
      </c>
      <c r="AK1226" s="235">
        <f>G1261+AL1226-G1226</f>
        <v>0</v>
      </c>
      <c r="AL1226" s="350"/>
      <c r="AM1226" s="294">
        <v>1.5</v>
      </c>
      <c r="AN1226" s="295">
        <v>4</v>
      </c>
      <c r="AO1226" s="296">
        <f>G1226/(AN1226)</f>
        <v>1.75</v>
      </c>
      <c r="AP1226" s="297">
        <f>AN1226*6</f>
        <v>24</v>
      </c>
      <c r="AQ1226" s="290">
        <f>G1226+K1226</f>
        <v>8</v>
      </c>
      <c r="AR1226" s="290">
        <f>IF(G1226&lt;G1261,(G1261-G1226+K1261-K1226),K1261-K1226)</f>
        <v>0</v>
      </c>
      <c r="AS1226" s="290">
        <f>21-8</f>
        <v>13</v>
      </c>
    </row>
    <row r="1227" spans="1:45" ht="17.25" thickBot="1" x14ac:dyDescent="0.3">
      <c r="A1227" s="464"/>
      <c r="B1227" s="285">
        <v>273672</v>
      </c>
      <c r="C1227" s="286">
        <v>1135750</v>
      </c>
      <c r="D1227" s="286" t="s">
        <v>9</v>
      </c>
      <c r="E1227" s="287">
        <v>204000000000</v>
      </c>
      <c r="F1227" s="253">
        <f>G1262-AK1227+AL1227</f>
        <v>35</v>
      </c>
      <c r="G1227" s="235">
        <v>35</v>
      </c>
      <c r="H1227" s="394">
        <v>15</v>
      </c>
      <c r="I1227" s="232">
        <v>35</v>
      </c>
      <c r="J1227" s="232"/>
      <c r="K1227" s="232">
        <v>7</v>
      </c>
      <c r="L1227" s="232">
        <f>IF(K1260=K1225,L1262+AK1227,K1227)</f>
        <v>7</v>
      </c>
      <c r="M1227" s="232">
        <f>IF(K1260=K1225,0,L1262+AK1227-K1227)</f>
        <v>0</v>
      </c>
      <c r="N1227" s="267">
        <v>10</v>
      </c>
      <c r="O1227" s="241">
        <f>N1227-G1227</f>
        <v>-25</v>
      </c>
      <c r="P1227" s="277">
        <v>13</v>
      </c>
      <c r="Q1227" s="278">
        <v>2</v>
      </c>
      <c r="R1227" s="279">
        <v>6</v>
      </c>
      <c r="S1227" s="279">
        <v>6</v>
      </c>
      <c r="T1227" s="279">
        <v>10</v>
      </c>
      <c r="U1227" s="279">
        <v>4</v>
      </c>
      <c r="V1227" s="279">
        <v>6</v>
      </c>
      <c r="W1227" s="279">
        <v>16</v>
      </c>
      <c r="X1227" s="241"/>
      <c r="Y1227" s="241">
        <v>6</v>
      </c>
      <c r="Z1227" s="241"/>
      <c r="AA1227" s="241"/>
      <c r="AB1227" s="241"/>
      <c r="AC1227" s="241"/>
      <c r="AD1227" s="241"/>
      <c r="AE1227" s="241"/>
      <c r="AF1227" s="241"/>
      <c r="AG1227" s="241"/>
      <c r="AH1227" s="241"/>
      <c r="AI1227" s="241"/>
      <c r="AJ1227" s="241">
        <f>N1227-V1227</f>
        <v>4</v>
      </c>
      <c r="AK1227" s="235">
        <f>G1262+AL1227-G1227</f>
        <v>0</v>
      </c>
      <c r="AL1227" s="236"/>
      <c r="AM1227" s="298">
        <v>4.2</v>
      </c>
      <c r="AN1227" s="295">
        <v>9</v>
      </c>
      <c r="AO1227" s="296">
        <f>G1227/(AN1227)</f>
        <v>3.8888888888888888</v>
      </c>
      <c r="AP1227" s="297">
        <f>AN1227*6</f>
        <v>54</v>
      </c>
      <c r="AQ1227" s="290">
        <f>G1227+K1227</f>
        <v>42</v>
      </c>
      <c r="AR1227" s="290">
        <f>IF(G1227&lt;G1262,(G1262-G1227+K1262-K1227),K1262-K1227)</f>
        <v>0</v>
      </c>
      <c r="AS1227" s="290">
        <f>21-8</f>
        <v>13</v>
      </c>
    </row>
    <row r="1228" spans="1:45" ht="17.25" thickBot="1" x14ac:dyDescent="0.3">
      <c r="A1228" s="464"/>
      <c r="B1228" s="285">
        <v>273702</v>
      </c>
      <c r="C1228" s="286">
        <v>1135753</v>
      </c>
      <c r="D1228" s="286" t="s">
        <v>10</v>
      </c>
      <c r="E1228" s="287">
        <v>301000000000</v>
      </c>
      <c r="F1228" s="253">
        <f>G1263-AK1228+AL1228</f>
        <v>2</v>
      </c>
      <c r="G1228" s="235">
        <v>2</v>
      </c>
      <c r="H1228" s="394">
        <v>2</v>
      </c>
      <c r="I1228" s="232">
        <v>2</v>
      </c>
      <c r="J1228" s="232"/>
      <c r="K1228" s="232">
        <v>1</v>
      </c>
      <c r="L1228" s="232">
        <f>IF(K1260=K1225,L1263+AK1228,K1228)</f>
        <v>1</v>
      </c>
      <c r="M1228" s="232">
        <f>IF(K1260=K1225,0,L1263+AK1228-K1228)</f>
        <v>0</v>
      </c>
      <c r="N1228" s="232">
        <v>2</v>
      </c>
      <c r="O1228" s="241">
        <f>N1228-G1228</f>
        <v>0</v>
      </c>
      <c r="P1228" s="277"/>
      <c r="Q1228" s="278"/>
      <c r="R1228" s="279"/>
      <c r="S1228" s="279"/>
      <c r="T1228" s="279"/>
      <c r="U1228" s="279"/>
      <c r="V1228" s="279"/>
      <c r="W1228" s="279"/>
      <c r="X1228" s="241"/>
      <c r="Y1228" s="241"/>
      <c r="Z1228" s="241"/>
      <c r="AA1228" s="241"/>
      <c r="AB1228" s="241"/>
      <c r="AC1228" s="241"/>
      <c r="AD1228" s="241"/>
      <c r="AE1228" s="241"/>
      <c r="AF1228" s="241"/>
      <c r="AG1228" s="241"/>
      <c r="AH1228" s="241"/>
      <c r="AI1228" s="241"/>
      <c r="AJ1228" s="241">
        <f>N1228-V1228</f>
        <v>2</v>
      </c>
      <c r="AK1228" s="235">
        <f>G1263+AL1228-G1228</f>
        <v>0</v>
      </c>
      <c r="AL1228" s="236"/>
      <c r="AM1228" s="294">
        <f>4/12</f>
        <v>0.33333333333333331</v>
      </c>
      <c r="AN1228" s="295">
        <v>2</v>
      </c>
      <c r="AO1228" s="296">
        <f>G1228/(AN1228)</f>
        <v>1</v>
      </c>
      <c r="AP1228" s="297">
        <f>AN1228*6</f>
        <v>12</v>
      </c>
      <c r="AQ1228" s="290">
        <f>G1228+K1228</f>
        <v>3</v>
      </c>
      <c r="AR1228" s="290">
        <f>IF(G1228&lt;G1263,(G1263-G1228+K1263-K1228),K1263-K1228)</f>
        <v>0</v>
      </c>
      <c r="AS1228" s="290">
        <f>21-8</f>
        <v>13</v>
      </c>
    </row>
    <row r="1229" spans="1:45" ht="17.25" thickBot="1" x14ac:dyDescent="0.3">
      <c r="A1229" s="464"/>
      <c r="B1229" s="285">
        <v>273698</v>
      </c>
      <c r="C1229" s="286">
        <v>1135752</v>
      </c>
      <c r="D1229" s="286" t="s">
        <v>11</v>
      </c>
      <c r="E1229" s="287">
        <v>701000000000</v>
      </c>
      <c r="F1229" s="253">
        <f>G1264-AK1229+AL1229</f>
        <v>2</v>
      </c>
      <c r="G1229" s="235">
        <v>2</v>
      </c>
      <c r="H1229" s="394">
        <v>2</v>
      </c>
      <c r="I1229" s="232">
        <v>3</v>
      </c>
      <c r="J1229" s="232"/>
      <c r="K1229" s="232">
        <v>0</v>
      </c>
      <c r="L1229" s="232">
        <f>IF(K1260=K1225,L1264+AK1229,K1229)</f>
        <v>0</v>
      </c>
      <c r="M1229" s="232">
        <f>IF(K1260=K1225,0,L1264+AK1229-K1229)</f>
        <v>0</v>
      </c>
      <c r="N1229" s="232">
        <v>3</v>
      </c>
      <c r="O1229" s="241">
        <f>N1229-G1229</f>
        <v>1</v>
      </c>
      <c r="P1229" s="277">
        <v>2</v>
      </c>
      <c r="Q1229" s="278"/>
      <c r="R1229" s="279"/>
      <c r="S1229" s="279"/>
      <c r="T1229" s="279"/>
      <c r="U1229" s="279"/>
      <c r="V1229" s="279"/>
      <c r="W1229" s="279">
        <v>1</v>
      </c>
      <c r="X1229" s="241"/>
      <c r="Y1229" s="241"/>
      <c r="Z1229" s="241"/>
      <c r="AA1229" s="241"/>
      <c r="AB1229" s="241"/>
      <c r="AC1229" s="241"/>
      <c r="AD1229" s="241"/>
      <c r="AE1229" s="241"/>
      <c r="AF1229" s="241"/>
      <c r="AG1229" s="241"/>
      <c r="AH1229" s="241"/>
      <c r="AI1229" s="241"/>
      <c r="AJ1229" s="241">
        <f>N1229-V1229</f>
        <v>3</v>
      </c>
      <c r="AK1229" s="235">
        <f>G1264+AL1229-G1229</f>
        <v>0</v>
      </c>
      <c r="AL1229" s="236"/>
      <c r="AM1229" s="294">
        <f>4/12</f>
        <v>0.33333333333333331</v>
      </c>
      <c r="AN1229" s="295">
        <v>2</v>
      </c>
      <c r="AO1229" s="296">
        <f>G1229/(AN1229)</f>
        <v>1</v>
      </c>
      <c r="AP1229" s="297">
        <f>AN1229*6</f>
        <v>12</v>
      </c>
      <c r="AQ1229" s="290">
        <f>G1229+K1229</f>
        <v>2</v>
      </c>
      <c r="AR1229" s="290">
        <f>IF(G1229&lt;G1264,(G1264-G1229+K1264-K1229),K1264-K1229)</f>
        <v>0</v>
      </c>
      <c r="AS1229" s="290">
        <f>21-8</f>
        <v>13</v>
      </c>
    </row>
    <row r="1230" spans="1:45" ht="17.25" thickBot="1" x14ac:dyDescent="0.3">
      <c r="A1230" s="465"/>
      <c r="B1230" s="285">
        <v>273680</v>
      </c>
      <c r="C1230" s="286">
        <v>1135751</v>
      </c>
      <c r="D1230" s="286" t="s">
        <v>12</v>
      </c>
      <c r="E1230" s="286" t="s">
        <v>13</v>
      </c>
      <c r="F1230" s="254">
        <f>G1265-AK1230+AL1230</f>
        <v>5</v>
      </c>
      <c r="G1230" s="237">
        <v>5</v>
      </c>
      <c r="H1230" s="395">
        <v>5</v>
      </c>
      <c r="I1230" s="238">
        <v>5</v>
      </c>
      <c r="J1230" s="238"/>
      <c r="K1230" s="238">
        <v>11</v>
      </c>
      <c r="L1230" s="238">
        <f>IF(K1260=K1225,L1265+AK1230,K1230)</f>
        <v>11</v>
      </c>
      <c r="M1230" s="238">
        <f>IF(K1260=K1225,0,L1265+AK1230-K1230)</f>
        <v>0</v>
      </c>
      <c r="N1230" s="238">
        <v>9</v>
      </c>
      <c r="O1230" s="242">
        <f>N1230-G1230</f>
        <v>4</v>
      </c>
      <c r="P1230" s="280"/>
      <c r="Q1230" s="281"/>
      <c r="R1230" s="282"/>
      <c r="S1230" s="282"/>
      <c r="T1230" s="282">
        <v>11</v>
      </c>
      <c r="U1230" s="282"/>
      <c r="V1230" s="282"/>
      <c r="W1230" s="282">
        <v>9</v>
      </c>
      <c r="X1230" s="242"/>
      <c r="Y1230" s="242">
        <v>9</v>
      </c>
      <c r="Z1230" s="242"/>
      <c r="AA1230" s="242"/>
      <c r="AB1230" s="242"/>
      <c r="AC1230" s="242"/>
      <c r="AD1230" s="242"/>
      <c r="AE1230" s="242"/>
      <c r="AF1230" s="242"/>
      <c r="AG1230" s="242"/>
      <c r="AH1230" s="242"/>
      <c r="AI1230" s="242"/>
      <c r="AJ1230" s="242">
        <f>N1230-V1230</f>
        <v>9</v>
      </c>
      <c r="AK1230" s="235">
        <f>G1265+AL1230-G1230</f>
        <v>0</v>
      </c>
      <c r="AL1230" s="239"/>
      <c r="AM1230" s="299">
        <f>30/12</f>
        <v>2.5</v>
      </c>
      <c r="AN1230" s="300">
        <f>AM1230*2</f>
        <v>5</v>
      </c>
      <c r="AO1230" s="301">
        <f>G1230/(AN1230)</f>
        <v>1</v>
      </c>
      <c r="AP1230" s="302">
        <f>AN1230*6</f>
        <v>30</v>
      </c>
      <c r="AQ1230" s="290">
        <f>G1230+K1230</f>
        <v>16</v>
      </c>
      <c r="AR1230" s="290">
        <f>IF(G1230&lt;G1265,(G1265-G1230+K1265-K1230),K1265-K1230)</f>
        <v>0</v>
      </c>
      <c r="AS1230" s="290">
        <f>21-8</f>
        <v>13</v>
      </c>
    </row>
    <row r="1231" spans="1:45" ht="17.25" thickBot="1" x14ac:dyDescent="0.3">
      <c r="A1231" s="466" t="s">
        <v>417</v>
      </c>
      <c r="B1231" s="355" t="s">
        <v>129</v>
      </c>
      <c r="C1231" s="356"/>
      <c r="D1231" s="356"/>
      <c r="E1231" s="359"/>
      <c r="F1231" s="359"/>
      <c r="G1231" s="356"/>
      <c r="H1231" s="396"/>
      <c r="I1231" s="356"/>
      <c r="J1231" s="356"/>
      <c r="K1231" s="356"/>
      <c r="L1231" s="356"/>
      <c r="M1231" s="356"/>
      <c r="N1231" s="356"/>
      <c r="O1231" s="356"/>
      <c r="P1231" s="356"/>
      <c r="Q1231" s="356"/>
      <c r="R1231" s="356"/>
      <c r="S1231" s="356"/>
      <c r="T1231" s="356"/>
      <c r="U1231" s="356"/>
      <c r="V1231" s="356"/>
      <c r="W1231" s="356"/>
      <c r="X1231" s="356"/>
      <c r="Y1231" s="356"/>
      <c r="Z1231" s="356"/>
      <c r="AA1231" s="356"/>
      <c r="AB1231" s="356"/>
      <c r="AC1231" s="356"/>
      <c r="AD1231" s="356"/>
      <c r="AE1231" s="356"/>
      <c r="AF1231" s="356"/>
      <c r="AG1231" s="356"/>
      <c r="AH1231" s="356"/>
      <c r="AI1231" s="356"/>
      <c r="AJ1231" s="356"/>
      <c r="AK1231" s="356"/>
      <c r="AL1231" s="367"/>
      <c r="AM1231" s="356"/>
      <c r="AN1231" s="356"/>
      <c r="AO1231" s="356"/>
      <c r="AP1231" s="356"/>
      <c r="AQ1231" s="356"/>
      <c r="AR1231" s="356"/>
      <c r="AS1231" s="357"/>
    </row>
    <row r="1232" spans="1:45" ht="17.25" thickBot="1" x14ac:dyDescent="0.3">
      <c r="A1232" s="467"/>
      <c r="B1232" s="354"/>
      <c r="C1232" s="354">
        <v>1140327</v>
      </c>
      <c r="D1232" s="358" t="s">
        <v>394</v>
      </c>
      <c r="E1232" s="360"/>
      <c r="F1232" s="361">
        <f>G1267-AK1232+AL1232</f>
        <v>19</v>
      </c>
      <c r="G1232" s="218">
        <v>19</v>
      </c>
      <c r="H1232" s="397">
        <v>26</v>
      </c>
      <c r="I1232" s="218">
        <v>20</v>
      </c>
      <c r="J1232" s="218"/>
      <c r="K1232" s="218">
        <v>1</v>
      </c>
      <c r="L1232" s="218">
        <f>IF(K1260=K1225,L1267+AK1232,K1232)</f>
        <v>1</v>
      </c>
      <c r="M1232" s="218">
        <f>IF(K1260=K1225,0,L1267+AK1232-K1232)</f>
        <v>1</v>
      </c>
      <c r="N1232" s="218"/>
      <c r="O1232" s="218"/>
      <c r="P1232" s="352"/>
      <c r="Q1232" s="352"/>
      <c r="R1232" s="352"/>
      <c r="S1232" s="352"/>
      <c r="T1232" s="352"/>
      <c r="U1232" s="352"/>
      <c r="V1232" s="218"/>
      <c r="W1232" s="218"/>
      <c r="X1232" s="218">
        <v>4</v>
      </c>
      <c r="Y1232" s="218">
        <v>9</v>
      </c>
      <c r="Z1232" s="218">
        <v>4</v>
      </c>
      <c r="AA1232" s="218"/>
      <c r="AB1232" s="218"/>
      <c r="AC1232" s="218"/>
      <c r="AD1232" s="218"/>
      <c r="AE1232" s="218"/>
      <c r="AF1232" s="218"/>
      <c r="AG1232" s="218"/>
      <c r="AH1232" s="218"/>
      <c r="AI1232" s="218"/>
      <c r="AJ1232" s="242">
        <f>N1232-V1232</f>
        <v>0</v>
      </c>
      <c r="AK1232" s="274">
        <f>G1267+AL1232-G1232</f>
        <v>0</v>
      </c>
      <c r="AL1232" s="232"/>
      <c r="AM1232" s="353"/>
      <c r="AN1232" s="295"/>
      <c r="AO1232" s="296"/>
      <c r="AP1232" s="353"/>
      <c r="AQ1232" s="290"/>
      <c r="AR1232" s="290"/>
      <c r="AS1232" s="290"/>
    </row>
    <row r="1233" spans="1:45" ht="17.25" thickBot="1" x14ac:dyDescent="0.3">
      <c r="A1233" s="467"/>
      <c r="B1233" s="354"/>
      <c r="C1233" s="285">
        <v>1151231</v>
      </c>
      <c r="D1233" s="358" t="s">
        <v>395</v>
      </c>
      <c r="E1233" s="360"/>
      <c r="F1233" s="361">
        <f>G1268-AK1233+AL1233</f>
        <v>11</v>
      </c>
      <c r="G1233" s="369">
        <v>11</v>
      </c>
      <c r="H1233" s="397">
        <v>3</v>
      </c>
      <c r="I1233" s="218">
        <v>11</v>
      </c>
      <c r="J1233" s="218"/>
      <c r="K1233" s="218">
        <v>3</v>
      </c>
      <c r="L1233" s="218">
        <f>IF(K1260=K1225,L1268+AK1233,K1233)</f>
        <v>3</v>
      </c>
      <c r="M1233" s="218">
        <f>IF(K1260=K1225,0,L1268+AK1233-K1233)</f>
        <v>1</v>
      </c>
      <c r="N1233" s="218"/>
      <c r="O1233" s="218"/>
      <c r="P1233" s="352"/>
      <c r="Q1233" s="352"/>
      <c r="R1233" s="352"/>
      <c r="S1233" s="352"/>
      <c r="T1233" s="352"/>
      <c r="U1233" s="352"/>
      <c r="V1233" s="218"/>
      <c r="W1233" s="218"/>
      <c r="X1233" s="218">
        <v>3</v>
      </c>
      <c r="Y1233" s="218">
        <v>8</v>
      </c>
      <c r="Z1233" s="218"/>
      <c r="AA1233" s="218"/>
      <c r="AB1233" s="218"/>
      <c r="AC1233" s="218"/>
      <c r="AD1233" s="218"/>
      <c r="AE1233" s="218"/>
      <c r="AF1233" s="218"/>
      <c r="AG1233" s="218"/>
      <c r="AH1233" s="218"/>
      <c r="AI1233" s="218"/>
      <c r="AJ1233" s="242">
        <f>N1233-V1233</f>
        <v>0</v>
      </c>
      <c r="AK1233" s="274">
        <f>G1268+AL1233-G1233</f>
        <v>0</v>
      </c>
      <c r="AL1233" s="232"/>
      <c r="AM1233" s="353"/>
      <c r="AN1233" s="295"/>
      <c r="AO1233" s="296"/>
      <c r="AP1233" s="353"/>
      <c r="AQ1233" s="290"/>
      <c r="AR1233" s="290"/>
      <c r="AS1233" s="290"/>
    </row>
    <row r="1234" spans="1:45" ht="17.25" thickBot="1" x14ac:dyDescent="0.3">
      <c r="A1234" s="467"/>
      <c r="B1234" s="355" t="s">
        <v>420</v>
      </c>
      <c r="C1234" s="356"/>
      <c r="D1234" s="356"/>
      <c r="E1234" s="359"/>
      <c r="F1234" s="359"/>
      <c r="G1234" s="356"/>
      <c r="H1234" s="396"/>
      <c r="I1234" s="356"/>
      <c r="J1234" s="356"/>
      <c r="K1234" s="356"/>
      <c r="L1234" s="356"/>
      <c r="M1234" s="356"/>
      <c r="N1234" s="356"/>
      <c r="O1234" s="356"/>
      <c r="P1234" s="356"/>
      <c r="Q1234" s="356"/>
      <c r="R1234" s="356"/>
      <c r="S1234" s="356"/>
      <c r="T1234" s="356"/>
      <c r="U1234" s="356"/>
      <c r="V1234" s="356"/>
      <c r="W1234" s="356"/>
      <c r="X1234" s="356"/>
      <c r="Y1234" s="356"/>
      <c r="Z1234" s="356"/>
      <c r="AA1234" s="356"/>
      <c r="AB1234" s="356"/>
      <c r="AC1234" s="356"/>
      <c r="AD1234" s="356"/>
      <c r="AE1234" s="356"/>
      <c r="AF1234" s="356"/>
      <c r="AG1234" s="356"/>
      <c r="AH1234" s="356"/>
      <c r="AI1234" s="356"/>
      <c r="AJ1234" s="356"/>
      <c r="AK1234" s="356"/>
      <c r="AL1234" s="368"/>
      <c r="AM1234" s="356"/>
      <c r="AN1234" s="356"/>
      <c r="AO1234" s="356"/>
      <c r="AP1234" s="356"/>
      <c r="AQ1234" s="356"/>
      <c r="AR1234" s="356"/>
      <c r="AS1234" s="357"/>
    </row>
    <row r="1235" spans="1:45" ht="17.25" thickBot="1" x14ac:dyDescent="0.3">
      <c r="A1235" s="467"/>
      <c r="B1235" s="354"/>
      <c r="C1235" s="285">
        <v>1146032</v>
      </c>
      <c r="D1235" s="358" t="s">
        <v>396</v>
      </c>
      <c r="E1235" s="360"/>
      <c r="F1235" s="361">
        <f>G1270-AK1235+AL1235</f>
        <v>1</v>
      </c>
      <c r="G1235" s="364">
        <v>1</v>
      </c>
      <c r="H1235" s="397">
        <v>1</v>
      </c>
      <c r="I1235" s="364">
        <v>3</v>
      </c>
      <c r="J1235" s="364"/>
      <c r="K1235" s="364">
        <v>1</v>
      </c>
      <c r="L1235" s="218"/>
      <c r="M1235" s="218"/>
      <c r="N1235" s="218"/>
      <c r="O1235" s="218"/>
      <c r="P1235" s="352"/>
      <c r="Q1235" s="352"/>
      <c r="R1235" s="352"/>
      <c r="S1235" s="352"/>
      <c r="T1235" s="352"/>
      <c r="U1235" s="352"/>
      <c r="V1235" s="218"/>
      <c r="W1235" s="218"/>
      <c r="X1235" s="218"/>
      <c r="Y1235" s="218"/>
      <c r="Z1235" s="218"/>
      <c r="AA1235" s="218"/>
      <c r="AB1235" s="218"/>
      <c r="AC1235" s="218"/>
      <c r="AD1235" s="218"/>
      <c r="AE1235" s="218"/>
      <c r="AF1235" s="218"/>
      <c r="AG1235" s="218"/>
      <c r="AH1235" s="218"/>
      <c r="AI1235" s="218"/>
      <c r="AJ1235" s="218"/>
      <c r="AK1235" s="218">
        <f>G1270+AL1235-G1235</f>
        <v>0</v>
      </c>
      <c r="AL1235" s="218"/>
      <c r="AM1235" s="353"/>
      <c r="AN1235" s="295"/>
      <c r="AO1235" s="296"/>
      <c r="AP1235" s="353"/>
      <c r="AQ1235" s="290"/>
      <c r="AR1235" s="290"/>
      <c r="AS1235" s="290"/>
    </row>
    <row r="1236" spans="1:45" ht="17.25" thickBot="1" x14ac:dyDescent="0.3">
      <c r="A1236" s="467"/>
      <c r="B1236" s="354"/>
      <c r="C1236" s="285">
        <v>1146021</v>
      </c>
      <c r="D1236" s="358" t="s">
        <v>397</v>
      </c>
      <c r="E1236" s="360"/>
      <c r="F1236" s="361">
        <f>G1271-AK1236+AL1236</f>
        <v>2</v>
      </c>
      <c r="G1236" s="364">
        <v>2</v>
      </c>
      <c r="H1236" s="397">
        <v>2</v>
      </c>
      <c r="I1236" s="364">
        <v>2</v>
      </c>
      <c r="J1236" s="364"/>
      <c r="K1236" s="364">
        <v>2</v>
      </c>
      <c r="L1236" s="218"/>
      <c r="M1236" s="218"/>
      <c r="N1236" s="218"/>
      <c r="O1236" s="218"/>
      <c r="P1236" s="352"/>
      <c r="Q1236" s="352"/>
      <c r="R1236" s="352"/>
      <c r="S1236" s="352"/>
      <c r="T1236" s="352"/>
      <c r="U1236" s="352"/>
      <c r="V1236" s="218"/>
      <c r="W1236" s="218"/>
      <c r="X1236" s="218"/>
      <c r="Y1236" s="218"/>
      <c r="Z1236" s="218"/>
      <c r="AA1236" s="218"/>
      <c r="AB1236" s="218"/>
      <c r="AC1236" s="218"/>
      <c r="AD1236" s="218"/>
      <c r="AE1236" s="218"/>
      <c r="AF1236" s="218"/>
      <c r="AG1236" s="218"/>
      <c r="AH1236" s="218"/>
      <c r="AI1236" s="218"/>
      <c r="AJ1236" s="218"/>
      <c r="AK1236" s="218">
        <f>G1271+AL1236-G1236</f>
        <v>0</v>
      </c>
      <c r="AL1236" s="218"/>
      <c r="AM1236" s="353"/>
      <c r="AN1236" s="295"/>
      <c r="AO1236" s="296"/>
      <c r="AP1236" s="353"/>
      <c r="AQ1236" s="290"/>
      <c r="AR1236" s="290"/>
      <c r="AS1236" s="290"/>
    </row>
    <row r="1237" spans="1:45" ht="17.25" thickBot="1" x14ac:dyDescent="0.3">
      <c r="A1237" s="467"/>
      <c r="B1237" s="354"/>
      <c r="C1237" s="285">
        <v>1146018</v>
      </c>
      <c r="D1237" s="358" t="s">
        <v>398</v>
      </c>
      <c r="E1237" s="360"/>
      <c r="F1237" s="361">
        <f>G1272-AK1237+AL1237</f>
        <v>4</v>
      </c>
      <c r="G1237" s="364">
        <v>4</v>
      </c>
      <c r="H1237" s="397">
        <v>4</v>
      </c>
      <c r="I1237" s="364">
        <v>4</v>
      </c>
      <c r="J1237" s="364"/>
      <c r="K1237" s="364">
        <v>1</v>
      </c>
      <c r="L1237" s="218"/>
      <c r="M1237" s="218"/>
      <c r="N1237" s="218"/>
      <c r="O1237" s="218"/>
      <c r="P1237" s="352"/>
      <c r="Q1237" s="352"/>
      <c r="R1237" s="352"/>
      <c r="S1237" s="352"/>
      <c r="T1237" s="352"/>
      <c r="U1237" s="352"/>
      <c r="V1237" s="218"/>
      <c r="W1237" s="218"/>
      <c r="X1237" s="218"/>
      <c r="Y1237" s="218"/>
      <c r="Z1237" s="218"/>
      <c r="AA1237" s="218"/>
      <c r="AB1237" s="218"/>
      <c r="AC1237" s="218"/>
      <c r="AD1237" s="218"/>
      <c r="AE1237" s="218"/>
      <c r="AF1237" s="218"/>
      <c r="AG1237" s="218"/>
      <c r="AH1237" s="218"/>
      <c r="AI1237" s="218"/>
      <c r="AJ1237" s="218"/>
      <c r="AK1237" s="218">
        <f>G1272+AL1237-G1237</f>
        <v>0</v>
      </c>
      <c r="AL1237" s="218"/>
      <c r="AM1237" s="353"/>
      <c r="AN1237" s="295"/>
      <c r="AO1237" s="296"/>
      <c r="AP1237" s="353"/>
      <c r="AQ1237" s="290"/>
      <c r="AR1237" s="290"/>
      <c r="AS1237" s="290"/>
    </row>
    <row r="1238" spans="1:45" ht="17.25" thickBot="1" x14ac:dyDescent="0.3">
      <c r="A1238" s="467"/>
      <c r="B1238" s="354"/>
      <c r="C1238" s="285">
        <v>1146024</v>
      </c>
      <c r="D1238" s="358" t="s">
        <v>399</v>
      </c>
      <c r="E1238" s="360"/>
      <c r="F1238" s="361">
        <v>1</v>
      </c>
      <c r="G1238" s="364">
        <v>1</v>
      </c>
      <c r="H1238" s="397">
        <v>0</v>
      </c>
      <c r="I1238" s="364">
        <v>1</v>
      </c>
      <c r="J1238" s="364"/>
      <c r="K1238" s="364"/>
      <c r="L1238" s="218"/>
      <c r="M1238" s="218"/>
      <c r="N1238" s="218"/>
      <c r="O1238" s="218"/>
      <c r="P1238" s="352"/>
      <c r="Q1238" s="352"/>
      <c r="R1238" s="352"/>
      <c r="S1238" s="352"/>
      <c r="T1238" s="352"/>
      <c r="U1238" s="352"/>
      <c r="V1238" s="218"/>
      <c r="W1238" s="218"/>
      <c r="X1238" s="218"/>
      <c r="Y1238" s="218"/>
      <c r="Z1238" s="218"/>
      <c r="AA1238" s="218"/>
      <c r="AB1238" s="218"/>
      <c r="AC1238" s="218"/>
      <c r="AD1238" s="218"/>
      <c r="AE1238" s="218"/>
      <c r="AF1238" s="218"/>
      <c r="AG1238" s="218"/>
      <c r="AH1238" s="218"/>
      <c r="AI1238" s="218"/>
      <c r="AJ1238" s="218"/>
      <c r="AK1238" s="218">
        <f>G1273+AL1238-G1238</f>
        <v>0</v>
      </c>
      <c r="AL1238" s="218"/>
      <c r="AM1238" s="353"/>
      <c r="AN1238" s="295"/>
      <c r="AO1238" s="296"/>
      <c r="AP1238" s="353"/>
      <c r="AQ1238" s="290"/>
      <c r="AR1238" s="290"/>
      <c r="AS1238" s="290"/>
    </row>
    <row r="1239" spans="1:45" ht="17.25" thickBot="1" x14ac:dyDescent="0.3">
      <c r="A1239" s="467"/>
      <c r="B1239" s="354"/>
      <c r="C1239" s="285">
        <v>1146028</v>
      </c>
      <c r="D1239" s="358" t="s">
        <v>400</v>
      </c>
      <c r="E1239" s="360"/>
      <c r="F1239" s="361">
        <f>G1274-AK1239+AL1239</f>
        <v>1</v>
      </c>
      <c r="G1239" s="364">
        <v>1</v>
      </c>
      <c r="H1239" s="397">
        <v>3</v>
      </c>
      <c r="I1239" s="364">
        <v>1</v>
      </c>
      <c r="J1239" s="364"/>
      <c r="K1239" s="364">
        <v>1</v>
      </c>
      <c r="L1239" s="218"/>
      <c r="M1239" s="218"/>
      <c r="N1239" s="218"/>
      <c r="O1239" s="218"/>
      <c r="P1239" s="352"/>
      <c r="Q1239" s="352"/>
      <c r="R1239" s="352"/>
      <c r="S1239" s="352"/>
      <c r="T1239" s="352"/>
      <c r="U1239" s="352"/>
      <c r="V1239" s="218"/>
      <c r="W1239" s="218"/>
      <c r="X1239" s="218"/>
      <c r="Y1239" s="218"/>
      <c r="Z1239" s="218"/>
      <c r="AA1239" s="218"/>
      <c r="AB1239" s="218"/>
      <c r="AC1239" s="218"/>
      <c r="AD1239" s="218"/>
      <c r="AE1239" s="218"/>
      <c r="AF1239" s="218"/>
      <c r="AG1239" s="218"/>
      <c r="AH1239" s="218"/>
      <c r="AI1239" s="218"/>
      <c r="AJ1239" s="218"/>
      <c r="AK1239" s="218">
        <f>G1274+AL1239-G1239</f>
        <v>0</v>
      </c>
      <c r="AL1239" s="218"/>
      <c r="AM1239" s="353"/>
      <c r="AN1239" s="295"/>
      <c r="AO1239" s="296"/>
      <c r="AP1239" s="353"/>
      <c r="AQ1239" s="290"/>
      <c r="AR1239" s="290"/>
      <c r="AS1239" s="290"/>
    </row>
    <row r="1240" spans="1:45" ht="17.25" thickBot="1" x14ac:dyDescent="0.3">
      <c r="A1240" s="467"/>
      <c r="B1240" s="355" t="s">
        <v>419</v>
      </c>
      <c r="C1240" s="356"/>
      <c r="D1240" s="356"/>
      <c r="E1240" s="359"/>
      <c r="F1240" s="359"/>
      <c r="G1240" s="356"/>
      <c r="H1240" s="396"/>
      <c r="I1240" s="356"/>
      <c r="J1240" s="356"/>
      <c r="K1240" s="356"/>
      <c r="L1240" s="356"/>
      <c r="M1240" s="356"/>
      <c r="N1240" s="356"/>
      <c r="O1240" s="356"/>
      <c r="P1240" s="356"/>
      <c r="Q1240" s="356"/>
      <c r="R1240" s="356"/>
      <c r="S1240" s="356"/>
      <c r="T1240" s="356"/>
      <c r="U1240" s="356"/>
      <c r="V1240" s="356"/>
      <c r="W1240" s="356"/>
      <c r="X1240" s="356"/>
      <c r="Y1240" s="356"/>
      <c r="Z1240" s="356"/>
      <c r="AA1240" s="356"/>
      <c r="AB1240" s="356"/>
      <c r="AC1240" s="356"/>
      <c r="AD1240" s="356"/>
      <c r="AE1240" s="356"/>
      <c r="AF1240" s="356"/>
      <c r="AG1240" s="356"/>
      <c r="AH1240" s="356"/>
      <c r="AI1240" s="356"/>
      <c r="AJ1240" s="356"/>
      <c r="AK1240" s="356"/>
      <c r="AL1240" s="356"/>
      <c r="AM1240" s="356"/>
      <c r="AN1240" s="356"/>
      <c r="AO1240" s="356"/>
      <c r="AP1240" s="356"/>
      <c r="AQ1240" s="356"/>
      <c r="AR1240" s="356"/>
      <c r="AS1240" s="357"/>
    </row>
    <row r="1241" spans="1:45" ht="17.25" thickBot="1" x14ac:dyDescent="0.3">
      <c r="A1241" s="467"/>
      <c r="B1241" s="372"/>
      <c r="C1241" s="373">
        <v>1146031</v>
      </c>
      <c r="D1241" s="374" t="s">
        <v>401</v>
      </c>
      <c r="E1241" s="375"/>
      <c r="F1241" s="376">
        <f>G1276-AK1241+AL1241</f>
        <v>2</v>
      </c>
      <c r="G1241" s="377">
        <v>2</v>
      </c>
      <c r="H1241" s="397">
        <v>2</v>
      </c>
      <c r="I1241" s="377">
        <v>3</v>
      </c>
      <c r="J1241" s="377"/>
      <c r="K1241" s="377">
        <v>2</v>
      </c>
      <c r="L1241" s="377"/>
      <c r="M1241" s="377"/>
      <c r="N1241" s="377"/>
      <c r="O1241" s="377"/>
      <c r="P1241" s="377"/>
      <c r="Q1241" s="377"/>
      <c r="R1241" s="377"/>
      <c r="S1241" s="377"/>
      <c r="T1241" s="377"/>
      <c r="U1241" s="377"/>
      <c r="V1241" s="377"/>
      <c r="W1241" s="377"/>
      <c r="X1241" s="377"/>
      <c r="Y1241" s="377"/>
      <c r="Z1241" s="377"/>
      <c r="AA1241" s="377"/>
      <c r="AB1241" s="377"/>
      <c r="AC1241" s="377"/>
      <c r="AD1241" s="377"/>
      <c r="AE1241" s="377"/>
      <c r="AF1241" s="377"/>
      <c r="AG1241" s="377"/>
      <c r="AH1241" s="377"/>
      <c r="AI1241" s="377"/>
      <c r="AJ1241" s="377"/>
      <c r="AK1241" s="377">
        <f>G1276+AL1241-G1241</f>
        <v>0</v>
      </c>
      <c r="AL1241" s="377"/>
      <c r="AM1241" s="378"/>
      <c r="AN1241" s="379"/>
      <c r="AO1241" s="380"/>
      <c r="AP1241" s="378"/>
      <c r="AQ1241" s="381"/>
      <c r="AR1241" s="381"/>
      <c r="AS1241" s="381"/>
    </row>
    <row r="1242" spans="1:45" ht="17.25" thickBot="1" x14ac:dyDescent="0.3">
      <c r="A1242" s="467"/>
      <c r="B1242" s="372"/>
      <c r="C1242" s="373">
        <v>1146020</v>
      </c>
      <c r="D1242" s="374" t="s">
        <v>402</v>
      </c>
      <c r="E1242" s="375"/>
      <c r="F1242" s="376">
        <f>G1277-AK1242+AL1242</f>
        <v>1</v>
      </c>
      <c r="G1242" s="377">
        <v>1</v>
      </c>
      <c r="H1242" s="397">
        <v>1</v>
      </c>
      <c r="I1242" s="377">
        <v>1</v>
      </c>
      <c r="J1242" s="377"/>
      <c r="K1242" s="377"/>
      <c r="L1242" s="377"/>
      <c r="M1242" s="377"/>
      <c r="N1242" s="377"/>
      <c r="O1242" s="377"/>
      <c r="P1242" s="377"/>
      <c r="Q1242" s="377"/>
      <c r="R1242" s="377"/>
      <c r="S1242" s="377"/>
      <c r="T1242" s="377"/>
      <c r="U1242" s="377"/>
      <c r="V1242" s="377"/>
      <c r="W1242" s="377"/>
      <c r="X1242" s="377"/>
      <c r="Y1242" s="377"/>
      <c r="Z1242" s="377"/>
      <c r="AA1242" s="377"/>
      <c r="AB1242" s="377"/>
      <c r="AC1242" s="377"/>
      <c r="AD1242" s="377"/>
      <c r="AE1242" s="377"/>
      <c r="AF1242" s="377"/>
      <c r="AG1242" s="377"/>
      <c r="AH1242" s="377"/>
      <c r="AI1242" s="377"/>
      <c r="AJ1242" s="377"/>
      <c r="AK1242" s="377">
        <f>G1277+AL1242-G1242</f>
        <v>0</v>
      </c>
      <c r="AL1242" s="377"/>
      <c r="AM1242" s="378"/>
      <c r="AN1242" s="379"/>
      <c r="AO1242" s="380"/>
      <c r="AP1242" s="378"/>
      <c r="AQ1242" s="381"/>
      <c r="AR1242" s="381"/>
      <c r="AS1242" s="381"/>
    </row>
    <row r="1243" spans="1:45" ht="17.25" thickBot="1" x14ac:dyDescent="0.3">
      <c r="A1243" s="467"/>
      <c r="B1243" s="372"/>
      <c r="C1243" s="373">
        <v>1146016</v>
      </c>
      <c r="D1243" s="374" t="s">
        <v>398</v>
      </c>
      <c r="E1243" s="375"/>
      <c r="F1243" s="376">
        <f>G1278-AK1243+AL1243</f>
        <v>6</v>
      </c>
      <c r="G1243" s="377">
        <v>6</v>
      </c>
      <c r="H1243" s="397">
        <v>6</v>
      </c>
      <c r="I1243" s="377">
        <v>6</v>
      </c>
      <c r="J1243" s="377"/>
      <c r="K1243" s="377">
        <v>2</v>
      </c>
      <c r="L1243" s="377"/>
      <c r="M1243" s="377"/>
      <c r="N1243" s="377"/>
      <c r="O1243" s="377"/>
      <c r="P1243" s="377"/>
      <c r="Q1243" s="377"/>
      <c r="R1243" s="377"/>
      <c r="S1243" s="377"/>
      <c r="T1243" s="377"/>
      <c r="U1243" s="377"/>
      <c r="V1243" s="377"/>
      <c r="W1243" s="377"/>
      <c r="X1243" s="377"/>
      <c r="Y1243" s="377"/>
      <c r="Z1243" s="377"/>
      <c r="AA1243" s="377"/>
      <c r="AB1243" s="377"/>
      <c r="AC1243" s="377"/>
      <c r="AD1243" s="377"/>
      <c r="AE1243" s="377"/>
      <c r="AF1243" s="377"/>
      <c r="AG1243" s="377"/>
      <c r="AH1243" s="377"/>
      <c r="AI1243" s="377"/>
      <c r="AJ1243" s="377"/>
      <c r="AK1243" s="377">
        <f>G1278+AL1243-G1243</f>
        <v>0</v>
      </c>
      <c r="AL1243" s="377"/>
      <c r="AM1243" s="378"/>
      <c r="AN1243" s="379"/>
      <c r="AO1243" s="380"/>
      <c r="AP1243" s="378"/>
      <c r="AQ1243" s="381"/>
      <c r="AR1243" s="381"/>
      <c r="AS1243" s="381"/>
    </row>
    <row r="1244" spans="1:45" ht="17.25" thickBot="1" x14ac:dyDescent="0.3">
      <c r="A1244" s="467"/>
      <c r="B1244" s="372"/>
      <c r="C1244" s="373">
        <v>1146022</v>
      </c>
      <c r="D1244" s="374" t="s">
        <v>403</v>
      </c>
      <c r="E1244" s="375"/>
      <c r="F1244" s="376">
        <f>G1279-AK1244+AL1244</f>
        <v>0</v>
      </c>
      <c r="G1244" s="377">
        <v>0</v>
      </c>
      <c r="H1244" s="397">
        <v>0</v>
      </c>
      <c r="I1244" s="377">
        <v>1</v>
      </c>
      <c r="J1244" s="377"/>
      <c r="K1244" s="377"/>
      <c r="L1244" s="377"/>
      <c r="M1244" s="377"/>
      <c r="N1244" s="377"/>
      <c r="O1244" s="377"/>
      <c r="P1244" s="377"/>
      <c r="Q1244" s="377"/>
      <c r="R1244" s="377"/>
      <c r="S1244" s="377"/>
      <c r="T1244" s="377"/>
      <c r="U1244" s="377"/>
      <c r="V1244" s="377"/>
      <c r="W1244" s="377"/>
      <c r="X1244" s="377"/>
      <c r="Y1244" s="377"/>
      <c r="Z1244" s="377"/>
      <c r="AA1244" s="377"/>
      <c r="AB1244" s="377"/>
      <c r="AC1244" s="377"/>
      <c r="AD1244" s="377"/>
      <c r="AE1244" s="377"/>
      <c r="AF1244" s="377"/>
      <c r="AG1244" s="377"/>
      <c r="AH1244" s="377"/>
      <c r="AI1244" s="377"/>
      <c r="AJ1244" s="377"/>
      <c r="AK1244" s="377">
        <f>G1279+AL1244-G1244</f>
        <v>0</v>
      </c>
      <c r="AL1244" s="377"/>
      <c r="AM1244" s="378"/>
      <c r="AN1244" s="379"/>
      <c r="AO1244" s="380"/>
      <c r="AP1244" s="378"/>
      <c r="AQ1244" s="381"/>
      <c r="AR1244" s="381"/>
      <c r="AS1244" s="381"/>
    </row>
    <row r="1245" spans="1:45" ht="17.25" thickBot="1" x14ac:dyDescent="0.3">
      <c r="A1245" s="467"/>
      <c r="B1245" s="372"/>
      <c r="C1245" s="373">
        <v>1146027</v>
      </c>
      <c r="D1245" s="374" t="s">
        <v>404</v>
      </c>
      <c r="E1245" s="375"/>
      <c r="F1245" s="376">
        <f>G1280-AK1245+AL1245</f>
        <v>2</v>
      </c>
      <c r="G1245" s="377">
        <v>2</v>
      </c>
      <c r="H1245" s="397">
        <v>2</v>
      </c>
      <c r="I1245" s="377">
        <v>3</v>
      </c>
      <c r="J1245" s="377"/>
      <c r="K1245" s="377">
        <v>1</v>
      </c>
      <c r="L1245" s="377"/>
      <c r="M1245" s="377"/>
      <c r="N1245" s="377"/>
      <c r="O1245" s="377"/>
      <c r="P1245" s="377"/>
      <c r="Q1245" s="377"/>
      <c r="R1245" s="377"/>
      <c r="S1245" s="377"/>
      <c r="T1245" s="377"/>
      <c r="U1245" s="377"/>
      <c r="V1245" s="377"/>
      <c r="W1245" s="377"/>
      <c r="X1245" s="377"/>
      <c r="Y1245" s="377"/>
      <c r="Z1245" s="377"/>
      <c r="AA1245" s="377"/>
      <c r="AB1245" s="377"/>
      <c r="AC1245" s="377"/>
      <c r="AD1245" s="377"/>
      <c r="AE1245" s="377"/>
      <c r="AF1245" s="377"/>
      <c r="AG1245" s="377"/>
      <c r="AH1245" s="377"/>
      <c r="AI1245" s="377"/>
      <c r="AJ1245" s="377"/>
      <c r="AK1245" s="377">
        <f>G1280+AL1245-G1245</f>
        <v>0</v>
      </c>
      <c r="AL1245" s="377"/>
      <c r="AM1245" s="378"/>
      <c r="AN1245" s="379"/>
      <c r="AO1245" s="380"/>
      <c r="AP1245" s="378"/>
      <c r="AQ1245" s="381"/>
      <c r="AR1245" s="381"/>
      <c r="AS1245" s="381"/>
    </row>
    <row r="1246" spans="1:45" ht="17.25" thickBot="1" x14ac:dyDescent="0.3">
      <c r="A1246" s="467"/>
      <c r="B1246" s="355" t="s">
        <v>418</v>
      </c>
      <c r="C1246" s="356"/>
      <c r="D1246" s="356"/>
      <c r="E1246" s="359"/>
      <c r="F1246" s="359"/>
      <c r="G1246" s="356"/>
      <c r="H1246" s="396"/>
      <c r="I1246" s="356"/>
      <c r="J1246" s="356"/>
      <c r="K1246" s="356"/>
      <c r="L1246" s="356"/>
      <c r="M1246" s="356"/>
      <c r="N1246" s="356"/>
      <c r="O1246" s="356"/>
      <c r="P1246" s="356"/>
      <c r="Q1246" s="356"/>
      <c r="R1246" s="356"/>
      <c r="S1246" s="356"/>
      <c r="T1246" s="356"/>
      <c r="U1246" s="356"/>
      <c r="V1246" s="356"/>
      <c r="W1246" s="356"/>
      <c r="X1246" s="356"/>
      <c r="Y1246" s="356"/>
      <c r="Z1246" s="356"/>
      <c r="AA1246" s="356"/>
      <c r="AB1246" s="356"/>
      <c r="AC1246" s="356"/>
      <c r="AD1246" s="356"/>
      <c r="AE1246" s="356"/>
      <c r="AF1246" s="356"/>
      <c r="AG1246" s="356"/>
      <c r="AH1246" s="356"/>
      <c r="AI1246" s="356"/>
      <c r="AJ1246" s="356"/>
      <c r="AK1246" s="356"/>
      <c r="AL1246" s="356"/>
      <c r="AM1246" s="356"/>
      <c r="AN1246" s="356"/>
      <c r="AO1246" s="356"/>
      <c r="AP1246" s="356"/>
      <c r="AQ1246" s="356"/>
      <c r="AR1246" s="356"/>
      <c r="AS1246" s="357"/>
    </row>
    <row r="1247" spans="1:45" ht="17.25" thickBot="1" x14ac:dyDescent="0.3">
      <c r="A1247" s="467"/>
      <c r="B1247" s="354"/>
      <c r="C1247" s="285">
        <v>1151653</v>
      </c>
      <c r="D1247" s="358" t="s">
        <v>405</v>
      </c>
      <c r="E1247" s="360"/>
      <c r="F1247" s="361">
        <f>G1282-AK1247+AL1247</f>
        <v>0</v>
      </c>
      <c r="G1247" s="364">
        <v>0</v>
      </c>
      <c r="H1247" s="397">
        <v>0</v>
      </c>
      <c r="I1247" s="364">
        <v>1</v>
      </c>
      <c r="J1247" s="364"/>
      <c r="K1247" s="364"/>
      <c r="L1247" s="218"/>
      <c r="M1247" s="218"/>
      <c r="N1247" s="218"/>
      <c r="O1247" s="218"/>
      <c r="P1247" s="352"/>
      <c r="Q1247" s="352"/>
      <c r="R1247" s="352"/>
      <c r="S1247" s="352"/>
      <c r="T1247" s="352"/>
      <c r="U1247" s="352"/>
      <c r="V1247" s="218"/>
      <c r="W1247" s="218"/>
      <c r="X1247" s="218"/>
      <c r="Y1247" s="218"/>
      <c r="Z1247" s="218"/>
      <c r="AA1247" s="218"/>
      <c r="AB1247" s="218"/>
      <c r="AC1247" s="218"/>
      <c r="AD1247" s="218"/>
      <c r="AE1247" s="218"/>
      <c r="AF1247" s="218"/>
      <c r="AG1247" s="218"/>
      <c r="AH1247" s="218"/>
      <c r="AI1247" s="218"/>
      <c r="AJ1247" s="218"/>
      <c r="AK1247" s="218">
        <f>G1282+AL1247-G1247</f>
        <v>0</v>
      </c>
      <c r="AL1247" s="218"/>
      <c r="AM1247" s="353"/>
      <c r="AN1247" s="295"/>
      <c r="AO1247" s="296"/>
      <c r="AP1247" s="353"/>
      <c r="AQ1247" s="290"/>
      <c r="AR1247" s="290"/>
      <c r="AS1247" s="290"/>
    </row>
    <row r="1248" spans="1:45" ht="17.25" thickBot="1" x14ac:dyDescent="0.3">
      <c r="A1248" s="467"/>
      <c r="B1248" s="354"/>
      <c r="C1248" s="285">
        <v>1151650</v>
      </c>
      <c r="D1248" s="358" t="s">
        <v>406</v>
      </c>
      <c r="E1248" s="360"/>
      <c r="F1248" s="361">
        <f>G1283-AK1248+AL1248</f>
        <v>1</v>
      </c>
      <c r="G1248" s="364">
        <v>1</v>
      </c>
      <c r="H1248" s="397">
        <v>1</v>
      </c>
      <c r="I1248" s="364">
        <v>1</v>
      </c>
      <c r="J1248" s="364"/>
      <c r="K1248" s="364">
        <v>5</v>
      </c>
      <c r="L1248" s="218"/>
      <c r="M1248" s="218"/>
      <c r="N1248" s="218"/>
      <c r="O1248" s="218"/>
      <c r="P1248" s="352"/>
      <c r="Q1248" s="352"/>
      <c r="R1248" s="352"/>
      <c r="S1248" s="352"/>
      <c r="T1248" s="352"/>
      <c r="U1248" s="352"/>
      <c r="V1248" s="218"/>
      <c r="W1248" s="218"/>
      <c r="X1248" s="218"/>
      <c r="Y1248" s="218"/>
      <c r="Z1248" s="218"/>
      <c r="AA1248" s="218"/>
      <c r="AB1248" s="218"/>
      <c r="AC1248" s="218"/>
      <c r="AD1248" s="218"/>
      <c r="AE1248" s="218"/>
      <c r="AF1248" s="218"/>
      <c r="AG1248" s="218"/>
      <c r="AH1248" s="218"/>
      <c r="AI1248" s="218"/>
      <c r="AJ1248" s="218"/>
      <c r="AK1248" s="218">
        <f>G1283+AL1248-G1248</f>
        <v>0</v>
      </c>
      <c r="AL1248" s="218"/>
      <c r="AM1248" s="353"/>
      <c r="AN1248" s="295"/>
      <c r="AO1248" s="296"/>
      <c r="AP1248" s="353"/>
      <c r="AQ1248" s="290"/>
      <c r="AR1248" s="290"/>
      <c r="AS1248" s="290"/>
    </row>
    <row r="1249" spans="1:45" ht="17.25" thickBot="1" x14ac:dyDescent="0.3">
      <c r="A1249" s="467"/>
      <c r="B1249" s="354"/>
      <c r="C1249" s="285">
        <v>1151649</v>
      </c>
      <c r="D1249" s="358" t="s">
        <v>407</v>
      </c>
      <c r="E1249" s="360"/>
      <c r="F1249" s="361">
        <f>G1284-AK1249+AL1249</f>
        <v>2</v>
      </c>
      <c r="G1249" s="364">
        <v>2</v>
      </c>
      <c r="H1249" s="397">
        <v>2</v>
      </c>
      <c r="I1249" s="364">
        <v>2</v>
      </c>
      <c r="J1249" s="364"/>
      <c r="K1249" s="364">
        <v>2</v>
      </c>
      <c r="L1249" s="218"/>
      <c r="M1249" s="218"/>
      <c r="N1249" s="218"/>
      <c r="O1249" s="218"/>
      <c r="P1249" s="352"/>
      <c r="Q1249" s="352"/>
      <c r="R1249" s="352"/>
      <c r="S1249" s="352"/>
      <c r="T1249" s="352"/>
      <c r="U1249" s="352"/>
      <c r="V1249" s="218"/>
      <c r="W1249" s="218"/>
      <c r="X1249" s="218"/>
      <c r="Y1249" s="218"/>
      <c r="Z1249" s="218"/>
      <c r="AA1249" s="218"/>
      <c r="AB1249" s="218"/>
      <c r="AC1249" s="218"/>
      <c r="AD1249" s="218"/>
      <c r="AE1249" s="218"/>
      <c r="AF1249" s="218"/>
      <c r="AG1249" s="218"/>
      <c r="AH1249" s="218"/>
      <c r="AI1249" s="218"/>
      <c r="AJ1249" s="218"/>
      <c r="AK1249" s="218">
        <f>G1284+AL1249-G1249</f>
        <v>0</v>
      </c>
      <c r="AL1249" s="218"/>
      <c r="AM1249" s="353"/>
      <c r="AN1249" s="295"/>
      <c r="AO1249" s="296"/>
      <c r="AP1249" s="353"/>
      <c r="AQ1249" s="290"/>
      <c r="AR1249" s="290"/>
      <c r="AS1249" s="290"/>
    </row>
    <row r="1250" spans="1:45" ht="17.25" thickBot="1" x14ac:dyDescent="0.3">
      <c r="A1250" s="467"/>
      <c r="B1250" s="354"/>
      <c r="C1250" s="285">
        <v>1151651</v>
      </c>
      <c r="D1250" s="358" t="s">
        <v>408</v>
      </c>
      <c r="E1250" s="360"/>
      <c r="F1250" s="361">
        <f>G1285-AK1250+AL1250</f>
        <v>0</v>
      </c>
      <c r="G1250" s="364">
        <v>0</v>
      </c>
      <c r="H1250" s="397">
        <v>0</v>
      </c>
      <c r="I1250" s="364">
        <v>0</v>
      </c>
      <c r="J1250" s="364"/>
      <c r="K1250" s="364">
        <v>1</v>
      </c>
      <c r="L1250" s="218"/>
      <c r="M1250" s="218"/>
      <c r="N1250" s="218"/>
      <c r="O1250" s="218"/>
      <c r="P1250" s="352"/>
      <c r="Q1250" s="352"/>
      <c r="R1250" s="352"/>
      <c r="S1250" s="352"/>
      <c r="T1250" s="352"/>
      <c r="U1250" s="352"/>
      <c r="V1250" s="218"/>
      <c r="W1250" s="218"/>
      <c r="X1250" s="218"/>
      <c r="Y1250" s="218"/>
      <c r="Z1250" s="218">
        <v>2</v>
      </c>
      <c r="AA1250" s="218"/>
      <c r="AB1250" s="218"/>
      <c r="AC1250" s="218"/>
      <c r="AD1250" s="218"/>
      <c r="AE1250" s="218"/>
      <c r="AF1250" s="218"/>
      <c r="AG1250" s="218"/>
      <c r="AH1250" s="218"/>
      <c r="AI1250" s="218"/>
      <c r="AJ1250" s="218"/>
      <c r="AK1250" s="218">
        <f>G1285+AL1250-G1250</f>
        <v>0</v>
      </c>
      <c r="AL1250" s="218"/>
      <c r="AM1250" s="353"/>
      <c r="AN1250" s="295"/>
      <c r="AO1250" s="296"/>
      <c r="AP1250" s="353"/>
      <c r="AQ1250" s="290"/>
      <c r="AR1250" s="290"/>
      <c r="AS1250" s="290"/>
    </row>
    <row r="1251" spans="1:45" ht="17.25" thickBot="1" x14ac:dyDescent="0.3">
      <c r="A1251" s="467"/>
      <c r="B1251" s="354"/>
      <c r="C1251" s="285">
        <v>1146029</v>
      </c>
      <c r="D1251" s="358" t="s">
        <v>409</v>
      </c>
      <c r="E1251" s="360"/>
      <c r="F1251" s="361">
        <f>G1286-AK1251+AL1251</f>
        <v>0</v>
      </c>
      <c r="G1251" s="364">
        <v>0</v>
      </c>
      <c r="H1251" s="397">
        <v>1</v>
      </c>
      <c r="I1251" s="364">
        <v>0</v>
      </c>
      <c r="J1251" s="364"/>
      <c r="K1251" s="364">
        <v>1</v>
      </c>
      <c r="L1251" s="218"/>
      <c r="M1251" s="218"/>
      <c r="N1251" s="218"/>
      <c r="O1251" s="218"/>
      <c r="P1251" s="352"/>
      <c r="Q1251" s="352"/>
      <c r="R1251" s="352"/>
      <c r="S1251" s="352"/>
      <c r="T1251" s="352"/>
      <c r="U1251" s="352"/>
      <c r="V1251" s="218"/>
      <c r="W1251" s="218"/>
      <c r="X1251" s="218"/>
      <c r="Y1251" s="218"/>
      <c r="Z1251" s="218"/>
      <c r="AA1251" s="218"/>
      <c r="AB1251" s="218"/>
      <c r="AC1251" s="218"/>
      <c r="AD1251" s="218"/>
      <c r="AE1251" s="218"/>
      <c r="AF1251" s="218"/>
      <c r="AG1251" s="218"/>
      <c r="AH1251" s="218"/>
      <c r="AI1251" s="218"/>
      <c r="AJ1251" s="218"/>
      <c r="AK1251" s="218">
        <f>G1286+AL1251-G1251</f>
        <v>0</v>
      </c>
      <c r="AL1251" s="218"/>
      <c r="AM1251" s="353"/>
      <c r="AN1251" s="295"/>
      <c r="AO1251" s="296"/>
      <c r="AP1251" s="353"/>
      <c r="AQ1251" s="290"/>
      <c r="AR1251" s="290"/>
      <c r="AS1251" s="290"/>
    </row>
    <row r="1252" spans="1:45" ht="17.25" thickBot="1" x14ac:dyDescent="0.3">
      <c r="A1252" s="467"/>
      <c r="B1252" s="355" t="s">
        <v>410</v>
      </c>
      <c r="C1252" s="356"/>
      <c r="D1252" s="356"/>
      <c r="E1252" s="359"/>
      <c r="F1252" s="359"/>
      <c r="G1252" s="356"/>
      <c r="H1252" s="396"/>
      <c r="I1252" s="356"/>
      <c r="J1252" s="356"/>
      <c r="K1252" s="356"/>
      <c r="L1252" s="356"/>
      <c r="M1252" s="356"/>
      <c r="N1252" s="356"/>
      <c r="O1252" s="356"/>
      <c r="P1252" s="356"/>
      <c r="Q1252" s="356"/>
      <c r="R1252" s="356"/>
      <c r="S1252" s="356"/>
      <c r="T1252" s="356"/>
      <c r="U1252" s="356"/>
      <c r="V1252" s="356"/>
      <c r="W1252" s="356"/>
      <c r="X1252" s="356"/>
      <c r="Y1252" s="356"/>
      <c r="Z1252" s="356"/>
      <c r="AA1252" s="356"/>
      <c r="AB1252" s="356"/>
      <c r="AC1252" s="356"/>
      <c r="AD1252" s="356"/>
      <c r="AE1252" s="356"/>
      <c r="AF1252" s="356"/>
      <c r="AG1252" s="356"/>
      <c r="AH1252" s="356"/>
      <c r="AI1252" s="356"/>
      <c r="AJ1252" s="356"/>
      <c r="AK1252" s="356"/>
      <c r="AL1252" s="356"/>
      <c r="AM1252" s="356"/>
      <c r="AN1252" s="356"/>
      <c r="AO1252" s="356"/>
      <c r="AP1252" s="356"/>
      <c r="AQ1252" s="356"/>
      <c r="AR1252" s="356"/>
      <c r="AS1252" s="357"/>
    </row>
    <row r="1253" spans="1:45" ht="17.25" thickBot="1" x14ac:dyDescent="0.3">
      <c r="A1253" s="467"/>
      <c r="B1253" s="354"/>
      <c r="C1253" s="285">
        <v>1699118</v>
      </c>
      <c r="D1253" s="358" t="s">
        <v>411</v>
      </c>
      <c r="E1253" s="360"/>
      <c r="F1253" s="361">
        <f>G1288-AK1253+AL1253</f>
        <v>0</v>
      </c>
      <c r="G1253" s="364">
        <v>0</v>
      </c>
      <c r="H1253" s="397">
        <v>0</v>
      </c>
      <c r="I1253" s="364">
        <v>0</v>
      </c>
      <c r="J1253" s="364"/>
      <c r="K1253" s="364"/>
      <c r="L1253" s="218"/>
      <c r="M1253" s="218"/>
      <c r="N1253" s="218"/>
      <c r="O1253" s="218"/>
      <c r="P1253" s="352"/>
      <c r="Q1253" s="352"/>
      <c r="R1253" s="352"/>
      <c r="S1253" s="352"/>
      <c r="T1253" s="352"/>
      <c r="U1253" s="352"/>
      <c r="V1253" s="218"/>
      <c r="W1253" s="218"/>
      <c r="X1253" s="218"/>
      <c r="Y1253" s="218"/>
      <c r="Z1253" s="218"/>
      <c r="AA1253" s="218"/>
      <c r="AB1253" s="218"/>
      <c r="AC1253" s="218"/>
      <c r="AD1253" s="218"/>
      <c r="AE1253" s="218"/>
      <c r="AF1253" s="218"/>
      <c r="AG1253" s="218"/>
      <c r="AH1253" s="218"/>
      <c r="AI1253" s="218"/>
      <c r="AJ1253" s="218"/>
      <c r="AK1253" s="218">
        <f>G1288+AL1253-G1253</f>
        <v>0</v>
      </c>
      <c r="AL1253" s="218"/>
      <c r="AM1253" s="353"/>
      <c r="AN1253" s="295"/>
      <c r="AO1253" s="296"/>
      <c r="AP1253" s="353"/>
      <c r="AQ1253" s="290"/>
      <c r="AR1253" s="290"/>
      <c r="AS1253" s="290"/>
    </row>
    <row r="1254" spans="1:45" ht="17.25" thickBot="1" x14ac:dyDescent="0.3">
      <c r="A1254" s="467"/>
      <c r="B1254" s="354"/>
      <c r="C1254" s="285">
        <v>1699119</v>
      </c>
      <c r="D1254" s="358" t="s">
        <v>412</v>
      </c>
      <c r="E1254" s="360"/>
      <c r="F1254" s="361">
        <f>G1289-AK1254+AL1254</f>
        <v>0</v>
      </c>
      <c r="G1254" s="364">
        <v>0</v>
      </c>
      <c r="H1254" s="397">
        <v>0</v>
      </c>
      <c r="I1254" s="364">
        <v>0</v>
      </c>
      <c r="J1254" s="364"/>
      <c r="K1254" s="364"/>
      <c r="L1254" s="218"/>
      <c r="M1254" s="218"/>
      <c r="N1254" s="218"/>
      <c r="O1254" s="218"/>
      <c r="P1254" s="352"/>
      <c r="Q1254" s="352"/>
      <c r="R1254" s="352"/>
      <c r="S1254" s="352"/>
      <c r="T1254" s="352"/>
      <c r="U1254" s="352"/>
      <c r="V1254" s="218"/>
      <c r="W1254" s="218"/>
      <c r="X1254" s="218"/>
      <c r="Y1254" s="218"/>
      <c r="Z1254" s="218"/>
      <c r="AA1254" s="218"/>
      <c r="AB1254" s="218"/>
      <c r="AC1254" s="218"/>
      <c r="AD1254" s="218"/>
      <c r="AE1254" s="218"/>
      <c r="AF1254" s="218"/>
      <c r="AG1254" s="218"/>
      <c r="AH1254" s="218"/>
      <c r="AI1254" s="218"/>
      <c r="AJ1254" s="218"/>
      <c r="AK1254" s="218">
        <f>G1289+AL1254-G1254</f>
        <v>0</v>
      </c>
      <c r="AL1254" s="218"/>
      <c r="AM1254" s="353"/>
      <c r="AN1254" s="295"/>
      <c r="AO1254" s="296"/>
      <c r="AP1254" s="353"/>
      <c r="AQ1254" s="290"/>
      <c r="AR1254" s="290"/>
      <c r="AS1254" s="290"/>
    </row>
    <row r="1255" spans="1:45" ht="17.25" thickBot="1" x14ac:dyDescent="0.3">
      <c r="A1255" s="467"/>
      <c r="B1255" s="354"/>
      <c r="C1255" s="285">
        <v>1699130</v>
      </c>
      <c r="D1255" s="358" t="s">
        <v>413</v>
      </c>
      <c r="E1255" s="360"/>
      <c r="F1255" s="361">
        <f>G1290-AK1255+AL1255</f>
        <v>0</v>
      </c>
      <c r="G1255" s="364">
        <v>0</v>
      </c>
      <c r="H1255" s="397">
        <v>0</v>
      </c>
      <c r="I1255" s="364">
        <v>0</v>
      </c>
      <c r="J1255" s="364"/>
      <c r="K1255" s="364"/>
      <c r="L1255" s="218"/>
      <c r="M1255" s="218"/>
      <c r="N1255" s="218"/>
      <c r="O1255" s="218"/>
      <c r="P1255" s="352"/>
      <c r="Q1255" s="352"/>
      <c r="R1255" s="352"/>
      <c r="S1255" s="352"/>
      <c r="T1255" s="352"/>
      <c r="U1255" s="352"/>
      <c r="V1255" s="218"/>
      <c r="W1255" s="218"/>
      <c r="X1255" s="218"/>
      <c r="Y1255" s="218"/>
      <c r="Z1255" s="218"/>
      <c r="AA1255" s="218"/>
      <c r="AB1255" s="218"/>
      <c r="AC1255" s="218"/>
      <c r="AD1255" s="218"/>
      <c r="AE1255" s="218"/>
      <c r="AF1255" s="218"/>
      <c r="AG1255" s="218"/>
      <c r="AH1255" s="218"/>
      <c r="AI1255" s="218"/>
      <c r="AJ1255" s="218"/>
      <c r="AK1255" s="218">
        <f>G1290+AL1255-G1255</f>
        <v>0</v>
      </c>
      <c r="AL1255" s="218"/>
      <c r="AM1255" s="353"/>
      <c r="AN1255" s="295"/>
      <c r="AO1255" s="296"/>
      <c r="AP1255" s="353"/>
      <c r="AQ1255" s="290"/>
      <c r="AR1255" s="290"/>
      <c r="AS1255" s="290"/>
    </row>
    <row r="1256" spans="1:45" ht="17.25" thickBot="1" x14ac:dyDescent="0.3">
      <c r="A1256" s="467"/>
      <c r="B1256" s="354"/>
      <c r="C1256" s="285">
        <v>1699131</v>
      </c>
      <c r="D1256" s="358" t="s">
        <v>414</v>
      </c>
      <c r="E1256" s="360"/>
      <c r="F1256" s="361">
        <f>G1291-AK1256+AL1256</f>
        <v>0</v>
      </c>
      <c r="G1256" s="364">
        <v>0</v>
      </c>
      <c r="H1256" s="397">
        <v>0</v>
      </c>
      <c r="I1256" s="364">
        <v>2</v>
      </c>
      <c r="J1256" s="364"/>
      <c r="K1256" s="364"/>
      <c r="L1256" s="218"/>
      <c r="M1256" s="218"/>
      <c r="N1256" s="218"/>
      <c r="O1256" s="218"/>
      <c r="P1256" s="352"/>
      <c r="Q1256" s="352"/>
      <c r="R1256" s="352"/>
      <c r="S1256" s="352"/>
      <c r="T1256" s="352"/>
      <c r="U1256" s="352"/>
      <c r="V1256" s="218"/>
      <c r="W1256" s="218"/>
      <c r="X1256" s="218"/>
      <c r="Y1256" s="218"/>
      <c r="Z1256" s="218"/>
      <c r="AA1256" s="218"/>
      <c r="AB1256" s="218"/>
      <c r="AC1256" s="218"/>
      <c r="AD1256" s="218"/>
      <c r="AE1256" s="218"/>
      <c r="AF1256" s="218"/>
      <c r="AG1256" s="218"/>
      <c r="AH1256" s="218"/>
      <c r="AI1256" s="218"/>
      <c r="AJ1256" s="218"/>
      <c r="AK1256" s="218">
        <f>G1291+AL1256-G1256</f>
        <v>0</v>
      </c>
      <c r="AL1256" s="218"/>
      <c r="AM1256" s="353"/>
      <c r="AN1256" s="295"/>
      <c r="AO1256" s="296"/>
      <c r="AP1256" s="353"/>
      <c r="AQ1256" s="290"/>
      <c r="AR1256" s="290"/>
      <c r="AS1256" s="290"/>
    </row>
    <row r="1257" spans="1:45" ht="17.25" thickBot="1" x14ac:dyDescent="0.3">
      <c r="A1257" s="468"/>
      <c r="B1257" s="354"/>
      <c r="C1257" s="285">
        <v>1699132</v>
      </c>
      <c r="D1257" s="358" t="s">
        <v>415</v>
      </c>
      <c r="E1257" s="285"/>
      <c r="F1257" s="362">
        <f>G1292-AK1257+AL1257</f>
        <v>0</v>
      </c>
      <c r="G1257" s="364">
        <v>0</v>
      </c>
      <c r="H1257" s="397">
        <v>0</v>
      </c>
      <c r="I1257" s="364">
        <v>2</v>
      </c>
      <c r="J1257" s="364"/>
      <c r="K1257" s="364">
        <v>2</v>
      </c>
      <c r="L1257" s="218"/>
      <c r="M1257" s="218"/>
      <c r="N1257" s="218"/>
      <c r="O1257" s="218"/>
      <c r="P1257" s="352"/>
      <c r="Q1257" s="352"/>
      <c r="R1257" s="352"/>
      <c r="S1257" s="352"/>
      <c r="T1257" s="352"/>
      <c r="U1257" s="352"/>
      <c r="V1257" s="218"/>
      <c r="W1257" s="218"/>
      <c r="X1257" s="218"/>
      <c r="Y1257" s="218"/>
      <c r="Z1257" s="218"/>
      <c r="AA1257" s="218"/>
      <c r="AB1257" s="218"/>
      <c r="AC1257" s="218"/>
      <c r="AD1257" s="218"/>
      <c r="AE1257" s="218"/>
      <c r="AF1257" s="218"/>
      <c r="AG1257" s="218"/>
      <c r="AH1257" s="218"/>
      <c r="AI1257" s="218"/>
      <c r="AJ1257" s="218"/>
      <c r="AK1257" s="218">
        <f>G1292+AL1257-G1257</f>
        <v>0</v>
      </c>
      <c r="AL1257" s="218"/>
      <c r="AM1257" s="353"/>
      <c r="AN1257" s="295"/>
      <c r="AO1257" s="296"/>
      <c r="AP1257" s="353"/>
      <c r="AQ1257" s="290"/>
      <c r="AR1257" s="290"/>
      <c r="AS1257" s="290"/>
    </row>
    <row r="1258" spans="1:45" x14ac:dyDescent="0.25">
      <c r="AL1258" s="290"/>
      <c r="AM1258" s="290"/>
      <c r="AN1258" s="290"/>
      <c r="AO1258" s="290"/>
      <c r="AP1258" s="290"/>
      <c r="AQ1258" s="290"/>
      <c r="AR1258" s="290"/>
    </row>
    <row r="1259" spans="1:45" ht="14.25" thickBot="1" x14ac:dyDescent="0.3">
      <c r="B1259" s="338" t="s">
        <v>18</v>
      </c>
      <c r="C1259" s="339">
        <v>45600</v>
      </c>
      <c r="AL1259" s="290"/>
      <c r="AM1259" s="290"/>
      <c r="AN1259" s="290"/>
      <c r="AO1259" s="290"/>
      <c r="AP1259" s="290"/>
      <c r="AQ1259" s="290"/>
      <c r="AR1259" s="290"/>
    </row>
    <row r="1260" spans="1:45" ht="41.25" thickBot="1" x14ac:dyDescent="0.3">
      <c r="B1260" s="283" t="s">
        <v>0</v>
      </c>
      <c r="C1260" s="284" t="s">
        <v>1</v>
      </c>
      <c r="D1260" s="284" t="s">
        <v>2</v>
      </c>
      <c r="E1260" s="284" t="s">
        <v>3</v>
      </c>
      <c r="F1260" s="4" t="s">
        <v>318</v>
      </c>
      <c r="G1260" s="351" t="s">
        <v>477</v>
      </c>
      <c r="H1260" s="382" t="s">
        <v>460</v>
      </c>
      <c r="I1260" s="234" t="s">
        <v>478</v>
      </c>
      <c r="J1260" s="234"/>
      <c r="K1260" s="258" t="s">
        <v>476</v>
      </c>
      <c r="L1260" s="258" t="s">
        <v>328</v>
      </c>
      <c r="M1260" s="258" t="s">
        <v>327</v>
      </c>
      <c r="N1260" s="234" t="s">
        <v>389</v>
      </c>
      <c r="O1260" s="240" t="s">
        <v>130</v>
      </c>
      <c r="P1260" s="243" t="s">
        <v>303</v>
      </c>
      <c r="Q1260" s="244" t="s">
        <v>304</v>
      </c>
      <c r="R1260" s="244" t="s">
        <v>314</v>
      </c>
      <c r="S1260" s="245" t="s">
        <v>338</v>
      </c>
      <c r="T1260" s="245" t="s">
        <v>345</v>
      </c>
      <c r="U1260" s="245" t="s">
        <v>361</v>
      </c>
      <c r="V1260" s="245" t="s">
        <v>387</v>
      </c>
      <c r="W1260" s="245" t="s">
        <v>421</v>
      </c>
      <c r="X1260" s="245" t="s">
        <v>452</v>
      </c>
      <c r="Y1260" s="245" t="s">
        <v>463</v>
      </c>
      <c r="Z1260" s="245" t="s">
        <v>481</v>
      </c>
      <c r="AA1260" s="245"/>
      <c r="AB1260" s="245"/>
      <c r="AC1260" s="245"/>
      <c r="AD1260" s="245"/>
      <c r="AE1260" s="245"/>
      <c r="AF1260" s="245"/>
      <c r="AG1260" s="245"/>
      <c r="AH1260" s="245"/>
      <c r="AI1260" s="245"/>
      <c r="AJ1260" s="245" t="s">
        <v>360</v>
      </c>
      <c r="AK1260" s="246" t="s">
        <v>268</v>
      </c>
      <c r="AL1260" s="247" t="s">
        <v>269</v>
      </c>
      <c r="AM1260" s="291" t="s">
        <v>288</v>
      </c>
      <c r="AN1260" s="292" t="s">
        <v>289</v>
      </c>
      <c r="AO1260" s="292" t="s">
        <v>287</v>
      </c>
      <c r="AP1260" s="293" t="s">
        <v>290</v>
      </c>
      <c r="AQ1260" s="290" t="s">
        <v>306</v>
      </c>
      <c r="AR1260" s="290" t="s">
        <v>310</v>
      </c>
      <c r="AS1260" s="290" t="s">
        <v>311</v>
      </c>
    </row>
    <row r="1261" spans="1:45" ht="17.25" thickBot="1" x14ac:dyDescent="0.3">
      <c r="A1261" s="463" t="s">
        <v>416</v>
      </c>
      <c r="B1261" s="285">
        <v>273664</v>
      </c>
      <c r="C1261" s="286">
        <v>1135749</v>
      </c>
      <c r="D1261" s="286" t="s">
        <v>7</v>
      </c>
      <c r="E1261" s="286">
        <v>6060050026</v>
      </c>
      <c r="F1261" s="253">
        <f>G1296-AK1261+AL1261</f>
        <v>7</v>
      </c>
      <c r="G1261" s="235">
        <v>7</v>
      </c>
      <c r="H1261" s="394">
        <v>7</v>
      </c>
      <c r="I1261" s="232">
        <v>7</v>
      </c>
      <c r="J1261" s="232"/>
      <c r="K1261" s="232">
        <v>1</v>
      </c>
      <c r="L1261" s="232">
        <f>IF(K1295=K1260,L1296+AK1261,K1261)</f>
        <v>1</v>
      </c>
      <c r="M1261" s="232">
        <f>IF(K1295=K1260,0,L1296+AK1261-K1261)</f>
        <v>0</v>
      </c>
      <c r="N1261" s="267">
        <v>5</v>
      </c>
      <c r="O1261" s="241">
        <f>N1261-G1261</f>
        <v>-2</v>
      </c>
      <c r="P1261" s="277">
        <v>4</v>
      </c>
      <c r="Q1261" s="278">
        <v>4</v>
      </c>
      <c r="R1261" s="279"/>
      <c r="S1261" s="279">
        <v>3</v>
      </c>
      <c r="T1261" s="279">
        <v>4</v>
      </c>
      <c r="U1261" s="279">
        <v>2</v>
      </c>
      <c r="V1261" s="279"/>
      <c r="W1261" s="279">
        <f>2+3</f>
        <v>5</v>
      </c>
      <c r="X1261" s="241"/>
      <c r="Y1261" s="241"/>
      <c r="Z1261" s="241"/>
      <c r="AA1261" s="241"/>
      <c r="AB1261" s="241"/>
      <c r="AC1261" s="241"/>
      <c r="AD1261" s="241"/>
      <c r="AE1261" s="241"/>
      <c r="AF1261" s="241"/>
      <c r="AG1261" s="241"/>
      <c r="AH1261" s="241"/>
      <c r="AI1261" s="241"/>
      <c r="AJ1261" s="241">
        <f>N1261-V1261</f>
        <v>5</v>
      </c>
      <c r="AK1261" s="235">
        <f>G1296+AL1261-G1261</f>
        <v>0</v>
      </c>
      <c r="AL1261" s="350"/>
      <c r="AM1261" s="294">
        <v>1.5</v>
      </c>
      <c r="AN1261" s="295">
        <v>4</v>
      </c>
      <c r="AO1261" s="296">
        <f>G1261/(AN1261)</f>
        <v>1.75</v>
      </c>
      <c r="AP1261" s="297">
        <f>AN1261*6</f>
        <v>24</v>
      </c>
      <c r="AQ1261" s="290">
        <f>G1261+K1261</f>
        <v>8</v>
      </c>
      <c r="AR1261" s="290">
        <f>IF(G1261&lt;G1296,(G1296-G1261+K1296-K1261),K1296-K1261)</f>
        <v>0</v>
      </c>
      <c r="AS1261" s="290">
        <f>21-8</f>
        <v>13</v>
      </c>
    </row>
    <row r="1262" spans="1:45" ht="17.25" thickBot="1" x14ac:dyDescent="0.3">
      <c r="A1262" s="464"/>
      <c r="B1262" s="285">
        <v>273672</v>
      </c>
      <c r="C1262" s="286">
        <v>1135750</v>
      </c>
      <c r="D1262" s="286" t="s">
        <v>9</v>
      </c>
      <c r="E1262" s="287">
        <v>204000000000</v>
      </c>
      <c r="F1262" s="253">
        <f>G1297-AK1262+AL1262</f>
        <v>35</v>
      </c>
      <c r="G1262" s="235">
        <v>35</v>
      </c>
      <c r="H1262" s="394">
        <v>15</v>
      </c>
      <c r="I1262" s="232">
        <v>35</v>
      </c>
      <c r="J1262" s="232"/>
      <c r="K1262" s="232">
        <v>7</v>
      </c>
      <c r="L1262" s="232">
        <f>IF(K1295=K1260,L1297+AK1262,K1262)</f>
        <v>7</v>
      </c>
      <c r="M1262" s="232">
        <f>IF(K1295=K1260,0,L1297+AK1262-K1262)</f>
        <v>2</v>
      </c>
      <c r="N1262" s="267">
        <v>10</v>
      </c>
      <c r="O1262" s="241">
        <f>N1262-G1262</f>
        <v>-25</v>
      </c>
      <c r="P1262" s="277">
        <v>13</v>
      </c>
      <c r="Q1262" s="278">
        <v>2</v>
      </c>
      <c r="R1262" s="279">
        <v>6</v>
      </c>
      <c r="S1262" s="279">
        <v>6</v>
      </c>
      <c r="T1262" s="279">
        <v>10</v>
      </c>
      <c r="U1262" s="279">
        <v>4</v>
      </c>
      <c r="V1262" s="279">
        <v>6</v>
      </c>
      <c r="W1262" s="279">
        <v>16</v>
      </c>
      <c r="X1262" s="241"/>
      <c r="Y1262" s="241">
        <v>6</v>
      </c>
      <c r="Z1262" s="241"/>
      <c r="AA1262" s="241"/>
      <c r="AB1262" s="241"/>
      <c r="AC1262" s="241"/>
      <c r="AD1262" s="241"/>
      <c r="AE1262" s="241"/>
      <c r="AF1262" s="241"/>
      <c r="AG1262" s="241"/>
      <c r="AH1262" s="241"/>
      <c r="AI1262" s="241"/>
      <c r="AJ1262" s="241">
        <f>N1262-V1262</f>
        <v>4</v>
      </c>
      <c r="AK1262" s="235">
        <f>G1297+AL1262-G1262</f>
        <v>0</v>
      </c>
      <c r="AL1262" s="236"/>
      <c r="AM1262" s="298">
        <v>4.2</v>
      </c>
      <c r="AN1262" s="295">
        <v>9</v>
      </c>
      <c r="AO1262" s="296">
        <f>G1262/(AN1262)</f>
        <v>3.8888888888888888</v>
      </c>
      <c r="AP1262" s="297">
        <f>AN1262*6</f>
        <v>54</v>
      </c>
      <c r="AQ1262" s="290">
        <f>G1262+K1262</f>
        <v>42</v>
      </c>
      <c r="AR1262" s="290">
        <f>IF(G1262&lt;G1297,(G1297-G1262+K1297-K1262),K1297-K1262)</f>
        <v>2</v>
      </c>
      <c r="AS1262" s="290">
        <f>21-8</f>
        <v>13</v>
      </c>
    </row>
    <row r="1263" spans="1:45" ht="17.25" thickBot="1" x14ac:dyDescent="0.3">
      <c r="A1263" s="464"/>
      <c r="B1263" s="285">
        <v>273702</v>
      </c>
      <c r="C1263" s="286">
        <v>1135753</v>
      </c>
      <c r="D1263" s="286" t="s">
        <v>10</v>
      </c>
      <c r="E1263" s="287">
        <v>301000000000</v>
      </c>
      <c r="F1263" s="253">
        <f>G1298-AK1263+AL1263</f>
        <v>2</v>
      </c>
      <c r="G1263" s="235">
        <v>2</v>
      </c>
      <c r="H1263" s="394">
        <v>2</v>
      </c>
      <c r="I1263" s="232">
        <v>2</v>
      </c>
      <c r="J1263" s="232"/>
      <c r="K1263" s="232">
        <v>1</v>
      </c>
      <c r="L1263" s="232">
        <f>IF(K1295=K1260,L1298+AK1263,K1263)</f>
        <v>1</v>
      </c>
      <c r="M1263" s="232">
        <f>IF(K1295=K1260,0,L1298+AK1263-K1263)</f>
        <v>0</v>
      </c>
      <c r="N1263" s="232">
        <v>2</v>
      </c>
      <c r="O1263" s="241">
        <f>N1263-G1263</f>
        <v>0</v>
      </c>
      <c r="P1263" s="277"/>
      <c r="Q1263" s="278"/>
      <c r="R1263" s="279"/>
      <c r="S1263" s="279"/>
      <c r="T1263" s="279"/>
      <c r="U1263" s="279"/>
      <c r="V1263" s="279"/>
      <c r="W1263" s="279"/>
      <c r="X1263" s="241"/>
      <c r="Y1263" s="241"/>
      <c r="Z1263" s="241"/>
      <c r="AA1263" s="241"/>
      <c r="AB1263" s="241"/>
      <c r="AC1263" s="241"/>
      <c r="AD1263" s="241"/>
      <c r="AE1263" s="241"/>
      <c r="AF1263" s="241"/>
      <c r="AG1263" s="241"/>
      <c r="AH1263" s="241"/>
      <c r="AI1263" s="241"/>
      <c r="AJ1263" s="241">
        <f>N1263-V1263</f>
        <v>2</v>
      </c>
      <c r="AK1263" s="235">
        <f>G1298+AL1263-G1263</f>
        <v>0</v>
      </c>
      <c r="AL1263" s="236"/>
      <c r="AM1263" s="294">
        <f>4/12</f>
        <v>0.33333333333333331</v>
      </c>
      <c r="AN1263" s="295">
        <v>2</v>
      </c>
      <c r="AO1263" s="296">
        <f>G1263/(AN1263)</f>
        <v>1</v>
      </c>
      <c r="AP1263" s="297">
        <f>AN1263*6</f>
        <v>12</v>
      </c>
      <c r="AQ1263" s="290">
        <f>G1263+K1263</f>
        <v>3</v>
      </c>
      <c r="AR1263" s="290">
        <f>IF(G1263&lt;G1298,(G1298-G1263+K1298-K1263),K1298-K1263)</f>
        <v>0</v>
      </c>
      <c r="AS1263" s="290">
        <f>21-8</f>
        <v>13</v>
      </c>
    </row>
    <row r="1264" spans="1:45" ht="17.25" thickBot="1" x14ac:dyDescent="0.3">
      <c r="A1264" s="464"/>
      <c r="B1264" s="285">
        <v>273698</v>
      </c>
      <c r="C1264" s="286">
        <v>1135752</v>
      </c>
      <c r="D1264" s="286" t="s">
        <v>11</v>
      </c>
      <c r="E1264" s="287">
        <v>701000000000</v>
      </c>
      <c r="F1264" s="253">
        <f>G1299-AK1264+AL1264</f>
        <v>2</v>
      </c>
      <c r="G1264" s="235">
        <v>2</v>
      </c>
      <c r="H1264" s="394">
        <v>2</v>
      </c>
      <c r="I1264" s="232">
        <v>3</v>
      </c>
      <c r="J1264" s="232"/>
      <c r="K1264" s="232">
        <v>0</v>
      </c>
      <c r="L1264" s="232">
        <f>IF(K1295=K1260,L1299+AK1264,K1264)</f>
        <v>0</v>
      </c>
      <c r="M1264" s="232">
        <f>IF(K1295=K1260,0,L1299+AK1264-K1264)</f>
        <v>0</v>
      </c>
      <c r="N1264" s="232">
        <v>3</v>
      </c>
      <c r="O1264" s="241">
        <f>N1264-G1264</f>
        <v>1</v>
      </c>
      <c r="P1264" s="277">
        <v>2</v>
      </c>
      <c r="Q1264" s="278"/>
      <c r="R1264" s="279"/>
      <c r="S1264" s="279"/>
      <c r="T1264" s="279"/>
      <c r="U1264" s="279"/>
      <c r="V1264" s="279"/>
      <c r="W1264" s="279">
        <v>1</v>
      </c>
      <c r="X1264" s="241"/>
      <c r="Y1264" s="241"/>
      <c r="Z1264" s="241"/>
      <c r="AA1264" s="241"/>
      <c r="AB1264" s="241"/>
      <c r="AC1264" s="241"/>
      <c r="AD1264" s="241"/>
      <c r="AE1264" s="241"/>
      <c r="AF1264" s="241"/>
      <c r="AG1264" s="241"/>
      <c r="AH1264" s="241"/>
      <c r="AI1264" s="241"/>
      <c r="AJ1264" s="241">
        <f>N1264-V1264</f>
        <v>3</v>
      </c>
      <c r="AK1264" s="235">
        <f>G1299+AL1264-G1264</f>
        <v>0</v>
      </c>
      <c r="AL1264" s="236"/>
      <c r="AM1264" s="294">
        <f>4/12</f>
        <v>0.33333333333333331</v>
      </c>
      <c r="AN1264" s="295">
        <v>2</v>
      </c>
      <c r="AO1264" s="296">
        <f>G1264/(AN1264)</f>
        <v>1</v>
      </c>
      <c r="AP1264" s="297">
        <f>AN1264*6</f>
        <v>12</v>
      </c>
      <c r="AQ1264" s="290">
        <f>G1264+K1264</f>
        <v>2</v>
      </c>
      <c r="AR1264" s="290">
        <f>IF(G1264&lt;G1299,(G1299-G1264+K1299-K1264),K1299-K1264)</f>
        <v>0</v>
      </c>
      <c r="AS1264" s="290">
        <f>21-8</f>
        <v>13</v>
      </c>
    </row>
    <row r="1265" spans="1:45" ht="17.25" thickBot="1" x14ac:dyDescent="0.3">
      <c r="A1265" s="465"/>
      <c r="B1265" s="285">
        <v>273680</v>
      </c>
      <c r="C1265" s="286">
        <v>1135751</v>
      </c>
      <c r="D1265" s="286" t="s">
        <v>12</v>
      </c>
      <c r="E1265" s="286" t="s">
        <v>13</v>
      </c>
      <c r="F1265" s="254">
        <f>G1300-AK1265+AL1265</f>
        <v>5</v>
      </c>
      <c r="G1265" s="237">
        <v>5</v>
      </c>
      <c r="H1265" s="395">
        <v>5</v>
      </c>
      <c r="I1265" s="238">
        <v>5</v>
      </c>
      <c r="J1265" s="238"/>
      <c r="K1265" s="238">
        <v>11</v>
      </c>
      <c r="L1265" s="238">
        <f>IF(K1295=K1260,L1300+AK1265,K1265)</f>
        <v>11</v>
      </c>
      <c r="M1265" s="238">
        <f>IF(K1295=K1260,0,L1300+AK1265-K1265)</f>
        <v>0</v>
      </c>
      <c r="N1265" s="238">
        <v>9</v>
      </c>
      <c r="O1265" s="242">
        <f>N1265-G1265</f>
        <v>4</v>
      </c>
      <c r="P1265" s="280"/>
      <c r="Q1265" s="281"/>
      <c r="R1265" s="282"/>
      <c r="S1265" s="282"/>
      <c r="T1265" s="282">
        <v>11</v>
      </c>
      <c r="U1265" s="282"/>
      <c r="V1265" s="282"/>
      <c r="W1265" s="282">
        <v>9</v>
      </c>
      <c r="X1265" s="242"/>
      <c r="Y1265" s="242">
        <v>9</v>
      </c>
      <c r="Z1265" s="242"/>
      <c r="AA1265" s="242"/>
      <c r="AB1265" s="242"/>
      <c r="AC1265" s="242"/>
      <c r="AD1265" s="242"/>
      <c r="AE1265" s="242"/>
      <c r="AF1265" s="242"/>
      <c r="AG1265" s="242"/>
      <c r="AH1265" s="242"/>
      <c r="AI1265" s="242"/>
      <c r="AJ1265" s="242">
        <f>N1265-V1265</f>
        <v>9</v>
      </c>
      <c r="AK1265" s="235">
        <f>G1300+AL1265-G1265</f>
        <v>0</v>
      </c>
      <c r="AL1265" s="239"/>
      <c r="AM1265" s="299">
        <f>30/12</f>
        <v>2.5</v>
      </c>
      <c r="AN1265" s="300">
        <f>AM1265*2</f>
        <v>5</v>
      </c>
      <c r="AO1265" s="301">
        <f>G1265/(AN1265)</f>
        <v>1</v>
      </c>
      <c r="AP1265" s="302">
        <f>AN1265*6</f>
        <v>30</v>
      </c>
      <c r="AQ1265" s="290">
        <f>G1265+K1265</f>
        <v>16</v>
      </c>
      <c r="AR1265" s="290">
        <f>IF(G1265&lt;G1300,(G1300-G1265+K1300-K1265),K1300-K1265)</f>
        <v>0</v>
      </c>
      <c r="AS1265" s="290">
        <f>21-8</f>
        <v>13</v>
      </c>
    </row>
    <row r="1266" spans="1:45" ht="17.25" thickBot="1" x14ac:dyDescent="0.3">
      <c r="A1266" s="466" t="s">
        <v>417</v>
      </c>
      <c r="B1266" s="355" t="s">
        <v>129</v>
      </c>
      <c r="C1266" s="356"/>
      <c r="D1266" s="356"/>
      <c r="E1266" s="359"/>
      <c r="F1266" s="359"/>
      <c r="G1266" s="356"/>
      <c r="H1266" s="396"/>
      <c r="I1266" s="356"/>
      <c r="J1266" s="356"/>
      <c r="K1266" s="356"/>
      <c r="L1266" s="356"/>
      <c r="M1266" s="356"/>
      <c r="N1266" s="356"/>
      <c r="O1266" s="356"/>
      <c r="P1266" s="356"/>
      <c r="Q1266" s="356"/>
      <c r="R1266" s="356"/>
      <c r="S1266" s="356"/>
      <c r="T1266" s="356"/>
      <c r="U1266" s="356"/>
      <c r="V1266" s="356"/>
      <c r="W1266" s="356"/>
      <c r="X1266" s="356"/>
      <c r="Y1266" s="356"/>
      <c r="Z1266" s="356"/>
      <c r="AA1266" s="356"/>
      <c r="AB1266" s="356"/>
      <c r="AC1266" s="356"/>
      <c r="AD1266" s="356"/>
      <c r="AE1266" s="356"/>
      <c r="AF1266" s="356"/>
      <c r="AG1266" s="356"/>
      <c r="AH1266" s="356"/>
      <c r="AI1266" s="356"/>
      <c r="AJ1266" s="356"/>
      <c r="AK1266" s="356"/>
      <c r="AL1266" s="367"/>
      <c r="AM1266" s="356"/>
      <c r="AN1266" s="356"/>
      <c r="AO1266" s="356"/>
      <c r="AP1266" s="356"/>
      <c r="AQ1266" s="356"/>
      <c r="AR1266" s="356"/>
      <c r="AS1266" s="357"/>
    </row>
    <row r="1267" spans="1:45" ht="17.25" thickBot="1" x14ac:dyDescent="0.3">
      <c r="A1267" s="467"/>
      <c r="B1267" s="354"/>
      <c r="C1267" s="354">
        <v>1140327</v>
      </c>
      <c r="D1267" s="358" t="s">
        <v>394</v>
      </c>
      <c r="E1267" s="360"/>
      <c r="F1267" s="361">
        <f>G1302-AK1267+AL1267</f>
        <v>19</v>
      </c>
      <c r="G1267" s="218">
        <v>19</v>
      </c>
      <c r="H1267" s="397">
        <v>26</v>
      </c>
      <c r="I1267" s="218">
        <v>20</v>
      </c>
      <c r="J1267" s="218"/>
      <c r="K1267" s="218">
        <v>2</v>
      </c>
      <c r="L1267" s="218">
        <f>IF(K1295=K1260,L1302+AK1267,K1267)</f>
        <v>2</v>
      </c>
      <c r="M1267" s="218">
        <f>IF(K1295=K1260,0,L1302+AK1267-K1267)</f>
        <v>3</v>
      </c>
      <c r="N1267" s="218"/>
      <c r="O1267" s="218"/>
      <c r="P1267" s="352"/>
      <c r="Q1267" s="352"/>
      <c r="R1267" s="352"/>
      <c r="S1267" s="352"/>
      <c r="T1267" s="352"/>
      <c r="U1267" s="352"/>
      <c r="V1267" s="218"/>
      <c r="W1267" s="218"/>
      <c r="X1267" s="218">
        <v>4</v>
      </c>
      <c r="Y1267" s="218">
        <v>9</v>
      </c>
      <c r="Z1267" s="218">
        <v>4</v>
      </c>
      <c r="AA1267" s="218"/>
      <c r="AB1267" s="218"/>
      <c r="AC1267" s="218"/>
      <c r="AD1267" s="218"/>
      <c r="AE1267" s="218"/>
      <c r="AF1267" s="218"/>
      <c r="AG1267" s="218"/>
      <c r="AH1267" s="218"/>
      <c r="AI1267" s="218"/>
      <c r="AJ1267" s="242">
        <f>N1267-V1267</f>
        <v>0</v>
      </c>
      <c r="AK1267" s="274">
        <f>G1302+AL1267-G1267</f>
        <v>4</v>
      </c>
      <c r="AL1267" s="232"/>
      <c r="AM1267" s="353"/>
      <c r="AN1267" s="295"/>
      <c r="AO1267" s="296"/>
      <c r="AP1267" s="353"/>
      <c r="AQ1267" s="290"/>
      <c r="AR1267" s="290"/>
      <c r="AS1267" s="290"/>
    </row>
    <row r="1268" spans="1:45" ht="17.25" thickBot="1" x14ac:dyDescent="0.3">
      <c r="A1268" s="467"/>
      <c r="B1268" s="354"/>
      <c r="C1268" s="285">
        <v>1151231</v>
      </c>
      <c r="D1268" s="358" t="s">
        <v>395</v>
      </c>
      <c r="E1268" s="360"/>
      <c r="F1268" s="361">
        <f>G1303-AK1268+AL1268</f>
        <v>11</v>
      </c>
      <c r="G1268" s="369">
        <v>11</v>
      </c>
      <c r="H1268" s="397">
        <v>3</v>
      </c>
      <c r="I1268" s="218">
        <v>11</v>
      </c>
      <c r="J1268" s="218"/>
      <c r="K1268" s="218">
        <v>4</v>
      </c>
      <c r="L1268" s="218">
        <f>IF(K1295=K1260,L1303+AK1268,K1268)</f>
        <v>4</v>
      </c>
      <c r="M1268" s="218">
        <f>IF(K1295=K1260,0,L1303+AK1268-K1268)</f>
        <v>0</v>
      </c>
      <c r="N1268" s="218"/>
      <c r="O1268" s="218"/>
      <c r="P1268" s="352"/>
      <c r="Q1268" s="352"/>
      <c r="R1268" s="352"/>
      <c r="S1268" s="352"/>
      <c r="T1268" s="352"/>
      <c r="U1268" s="352"/>
      <c r="V1268" s="218"/>
      <c r="W1268" s="218"/>
      <c r="X1268" s="218">
        <v>3</v>
      </c>
      <c r="Y1268" s="218">
        <v>8</v>
      </c>
      <c r="Z1268" s="218"/>
      <c r="AA1268" s="218"/>
      <c r="AB1268" s="218"/>
      <c r="AC1268" s="218"/>
      <c r="AD1268" s="218"/>
      <c r="AE1268" s="218"/>
      <c r="AF1268" s="218"/>
      <c r="AG1268" s="218"/>
      <c r="AH1268" s="218"/>
      <c r="AI1268" s="218"/>
      <c r="AJ1268" s="242">
        <f>N1268-V1268</f>
        <v>0</v>
      </c>
      <c r="AK1268" s="274">
        <f>G1303+AL1268-G1268</f>
        <v>0</v>
      </c>
      <c r="AL1268" s="232"/>
      <c r="AM1268" s="353"/>
      <c r="AN1268" s="295"/>
      <c r="AO1268" s="296"/>
      <c r="AP1268" s="353"/>
      <c r="AQ1268" s="290"/>
      <c r="AR1268" s="290"/>
      <c r="AS1268" s="290"/>
    </row>
    <row r="1269" spans="1:45" ht="17.25" thickBot="1" x14ac:dyDescent="0.3">
      <c r="A1269" s="467"/>
      <c r="B1269" s="355" t="s">
        <v>420</v>
      </c>
      <c r="C1269" s="356"/>
      <c r="D1269" s="356"/>
      <c r="E1269" s="359"/>
      <c r="F1269" s="359"/>
      <c r="G1269" s="356"/>
      <c r="H1269" s="396"/>
      <c r="I1269" s="356"/>
      <c r="J1269" s="356"/>
      <c r="K1269" s="356"/>
      <c r="L1269" s="356"/>
      <c r="M1269" s="356"/>
      <c r="N1269" s="356"/>
      <c r="O1269" s="356"/>
      <c r="P1269" s="356"/>
      <c r="Q1269" s="356"/>
      <c r="R1269" s="356"/>
      <c r="S1269" s="356"/>
      <c r="T1269" s="356"/>
      <c r="U1269" s="356"/>
      <c r="V1269" s="356"/>
      <c r="W1269" s="356"/>
      <c r="X1269" s="356"/>
      <c r="Y1269" s="356"/>
      <c r="Z1269" s="356"/>
      <c r="AA1269" s="356"/>
      <c r="AB1269" s="356"/>
      <c r="AC1269" s="356"/>
      <c r="AD1269" s="356"/>
      <c r="AE1269" s="356"/>
      <c r="AF1269" s="356"/>
      <c r="AG1269" s="356"/>
      <c r="AH1269" s="356"/>
      <c r="AI1269" s="356"/>
      <c r="AJ1269" s="356"/>
      <c r="AK1269" s="356"/>
      <c r="AL1269" s="368"/>
      <c r="AM1269" s="356"/>
      <c r="AN1269" s="356"/>
      <c r="AO1269" s="356"/>
      <c r="AP1269" s="356"/>
      <c r="AQ1269" s="356"/>
      <c r="AR1269" s="356"/>
      <c r="AS1269" s="357"/>
    </row>
    <row r="1270" spans="1:45" ht="17.25" thickBot="1" x14ac:dyDescent="0.3">
      <c r="A1270" s="467"/>
      <c r="B1270" s="354"/>
      <c r="C1270" s="285">
        <v>1146032</v>
      </c>
      <c r="D1270" s="358" t="s">
        <v>396</v>
      </c>
      <c r="E1270" s="360"/>
      <c r="F1270" s="361">
        <f>G1305-AK1270+AL1270</f>
        <v>1</v>
      </c>
      <c r="G1270" s="364">
        <v>1</v>
      </c>
      <c r="H1270" s="397">
        <v>1</v>
      </c>
      <c r="I1270" s="364">
        <v>3</v>
      </c>
      <c r="J1270" s="364"/>
      <c r="K1270" s="364">
        <v>1</v>
      </c>
      <c r="L1270" s="218"/>
      <c r="M1270" s="218"/>
      <c r="N1270" s="218"/>
      <c r="O1270" s="218"/>
      <c r="P1270" s="352"/>
      <c r="Q1270" s="352"/>
      <c r="R1270" s="352"/>
      <c r="S1270" s="352"/>
      <c r="T1270" s="352"/>
      <c r="U1270" s="352"/>
      <c r="V1270" s="218"/>
      <c r="W1270" s="218"/>
      <c r="X1270" s="218"/>
      <c r="Y1270" s="218"/>
      <c r="Z1270" s="218"/>
      <c r="AA1270" s="218"/>
      <c r="AB1270" s="218"/>
      <c r="AC1270" s="218"/>
      <c r="AD1270" s="218"/>
      <c r="AE1270" s="218"/>
      <c r="AF1270" s="218"/>
      <c r="AG1270" s="218"/>
      <c r="AH1270" s="218"/>
      <c r="AI1270" s="218"/>
      <c r="AJ1270" s="218"/>
      <c r="AK1270" s="218">
        <f>G1305+AL1270-G1270</f>
        <v>0</v>
      </c>
      <c r="AL1270" s="218"/>
      <c r="AM1270" s="353"/>
      <c r="AN1270" s="295"/>
      <c r="AO1270" s="296"/>
      <c r="AP1270" s="353"/>
      <c r="AQ1270" s="290"/>
      <c r="AR1270" s="290"/>
      <c r="AS1270" s="290"/>
    </row>
    <row r="1271" spans="1:45" ht="17.25" thickBot="1" x14ac:dyDescent="0.3">
      <c r="A1271" s="467"/>
      <c r="B1271" s="354"/>
      <c r="C1271" s="285">
        <v>1146021</v>
      </c>
      <c r="D1271" s="358" t="s">
        <v>397</v>
      </c>
      <c r="E1271" s="360"/>
      <c r="F1271" s="361">
        <f>G1306-AK1271+AL1271</f>
        <v>2</v>
      </c>
      <c r="G1271" s="364">
        <v>2</v>
      </c>
      <c r="H1271" s="397">
        <v>2</v>
      </c>
      <c r="I1271" s="364">
        <v>2</v>
      </c>
      <c r="J1271" s="364"/>
      <c r="K1271" s="364">
        <v>2</v>
      </c>
      <c r="L1271" s="218"/>
      <c r="M1271" s="218"/>
      <c r="N1271" s="218"/>
      <c r="O1271" s="218"/>
      <c r="P1271" s="352"/>
      <c r="Q1271" s="352"/>
      <c r="R1271" s="352"/>
      <c r="S1271" s="352"/>
      <c r="T1271" s="352"/>
      <c r="U1271" s="352"/>
      <c r="V1271" s="218"/>
      <c r="W1271" s="218"/>
      <c r="X1271" s="218"/>
      <c r="Y1271" s="218"/>
      <c r="Z1271" s="218"/>
      <c r="AA1271" s="218"/>
      <c r="AB1271" s="218"/>
      <c r="AC1271" s="218"/>
      <c r="AD1271" s="218"/>
      <c r="AE1271" s="218"/>
      <c r="AF1271" s="218"/>
      <c r="AG1271" s="218"/>
      <c r="AH1271" s="218"/>
      <c r="AI1271" s="218"/>
      <c r="AJ1271" s="218"/>
      <c r="AK1271" s="218">
        <f>G1306+AL1271-G1271</f>
        <v>0</v>
      </c>
      <c r="AL1271" s="218"/>
      <c r="AM1271" s="353"/>
      <c r="AN1271" s="295"/>
      <c r="AO1271" s="296"/>
      <c r="AP1271" s="353"/>
      <c r="AQ1271" s="290"/>
      <c r="AR1271" s="290"/>
      <c r="AS1271" s="290"/>
    </row>
    <row r="1272" spans="1:45" ht="17.25" thickBot="1" x14ac:dyDescent="0.3">
      <c r="A1272" s="467"/>
      <c r="B1272" s="354"/>
      <c r="C1272" s="285">
        <v>1146018</v>
      </c>
      <c r="D1272" s="358" t="s">
        <v>398</v>
      </c>
      <c r="E1272" s="360"/>
      <c r="F1272" s="361">
        <f>G1307-AK1272+AL1272</f>
        <v>4</v>
      </c>
      <c r="G1272" s="364">
        <v>4</v>
      </c>
      <c r="H1272" s="397">
        <v>4</v>
      </c>
      <c r="I1272" s="364">
        <v>4</v>
      </c>
      <c r="J1272" s="364"/>
      <c r="K1272" s="364">
        <v>1</v>
      </c>
      <c r="L1272" s="218"/>
      <c r="M1272" s="218"/>
      <c r="N1272" s="218"/>
      <c r="O1272" s="218"/>
      <c r="P1272" s="352"/>
      <c r="Q1272" s="352"/>
      <c r="R1272" s="352"/>
      <c r="S1272" s="352"/>
      <c r="T1272" s="352"/>
      <c r="U1272" s="352"/>
      <c r="V1272" s="218"/>
      <c r="W1272" s="218"/>
      <c r="X1272" s="218"/>
      <c r="Y1272" s="218"/>
      <c r="Z1272" s="218"/>
      <c r="AA1272" s="218"/>
      <c r="AB1272" s="218"/>
      <c r="AC1272" s="218"/>
      <c r="AD1272" s="218"/>
      <c r="AE1272" s="218"/>
      <c r="AF1272" s="218"/>
      <c r="AG1272" s="218"/>
      <c r="AH1272" s="218"/>
      <c r="AI1272" s="218"/>
      <c r="AJ1272" s="218"/>
      <c r="AK1272" s="218">
        <f>G1307+AL1272-G1272</f>
        <v>0</v>
      </c>
      <c r="AL1272" s="218"/>
      <c r="AM1272" s="353"/>
      <c r="AN1272" s="295"/>
      <c r="AO1272" s="296"/>
      <c r="AP1272" s="353"/>
      <c r="AQ1272" s="290"/>
      <c r="AR1272" s="290"/>
      <c r="AS1272" s="290"/>
    </row>
    <row r="1273" spans="1:45" ht="17.25" thickBot="1" x14ac:dyDescent="0.3">
      <c r="A1273" s="467"/>
      <c r="B1273" s="354"/>
      <c r="C1273" s="285">
        <v>1146024</v>
      </c>
      <c r="D1273" s="358" t="s">
        <v>399</v>
      </c>
      <c r="E1273" s="360"/>
      <c r="F1273" s="361">
        <v>1</v>
      </c>
      <c r="G1273" s="364">
        <v>1</v>
      </c>
      <c r="H1273" s="397">
        <v>0</v>
      </c>
      <c r="I1273" s="364">
        <v>1</v>
      </c>
      <c r="J1273" s="364"/>
      <c r="K1273" s="364"/>
      <c r="L1273" s="218"/>
      <c r="M1273" s="218"/>
      <c r="N1273" s="218"/>
      <c r="O1273" s="218"/>
      <c r="P1273" s="352"/>
      <c r="Q1273" s="352"/>
      <c r="R1273" s="352"/>
      <c r="S1273" s="352"/>
      <c r="T1273" s="352"/>
      <c r="U1273" s="352"/>
      <c r="V1273" s="218"/>
      <c r="W1273" s="218"/>
      <c r="X1273" s="218"/>
      <c r="Y1273" s="218"/>
      <c r="Z1273" s="218"/>
      <c r="AA1273" s="218"/>
      <c r="AB1273" s="218"/>
      <c r="AC1273" s="218"/>
      <c r="AD1273" s="218"/>
      <c r="AE1273" s="218"/>
      <c r="AF1273" s="218"/>
      <c r="AG1273" s="218"/>
      <c r="AH1273" s="218"/>
      <c r="AI1273" s="218"/>
      <c r="AJ1273" s="218"/>
      <c r="AK1273" s="218">
        <f>G1308+AL1273-G1273</f>
        <v>0</v>
      </c>
      <c r="AL1273" s="218"/>
      <c r="AM1273" s="353"/>
      <c r="AN1273" s="295"/>
      <c r="AO1273" s="296"/>
      <c r="AP1273" s="353"/>
      <c r="AQ1273" s="290"/>
      <c r="AR1273" s="290"/>
      <c r="AS1273" s="290"/>
    </row>
    <row r="1274" spans="1:45" ht="17.25" thickBot="1" x14ac:dyDescent="0.3">
      <c r="A1274" s="467"/>
      <c r="B1274" s="354"/>
      <c r="C1274" s="285">
        <v>1146028</v>
      </c>
      <c r="D1274" s="358" t="s">
        <v>400</v>
      </c>
      <c r="E1274" s="360"/>
      <c r="F1274" s="361">
        <f>G1309-AK1274+AL1274</f>
        <v>1</v>
      </c>
      <c r="G1274" s="364">
        <v>1</v>
      </c>
      <c r="H1274" s="397">
        <v>3</v>
      </c>
      <c r="I1274" s="364">
        <v>1</v>
      </c>
      <c r="J1274" s="364"/>
      <c r="K1274" s="364">
        <v>1</v>
      </c>
      <c r="L1274" s="218"/>
      <c r="M1274" s="218"/>
      <c r="N1274" s="218"/>
      <c r="O1274" s="218"/>
      <c r="P1274" s="352"/>
      <c r="Q1274" s="352"/>
      <c r="R1274" s="352"/>
      <c r="S1274" s="352"/>
      <c r="T1274" s="352"/>
      <c r="U1274" s="352"/>
      <c r="V1274" s="218"/>
      <c r="W1274" s="218"/>
      <c r="X1274" s="218"/>
      <c r="Y1274" s="218"/>
      <c r="Z1274" s="218"/>
      <c r="AA1274" s="218"/>
      <c r="AB1274" s="218"/>
      <c r="AC1274" s="218"/>
      <c r="AD1274" s="218"/>
      <c r="AE1274" s="218"/>
      <c r="AF1274" s="218"/>
      <c r="AG1274" s="218"/>
      <c r="AH1274" s="218"/>
      <c r="AI1274" s="218"/>
      <c r="AJ1274" s="218"/>
      <c r="AK1274" s="218">
        <f>G1309+AL1274-G1274</f>
        <v>0</v>
      </c>
      <c r="AL1274" s="218"/>
      <c r="AM1274" s="353"/>
      <c r="AN1274" s="295"/>
      <c r="AO1274" s="296"/>
      <c r="AP1274" s="353"/>
      <c r="AQ1274" s="290"/>
      <c r="AR1274" s="290"/>
      <c r="AS1274" s="290"/>
    </row>
    <row r="1275" spans="1:45" ht="17.25" thickBot="1" x14ac:dyDescent="0.3">
      <c r="A1275" s="467"/>
      <c r="B1275" s="355" t="s">
        <v>419</v>
      </c>
      <c r="C1275" s="356"/>
      <c r="D1275" s="356"/>
      <c r="E1275" s="359"/>
      <c r="F1275" s="359"/>
      <c r="G1275" s="356"/>
      <c r="H1275" s="396"/>
      <c r="I1275" s="356"/>
      <c r="J1275" s="356"/>
      <c r="K1275" s="356"/>
      <c r="L1275" s="356"/>
      <c r="M1275" s="356"/>
      <c r="N1275" s="356"/>
      <c r="O1275" s="356"/>
      <c r="P1275" s="356"/>
      <c r="Q1275" s="356"/>
      <c r="R1275" s="356"/>
      <c r="S1275" s="356"/>
      <c r="T1275" s="356"/>
      <c r="U1275" s="356"/>
      <c r="V1275" s="356"/>
      <c r="W1275" s="356"/>
      <c r="X1275" s="356"/>
      <c r="Y1275" s="356"/>
      <c r="Z1275" s="356"/>
      <c r="AA1275" s="356"/>
      <c r="AB1275" s="356"/>
      <c r="AC1275" s="356"/>
      <c r="AD1275" s="356"/>
      <c r="AE1275" s="356"/>
      <c r="AF1275" s="356"/>
      <c r="AG1275" s="356"/>
      <c r="AH1275" s="356"/>
      <c r="AI1275" s="356"/>
      <c r="AJ1275" s="356"/>
      <c r="AK1275" s="356"/>
      <c r="AL1275" s="356"/>
      <c r="AM1275" s="356"/>
      <c r="AN1275" s="356"/>
      <c r="AO1275" s="356"/>
      <c r="AP1275" s="356"/>
      <c r="AQ1275" s="356"/>
      <c r="AR1275" s="356"/>
      <c r="AS1275" s="357"/>
    </row>
    <row r="1276" spans="1:45" ht="17.25" thickBot="1" x14ac:dyDescent="0.3">
      <c r="A1276" s="467"/>
      <c r="B1276" s="372"/>
      <c r="C1276" s="373">
        <v>1146031</v>
      </c>
      <c r="D1276" s="374" t="s">
        <v>401</v>
      </c>
      <c r="E1276" s="375"/>
      <c r="F1276" s="376">
        <f>G1311-AK1276+AL1276</f>
        <v>2</v>
      </c>
      <c r="G1276" s="377">
        <v>2</v>
      </c>
      <c r="H1276" s="397">
        <v>2</v>
      </c>
      <c r="I1276" s="377">
        <v>3</v>
      </c>
      <c r="J1276" s="377"/>
      <c r="K1276" s="377">
        <v>2</v>
      </c>
      <c r="L1276" s="377"/>
      <c r="M1276" s="377"/>
      <c r="N1276" s="377"/>
      <c r="O1276" s="377"/>
      <c r="P1276" s="377"/>
      <c r="Q1276" s="377"/>
      <c r="R1276" s="377"/>
      <c r="S1276" s="377"/>
      <c r="T1276" s="377"/>
      <c r="U1276" s="377"/>
      <c r="V1276" s="377"/>
      <c r="W1276" s="377"/>
      <c r="X1276" s="377"/>
      <c r="Y1276" s="377"/>
      <c r="Z1276" s="377"/>
      <c r="AA1276" s="377"/>
      <c r="AB1276" s="377"/>
      <c r="AC1276" s="377"/>
      <c r="AD1276" s="377"/>
      <c r="AE1276" s="377"/>
      <c r="AF1276" s="377"/>
      <c r="AG1276" s="377"/>
      <c r="AH1276" s="377"/>
      <c r="AI1276" s="377"/>
      <c r="AJ1276" s="377"/>
      <c r="AK1276" s="377">
        <f>G1311+AL1276-G1276</f>
        <v>0</v>
      </c>
      <c r="AL1276" s="377"/>
      <c r="AM1276" s="378"/>
      <c r="AN1276" s="379"/>
      <c r="AO1276" s="380"/>
      <c r="AP1276" s="378"/>
      <c r="AQ1276" s="381"/>
      <c r="AR1276" s="381"/>
      <c r="AS1276" s="381"/>
    </row>
    <row r="1277" spans="1:45" ht="17.25" thickBot="1" x14ac:dyDescent="0.3">
      <c r="A1277" s="467"/>
      <c r="B1277" s="372"/>
      <c r="C1277" s="373">
        <v>1146020</v>
      </c>
      <c r="D1277" s="374" t="s">
        <v>402</v>
      </c>
      <c r="E1277" s="375"/>
      <c r="F1277" s="376">
        <f>G1312-AK1277+AL1277</f>
        <v>1</v>
      </c>
      <c r="G1277" s="377">
        <v>1</v>
      </c>
      <c r="H1277" s="397">
        <v>1</v>
      </c>
      <c r="I1277" s="377">
        <v>1</v>
      </c>
      <c r="J1277" s="377"/>
      <c r="K1277" s="377"/>
      <c r="L1277" s="377"/>
      <c r="M1277" s="377"/>
      <c r="N1277" s="377"/>
      <c r="O1277" s="377"/>
      <c r="P1277" s="377"/>
      <c r="Q1277" s="377"/>
      <c r="R1277" s="377"/>
      <c r="S1277" s="377"/>
      <c r="T1277" s="377"/>
      <c r="U1277" s="377"/>
      <c r="V1277" s="377"/>
      <c r="W1277" s="377"/>
      <c r="X1277" s="377"/>
      <c r="Y1277" s="377"/>
      <c r="Z1277" s="377"/>
      <c r="AA1277" s="377"/>
      <c r="AB1277" s="377"/>
      <c r="AC1277" s="377"/>
      <c r="AD1277" s="377"/>
      <c r="AE1277" s="377"/>
      <c r="AF1277" s="377"/>
      <c r="AG1277" s="377"/>
      <c r="AH1277" s="377"/>
      <c r="AI1277" s="377"/>
      <c r="AJ1277" s="377"/>
      <c r="AK1277" s="377">
        <f>G1312+AL1277-G1277</f>
        <v>0</v>
      </c>
      <c r="AL1277" s="377"/>
      <c r="AM1277" s="378"/>
      <c r="AN1277" s="379"/>
      <c r="AO1277" s="380"/>
      <c r="AP1277" s="378"/>
      <c r="AQ1277" s="381"/>
      <c r="AR1277" s="381"/>
      <c r="AS1277" s="381"/>
    </row>
    <row r="1278" spans="1:45" ht="17.25" thickBot="1" x14ac:dyDescent="0.3">
      <c r="A1278" s="467"/>
      <c r="B1278" s="372"/>
      <c r="C1278" s="373">
        <v>1146016</v>
      </c>
      <c r="D1278" s="374" t="s">
        <v>398</v>
      </c>
      <c r="E1278" s="375"/>
      <c r="F1278" s="376">
        <f>G1313-AK1278+AL1278</f>
        <v>6</v>
      </c>
      <c r="G1278" s="377">
        <v>6</v>
      </c>
      <c r="H1278" s="397">
        <v>6</v>
      </c>
      <c r="I1278" s="377">
        <v>6</v>
      </c>
      <c r="J1278" s="377"/>
      <c r="K1278" s="377">
        <v>2</v>
      </c>
      <c r="L1278" s="377"/>
      <c r="M1278" s="377"/>
      <c r="N1278" s="377"/>
      <c r="O1278" s="377"/>
      <c r="P1278" s="377"/>
      <c r="Q1278" s="377"/>
      <c r="R1278" s="377"/>
      <c r="S1278" s="377"/>
      <c r="T1278" s="377"/>
      <c r="U1278" s="377"/>
      <c r="V1278" s="377"/>
      <c r="W1278" s="377"/>
      <c r="X1278" s="377"/>
      <c r="Y1278" s="377"/>
      <c r="Z1278" s="377"/>
      <c r="AA1278" s="377"/>
      <c r="AB1278" s="377"/>
      <c r="AC1278" s="377"/>
      <c r="AD1278" s="377"/>
      <c r="AE1278" s="377"/>
      <c r="AF1278" s="377"/>
      <c r="AG1278" s="377"/>
      <c r="AH1278" s="377"/>
      <c r="AI1278" s="377"/>
      <c r="AJ1278" s="377"/>
      <c r="AK1278" s="377">
        <f>G1313+AL1278-G1278</f>
        <v>0</v>
      </c>
      <c r="AL1278" s="377"/>
      <c r="AM1278" s="378"/>
      <c r="AN1278" s="379"/>
      <c r="AO1278" s="380"/>
      <c r="AP1278" s="378"/>
      <c r="AQ1278" s="381"/>
      <c r="AR1278" s="381"/>
      <c r="AS1278" s="381"/>
    </row>
    <row r="1279" spans="1:45" ht="17.25" thickBot="1" x14ac:dyDescent="0.3">
      <c r="A1279" s="467"/>
      <c r="B1279" s="372"/>
      <c r="C1279" s="373">
        <v>1146022</v>
      </c>
      <c r="D1279" s="374" t="s">
        <v>403</v>
      </c>
      <c r="E1279" s="375"/>
      <c r="F1279" s="376">
        <f>G1314-AK1279+AL1279</f>
        <v>0</v>
      </c>
      <c r="G1279" s="377">
        <v>0</v>
      </c>
      <c r="H1279" s="397">
        <v>0</v>
      </c>
      <c r="I1279" s="377">
        <v>1</v>
      </c>
      <c r="J1279" s="377"/>
      <c r="K1279" s="377"/>
      <c r="L1279" s="377"/>
      <c r="M1279" s="377"/>
      <c r="N1279" s="377"/>
      <c r="O1279" s="377"/>
      <c r="P1279" s="377"/>
      <c r="Q1279" s="377"/>
      <c r="R1279" s="377"/>
      <c r="S1279" s="377"/>
      <c r="T1279" s="377"/>
      <c r="U1279" s="377"/>
      <c r="V1279" s="377"/>
      <c r="W1279" s="377"/>
      <c r="X1279" s="377"/>
      <c r="Y1279" s="377"/>
      <c r="Z1279" s="377"/>
      <c r="AA1279" s="377"/>
      <c r="AB1279" s="377"/>
      <c r="AC1279" s="377"/>
      <c r="AD1279" s="377"/>
      <c r="AE1279" s="377"/>
      <c r="AF1279" s="377"/>
      <c r="AG1279" s="377"/>
      <c r="AH1279" s="377"/>
      <c r="AI1279" s="377"/>
      <c r="AJ1279" s="377"/>
      <c r="AK1279" s="377">
        <f>G1314+AL1279-G1279</f>
        <v>0</v>
      </c>
      <c r="AL1279" s="377"/>
      <c r="AM1279" s="378"/>
      <c r="AN1279" s="379"/>
      <c r="AO1279" s="380"/>
      <c r="AP1279" s="378"/>
      <c r="AQ1279" s="381"/>
      <c r="AR1279" s="381"/>
      <c r="AS1279" s="381"/>
    </row>
    <row r="1280" spans="1:45" ht="17.25" thickBot="1" x14ac:dyDescent="0.3">
      <c r="A1280" s="467"/>
      <c r="B1280" s="372"/>
      <c r="C1280" s="373">
        <v>1146027</v>
      </c>
      <c r="D1280" s="374" t="s">
        <v>404</v>
      </c>
      <c r="E1280" s="375"/>
      <c r="F1280" s="376">
        <f>G1315-AK1280+AL1280</f>
        <v>2</v>
      </c>
      <c r="G1280" s="377">
        <v>2</v>
      </c>
      <c r="H1280" s="397">
        <v>2</v>
      </c>
      <c r="I1280" s="377">
        <v>3</v>
      </c>
      <c r="J1280" s="377"/>
      <c r="K1280" s="377">
        <v>1</v>
      </c>
      <c r="L1280" s="377"/>
      <c r="M1280" s="377"/>
      <c r="N1280" s="377"/>
      <c r="O1280" s="377"/>
      <c r="P1280" s="377"/>
      <c r="Q1280" s="377"/>
      <c r="R1280" s="377"/>
      <c r="S1280" s="377"/>
      <c r="T1280" s="377"/>
      <c r="U1280" s="377"/>
      <c r="V1280" s="377"/>
      <c r="W1280" s="377"/>
      <c r="X1280" s="377"/>
      <c r="Y1280" s="377"/>
      <c r="Z1280" s="377"/>
      <c r="AA1280" s="377"/>
      <c r="AB1280" s="377"/>
      <c r="AC1280" s="377"/>
      <c r="AD1280" s="377"/>
      <c r="AE1280" s="377"/>
      <c r="AF1280" s="377"/>
      <c r="AG1280" s="377"/>
      <c r="AH1280" s="377"/>
      <c r="AI1280" s="377"/>
      <c r="AJ1280" s="377"/>
      <c r="AK1280" s="377">
        <f>G1315+AL1280-G1280</f>
        <v>0</v>
      </c>
      <c r="AL1280" s="377"/>
      <c r="AM1280" s="378"/>
      <c r="AN1280" s="379"/>
      <c r="AO1280" s="380"/>
      <c r="AP1280" s="378"/>
      <c r="AQ1280" s="381"/>
      <c r="AR1280" s="381"/>
      <c r="AS1280" s="381"/>
    </row>
    <row r="1281" spans="1:45" ht="17.25" thickBot="1" x14ac:dyDescent="0.3">
      <c r="A1281" s="467"/>
      <c r="B1281" s="355" t="s">
        <v>418</v>
      </c>
      <c r="C1281" s="356"/>
      <c r="D1281" s="356"/>
      <c r="E1281" s="359"/>
      <c r="F1281" s="359"/>
      <c r="G1281" s="356"/>
      <c r="H1281" s="396"/>
      <c r="I1281" s="356"/>
      <c r="J1281" s="356"/>
      <c r="K1281" s="356"/>
      <c r="L1281" s="356"/>
      <c r="M1281" s="356"/>
      <c r="N1281" s="356"/>
      <c r="O1281" s="356"/>
      <c r="P1281" s="356"/>
      <c r="Q1281" s="356"/>
      <c r="R1281" s="356"/>
      <c r="S1281" s="356"/>
      <c r="T1281" s="356"/>
      <c r="U1281" s="356"/>
      <c r="V1281" s="356"/>
      <c r="W1281" s="356"/>
      <c r="X1281" s="356"/>
      <c r="Y1281" s="356"/>
      <c r="Z1281" s="356"/>
      <c r="AA1281" s="356"/>
      <c r="AB1281" s="356"/>
      <c r="AC1281" s="356"/>
      <c r="AD1281" s="356"/>
      <c r="AE1281" s="356"/>
      <c r="AF1281" s="356"/>
      <c r="AG1281" s="356"/>
      <c r="AH1281" s="356"/>
      <c r="AI1281" s="356"/>
      <c r="AJ1281" s="356"/>
      <c r="AK1281" s="356"/>
      <c r="AL1281" s="356"/>
      <c r="AM1281" s="356"/>
      <c r="AN1281" s="356"/>
      <c r="AO1281" s="356"/>
      <c r="AP1281" s="356"/>
      <c r="AQ1281" s="356"/>
      <c r="AR1281" s="356"/>
      <c r="AS1281" s="357"/>
    </row>
    <row r="1282" spans="1:45" ht="17.25" thickBot="1" x14ac:dyDescent="0.3">
      <c r="A1282" s="467"/>
      <c r="B1282" s="354"/>
      <c r="C1282" s="285">
        <v>1151653</v>
      </c>
      <c r="D1282" s="358" t="s">
        <v>405</v>
      </c>
      <c r="E1282" s="360"/>
      <c r="F1282" s="361">
        <f>G1317-AK1282+AL1282</f>
        <v>0</v>
      </c>
      <c r="G1282" s="364">
        <v>0</v>
      </c>
      <c r="H1282" s="397">
        <v>0</v>
      </c>
      <c r="I1282" s="364">
        <v>1</v>
      </c>
      <c r="J1282" s="364"/>
      <c r="K1282" s="364"/>
      <c r="L1282" s="218"/>
      <c r="M1282" s="218"/>
      <c r="N1282" s="218"/>
      <c r="O1282" s="218"/>
      <c r="P1282" s="352"/>
      <c r="Q1282" s="352"/>
      <c r="R1282" s="352"/>
      <c r="S1282" s="352"/>
      <c r="T1282" s="352"/>
      <c r="U1282" s="352"/>
      <c r="V1282" s="218"/>
      <c r="W1282" s="218"/>
      <c r="X1282" s="218"/>
      <c r="Y1282" s="218"/>
      <c r="Z1282" s="218"/>
      <c r="AA1282" s="218"/>
      <c r="AB1282" s="218"/>
      <c r="AC1282" s="218"/>
      <c r="AD1282" s="218"/>
      <c r="AE1282" s="218"/>
      <c r="AF1282" s="218"/>
      <c r="AG1282" s="218"/>
      <c r="AH1282" s="218"/>
      <c r="AI1282" s="218"/>
      <c r="AJ1282" s="218"/>
      <c r="AK1282" s="218">
        <f>G1317+AL1282-G1282</f>
        <v>0</v>
      </c>
      <c r="AL1282" s="218"/>
      <c r="AM1282" s="353"/>
      <c r="AN1282" s="295"/>
      <c r="AO1282" s="296"/>
      <c r="AP1282" s="353"/>
      <c r="AQ1282" s="290"/>
      <c r="AR1282" s="290"/>
      <c r="AS1282" s="290"/>
    </row>
    <row r="1283" spans="1:45" ht="17.25" thickBot="1" x14ac:dyDescent="0.3">
      <c r="A1283" s="467"/>
      <c r="B1283" s="354"/>
      <c r="C1283" s="285">
        <v>1151650</v>
      </c>
      <c r="D1283" s="358" t="s">
        <v>406</v>
      </c>
      <c r="E1283" s="360"/>
      <c r="F1283" s="361">
        <f>G1318-AK1283+AL1283</f>
        <v>1</v>
      </c>
      <c r="G1283" s="364">
        <v>1</v>
      </c>
      <c r="H1283" s="397">
        <v>1</v>
      </c>
      <c r="I1283" s="364">
        <v>1</v>
      </c>
      <c r="J1283" s="364"/>
      <c r="K1283" s="364">
        <v>5</v>
      </c>
      <c r="L1283" s="218"/>
      <c r="M1283" s="218"/>
      <c r="N1283" s="218"/>
      <c r="O1283" s="218"/>
      <c r="P1283" s="352"/>
      <c r="Q1283" s="352"/>
      <c r="R1283" s="352"/>
      <c r="S1283" s="352"/>
      <c r="T1283" s="352"/>
      <c r="U1283" s="352"/>
      <c r="V1283" s="218"/>
      <c r="W1283" s="218"/>
      <c r="X1283" s="218"/>
      <c r="Y1283" s="218"/>
      <c r="Z1283" s="218"/>
      <c r="AA1283" s="218"/>
      <c r="AB1283" s="218"/>
      <c r="AC1283" s="218"/>
      <c r="AD1283" s="218"/>
      <c r="AE1283" s="218"/>
      <c r="AF1283" s="218"/>
      <c r="AG1283" s="218"/>
      <c r="AH1283" s="218"/>
      <c r="AI1283" s="218"/>
      <c r="AJ1283" s="218"/>
      <c r="AK1283" s="218">
        <f>G1318+AL1283-G1283</f>
        <v>0</v>
      </c>
      <c r="AL1283" s="218"/>
      <c r="AM1283" s="353"/>
      <c r="AN1283" s="295"/>
      <c r="AO1283" s="296"/>
      <c r="AP1283" s="353"/>
      <c r="AQ1283" s="290"/>
      <c r="AR1283" s="290"/>
      <c r="AS1283" s="290"/>
    </row>
    <row r="1284" spans="1:45" ht="17.25" thickBot="1" x14ac:dyDescent="0.3">
      <c r="A1284" s="467"/>
      <c r="B1284" s="354"/>
      <c r="C1284" s="285">
        <v>1151649</v>
      </c>
      <c r="D1284" s="358" t="s">
        <v>407</v>
      </c>
      <c r="E1284" s="360"/>
      <c r="F1284" s="361">
        <f>G1319-AK1284+AL1284</f>
        <v>2</v>
      </c>
      <c r="G1284" s="364">
        <v>2</v>
      </c>
      <c r="H1284" s="397">
        <v>2</v>
      </c>
      <c r="I1284" s="364">
        <v>2</v>
      </c>
      <c r="J1284" s="364"/>
      <c r="K1284" s="364">
        <v>2</v>
      </c>
      <c r="L1284" s="218"/>
      <c r="M1284" s="218"/>
      <c r="N1284" s="218"/>
      <c r="O1284" s="218"/>
      <c r="P1284" s="352"/>
      <c r="Q1284" s="352"/>
      <c r="R1284" s="352"/>
      <c r="S1284" s="352"/>
      <c r="T1284" s="352"/>
      <c r="U1284" s="352"/>
      <c r="V1284" s="218"/>
      <c r="W1284" s="218"/>
      <c r="X1284" s="218"/>
      <c r="Y1284" s="218"/>
      <c r="Z1284" s="218"/>
      <c r="AA1284" s="218"/>
      <c r="AB1284" s="218"/>
      <c r="AC1284" s="218"/>
      <c r="AD1284" s="218"/>
      <c r="AE1284" s="218"/>
      <c r="AF1284" s="218"/>
      <c r="AG1284" s="218"/>
      <c r="AH1284" s="218"/>
      <c r="AI1284" s="218"/>
      <c r="AJ1284" s="218"/>
      <c r="AK1284" s="218">
        <f>G1319+AL1284-G1284</f>
        <v>0</v>
      </c>
      <c r="AL1284" s="218"/>
      <c r="AM1284" s="353"/>
      <c r="AN1284" s="295"/>
      <c r="AO1284" s="296"/>
      <c r="AP1284" s="353"/>
      <c r="AQ1284" s="290"/>
      <c r="AR1284" s="290"/>
      <c r="AS1284" s="290"/>
    </row>
    <row r="1285" spans="1:45" ht="17.25" thickBot="1" x14ac:dyDescent="0.3">
      <c r="A1285" s="467"/>
      <c r="B1285" s="354"/>
      <c r="C1285" s="285">
        <v>1151651</v>
      </c>
      <c r="D1285" s="358" t="s">
        <v>408</v>
      </c>
      <c r="E1285" s="360"/>
      <c r="F1285" s="361">
        <f>G1320-AK1285+AL1285</f>
        <v>0</v>
      </c>
      <c r="G1285" s="364">
        <v>0</v>
      </c>
      <c r="H1285" s="397">
        <v>0</v>
      </c>
      <c r="I1285" s="364">
        <v>0</v>
      </c>
      <c r="J1285" s="364"/>
      <c r="K1285" s="364">
        <v>2</v>
      </c>
      <c r="L1285" s="218"/>
      <c r="M1285" s="218"/>
      <c r="N1285" s="218"/>
      <c r="O1285" s="218"/>
      <c r="P1285" s="352"/>
      <c r="Q1285" s="352"/>
      <c r="R1285" s="352"/>
      <c r="S1285" s="352"/>
      <c r="T1285" s="352"/>
      <c r="U1285" s="352"/>
      <c r="V1285" s="218"/>
      <c r="W1285" s="218"/>
      <c r="X1285" s="218"/>
      <c r="Y1285" s="218"/>
      <c r="Z1285" s="218">
        <v>2</v>
      </c>
      <c r="AA1285" s="218"/>
      <c r="AB1285" s="218"/>
      <c r="AC1285" s="218"/>
      <c r="AD1285" s="218"/>
      <c r="AE1285" s="218"/>
      <c r="AF1285" s="218"/>
      <c r="AG1285" s="218"/>
      <c r="AH1285" s="218"/>
      <c r="AI1285" s="218"/>
      <c r="AJ1285" s="218"/>
      <c r="AK1285" s="218">
        <f>G1320+AL1285-G1285</f>
        <v>2</v>
      </c>
      <c r="AL1285" s="218"/>
      <c r="AM1285" s="353"/>
      <c r="AN1285" s="295"/>
      <c r="AO1285" s="296"/>
      <c r="AP1285" s="353"/>
      <c r="AQ1285" s="290"/>
      <c r="AR1285" s="290"/>
      <c r="AS1285" s="290"/>
    </row>
    <row r="1286" spans="1:45" ht="17.25" thickBot="1" x14ac:dyDescent="0.3">
      <c r="A1286" s="467"/>
      <c r="B1286" s="354"/>
      <c r="C1286" s="285">
        <v>1146029</v>
      </c>
      <c r="D1286" s="358" t="s">
        <v>409</v>
      </c>
      <c r="E1286" s="360"/>
      <c r="F1286" s="361">
        <f>G1321-AK1286+AL1286</f>
        <v>0</v>
      </c>
      <c r="G1286" s="364">
        <v>0</v>
      </c>
      <c r="H1286" s="397">
        <v>1</v>
      </c>
      <c r="I1286" s="364">
        <v>0</v>
      </c>
      <c r="J1286" s="364"/>
      <c r="K1286" s="364">
        <v>2</v>
      </c>
      <c r="L1286" s="218"/>
      <c r="M1286" s="218"/>
      <c r="N1286" s="218"/>
      <c r="O1286" s="218"/>
      <c r="P1286" s="352"/>
      <c r="Q1286" s="352"/>
      <c r="R1286" s="352"/>
      <c r="S1286" s="352"/>
      <c r="T1286" s="352"/>
      <c r="U1286" s="352"/>
      <c r="V1286" s="218"/>
      <c r="W1286" s="218"/>
      <c r="X1286" s="218"/>
      <c r="Y1286" s="218"/>
      <c r="Z1286" s="218"/>
      <c r="AA1286" s="218"/>
      <c r="AB1286" s="218"/>
      <c r="AC1286" s="218"/>
      <c r="AD1286" s="218"/>
      <c r="AE1286" s="218"/>
      <c r="AF1286" s="218"/>
      <c r="AG1286" s="218"/>
      <c r="AH1286" s="218"/>
      <c r="AI1286" s="218"/>
      <c r="AJ1286" s="218"/>
      <c r="AK1286" s="218">
        <f>G1321+AL1286-G1286</f>
        <v>0</v>
      </c>
      <c r="AL1286" s="218"/>
      <c r="AM1286" s="353"/>
      <c r="AN1286" s="295"/>
      <c r="AO1286" s="296"/>
      <c r="AP1286" s="353"/>
      <c r="AQ1286" s="290"/>
      <c r="AR1286" s="290"/>
      <c r="AS1286" s="290"/>
    </row>
    <row r="1287" spans="1:45" ht="17.25" thickBot="1" x14ac:dyDescent="0.3">
      <c r="A1287" s="467"/>
      <c r="B1287" s="355" t="s">
        <v>410</v>
      </c>
      <c r="C1287" s="356"/>
      <c r="D1287" s="356"/>
      <c r="E1287" s="359"/>
      <c r="F1287" s="359"/>
      <c r="G1287" s="356"/>
      <c r="H1287" s="396"/>
      <c r="I1287" s="356"/>
      <c r="J1287" s="356"/>
      <c r="K1287" s="356"/>
      <c r="L1287" s="356"/>
      <c r="M1287" s="356"/>
      <c r="N1287" s="356"/>
      <c r="O1287" s="356"/>
      <c r="P1287" s="356"/>
      <c r="Q1287" s="356"/>
      <c r="R1287" s="356"/>
      <c r="S1287" s="356"/>
      <c r="T1287" s="356"/>
      <c r="U1287" s="356"/>
      <c r="V1287" s="356"/>
      <c r="W1287" s="356"/>
      <c r="X1287" s="356"/>
      <c r="Y1287" s="356"/>
      <c r="Z1287" s="356"/>
      <c r="AA1287" s="356"/>
      <c r="AB1287" s="356"/>
      <c r="AC1287" s="356"/>
      <c r="AD1287" s="356"/>
      <c r="AE1287" s="356"/>
      <c r="AF1287" s="356"/>
      <c r="AG1287" s="356"/>
      <c r="AH1287" s="356"/>
      <c r="AI1287" s="356"/>
      <c r="AJ1287" s="356"/>
      <c r="AK1287" s="356"/>
      <c r="AL1287" s="356"/>
      <c r="AM1287" s="356"/>
      <c r="AN1287" s="356"/>
      <c r="AO1287" s="356"/>
      <c r="AP1287" s="356"/>
      <c r="AQ1287" s="356"/>
      <c r="AR1287" s="356"/>
      <c r="AS1287" s="357"/>
    </row>
    <row r="1288" spans="1:45" ht="17.25" thickBot="1" x14ac:dyDescent="0.3">
      <c r="A1288" s="467"/>
      <c r="B1288" s="354"/>
      <c r="C1288" s="285">
        <v>1699118</v>
      </c>
      <c r="D1288" s="358" t="s">
        <v>411</v>
      </c>
      <c r="E1288" s="360"/>
      <c r="F1288" s="361">
        <f>G1323-AK1288+AL1288</f>
        <v>0</v>
      </c>
      <c r="G1288" s="364">
        <v>0</v>
      </c>
      <c r="H1288" s="397">
        <v>0</v>
      </c>
      <c r="I1288" s="364">
        <v>0</v>
      </c>
      <c r="J1288" s="364"/>
      <c r="K1288" s="364"/>
      <c r="L1288" s="218"/>
      <c r="M1288" s="218"/>
      <c r="N1288" s="218"/>
      <c r="O1288" s="218"/>
      <c r="P1288" s="352"/>
      <c r="Q1288" s="352"/>
      <c r="R1288" s="352"/>
      <c r="S1288" s="352"/>
      <c r="T1288" s="352"/>
      <c r="U1288" s="352"/>
      <c r="V1288" s="218"/>
      <c r="W1288" s="218"/>
      <c r="X1288" s="218"/>
      <c r="Y1288" s="218"/>
      <c r="Z1288" s="218"/>
      <c r="AA1288" s="218"/>
      <c r="AB1288" s="218"/>
      <c r="AC1288" s="218"/>
      <c r="AD1288" s="218"/>
      <c r="AE1288" s="218"/>
      <c r="AF1288" s="218"/>
      <c r="AG1288" s="218"/>
      <c r="AH1288" s="218"/>
      <c r="AI1288" s="218"/>
      <c r="AJ1288" s="218"/>
      <c r="AK1288" s="218">
        <f>G1323+AL1288-G1288</f>
        <v>0</v>
      </c>
      <c r="AL1288" s="218"/>
      <c r="AM1288" s="353"/>
      <c r="AN1288" s="295"/>
      <c r="AO1288" s="296"/>
      <c r="AP1288" s="353"/>
      <c r="AQ1288" s="290"/>
      <c r="AR1288" s="290"/>
      <c r="AS1288" s="290"/>
    </row>
    <row r="1289" spans="1:45" ht="17.25" thickBot="1" x14ac:dyDescent="0.3">
      <c r="A1289" s="467"/>
      <c r="B1289" s="354"/>
      <c r="C1289" s="285">
        <v>1699119</v>
      </c>
      <c r="D1289" s="358" t="s">
        <v>412</v>
      </c>
      <c r="E1289" s="360"/>
      <c r="F1289" s="361">
        <f>G1324-AK1289+AL1289</f>
        <v>0</v>
      </c>
      <c r="G1289" s="364">
        <v>0</v>
      </c>
      <c r="H1289" s="397">
        <v>0</v>
      </c>
      <c r="I1289" s="364">
        <v>0</v>
      </c>
      <c r="J1289" s="364"/>
      <c r="K1289" s="364"/>
      <c r="L1289" s="218"/>
      <c r="M1289" s="218"/>
      <c r="N1289" s="218"/>
      <c r="O1289" s="218"/>
      <c r="P1289" s="352"/>
      <c r="Q1289" s="352"/>
      <c r="R1289" s="352"/>
      <c r="S1289" s="352"/>
      <c r="T1289" s="352"/>
      <c r="U1289" s="352"/>
      <c r="V1289" s="218"/>
      <c r="W1289" s="218"/>
      <c r="X1289" s="218"/>
      <c r="Y1289" s="218"/>
      <c r="Z1289" s="218"/>
      <c r="AA1289" s="218"/>
      <c r="AB1289" s="218"/>
      <c r="AC1289" s="218"/>
      <c r="AD1289" s="218"/>
      <c r="AE1289" s="218"/>
      <c r="AF1289" s="218"/>
      <c r="AG1289" s="218"/>
      <c r="AH1289" s="218"/>
      <c r="AI1289" s="218"/>
      <c r="AJ1289" s="218"/>
      <c r="AK1289" s="218">
        <f>G1324+AL1289-G1289</f>
        <v>0</v>
      </c>
      <c r="AL1289" s="218"/>
      <c r="AM1289" s="353"/>
      <c r="AN1289" s="295"/>
      <c r="AO1289" s="296"/>
      <c r="AP1289" s="353"/>
      <c r="AQ1289" s="290"/>
      <c r="AR1289" s="290"/>
      <c r="AS1289" s="290"/>
    </row>
    <row r="1290" spans="1:45" ht="17.25" thickBot="1" x14ac:dyDescent="0.3">
      <c r="A1290" s="467"/>
      <c r="B1290" s="354"/>
      <c r="C1290" s="285">
        <v>1699130</v>
      </c>
      <c r="D1290" s="358" t="s">
        <v>413</v>
      </c>
      <c r="E1290" s="360"/>
      <c r="F1290" s="361">
        <f>G1325-AK1290+AL1290</f>
        <v>0</v>
      </c>
      <c r="G1290" s="364">
        <v>0</v>
      </c>
      <c r="H1290" s="397">
        <v>0</v>
      </c>
      <c r="I1290" s="364">
        <v>0</v>
      </c>
      <c r="J1290" s="364"/>
      <c r="K1290" s="364"/>
      <c r="L1290" s="218"/>
      <c r="M1290" s="218"/>
      <c r="N1290" s="218"/>
      <c r="O1290" s="218"/>
      <c r="P1290" s="352"/>
      <c r="Q1290" s="352"/>
      <c r="R1290" s="352"/>
      <c r="S1290" s="352"/>
      <c r="T1290" s="352"/>
      <c r="U1290" s="352"/>
      <c r="V1290" s="218"/>
      <c r="W1290" s="218"/>
      <c r="X1290" s="218"/>
      <c r="Y1290" s="218"/>
      <c r="Z1290" s="218"/>
      <c r="AA1290" s="218"/>
      <c r="AB1290" s="218"/>
      <c r="AC1290" s="218"/>
      <c r="AD1290" s="218"/>
      <c r="AE1290" s="218"/>
      <c r="AF1290" s="218"/>
      <c r="AG1290" s="218"/>
      <c r="AH1290" s="218"/>
      <c r="AI1290" s="218"/>
      <c r="AJ1290" s="218"/>
      <c r="AK1290" s="218">
        <f>G1325+AL1290-G1290</f>
        <v>0</v>
      </c>
      <c r="AL1290" s="218"/>
      <c r="AM1290" s="353"/>
      <c r="AN1290" s="295"/>
      <c r="AO1290" s="296"/>
      <c r="AP1290" s="353"/>
      <c r="AQ1290" s="290"/>
      <c r="AR1290" s="290"/>
      <c r="AS1290" s="290"/>
    </row>
    <row r="1291" spans="1:45" ht="17.25" thickBot="1" x14ac:dyDescent="0.3">
      <c r="A1291" s="467"/>
      <c r="B1291" s="354"/>
      <c r="C1291" s="285">
        <v>1699131</v>
      </c>
      <c r="D1291" s="358" t="s">
        <v>414</v>
      </c>
      <c r="E1291" s="360"/>
      <c r="F1291" s="361">
        <f>G1326-AK1291+AL1291</f>
        <v>0</v>
      </c>
      <c r="G1291" s="364">
        <v>0</v>
      </c>
      <c r="H1291" s="397">
        <v>0</v>
      </c>
      <c r="I1291" s="364">
        <v>2</v>
      </c>
      <c r="J1291" s="364"/>
      <c r="K1291" s="364"/>
      <c r="L1291" s="218"/>
      <c r="M1291" s="218"/>
      <c r="N1291" s="218"/>
      <c r="O1291" s="218"/>
      <c r="P1291" s="352"/>
      <c r="Q1291" s="352"/>
      <c r="R1291" s="352"/>
      <c r="S1291" s="352"/>
      <c r="T1291" s="352"/>
      <c r="U1291" s="352"/>
      <c r="V1291" s="218"/>
      <c r="W1291" s="218"/>
      <c r="X1291" s="218"/>
      <c r="Y1291" s="218"/>
      <c r="Z1291" s="218"/>
      <c r="AA1291" s="218"/>
      <c r="AB1291" s="218"/>
      <c r="AC1291" s="218"/>
      <c r="AD1291" s="218"/>
      <c r="AE1291" s="218"/>
      <c r="AF1291" s="218"/>
      <c r="AG1291" s="218"/>
      <c r="AH1291" s="218"/>
      <c r="AI1291" s="218"/>
      <c r="AJ1291" s="218"/>
      <c r="AK1291" s="218">
        <f>G1326+AL1291-G1291</f>
        <v>0</v>
      </c>
      <c r="AL1291" s="218"/>
      <c r="AM1291" s="353"/>
      <c r="AN1291" s="295"/>
      <c r="AO1291" s="296"/>
      <c r="AP1291" s="353"/>
      <c r="AQ1291" s="290"/>
      <c r="AR1291" s="290"/>
      <c r="AS1291" s="290"/>
    </row>
    <row r="1292" spans="1:45" ht="17.25" thickBot="1" x14ac:dyDescent="0.3">
      <c r="A1292" s="468"/>
      <c r="B1292" s="354"/>
      <c r="C1292" s="285">
        <v>1699132</v>
      </c>
      <c r="D1292" s="358" t="s">
        <v>415</v>
      </c>
      <c r="E1292" s="285"/>
      <c r="F1292" s="362">
        <f>G1327-AK1292+AL1292</f>
        <v>0</v>
      </c>
      <c r="G1292" s="364">
        <v>0</v>
      </c>
      <c r="H1292" s="397">
        <v>0</v>
      </c>
      <c r="I1292" s="364">
        <v>2</v>
      </c>
      <c r="J1292" s="364"/>
      <c r="K1292" s="364">
        <v>2</v>
      </c>
      <c r="L1292" s="218"/>
      <c r="M1292" s="218"/>
      <c r="N1292" s="218"/>
      <c r="O1292" s="218"/>
      <c r="P1292" s="352"/>
      <c r="Q1292" s="352"/>
      <c r="R1292" s="352"/>
      <c r="S1292" s="352"/>
      <c r="T1292" s="352"/>
      <c r="U1292" s="352"/>
      <c r="V1292" s="218"/>
      <c r="W1292" s="218"/>
      <c r="X1292" s="218"/>
      <c r="Y1292" s="218"/>
      <c r="Z1292" s="218"/>
      <c r="AA1292" s="218"/>
      <c r="AB1292" s="218"/>
      <c r="AC1292" s="218"/>
      <c r="AD1292" s="218"/>
      <c r="AE1292" s="218"/>
      <c r="AF1292" s="218"/>
      <c r="AG1292" s="218"/>
      <c r="AH1292" s="218"/>
      <c r="AI1292" s="218"/>
      <c r="AJ1292" s="218"/>
      <c r="AK1292" s="218">
        <f>G1327+AL1292-G1292</f>
        <v>0</v>
      </c>
      <c r="AL1292" s="218"/>
      <c r="AM1292" s="353"/>
      <c r="AN1292" s="295"/>
      <c r="AO1292" s="296"/>
      <c r="AP1292" s="353"/>
      <c r="AQ1292" s="290"/>
      <c r="AR1292" s="290"/>
      <c r="AS1292" s="290"/>
    </row>
    <row r="1293" spans="1:45" x14ac:dyDescent="0.25">
      <c r="AL1293" s="290"/>
      <c r="AM1293" s="290"/>
      <c r="AN1293" s="290"/>
      <c r="AO1293" s="290"/>
      <c r="AP1293" s="290"/>
      <c r="AQ1293" s="290"/>
      <c r="AR1293" s="290"/>
    </row>
    <row r="1294" spans="1:45" ht="14.25" thickBot="1" x14ac:dyDescent="0.3">
      <c r="B1294" s="338" t="s">
        <v>18</v>
      </c>
      <c r="C1294" s="339">
        <v>45593</v>
      </c>
      <c r="AL1294" s="290"/>
      <c r="AM1294" s="290"/>
      <c r="AN1294" s="290"/>
      <c r="AO1294" s="290"/>
      <c r="AP1294" s="290"/>
      <c r="AQ1294" s="290"/>
      <c r="AR1294" s="290"/>
    </row>
    <row r="1295" spans="1:45" ht="41.25" thickBot="1" x14ac:dyDescent="0.3">
      <c r="B1295" s="283" t="s">
        <v>0</v>
      </c>
      <c r="C1295" s="284" t="s">
        <v>1</v>
      </c>
      <c r="D1295" s="284" t="s">
        <v>2</v>
      </c>
      <c r="E1295" s="284" t="s">
        <v>3</v>
      </c>
      <c r="F1295" s="4" t="s">
        <v>318</v>
      </c>
      <c r="G1295" s="351" t="s">
        <v>479</v>
      </c>
      <c r="H1295" s="382" t="s">
        <v>460</v>
      </c>
      <c r="I1295" s="234" t="s">
        <v>465</v>
      </c>
      <c r="J1295" s="234"/>
      <c r="K1295" s="258" t="s">
        <v>480</v>
      </c>
      <c r="L1295" s="258" t="s">
        <v>328</v>
      </c>
      <c r="M1295" s="258" t="s">
        <v>327</v>
      </c>
      <c r="N1295" s="234" t="s">
        <v>389</v>
      </c>
      <c r="O1295" s="240" t="s">
        <v>130</v>
      </c>
      <c r="P1295" s="243" t="s">
        <v>303</v>
      </c>
      <c r="Q1295" s="244" t="s">
        <v>304</v>
      </c>
      <c r="R1295" s="244" t="s">
        <v>314</v>
      </c>
      <c r="S1295" s="245" t="s">
        <v>338</v>
      </c>
      <c r="T1295" s="245" t="s">
        <v>345</v>
      </c>
      <c r="U1295" s="245" t="s">
        <v>361</v>
      </c>
      <c r="V1295" s="245" t="s">
        <v>387</v>
      </c>
      <c r="W1295" s="245" t="s">
        <v>421</v>
      </c>
      <c r="X1295" s="245" t="s">
        <v>452</v>
      </c>
      <c r="Y1295" s="245" t="s">
        <v>463</v>
      </c>
      <c r="Z1295" s="245"/>
      <c r="AA1295" s="245"/>
      <c r="AB1295" s="245"/>
      <c r="AC1295" s="245"/>
      <c r="AD1295" s="245"/>
      <c r="AE1295" s="245"/>
      <c r="AF1295" s="245"/>
      <c r="AG1295" s="245"/>
      <c r="AH1295" s="245"/>
      <c r="AI1295" s="245"/>
      <c r="AJ1295" s="245" t="s">
        <v>360</v>
      </c>
      <c r="AK1295" s="246" t="s">
        <v>268</v>
      </c>
      <c r="AL1295" s="247" t="s">
        <v>269</v>
      </c>
      <c r="AM1295" s="291" t="s">
        <v>288</v>
      </c>
      <c r="AN1295" s="292" t="s">
        <v>289</v>
      </c>
      <c r="AO1295" s="292" t="s">
        <v>287</v>
      </c>
      <c r="AP1295" s="293" t="s">
        <v>290</v>
      </c>
      <c r="AQ1295" s="290" t="s">
        <v>306</v>
      </c>
      <c r="AR1295" s="290" t="s">
        <v>310</v>
      </c>
      <c r="AS1295" s="290" t="s">
        <v>311</v>
      </c>
    </row>
    <row r="1296" spans="1:45" ht="17.25" thickBot="1" x14ac:dyDescent="0.3">
      <c r="A1296" s="463" t="s">
        <v>416</v>
      </c>
      <c r="B1296" s="285">
        <v>273664</v>
      </c>
      <c r="C1296" s="286">
        <v>1135749</v>
      </c>
      <c r="D1296" s="286" t="s">
        <v>7</v>
      </c>
      <c r="E1296" s="286">
        <v>6060050026</v>
      </c>
      <c r="F1296" s="253">
        <f>G1331-AK1296+AL1296</f>
        <v>7</v>
      </c>
      <c r="G1296" s="235">
        <v>7</v>
      </c>
      <c r="H1296" s="394">
        <v>7</v>
      </c>
      <c r="I1296" s="232">
        <v>7</v>
      </c>
      <c r="J1296" s="232"/>
      <c r="K1296" s="232">
        <v>1</v>
      </c>
      <c r="L1296" s="232">
        <f>IF(K1330=K1295,L1331+AK1296,K1296)</f>
        <v>1</v>
      </c>
      <c r="M1296" s="232">
        <f>IF(K1330=K1295,0,L1331+AK1296-K1296)</f>
        <v>1</v>
      </c>
      <c r="N1296" s="267">
        <v>5</v>
      </c>
      <c r="O1296" s="241">
        <f>N1296-G1296</f>
        <v>-2</v>
      </c>
      <c r="P1296" s="277">
        <v>4</v>
      </c>
      <c r="Q1296" s="278">
        <v>4</v>
      </c>
      <c r="R1296" s="279"/>
      <c r="S1296" s="279">
        <v>3</v>
      </c>
      <c r="T1296" s="279">
        <v>4</v>
      </c>
      <c r="U1296" s="279">
        <v>2</v>
      </c>
      <c r="V1296" s="279"/>
      <c r="W1296" s="279">
        <f>2+3</f>
        <v>5</v>
      </c>
      <c r="X1296" s="241"/>
      <c r="Y1296" s="241"/>
      <c r="Z1296" s="241"/>
      <c r="AA1296" s="241"/>
      <c r="AB1296" s="241"/>
      <c r="AC1296" s="241"/>
      <c r="AD1296" s="241"/>
      <c r="AE1296" s="241"/>
      <c r="AF1296" s="241"/>
      <c r="AG1296" s="241"/>
      <c r="AH1296" s="241"/>
      <c r="AI1296" s="241"/>
      <c r="AJ1296" s="241">
        <f>N1296-V1296</f>
        <v>5</v>
      </c>
      <c r="AK1296" s="235">
        <f>G1331+AL1296-G1296</f>
        <v>0</v>
      </c>
      <c r="AL1296" s="350"/>
      <c r="AM1296" s="294">
        <v>1.5</v>
      </c>
      <c r="AN1296" s="295">
        <v>4</v>
      </c>
      <c r="AO1296" s="296">
        <f>G1296/(AN1296)</f>
        <v>1.75</v>
      </c>
      <c r="AP1296" s="297">
        <f>AN1296*6</f>
        <v>24</v>
      </c>
      <c r="AQ1296" s="290">
        <f>G1296+K1296</f>
        <v>8</v>
      </c>
      <c r="AR1296" s="290">
        <f>IF(G1296&lt;G1331,(G1331-G1296+K1331-K1296),K1331-K1296)</f>
        <v>1</v>
      </c>
      <c r="AS1296" s="290">
        <f>21-8</f>
        <v>13</v>
      </c>
    </row>
    <row r="1297" spans="1:45" ht="17.25" thickBot="1" x14ac:dyDescent="0.3">
      <c r="A1297" s="464"/>
      <c r="B1297" s="285">
        <v>273672</v>
      </c>
      <c r="C1297" s="286">
        <v>1135750</v>
      </c>
      <c r="D1297" s="286" t="s">
        <v>9</v>
      </c>
      <c r="E1297" s="287">
        <v>204000000000</v>
      </c>
      <c r="F1297" s="253">
        <f>G1332-AK1297+AL1297</f>
        <v>35</v>
      </c>
      <c r="G1297" s="235">
        <v>35</v>
      </c>
      <c r="H1297" s="394">
        <v>15</v>
      </c>
      <c r="I1297" s="232">
        <v>15</v>
      </c>
      <c r="J1297" s="232"/>
      <c r="K1297" s="232">
        <v>9</v>
      </c>
      <c r="L1297" s="232">
        <f>IF(K1330=K1295,L1332+AK1297,K1297)</f>
        <v>9</v>
      </c>
      <c r="M1297" s="232">
        <f>IF(K1330=K1295,0,L1332+AK1297-K1297)</f>
        <v>-1</v>
      </c>
      <c r="N1297" s="267">
        <v>10</v>
      </c>
      <c r="O1297" s="241">
        <f>N1297-G1297</f>
        <v>-25</v>
      </c>
      <c r="P1297" s="277">
        <v>13</v>
      </c>
      <c r="Q1297" s="278">
        <v>2</v>
      </c>
      <c r="R1297" s="279">
        <v>6</v>
      </c>
      <c r="S1297" s="279">
        <v>6</v>
      </c>
      <c r="T1297" s="279">
        <v>10</v>
      </c>
      <c r="U1297" s="279">
        <v>4</v>
      </c>
      <c r="V1297" s="279">
        <v>6</v>
      </c>
      <c r="W1297" s="279">
        <v>16</v>
      </c>
      <c r="X1297" s="241"/>
      <c r="Y1297" s="241">
        <v>6</v>
      </c>
      <c r="Z1297" s="241"/>
      <c r="AA1297" s="241"/>
      <c r="AB1297" s="241"/>
      <c r="AC1297" s="241"/>
      <c r="AD1297" s="241"/>
      <c r="AE1297" s="241"/>
      <c r="AF1297" s="241"/>
      <c r="AG1297" s="241"/>
      <c r="AH1297" s="241"/>
      <c r="AI1297" s="241"/>
      <c r="AJ1297" s="241">
        <f>N1297-V1297</f>
        <v>4</v>
      </c>
      <c r="AK1297" s="235">
        <f>G1332+AL1297-G1297</f>
        <v>0</v>
      </c>
      <c r="AL1297" s="236"/>
      <c r="AM1297" s="298">
        <v>4.2</v>
      </c>
      <c r="AN1297" s="295">
        <v>9</v>
      </c>
      <c r="AO1297" s="296">
        <f>G1297/(AN1297)</f>
        <v>3.8888888888888888</v>
      </c>
      <c r="AP1297" s="297">
        <f>AN1297*6</f>
        <v>54</v>
      </c>
      <c r="AQ1297" s="290">
        <f>G1297+K1297</f>
        <v>44</v>
      </c>
      <c r="AR1297" s="290">
        <f>IF(G1297&lt;G1332,(G1332-G1297+K1332-K1297),K1332-K1297)</f>
        <v>-1</v>
      </c>
      <c r="AS1297" s="290">
        <f>21-8</f>
        <v>13</v>
      </c>
    </row>
    <row r="1298" spans="1:45" ht="17.25" thickBot="1" x14ac:dyDescent="0.3">
      <c r="A1298" s="464"/>
      <c r="B1298" s="285">
        <v>273702</v>
      </c>
      <c r="C1298" s="286">
        <v>1135753</v>
      </c>
      <c r="D1298" s="286" t="s">
        <v>10</v>
      </c>
      <c r="E1298" s="287">
        <v>301000000000</v>
      </c>
      <c r="F1298" s="253">
        <f>G1333-AK1298+AL1298</f>
        <v>2</v>
      </c>
      <c r="G1298" s="235">
        <v>2</v>
      </c>
      <c r="H1298" s="394">
        <v>2</v>
      </c>
      <c r="I1298" s="232">
        <v>2</v>
      </c>
      <c r="J1298" s="232"/>
      <c r="K1298" s="232">
        <v>1</v>
      </c>
      <c r="L1298" s="232">
        <f>IF(K1330=K1295,L1333+AK1298,K1298)</f>
        <v>1</v>
      </c>
      <c r="M1298" s="232">
        <f>IF(K1330=K1295,0,L1333+AK1298-K1298)</f>
        <v>0</v>
      </c>
      <c r="N1298" s="232">
        <v>2</v>
      </c>
      <c r="O1298" s="241">
        <f>N1298-G1298</f>
        <v>0</v>
      </c>
      <c r="P1298" s="277"/>
      <c r="Q1298" s="278"/>
      <c r="R1298" s="279"/>
      <c r="S1298" s="279"/>
      <c r="T1298" s="279"/>
      <c r="U1298" s="279"/>
      <c r="V1298" s="279"/>
      <c r="W1298" s="279"/>
      <c r="X1298" s="241"/>
      <c r="Y1298" s="241"/>
      <c r="Z1298" s="241"/>
      <c r="AA1298" s="241"/>
      <c r="AB1298" s="241"/>
      <c r="AC1298" s="241"/>
      <c r="AD1298" s="241"/>
      <c r="AE1298" s="241"/>
      <c r="AF1298" s="241"/>
      <c r="AG1298" s="241"/>
      <c r="AH1298" s="241"/>
      <c r="AI1298" s="241"/>
      <c r="AJ1298" s="241">
        <f>N1298-V1298</f>
        <v>2</v>
      </c>
      <c r="AK1298" s="235">
        <f>G1333+AL1298-G1298</f>
        <v>0</v>
      </c>
      <c r="AL1298" s="236"/>
      <c r="AM1298" s="294">
        <f>4/12</f>
        <v>0.33333333333333331</v>
      </c>
      <c r="AN1298" s="295">
        <v>2</v>
      </c>
      <c r="AO1298" s="296">
        <f>G1298/(AN1298)</f>
        <v>1</v>
      </c>
      <c r="AP1298" s="297">
        <f>AN1298*6</f>
        <v>12</v>
      </c>
      <c r="AQ1298" s="290">
        <f>G1298+K1298</f>
        <v>3</v>
      </c>
      <c r="AR1298" s="290">
        <f>IF(G1298&lt;G1333,(G1333-G1298+K1333-K1298),K1333-K1298)</f>
        <v>0</v>
      </c>
      <c r="AS1298" s="290">
        <f>21-8</f>
        <v>13</v>
      </c>
    </row>
    <row r="1299" spans="1:45" ht="17.25" thickBot="1" x14ac:dyDescent="0.3">
      <c r="A1299" s="464"/>
      <c r="B1299" s="285">
        <v>273698</v>
      </c>
      <c r="C1299" s="286">
        <v>1135752</v>
      </c>
      <c r="D1299" s="286" t="s">
        <v>11</v>
      </c>
      <c r="E1299" s="287">
        <v>701000000000</v>
      </c>
      <c r="F1299" s="253">
        <f>G1334-AK1299+AL1299</f>
        <v>2</v>
      </c>
      <c r="G1299" s="235">
        <v>2</v>
      </c>
      <c r="H1299" s="394">
        <v>2</v>
      </c>
      <c r="I1299" s="232">
        <v>3</v>
      </c>
      <c r="J1299" s="232"/>
      <c r="K1299" s="232">
        <v>0</v>
      </c>
      <c r="L1299" s="232">
        <f>IF(K1330=K1295,L1334+AK1299,K1299)</f>
        <v>0</v>
      </c>
      <c r="M1299" s="232">
        <f>IF(K1330=K1295,0,L1334+AK1299-K1299)</f>
        <v>0</v>
      </c>
      <c r="N1299" s="232">
        <v>3</v>
      </c>
      <c r="O1299" s="241">
        <f>N1299-G1299</f>
        <v>1</v>
      </c>
      <c r="P1299" s="277">
        <v>2</v>
      </c>
      <c r="Q1299" s="278"/>
      <c r="R1299" s="279"/>
      <c r="S1299" s="279"/>
      <c r="T1299" s="279"/>
      <c r="U1299" s="279"/>
      <c r="V1299" s="279"/>
      <c r="W1299" s="279">
        <v>1</v>
      </c>
      <c r="X1299" s="241"/>
      <c r="Y1299" s="241"/>
      <c r="Z1299" s="241"/>
      <c r="AA1299" s="241"/>
      <c r="AB1299" s="241"/>
      <c r="AC1299" s="241"/>
      <c r="AD1299" s="241"/>
      <c r="AE1299" s="241"/>
      <c r="AF1299" s="241"/>
      <c r="AG1299" s="241"/>
      <c r="AH1299" s="241"/>
      <c r="AI1299" s="241"/>
      <c r="AJ1299" s="241">
        <f>N1299-V1299</f>
        <v>3</v>
      </c>
      <c r="AK1299" s="235">
        <f>G1334+AL1299-G1299</f>
        <v>0</v>
      </c>
      <c r="AL1299" s="236"/>
      <c r="AM1299" s="294">
        <f>4/12</f>
        <v>0.33333333333333331</v>
      </c>
      <c r="AN1299" s="295">
        <v>2</v>
      </c>
      <c r="AO1299" s="296">
        <f>G1299/(AN1299)</f>
        <v>1</v>
      </c>
      <c r="AP1299" s="297">
        <f>AN1299*6</f>
        <v>12</v>
      </c>
      <c r="AQ1299" s="290">
        <f>G1299+K1299</f>
        <v>2</v>
      </c>
      <c r="AR1299" s="290">
        <f>IF(G1299&lt;G1334,(G1334-G1299+K1334-K1299),K1334-K1299)</f>
        <v>0</v>
      </c>
      <c r="AS1299" s="290">
        <f>21-8</f>
        <v>13</v>
      </c>
    </row>
    <row r="1300" spans="1:45" ht="17.25" thickBot="1" x14ac:dyDescent="0.3">
      <c r="A1300" s="465"/>
      <c r="B1300" s="285">
        <v>273680</v>
      </c>
      <c r="C1300" s="286">
        <v>1135751</v>
      </c>
      <c r="D1300" s="286" t="s">
        <v>12</v>
      </c>
      <c r="E1300" s="286" t="s">
        <v>13</v>
      </c>
      <c r="F1300" s="254">
        <f>G1335-AK1300+AL1300</f>
        <v>5</v>
      </c>
      <c r="G1300" s="237">
        <v>5</v>
      </c>
      <c r="H1300" s="395">
        <v>5</v>
      </c>
      <c r="I1300" s="238">
        <v>5</v>
      </c>
      <c r="J1300" s="238"/>
      <c r="K1300" s="238">
        <v>11</v>
      </c>
      <c r="L1300" s="238">
        <f>IF(K1330=K1295,L1335+AK1300,K1300)</f>
        <v>11</v>
      </c>
      <c r="M1300" s="238">
        <f>IF(K1330=K1295,0,L1335+AK1300-K1300)</f>
        <v>0</v>
      </c>
      <c r="N1300" s="238">
        <v>9</v>
      </c>
      <c r="O1300" s="242">
        <f>N1300-G1300</f>
        <v>4</v>
      </c>
      <c r="P1300" s="280"/>
      <c r="Q1300" s="281"/>
      <c r="R1300" s="282"/>
      <c r="S1300" s="282"/>
      <c r="T1300" s="282">
        <v>11</v>
      </c>
      <c r="U1300" s="282"/>
      <c r="V1300" s="282"/>
      <c r="W1300" s="282">
        <v>9</v>
      </c>
      <c r="X1300" s="242"/>
      <c r="Y1300" s="242">
        <v>9</v>
      </c>
      <c r="Z1300" s="242"/>
      <c r="AA1300" s="242"/>
      <c r="AB1300" s="242"/>
      <c r="AC1300" s="242"/>
      <c r="AD1300" s="242"/>
      <c r="AE1300" s="242"/>
      <c r="AF1300" s="242"/>
      <c r="AG1300" s="242"/>
      <c r="AH1300" s="242"/>
      <c r="AI1300" s="242"/>
      <c r="AJ1300" s="242">
        <f>N1300-V1300</f>
        <v>9</v>
      </c>
      <c r="AK1300" s="235">
        <f>G1335+AL1300-G1300</f>
        <v>0</v>
      </c>
      <c r="AL1300" s="239"/>
      <c r="AM1300" s="299">
        <f>30/12</f>
        <v>2.5</v>
      </c>
      <c r="AN1300" s="300">
        <f>AM1300*2</f>
        <v>5</v>
      </c>
      <c r="AO1300" s="301">
        <f>G1300/(AN1300)</f>
        <v>1</v>
      </c>
      <c r="AP1300" s="302">
        <f>AN1300*6</f>
        <v>30</v>
      </c>
      <c r="AQ1300" s="290">
        <f>G1300+K1300</f>
        <v>16</v>
      </c>
      <c r="AR1300" s="290">
        <f>IF(G1300&lt;G1335,(G1335-G1300+K1335-K1300),K1335-K1300)</f>
        <v>0</v>
      </c>
      <c r="AS1300" s="290">
        <f>21-8</f>
        <v>13</v>
      </c>
    </row>
    <row r="1301" spans="1:45" ht="17.25" thickBot="1" x14ac:dyDescent="0.3">
      <c r="A1301" s="466" t="s">
        <v>417</v>
      </c>
      <c r="B1301" s="355" t="s">
        <v>129</v>
      </c>
      <c r="C1301" s="356"/>
      <c r="D1301" s="356"/>
      <c r="E1301" s="359"/>
      <c r="F1301" s="359"/>
      <c r="G1301" s="356"/>
      <c r="H1301" s="396"/>
      <c r="I1301" s="356"/>
      <c r="J1301" s="356"/>
      <c r="K1301" s="356"/>
      <c r="L1301" s="356"/>
      <c r="M1301" s="356"/>
      <c r="N1301" s="356"/>
      <c r="O1301" s="356"/>
      <c r="P1301" s="356"/>
      <c r="Q1301" s="356"/>
      <c r="R1301" s="356"/>
      <c r="S1301" s="356"/>
      <c r="T1301" s="356"/>
      <c r="U1301" s="356"/>
      <c r="V1301" s="356"/>
      <c r="W1301" s="356"/>
      <c r="X1301" s="356"/>
      <c r="Y1301" s="356"/>
      <c r="Z1301" s="356"/>
      <c r="AA1301" s="356"/>
      <c r="AB1301" s="356"/>
      <c r="AC1301" s="356"/>
      <c r="AD1301" s="356"/>
      <c r="AE1301" s="356"/>
      <c r="AF1301" s="356"/>
      <c r="AG1301" s="356"/>
      <c r="AH1301" s="356"/>
      <c r="AI1301" s="356"/>
      <c r="AJ1301" s="356"/>
      <c r="AK1301" s="356"/>
      <c r="AL1301" s="367"/>
      <c r="AM1301" s="356"/>
      <c r="AN1301" s="356"/>
      <c r="AO1301" s="356"/>
      <c r="AP1301" s="356"/>
      <c r="AQ1301" s="356"/>
      <c r="AR1301" s="356"/>
      <c r="AS1301" s="357"/>
    </row>
    <row r="1302" spans="1:45" ht="17.25" thickBot="1" x14ac:dyDescent="0.3">
      <c r="A1302" s="467"/>
      <c r="B1302" s="354"/>
      <c r="C1302" s="354">
        <v>1140327</v>
      </c>
      <c r="D1302" s="358" t="s">
        <v>394</v>
      </c>
      <c r="E1302" s="360"/>
      <c r="F1302" s="361">
        <f>G1337-AK1302+AL1302</f>
        <v>23</v>
      </c>
      <c r="G1302" s="218">
        <v>23</v>
      </c>
      <c r="H1302" s="397">
        <v>26</v>
      </c>
      <c r="I1302" s="218">
        <v>23</v>
      </c>
      <c r="J1302" s="218"/>
      <c r="K1302" s="218">
        <v>1</v>
      </c>
      <c r="L1302" s="218">
        <f>IF(K1330=K1295,L1337+AK1302,K1302)</f>
        <v>1</v>
      </c>
      <c r="M1302" s="218">
        <f>IF(K1330=K1295,0,L1337+AK1302-K1302)</f>
        <v>1</v>
      </c>
      <c r="N1302" s="218"/>
      <c r="O1302" s="218"/>
      <c r="P1302" s="352"/>
      <c r="Q1302" s="352"/>
      <c r="R1302" s="352"/>
      <c r="S1302" s="352"/>
      <c r="T1302" s="352"/>
      <c r="U1302" s="352"/>
      <c r="V1302" s="218"/>
      <c r="W1302" s="218"/>
      <c r="X1302" s="218">
        <v>4</v>
      </c>
      <c r="Y1302" s="218">
        <v>9</v>
      </c>
      <c r="Z1302" s="218"/>
      <c r="AA1302" s="218"/>
      <c r="AB1302" s="218"/>
      <c r="AC1302" s="218"/>
      <c r="AD1302" s="218"/>
      <c r="AE1302" s="218"/>
      <c r="AF1302" s="218"/>
      <c r="AG1302" s="218"/>
      <c r="AH1302" s="218"/>
      <c r="AI1302" s="218"/>
      <c r="AJ1302" s="242">
        <f>N1302-V1302</f>
        <v>0</v>
      </c>
      <c r="AK1302" s="274">
        <f>G1337+AL1302-G1302</f>
        <v>0</v>
      </c>
      <c r="AL1302" s="232"/>
      <c r="AM1302" s="353"/>
      <c r="AN1302" s="295"/>
      <c r="AO1302" s="296"/>
      <c r="AP1302" s="353"/>
      <c r="AQ1302" s="290"/>
      <c r="AR1302" s="290"/>
      <c r="AS1302" s="290"/>
    </row>
    <row r="1303" spans="1:45" ht="17.25" thickBot="1" x14ac:dyDescent="0.3">
      <c r="A1303" s="467"/>
      <c r="B1303" s="354"/>
      <c r="C1303" s="285">
        <v>1151231</v>
      </c>
      <c r="D1303" s="358" t="s">
        <v>395</v>
      </c>
      <c r="E1303" s="360"/>
      <c r="F1303" s="361">
        <f>G1338-AK1303+AL1303</f>
        <v>11</v>
      </c>
      <c r="G1303" s="369">
        <v>11</v>
      </c>
      <c r="H1303" s="397">
        <v>3</v>
      </c>
      <c r="I1303" s="218">
        <v>0</v>
      </c>
      <c r="J1303" s="218"/>
      <c r="K1303" s="218">
        <v>4</v>
      </c>
      <c r="L1303" s="218">
        <f>IF(K1330=K1295,L1338+AK1303,K1303)</f>
        <v>4</v>
      </c>
      <c r="M1303" s="218">
        <f>IF(K1330=K1295,0,L1338+AK1303-K1303)</f>
        <v>0</v>
      </c>
      <c r="N1303" s="218"/>
      <c r="O1303" s="218"/>
      <c r="P1303" s="352"/>
      <c r="Q1303" s="352"/>
      <c r="R1303" s="352"/>
      <c r="S1303" s="352"/>
      <c r="T1303" s="352"/>
      <c r="U1303" s="352"/>
      <c r="V1303" s="218"/>
      <c r="W1303" s="218"/>
      <c r="X1303" s="218">
        <v>3</v>
      </c>
      <c r="Y1303" s="218">
        <v>8</v>
      </c>
      <c r="Z1303" s="218"/>
      <c r="AA1303" s="218"/>
      <c r="AB1303" s="218"/>
      <c r="AC1303" s="218"/>
      <c r="AD1303" s="218"/>
      <c r="AE1303" s="218"/>
      <c r="AF1303" s="218"/>
      <c r="AG1303" s="218"/>
      <c r="AH1303" s="218"/>
      <c r="AI1303" s="218"/>
      <c r="AJ1303" s="242">
        <f>N1303-V1303</f>
        <v>0</v>
      </c>
      <c r="AK1303" s="274">
        <f>G1338+AL1303-G1303</f>
        <v>0</v>
      </c>
      <c r="AL1303" s="232"/>
      <c r="AM1303" s="353"/>
      <c r="AN1303" s="295"/>
      <c r="AO1303" s="296"/>
      <c r="AP1303" s="353"/>
      <c r="AQ1303" s="290"/>
      <c r="AR1303" s="290"/>
      <c r="AS1303" s="290"/>
    </row>
    <row r="1304" spans="1:45" ht="17.25" thickBot="1" x14ac:dyDescent="0.3">
      <c r="A1304" s="467"/>
      <c r="B1304" s="355" t="s">
        <v>420</v>
      </c>
      <c r="C1304" s="356"/>
      <c r="D1304" s="356"/>
      <c r="E1304" s="359"/>
      <c r="F1304" s="359"/>
      <c r="G1304" s="356"/>
      <c r="H1304" s="396"/>
      <c r="I1304" s="356"/>
      <c r="J1304" s="356"/>
      <c r="K1304" s="356"/>
      <c r="L1304" s="356"/>
      <c r="M1304" s="356"/>
      <c r="N1304" s="356"/>
      <c r="O1304" s="356"/>
      <c r="P1304" s="356"/>
      <c r="Q1304" s="356"/>
      <c r="R1304" s="356"/>
      <c r="S1304" s="356"/>
      <c r="T1304" s="356"/>
      <c r="U1304" s="356"/>
      <c r="V1304" s="356"/>
      <c r="W1304" s="356"/>
      <c r="X1304" s="356"/>
      <c r="Y1304" s="356"/>
      <c r="Z1304" s="356"/>
      <c r="AA1304" s="356"/>
      <c r="AB1304" s="356"/>
      <c r="AC1304" s="356"/>
      <c r="AD1304" s="356"/>
      <c r="AE1304" s="356"/>
      <c r="AF1304" s="356"/>
      <c r="AG1304" s="356"/>
      <c r="AH1304" s="356"/>
      <c r="AI1304" s="356"/>
      <c r="AJ1304" s="356"/>
      <c r="AK1304" s="356"/>
      <c r="AL1304" s="368"/>
      <c r="AM1304" s="356"/>
      <c r="AN1304" s="356"/>
      <c r="AO1304" s="356"/>
      <c r="AP1304" s="356"/>
      <c r="AQ1304" s="356"/>
      <c r="AR1304" s="356"/>
      <c r="AS1304" s="357"/>
    </row>
    <row r="1305" spans="1:45" ht="17.25" thickBot="1" x14ac:dyDescent="0.3">
      <c r="A1305" s="467"/>
      <c r="B1305" s="354"/>
      <c r="C1305" s="285">
        <v>1146032</v>
      </c>
      <c r="D1305" s="358" t="s">
        <v>396</v>
      </c>
      <c r="E1305" s="360"/>
      <c r="F1305" s="361">
        <f>G1340-AK1305+AL1305</f>
        <v>1</v>
      </c>
      <c r="G1305" s="364">
        <v>1</v>
      </c>
      <c r="H1305" s="397">
        <v>1</v>
      </c>
      <c r="I1305" s="364">
        <v>3</v>
      </c>
      <c r="J1305" s="364"/>
      <c r="K1305" s="364">
        <v>1</v>
      </c>
      <c r="L1305" s="218"/>
      <c r="M1305" s="218"/>
      <c r="N1305" s="218"/>
      <c r="O1305" s="218"/>
      <c r="P1305" s="352"/>
      <c r="Q1305" s="352"/>
      <c r="R1305" s="352"/>
      <c r="S1305" s="352"/>
      <c r="T1305" s="352"/>
      <c r="U1305" s="352"/>
      <c r="V1305" s="218"/>
      <c r="W1305" s="218"/>
      <c r="X1305" s="218"/>
      <c r="Y1305" s="218"/>
      <c r="Z1305" s="218"/>
      <c r="AA1305" s="218"/>
      <c r="AB1305" s="218"/>
      <c r="AC1305" s="218"/>
      <c r="AD1305" s="218"/>
      <c r="AE1305" s="218"/>
      <c r="AF1305" s="218"/>
      <c r="AG1305" s="218"/>
      <c r="AH1305" s="218"/>
      <c r="AI1305" s="218"/>
      <c r="AJ1305" s="218"/>
      <c r="AK1305" s="218"/>
      <c r="AL1305" s="218"/>
      <c r="AM1305" s="353"/>
      <c r="AN1305" s="295"/>
      <c r="AO1305" s="296"/>
      <c r="AP1305" s="353"/>
      <c r="AQ1305" s="290"/>
      <c r="AR1305" s="290"/>
      <c r="AS1305" s="290"/>
    </row>
    <row r="1306" spans="1:45" ht="17.25" thickBot="1" x14ac:dyDescent="0.3">
      <c r="A1306" s="467"/>
      <c r="B1306" s="354"/>
      <c r="C1306" s="285">
        <v>1146021</v>
      </c>
      <c r="D1306" s="358" t="s">
        <v>397</v>
      </c>
      <c r="E1306" s="360"/>
      <c r="F1306" s="361">
        <f>G1341-AK1306+AL1306</f>
        <v>2</v>
      </c>
      <c r="G1306" s="364">
        <v>2</v>
      </c>
      <c r="H1306" s="397">
        <v>2</v>
      </c>
      <c r="I1306" s="364">
        <v>2</v>
      </c>
      <c r="J1306" s="364"/>
      <c r="K1306" s="364">
        <v>2</v>
      </c>
      <c r="L1306" s="218"/>
      <c r="M1306" s="218"/>
      <c r="N1306" s="218"/>
      <c r="O1306" s="218"/>
      <c r="P1306" s="352"/>
      <c r="Q1306" s="352"/>
      <c r="R1306" s="352"/>
      <c r="S1306" s="352"/>
      <c r="T1306" s="352"/>
      <c r="U1306" s="352"/>
      <c r="V1306" s="218"/>
      <c r="W1306" s="218"/>
      <c r="X1306" s="218"/>
      <c r="Y1306" s="218"/>
      <c r="Z1306" s="218"/>
      <c r="AA1306" s="218"/>
      <c r="AB1306" s="218"/>
      <c r="AC1306" s="218"/>
      <c r="AD1306" s="218"/>
      <c r="AE1306" s="218"/>
      <c r="AF1306" s="218"/>
      <c r="AG1306" s="218"/>
      <c r="AH1306" s="218"/>
      <c r="AI1306" s="218"/>
      <c r="AJ1306" s="218"/>
      <c r="AK1306" s="218"/>
      <c r="AL1306" s="218"/>
      <c r="AM1306" s="353"/>
      <c r="AN1306" s="295"/>
      <c r="AO1306" s="296"/>
      <c r="AP1306" s="353"/>
      <c r="AQ1306" s="290"/>
      <c r="AR1306" s="290"/>
      <c r="AS1306" s="290"/>
    </row>
    <row r="1307" spans="1:45" ht="17.25" thickBot="1" x14ac:dyDescent="0.3">
      <c r="A1307" s="467"/>
      <c r="B1307" s="354"/>
      <c r="C1307" s="285">
        <v>1146018</v>
      </c>
      <c r="D1307" s="358" t="s">
        <v>398</v>
      </c>
      <c r="E1307" s="360"/>
      <c r="F1307" s="361">
        <f>G1342-AK1307+AL1307</f>
        <v>4</v>
      </c>
      <c r="G1307" s="364">
        <v>4</v>
      </c>
      <c r="H1307" s="397">
        <v>4</v>
      </c>
      <c r="I1307" s="364">
        <v>4</v>
      </c>
      <c r="J1307" s="364"/>
      <c r="K1307" s="364">
        <v>1</v>
      </c>
      <c r="L1307" s="218"/>
      <c r="M1307" s="218"/>
      <c r="N1307" s="218"/>
      <c r="O1307" s="218"/>
      <c r="P1307" s="352"/>
      <c r="Q1307" s="352"/>
      <c r="R1307" s="352"/>
      <c r="S1307" s="352"/>
      <c r="T1307" s="352"/>
      <c r="U1307" s="352"/>
      <c r="V1307" s="218"/>
      <c r="W1307" s="218"/>
      <c r="X1307" s="218"/>
      <c r="Y1307" s="218"/>
      <c r="Z1307" s="218"/>
      <c r="AA1307" s="218"/>
      <c r="AB1307" s="218"/>
      <c r="AC1307" s="218"/>
      <c r="AD1307" s="218"/>
      <c r="AE1307" s="218"/>
      <c r="AF1307" s="218"/>
      <c r="AG1307" s="218"/>
      <c r="AH1307" s="218"/>
      <c r="AI1307" s="218"/>
      <c r="AJ1307" s="218"/>
      <c r="AK1307" s="218"/>
      <c r="AL1307" s="218"/>
      <c r="AM1307" s="353"/>
      <c r="AN1307" s="295"/>
      <c r="AO1307" s="296"/>
      <c r="AP1307" s="353"/>
      <c r="AQ1307" s="290"/>
      <c r="AR1307" s="290"/>
      <c r="AS1307" s="290"/>
    </row>
    <row r="1308" spans="1:45" ht="17.25" thickBot="1" x14ac:dyDescent="0.3">
      <c r="A1308" s="467"/>
      <c r="B1308" s="354"/>
      <c r="C1308" s="285">
        <v>1146024</v>
      </c>
      <c r="D1308" s="358" t="s">
        <v>399</v>
      </c>
      <c r="E1308" s="360"/>
      <c r="F1308" s="361">
        <v>1</v>
      </c>
      <c r="G1308" s="364">
        <v>1</v>
      </c>
      <c r="H1308" s="397">
        <v>0</v>
      </c>
      <c r="I1308" s="364">
        <v>0</v>
      </c>
      <c r="J1308" s="364"/>
      <c r="K1308" s="364"/>
      <c r="L1308" s="218"/>
      <c r="M1308" s="218"/>
      <c r="N1308" s="218"/>
      <c r="O1308" s="218"/>
      <c r="P1308" s="352"/>
      <c r="Q1308" s="352"/>
      <c r="R1308" s="352"/>
      <c r="S1308" s="352"/>
      <c r="T1308" s="352"/>
      <c r="U1308" s="352"/>
      <c r="V1308" s="218"/>
      <c r="W1308" s="218"/>
      <c r="X1308" s="218"/>
      <c r="Y1308" s="218"/>
      <c r="Z1308" s="218"/>
      <c r="AA1308" s="218"/>
      <c r="AB1308" s="218"/>
      <c r="AC1308" s="218"/>
      <c r="AD1308" s="218"/>
      <c r="AE1308" s="218"/>
      <c r="AF1308" s="218"/>
      <c r="AG1308" s="218"/>
      <c r="AH1308" s="218"/>
      <c r="AI1308" s="218"/>
      <c r="AJ1308" s="218"/>
      <c r="AK1308" s="218"/>
      <c r="AL1308" s="218"/>
      <c r="AM1308" s="353"/>
      <c r="AN1308" s="295"/>
      <c r="AO1308" s="296"/>
      <c r="AP1308" s="353"/>
      <c r="AQ1308" s="290"/>
      <c r="AR1308" s="290"/>
      <c r="AS1308" s="290"/>
    </row>
    <row r="1309" spans="1:45" ht="17.25" thickBot="1" x14ac:dyDescent="0.3">
      <c r="A1309" s="467"/>
      <c r="B1309" s="354"/>
      <c r="C1309" s="285">
        <v>1146028</v>
      </c>
      <c r="D1309" s="358" t="s">
        <v>400</v>
      </c>
      <c r="E1309" s="360"/>
      <c r="F1309" s="361">
        <f>G1344-AK1309+AL1309</f>
        <v>1</v>
      </c>
      <c r="G1309" s="364">
        <v>1</v>
      </c>
      <c r="H1309" s="397">
        <v>3</v>
      </c>
      <c r="I1309" s="364">
        <v>1</v>
      </c>
      <c r="J1309" s="364"/>
      <c r="K1309" s="364">
        <v>1</v>
      </c>
      <c r="L1309" s="218"/>
      <c r="M1309" s="218"/>
      <c r="N1309" s="218"/>
      <c r="O1309" s="218"/>
      <c r="P1309" s="352"/>
      <c r="Q1309" s="352"/>
      <c r="R1309" s="352"/>
      <c r="S1309" s="352"/>
      <c r="T1309" s="352"/>
      <c r="U1309" s="352"/>
      <c r="V1309" s="218"/>
      <c r="W1309" s="218"/>
      <c r="X1309" s="218"/>
      <c r="Y1309" s="218"/>
      <c r="Z1309" s="218"/>
      <c r="AA1309" s="218"/>
      <c r="AB1309" s="218"/>
      <c r="AC1309" s="218"/>
      <c r="AD1309" s="218"/>
      <c r="AE1309" s="218"/>
      <c r="AF1309" s="218"/>
      <c r="AG1309" s="218"/>
      <c r="AH1309" s="218"/>
      <c r="AI1309" s="218"/>
      <c r="AJ1309" s="218"/>
      <c r="AK1309" s="218"/>
      <c r="AL1309" s="218"/>
      <c r="AM1309" s="353"/>
      <c r="AN1309" s="295"/>
      <c r="AO1309" s="296"/>
      <c r="AP1309" s="353"/>
      <c r="AQ1309" s="290"/>
      <c r="AR1309" s="290"/>
      <c r="AS1309" s="290"/>
    </row>
    <row r="1310" spans="1:45" ht="17.25" thickBot="1" x14ac:dyDescent="0.3">
      <c r="A1310" s="467"/>
      <c r="B1310" s="355" t="s">
        <v>419</v>
      </c>
      <c r="C1310" s="356"/>
      <c r="D1310" s="356"/>
      <c r="E1310" s="359"/>
      <c r="F1310" s="359"/>
      <c r="G1310" s="356"/>
      <c r="H1310" s="396"/>
      <c r="I1310" s="356"/>
      <c r="J1310" s="356"/>
      <c r="K1310" s="356"/>
      <c r="L1310" s="356"/>
      <c r="M1310" s="356"/>
      <c r="N1310" s="356"/>
      <c r="O1310" s="356"/>
      <c r="P1310" s="356"/>
      <c r="Q1310" s="356"/>
      <c r="R1310" s="356"/>
      <c r="S1310" s="356"/>
      <c r="T1310" s="356"/>
      <c r="U1310" s="356"/>
      <c r="V1310" s="356"/>
      <c r="W1310" s="356"/>
      <c r="X1310" s="356"/>
      <c r="Y1310" s="356"/>
      <c r="Z1310" s="356"/>
      <c r="AA1310" s="356"/>
      <c r="AB1310" s="356"/>
      <c r="AC1310" s="356"/>
      <c r="AD1310" s="356"/>
      <c r="AE1310" s="356"/>
      <c r="AF1310" s="356"/>
      <c r="AG1310" s="356"/>
      <c r="AH1310" s="356"/>
      <c r="AI1310" s="356"/>
      <c r="AJ1310" s="356"/>
      <c r="AK1310" s="356"/>
      <c r="AL1310" s="356"/>
      <c r="AM1310" s="356"/>
      <c r="AN1310" s="356"/>
      <c r="AO1310" s="356"/>
      <c r="AP1310" s="356"/>
      <c r="AQ1310" s="356"/>
      <c r="AR1310" s="356"/>
      <c r="AS1310" s="357"/>
    </row>
    <row r="1311" spans="1:45" ht="17.25" thickBot="1" x14ac:dyDescent="0.3">
      <c r="A1311" s="467"/>
      <c r="B1311" s="372"/>
      <c r="C1311" s="373">
        <v>1146031</v>
      </c>
      <c r="D1311" s="374" t="s">
        <v>401</v>
      </c>
      <c r="E1311" s="375"/>
      <c r="F1311" s="376">
        <f>G1346-AK1311+AL1311</f>
        <v>2</v>
      </c>
      <c r="G1311" s="377">
        <v>2</v>
      </c>
      <c r="H1311" s="397">
        <v>2</v>
      </c>
      <c r="I1311" s="377">
        <v>3</v>
      </c>
      <c r="J1311" s="377"/>
      <c r="K1311" s="377">
        <v>2</v>
      </c>
      <c r="L1311" s="377"/>
      <c r="M1311" s="377"/>
      <c r="N1311" s="377"/>
      <c r="O1311" s="377"/>
      <c r="P1311" s="377"/>
      <c r="Q1311" s="377"/>
      <c r="R1311" s="377"/>
      <c r="S1311" s="377"/>
      <c r="T1311" s="377"/>
      <c r="U1311" s="377"/>
      <c r="V1311" s="377"/>
      <c r="W1311" s="377"/>
      <c r="X1311" s="377"/>
      <c r="Y1311" s="377"/>
      <c r="Z1311" s="377"/>
      <c r="AA1311" s="377"/>
      <c r="AB1311" s="377"/>
      <c r="AC1311" s="377"/>
      <c r="AD1311" s="377"/>
      <c r="AE1311" s="377"/>
      <c r="AF1311" s="377"/>
      <c r="AG1311" s="377"/>
      <c r="AH1311" s="377"/>
      <c r="AI1311" s="377"/>
      <c r="AJ1311" s="377"/>
      <c r="AK1311" s="377"/>
      <c r="AL1311" s="377"/>
      <c r="AM1311" s="378"/>
      <c r="AN1311" s="379"/>
      <c r="AO1311" s="380"/>
      <c r="AP1311" s="378"/>
      <c r="AQ1311" s="381"/>
      <c r="AR1311" s="381"/>
      <c r="AS1311" s="381"/>
    </row>
    <row r="1312" spans="1:45" ht="17.25" thickBot="1" x14ac:dyDescent="0.3">
      <c r="A1312" s="467"/>
      <c r="B1312" s="372"/>
      <c r="C1312" s="373">
        <v>1146020</v>
      </c>
      <c r="D1312" s="374" t="s">
        <v>402</v>
      </c>
      <c r="E1312" s="375"/>
      <c r="F1312" s="376">
        <f>G1347-AK1312+AL1312</f>
        <v>1</v>
      </c>
      <c r="G1312" s="377">
        <v>1</v>
      </c>
      <c r="H1312" s="397">
        <v>1</v>
      </c>
      <c r="I1312" s="377">
        <v>1</v>
      </c>
      <c r="J1312" s="377"/>
      <c r="K1312" s="377"/>
      <c r="L1312" s="377"/>
      <c r="M1312" s="377"/>
      <c r="N1312" s="377"/>
      <c r="O1312" s="377"/>
      <c r="P1312" s="377"/>
      <c r="Q1312" s="377"/>
      <c r="R1312" s="377"/>
      <c r="S1312" s="377"/>
      <c r="T1312" s="377"/>
      <c r="U1312" s="377"/>
      <c r="V1312" s="377"/>
      <c r="W1312" s="377"/>
      <c r="X1312" s="377"/>
      <c r="Y1312" s="377"/>
      <c r="Z1312" s="377"/>
      <c r="AA1312" s="377"/>
      <c r="AB1312" s="377"/>
      <c r="AC1312" s="377"/>
      <c r="AD1312" s="377"/>
      <c r="AE1312" s="377"/>
      <c r="AF1312" s="377"/>
      <c r="AG1312" s="377"/>
      <c r="AH1312" s="377"/>
      <c r="AI1312" s="377"/>
      <c r="AJ1312" s="377"/>
      <c r="AK1312" s="377"/>
      <c r="AL1312" s="377"/>
      <c r="AM1312" s="378"/>
      <c r="AN1312" s="379"/>
      <c r="AO1312" s="380"/>
      <c r="AP1312" s="378"/>
      <c r="AQ1312" s="381"/>
      <c r="AR1312" s="381"/>
      <c r="AS1312" s="381"/>
    </row>
    <row r="1313" spans="1:45" ht="17.25" thickBot="1" x14ac:dyDescent="0.3">
      <c r="A1313" s="467"/>
      <c r="B1313" s="372"/>
      <c r="C1313" s="373">
        <v>1146016</v>
      </c>
      <c r="D1313" s="374" t="s">
        <v>398</v>
      </c>
      <c r="E1313" s="375"/>
      <c r="F1313" s="376">
        <f>G1348-AK1313+AL1313</f>
        <v>6</v>
      </c>
      <c r="G1313" s="377">
        <v>6</v>
      </c>
      <c r="H1313" s="397">
        <v>6</v>
      </c>
      <c r="I1313" s="377">
        <v>6</v>
      </c>
      <c r="J1313" s="377"/>
      <c r="K1313" s="377">
        <v>2</v>
      </c>
      <c r="L1313" s="377"/>
      <c r="M1313" s="377"/>
      <c r="N1313" s="377"/>
      <c r="O1313" s="377"/>
      <c r="P1313" s="377"/>
      <c r="Q1313" s="377"/>
      <c r="R1313" s="377"/>
      <c r="S1313" s="377"/>
      <c r="T1313" s="377"/>
      <c r="U1313" s="377"/>
      <c r="V1313" s="377"/>
      <c r="W1313" s="377"/>
      <c r="X1313" s="377"/>
      <c r="Y1313" s="377"/>
      <c r="Z1313" s="377"/>
      <c r="AA1313" s="377"/>
      <c r="AB1313" s="377"/>
      <c r="AC1313" s="377"/>
      <c r="AD1313" s="377"/>
      <c r="AE1313" s="377"/>
      <c r="AF1313" s="377"/>
      <c r="AG1313" s="377"/>
      <c r="AH1313" s="377"/>
      <c r="AI1313" s="377"/>
      <c r="AJ1313" s="377"/>
      <c r="AK1313" s="377"/>
      <c r="AL1313" s="377"/>
      <c r="AM1313" s="378"/>
      <c r="AN1313" s="379"/>
      <c r="AO1313" s="380"/>
      <c r="AP1313" s="378"/>
      <c r="AQ1313" s="381"/>
      <c r="AR1313" s="381"/>
      <c r="AS1313" s="381"/>
    </row>
    <row r="1314" spans="1:45" ht="17.25" thickBot="1" x14ac:dyDescent="0.3">
      <c r="A1314" s="467"/>
      <c r="B1314" s="372"/>
      <c r="C1314" s="373">
        <v>1146022</v>
      </c>
      <c r="D1314" s="374" t="s">
        <v>403</v>
      </c>
      <c r="E1314" s="375"/>
      <c r="F1314" s="376">
        <f>G1349-AK1314+AL1314</f>
        <v>0</v>
      </c>
      <c r="G1314" s="377">
        <v>0</v>
      </c>
      <c r="H1314" s="397">
        <v>0</v>
      </c>
      <c r="I1314" s="377">
        <v>0</v>
      </c>
      <c r="J1314" s="377"/>
      <c r="K1314" s="377"/>
      <c r="L1314" s="377"/>
      <c r="M1314" s="377"/>
      <c r="N1314" s="377"/>
      <c r="O1314" s="377"/>
      <c r="P1314" s="377"/>
      <c r="Q1314" s="377"/>
      <c r="R1314" s="377"/>
      <c r="S1314" s="377"/>
      <c r="T1314" s="377"/>
      <c r="U1314" s="377"/>
      <c r="V1314" s="377"/>
      <c r="W1314" s="377"/>
      <c r="X1314" s="377"/>
      <c r="Y1314" s="377"/>
      <c r="Z1314" s="377"/>
      <c r="AA1314" s="377"/>
      <c r="AB1314" s="377"/>
      <c r="AC1314" s="377"/>
      <c r="AD1314" s="377"/>
      <c r="AE1314" s="377"/>
      <c r="AF1314" s="377"/>
      <c r="AG1314" s="377"/>
      <c r="AH1314" s="377"/>
      <c r="AI1314" s="377"/>
      <c r="AJ1314" s="377"/>
      <c r="AK1314" s="377"/>
      <c r="AL1314" s="377"/>
      <c r="AM1314" s="378"/>
      <c r="AN1314" s="379"/>
      <c r="AO1314" s="380"/>
      <c r="AP1314" s="378"/>
      <c r="AQ1314" s="381"/>
      <c r="AR1314" s="381"/>
      <c r="AS1314" s="381"/>
    </row>
    <row r="1315" spans="1:45" ht="17.25" thickBot="1" x14ac:dyDescent="0.3">
      <c r="A1315" s="467"/>
      <c r="B1315" s="372"/>
      <c r="C1315" s="373">
        <v>1146027</v>
      </c>
      <c r="D1315" s="374" t="s">
        <v>404</v>
      </c>
      <c r="E1315" s="375"/>
      <c r="F1315" s="376">
        <f>G1350-AK1315+AL1315</f>
        <v>2</v>
      </c>
      <c r="G1315" s="377">
        <v>2</v>
      </c>
      <c r="H1315" s="397">
        <v>2</v>
      </c>
      <c r="I1315" s="377">
        <v>3</v>
      </c>
      <c r="J1315" s="377"/>
      <c r="K1315" s="377"/>
      <c r="L1315" s="377"/>
      <c r="M1315" s="377"/>
      <c r="N1315" s="377"/>
      <c r="O1315" s="377"/>
      <c r="P1315" s="377"/>
      <c r="Q1315" s="377"/>
      <c r="R1315" s="377"/>
      <c r="S1315" s="377"/>
      <c r="T1315" s="377"/>
      <c r="U1315" s="377"/>
      <c r="V1315" s="377"/>
      <c r="W1315" s="377"/>
      <c r="X1315" s="377"/>
      <c r="Y1315" s="377"/>
      <c r="Z1315" s="377"/>
      <c r="AA1315" s="377"/>
      <c r="AB1315" s="377"/>
      <c r="AC1315" s="377"/>
      <c r="AD1315" s="377"/>
      <c r="AE1315" s="377"/>
      <c r="AF1315" s="377"/>
      <c r="AG1315" s="377"/>
      <c r="AH1315" s="377"/>
      <c r="AI1315" s="377"/>
      <c r="AJ1315" s="377"/>
      <c r="AK1315" s="377"/>
      <c r="AL1315" s="377"/>
      <c r="AM1315" s="378"/>
      <c r="AN1315" s="379"/>
      <c r="AO1315" s="380"/>
      <c r="AP1315" s="378"/>
      <c r="AQ1315" s="381"/>
      <c r="AR1315" s="381"/>
      <c r="AS1315" s="381"/>
    </row>
    <row r="1316" spans="1:45" ht="17.25" thickBot="1" x14ac:dyDescent="0.3">
      <c r="A1316" s="467"/>
      <c r="B1316" s="355" t="s">
        <v>418</v>
      </c>
      <c r="C1316" s="356"/>
      <c r="D1316" s="356"/>
      <c r="E1316" s="359"/>
      <c r="F1316" s="359"/>
      <c r="G1316" s="356"/>
      <c r="H1316" s="396"/>
      <c r="I1316" s="356"/>
      <c r="J1316" s="356"/>
      <c r="K1316" s="356"/>
      <c r="L1316" s="356"/>
      <c r="M1316" s="356"/>
      <c r="N1316" s="356"/>
      <c r="O1316" s="356"/>
      <c r="P1316" s="356"/>
      <c r="Q1316" s="356"/>
      <c r="R1316" s="356"/>
      <c r="S1316" s="356"/>
      <c r="T1316" s="356"/>
      <c r="U1316" s="356"/>
      <c r="V1316" s="356"/>
      <c r="W1316" s="356"/>
      <c r="X1316" s="356"/>
      <c r="Y1316" s="356"/>
      <c r="Z1316" s="356"/>
      <c r="AA1316" s="356"/>
      <c r="AB1316" s="356"/>
      <c r="AC1316" s="356"/>
      <c r="AD1316" s="356"/>
      <c r="AE1316" s="356"/>
      <c r="AF1316" s="356"/>
      <c r="AG1316" s="356"/>
      <c r="AH1316" s="356"/>
      <c r="AI1316" s="356"/>
      <c r="AJ1316" s="356"/>
      <c r="AK1316" s="356"/>
      <c r="AL1316" s="356"/>
      <c r="AM1316" s="356"/>
      <c r="AN1316" s="356"/>
      <c r="AO1316" s="356"/>
      <c r="AP1316" s="356"/>
      <c r="AQ1316" s="356"/>
      <c r="AR1316" s="356"/>
      <c r="AS1316" s="357"/>
    </row>
    <row r="1317" spans="1:45" ht="17.25" thickBot="1" x14ac:dyDescent="0.3">
      <c r="A1317" s="467"/>
      <c r="B1317" s="354"/>
      <c r="C1317" s="285">
        <v>1151653</v>
      </c>
      <c r="D1317" s="358" t="s">
        <v>405</v>
      </c>
      <c r="E1317" s="360"/>
      <c r="F1317" s="361">
        <f>G1352-AK1317+AL1317</f>
        <v>0</v>
      </c>
      <c r="G1317" s="364">
        <v>0</v>
      </c>
      <c r="H1317" s="397">
        <v>0</v>
      </c>
      <c r="I1317" s="364">
        <v>1</v>
      </c>
      <c r="J1317" s="364"/>
      <c r="K1317" s="364"/>
      <c r="L1317" s="218"/>
      <c r="M1317" s="218"/>
      <c r="N1317" s="218"/>
      <c r="O1317" s="218"/>
      <c r="P1317" s="352"/>
      <c r="Q1317" s="352"/>
      <c r="R1317" s="352"/>
      <c r="S1317" s="352"/>
      <c r="T1317" s="352"/>
      <c r="U1317" s="352"/>
      <c r="V1317" s="218"/>
      <c r="W1317" s="218"/>
      <c r="X1317" s="218"/>
      <c r="Y1317" s="218"/>
      <c r="Z1317" s="218"/>
      <c r="AA1317" s="218"/>
      <c r="AB1317" s="218"/>
      <c r="AC1317" s="218"/>
      <c r="AD1317" s="218"/>
      <c r="AE1317" s="218"/>
      <c r="AF1317" s="218"/>
      <c r="AG1317" s="218"/>
      <c r="AH1317" s="218"/>
      <c r="AI1317" s="218"/>
      <c r="AJ1317" s="218"/>
      <c r="AK1317" s="218"/>
      <c r="AL1317" s="218"/>
      <c r="AM1317" s="353"/>
      <c r="AN1317" s="295"/>
      <c r="AO1317" s="296"/>
      <c r="AP1317" s="353"/>
      <c r="AQ1317" s="290"/>
      <c r="AR1317" s="290"/>
      <c r="AS1317" s="290"/>
    </row>
    <row r="1318" spans="1:45" ht="17.25" thickBot="1" x14ac:dyDescent="0.3">
      <c r="A1318" s="467"/>
      <c r="B1318" s="354"/>
      <c r="C1318" s="285">
        <v>1151650</v>
      </c>
      <c r="D1318" s="358" t="s">
        <v>406</v>
      </c>
      <c r="E1318" s="360"/>
      <c r="F1318" s="361">
        <f>G1353-AK1318+AL1318</f>
        <v>1</v>
      </c>
      <c r="G1318" s="364">
        <v>1</v>
      </c>
      <c r="H1318" s="397">
        <v>1</v>
      </c>
      <c r="I1318" s="364">
        <v>1</v>
      </c>
      <c r="J1318" s="364"/>
      <c r="K1318" s="364">
        <v>5</v>
      </c>
      <c r="L1318" s="218"/>
      <c r="M1318" s="218"/>
      <c r="N1318" s="218"/>
      <c r="O1318" s="218"/>
      <c r="P1318" s="352"/>
      <c r="Q1318" s="352"/>
      <c r="R1318" s="352"/>
      <c r="S1318" s="352"/>
      <c r="T1318" s="352"/>
      <c r="U1318" s="352"/>
      <c r="V1318" s="218"/>
      <c r="W1318" s="218"/>
      <c r="X1318" s="218"/>
      <c r="Y1318" s="218"/>
      <c r="Z1318" s="218"/>
      <c r="AA1318" s="218"/>
      <c r="AB1318" s="218"/>
      <c r="AC1318" s="218"/>
      <c r="AD1318" s="218"/>
      <c r="AE1318" s="218"/>
      <c r="AF1318" s="218"/>
      <c r="AG1318" s="218"/>
      <c r="AH1318" s="218"/>
      <c r="AI1318" s="218"/>
      <c r="AJ1318" s="218"/>
      <c r="AK1318" s="218"/>
      <c r="AL1318" s="218"/>
      <c r="AM1318" s="353"/>
      <c r="AN1318" s="295"/>
      <c r="AO1318" s="296"/>
      <c r="AP1318" s="353"/>
      <c r="AQ1318" s="290"/>
      <c r="AR1318" s="290"/>
      <c r="AS1318" s="290"/>
    </row>
    <row r="1319" spans="1:45" ht="17.25" thickBot="1" x14ac:dyDescent="0.3">
      <c r="A1319" s="467"/>
      <c r="B1319" s="354"/>
      <c r="C1319" s="285">
        <v>1151649</v>
      </c>
      <c r="D1319" s="358" t="s">
        <v>407</v>
      </c>
      <c r="E1319" s="360"/>
      <c r="F1319" s="361">
        <f>G1354-AK1319+AL1319</f>
        <v>2</v>
      </c>
      <c r="G1319" s="364">
        <v>2</v>
      </c>
      <c r="H1319" s="397">
        <v>2</v>
      </c>
      <c r="I1319" s="364">
        <v>2</v>
      </c>
      <c r="J1319" s="364"/>
      <c r="K1319" s="364">
        <v>2</v>
      </c>
      <c r="L1319" s="218"/>
      <c r="M1319" s="218"/>
      <c r="N1319" s="218"/>
      <c r="O1319" s="218"/>
      <c r="P1319" s="352"/>
      <c r="Q1319" s="352"/>
      <c r="R1319" s="352"/>
      <c r="S1319" s="352"/>
      <c r="T1319" s="352"/>
      <c r="U1319" s="352"/>
      <c r="V1319" s="218"/>
      <c r="W1319" s="218"/>
      <c r="X1319" s="218"/>
      <c r="Y1319" s="218"/>
      <c r="Z1319" s="218"/>
      <c r="AA1319" s="218"/>
      <c r="AB1319" s="218"/>
      <c r="AC1319" s="218"/>
      <c r="AD1319" s="218"/>
      <c r="AE1319" s="218"/>
      <c r="AF1319" s="218"/>
      <c r="AG1319" s="218"/>
      <c r="AH1319" s="218"/>
      <c r="AI1319" s="218"/>
      <c r="AJ1319" s="218"/>
      <c r="AK1319" s="218"/>
      <c r="AL1319" s="218"/>
      <c r="AM1319" s="353"/>
      <c r="AN1319" s="295"/>
      <c r="AO1319" s="296"/>
      <c r="AP1319" s="353"/>
      <c r="AQ1319" s="290"/>
      <c r="AR1319" s="290"/>
      <c r="AS1319" s="290"/>
    </row>
    <row r="1320" spans="1:45" ht="17.25" thickBot="1" x14ac:dyDescent="0.3">
      <c r="A1320" s="467"/>
      <c r="B1320" s="354"/>
      <c r="C1320" s="285">
        <v>1151651</v>
      </c>
      <c r="D1320" s="358" t="s">
        <v>408</v>
      </c>
      <c r="E1320" s="360"/>
      <c r="F1320" s="361">
        <v>2</v>
      </c>
      <c r="G1320" s="364">
        <v>2</v>
      </c>
      <c r="H1320" s="397">
        <v>0</v>
      </c>
      <c r="I1320" s="364">
        <v>0</v>
      </c>
      <c r="J1320" s="364"/>
      <c r="K1320" s="364"/>
      <c r="L1320" s="218"/>
      <c r="M1320" s="218"/>
      <c r="N1320" s="218"/>
      <c r="O1320" s="218"/>
      <c r="P1320" s="352"/>
      <c r="Q1320" s="352"/>
      <c r="R1320" s="352"/>
      <c r="S1320" s="352"/>
      <c r="T1320" s="352"/>
      <c r="U1320" s="352"/>
      <c r="V1320" s="218"/>
      <c r="W1320" s="218"/>
      <c r="X1320" s="218"/>
      <c r="Y1320" s="218"/>
      <c r="Z1320" s="218"/>
      <c r="AA1320" s="218"/>
      <c r="AB1320" s="218"/>
      <c r="AC1320" s="218"/>
      <c r="AD1320" s="218"/>
      <c r="AE1320" s="218"/>
      <c r="AF1320" s="218"/>
      <c r="AG1320" s="218"/>
      <c r="AH1320" s="218"/>
      <c r="AI1320" s="218"/>
      <c r="AJ1320" s="218"/>
      <c r="AK1320" s="218"/>
      <c r="AL1320" s="218"/>
      <c r="AM1320" s="353"/>
      <c r="AN1320" s="295"/>
      <c r="AO1320" s="296"/>
      <c r="AP1320" s="353"/>
      <c r="AQ1320" s="290"/>
      <c r="AR1320" s="290"/>
      <c r="AS1320" s="290"/>
    </row>
    <row r="1321" spans="1:45" ht="17.25" thickBot="1" x14ac:dyDescent="0.3">
      <c r="A1321" s="467"/>
      <c r="B1321" s="354"/>
      <c r="C1321" s="285">
        <v>1146029</v>
      </c>
      <c r="D1321" s="358" t="s">
        <v>409</v>
      </c>
      <c r="E1321" s="360"/>
      <c r="F1321" s="361">
        <f>G1356-AK1321+AL1321</f>
        <v>0</v>
      </c>
      <c r="G1321" s="364">
        <v>0</v>
      </c>
      <c r="H1321" s="397">
        <v>1</v>
      </c>
      <c r="I1321" s="364">
        <v>2</v>
      </c>
      <c r="J1321" s="364"/>
      <c r="K1321" s="364">
        <v>2</v>
      </c>
      <c r="L1321" s="218"/>
      <c r="M1321" s="218"/>
      <c r="N1321" s="218"/>
      <c r="O1321" s="218"/>
      <c r="P1321" s="352"/>
      <c r="Q1321" s="352"/>
      <c r="R1321" s="352"/>
      <c r="S1321" s="352"/>
      <c r="T1321" s="352"/>
      <c r="U1321" s="352"/>
      <c r="V1321" s="218"/>
      <c r="W1321" s="218"/>
      <c r="X1321" s="218"/>
      <c r="Y1321" s="218"/>
      <c r="Z1321" s="218"/>
      <c r="AA1321" s="218"/>
      <c r="AB1321" s="218"/>
      <c r="AC1321" s="218"/>
      <c r="AD1321" s="218"/>
      <c r="AE1321" s="218"/>
      <c r="AF1321" s="218"/>
      <c r="AG1321" s="218"/>
      <c r="AH1321" s="218"/>
      <c r="AI1321" s="218"/>
      <c r="AJ1321" s="218"/>
      <c r="AK1321" s="218"/>
      <c r="AL1321" s="218"/>
      <c r="AM1321" s="353"/>
      <c r="AN1321" s="295"/>
      <c r="AO1321" s="296"/>
      <c r="AP1321" s="353"/>
      <c r="AQ1321" s="290"/>
      <c r="AR1321" s="290"/>
      <c r="AS1321" s="290"/>
    </row>
    <row r="1322" spans="1:45" ht="17.25" thickBot="1" x14ac:dyDescent="0.3">
      <c r="A1322" s="467"/>
      <c r="B1322" s="355" t="s">
        <v>410</v>
      </c>
      <c r="C1322" s="356"/>
      <c r="D1322" s="356"/>
      <c r="E1322" s="359"/>
      <c r="F1322" s="359"/>
      <c r="G1322" s="356"/>
      <c r="H1322" s="396"/>
      <c r="I1322" s="356"/>
      <c r="J1322" s="356"/>
      <c r="K1322" s="356"/>
      <c r="L1322" s="356"/>
      <c r="M1322" s="356"/>
      <c r="N1322" s="356"/>
      <c r="O1322" s="356"/>
      <c r="P1322" s="356"/>
      <c r="Q1322" s="356"/>
      <c r="R1322" s="356"/>
      <c r="S1322" s="356"/>
      <c r="T1322" s="356"/>
      <c r="U1322" s="356"/>
      <c r="V1322" s="356"/>
      <c r="W1322" s="356"/>
      <c r="X1322" s="356"/>
      <c r="Y1322" s="356"/>
      <c r="Z1322" s="356"/>
      <c r="AA1322" s="356"/>
      <c r="AB1322" s="356"/>
      <c r="AC1322" s="356"/>
      <c r="AD1322" s="356"/>
      <c r="AE1322" s="356"/>
      <c r="AF1322" s="356"/>
      <c r="AG1322" s="356"/>
      <c r="AH1322" s="356"/>
      <c r="AI1322" s="356"/>
      <c r="AJ1322" s="356"/>
      <c r="AK1322" s="356"/>
      <c r="AL1322" s="356"/>
      <c r="AM1322" s="356"/>
      <c r="AN1322" s="356"/>
      <c r="AO1322" s="356"/>
      <c r="AP1322" s="356"/>
      <c r="AQ1322" s="356"/>
      <c r="AR1322" s="356"/>
      <c r="AS1322" s="357"/>
    </row>
    <row r="1323" spans="1:45" ht="17.25" thickBot="1" x14ac:dyDescent="0.3">
      <c r="A1323" s="467"/>
      <c r="B1323" s="354"/>
      <c r="C1323" s="285">
        <v>1699118</v>
      </c>
      <c r="D1323" s="358" t="s">
        <v>411</v>
      </c>
      <c r="E1323" s="360"/>
      <c r="F1323" s="361">
        <f>G1358-AK1323+AL1323</f>
        <v>0</v>
      </c>
      <c r="G1323" s="364">
        <v>0</v>
      </c>
      <c r="H1323" s="397">
        <v>0</v>
      </c>
      <c r="I1323" s="364">
        <v>0</v>
      </c>
      <c r="J1323" s="364"/>
      <c r="K1323" s="364"/>
      <c r="L1323" s="218"/>
      <c r="M1323" s="218"/>
      <c r="N1323" s="218"/>
      <c r="O1323" s="218"/>
      <c r="P1323" s="352"/>
      <c r="Q1323" s="352"/>
      <c r="R1323" s="352"/>
      <c r="S1323" s="352"/>
      <c r="T1323" s="352"/>
      <c r="U1323" s="352"/>
      <c r="V1323" s="218"/>
      <c r="W1323" s="218"/>
      <c r="X1323" s="218"/>
      <c r="Y1323" s="218"/>
      <c r="Z1323" s="218"/>
      <c r="AA1323" s="218"/>
      <c r="AB1323" s="218"/>
      <c r="AC1323" s="218"/>
      <c r="AD1323" s="218"/>
      <c r="AE1323" s="218"/>
      <c r="AF1323" s="218"/>
      <c r="AG1323" s="218"/>
      <c r="AH1323" s="218"/>
      <c r="AI1323" s="218"/>
      <c r="AJ1323" s="218"/>
      <c r="AK1323" s="218"/>
      <c r="AL1323" s="218"/>
      <c r="AM1323" s="353"/>
      <c r="AN1323" s="295"/>
      <c r="AO1323" s="296"/>
      <c r="AP1323" s="353"/>
      <c r="AQ1323" s="290"/>
      <c r="AR1323" s="290"/>
      <c r="AS1323" s="290"/>
    </row>
    <row r="1324" spans="1:45" ht="17.25" thickBot="1" x14ac:dyDescent="0.3">
      <c r="A1324" s="467"/>
      <c r="B1324" s="354"/>
      <c r="C1324" s="285">
        <v>1699119</v>
      </c>
      <c r="D1324" s="358" t="s">
        <v>412</v>
      </c>
      <c r="E1324" s="360"/>
      <c r="F1324" s="361">
        <f>G1359-AK1324+AL1324</f>
        <v>0</v>
      </c>
      <c r="G1324" s="364">
        <v>0</v>
      </c>
      <c r="H1324" s="397">
        <v>0</v>
      </c>
      <c r="I1324" s="364">
        <v>0</v>
      </c>
      <c r="J1324" s="364"/>
      <c r="K1324" s="364"/>
      <c r="L1324" s="218"/>
      <c r="M1324" s="218"/>
      <c r="N1324" s="218"/>
      <c r="O1324" s="218"/>
      <c r="P1324" s="352"/>
      <c r="Q1324" s="352"/>
      <c r="R1324" s="352"/>
      <c r="S1324" s="352"/>
      <c r="T1324" s="352"/>
      <c r="U1324" s="352"/>
      <c r="V1324" s="218"/>
      <c r="W1324" s="218"/>
      <c r="X1324" s="218"/>
      <c r="Y1324" s="218"/>
      <c r="Z1324" s="218"/>
      <c r="AA1324" s="218"/>
      <c r="AB1324" s="218"/>
      <c r="AC1324" s="218"/>
      <c r="AD1324" s="218"/>
      <c r="AE1324" s="218"/>
      <c r="AF1324" s="218"/>
      <c r="AG1324" s="218"/>
      <c r="AH1324" s="218"/>
      <c r="AI1324" s="218"/>
      <c r="AJ1324" s="218"/>
      <c r="AK1324" s="218"/>
      <c r="AL1324" s="218"/>
      <c r="AM1324" s="353"/>
      <c r="AN1324" s="295"/>
      <c r="AO1324" s="296"/>
      <c r="AP1324" s="353"/>
      <c r="AQ1324" s="290"/>
      <c r="AR1324" s="290"/>
      <c r="AS1324" s="290"/>
    </row>
    <row r="1325" spans="1:45" ht="17.25" thickBot="1" x14ac:dyDescent="0.3">
      <c r="A1325" s="467"/>
      <c r="B1325" s="354"/>
      <c r="C1325" s="285">
        <v>1699130</v>
      </c>
      <c r="D1325" s="358" t="s">
        <v>413</v>
      </c>
      <c r="E1325" s="360"/>
      <c r="F1325" s="361">
        <f>G1360-AK1325+AL1325</f>
        <v>0</v>
      </c>
      <c r="G1325" s="364">
        <v>0</v>
      </c>
      <c r="H1325" s="397">
        <v>0</v>
      </c>
      <c r="I1325" s="364">
        <v>0</v>
      </c>
      <c r="J1325" s="364"/>
      <c r="K1325" s="364"/>
      <c r="L1325" s="218"/>
      <c r="M1325" s="218"/>
      <c r="N1325" s="218"/>
      <c r="O1325" s="218"/>
      <c r="P1325" s="352"/>
      <c r="Q1325" s="352"/>
      <c r="R1325" s="352"/>
      <c r="S1325" s="352"/>
      <c r="T1325" s="352"/>
      <c r="U1325" s="352"/>
      <c r="V1325" s="218"/>
      <c r="W1325" s="218"/>
      <c r="X1325" s="218"/>
      <c r="Y1325" s="218"/>
      <c r="Z1325" s="218"/>
      <c r="AA1325" s="218"/>
      <c r="AB1325" s="218"/>
      <c r="AC1325" s="218"/>
      <c r="AD1325" s="218"/>
      <c r="AE1325" s="218"/>
      <c r="AF1325" s="218"/>
      <c r="AG1325" s="218"/>
      <c r="AH1325" s="218"/>
      <c r="AI1325" s="218"/>
      <c r="AJ1325" s="218"/>
      <c r="AK1325" s="218"/>
      <c r="AL1325" s="218"/>
      <c r="AM1325" s="353"/>
      <c r="AN1325" s="295"/>
      <c r="AO1325" s="296"/>
      <c r="AP1325" s="353"/>
      <c r="AQ1325" s="290"/>
      <c r="AR1325" s="290"/>
      <c r="AS1325" s="290"/>
    </row>
    <row r="1326" spans="1:45" ht="17.25" thickBot="1" x14ac:dyDescent="0.3">
      <c r="A1326" s="467"/>
      <c r="B1326" s="354"/>
      <c r="C1326" s="285">
        <v>1699131</v>
      </c>
      <c r="D1326" s="358" t="s">
        <v>414</v>
      </c>
      <c r="E1326" s="360"/>
      <c r="F1326" s="361">
        <f>G1361-AK1326+AL1326</f>
        <v>0</v>
      </c>
      <c r="G1326" s="364">
        <v>0</v>
      </c>
      <c r="H1326" s="397">
        <v>0</v>
      </c>
      <c r="I1326" s="364">
        <v>2</v>
      </c>
      <c r="J1326" s="364"/>
      <c r="K1326" s="364"/>
      <c r="L1326" s="218"/>
      <c r="M1326" s="218"/>
      <c r="N1326" s="218"/>
      <c r="O1326" s="218"/>
      <c r="P1326" s="352"/>
      <c r="Q1326" s="352"/>
      <c r="R1326" s="352"/>
      <c r="S1326" s="352"/>
      <c r="T1326" s="352"/>
      <c r="U1326" s="352"/>
      <c r="V1326" s="218"/>
      <c r="W1326" s="218"/>
      <c r="X1326" s="218"/>
      <c r="Y1326" s="218"/>
      <c r="Z1326" s="218"/>
      <c r="AA1326" s="218"/>
      <c r="AB1326" s="218"/>
      <c r="AC1326" s="218"/>
      <c r="AD1326" s="218"/>
      <c r="AE1326" s="218"/>
      <c r="AF1326" s="218"/>
      <c r="AG1326" s="218"/>
      <c r="AH1326" s="218"/>
      <c r="AI1326" s="218"/>
      <c r="AJ1326" s="218"/>
      <c r="AK1326" s="218"/>
      <c r="AL1326" s="218"/>
      <c r="AM1326" s="353"/>
      <c r="AN1326" s="295"/>
      <c r="AO1326" s="296"/>
      <c r="AP1326" s="353"/>
      <c r="AQ1326" s="290"/>
      <c r="AR1326" s="290"/>
      <c r="AS1326" s="290"/>
    </row>
    <row r="1327" spans="1:45" ht="17.25" thickBot="1" x14ac:dyDescent="0.3">
      <c r="A1327" s="468"/>
      <c r="B1327" s="354"/>
      <c r="C1327" s="285">
        <v>1699132</v>
      </c>
      <c r="D1327" s="358" t="s">
        <v>415</v>
      </c>
      <c r="E1327" s="285"/>
      <c r="F1327" s="362">
        <f>G1362-AK1327+AL1327</f>
        <v>0</v>
      </c>
      <c r="G1327" s="364">
        <v>0</v>
      </c>
      <c r="H1327" s="397">
        <v>0</v>
      </c>
      <c r="I1327" s="364">
        <v>2</v>
      </c>
      <c r="J1327" s="364"/>
      <c r="K1327" s="364">
        <v>2</v>
      </c>
      <c r="L1327" s="218"/>
      <c r="M1327" s="218"/>
      <c r="N1327" s="218"/>
      <c r="O1327" s="218"/>
      <c r="P1327" s="352"/>
      <c r="Q1327" s="352"/>
      <c r="R1327" s="352"/>
      <c r="S1327" s="352"/>
      <c r="T1327" s="352"/>
      <c r="U1327" s="352"/>
      <c r="V1327" s="218"/>
      <c r="W1327" s="218"/>
      <c r="X1327" s="218"/>
      <c r="Y1327" s="218"/>
      <c r="Z1327" s="218"/>
      <c r="AA1327" s="218"/>
      <c r="AB1327" s="218"/>
      <c r="AC1327" s="218"/>
      <c r="AD1327" s="218"/>
      <c r="AE1327" s="218"/>
      <c r="AF1327" s="218"/>
      <c r="AG1327" s="218"/>
      <c r="AH1327" s="218"/>
      <c r="AI1327" s="218"/>
      <c r="AJ1327" s="218"/>
      <c r="AK1327" s="218"/>
      <c r="AL1327" s="218"/>
      <c r="AM1327" s="353"/>
      <c r="AN1327" s="295"/>
      <c r="AO1327" s="296"/>
      <c r="AP1327" s="353"/>
      <c r="AQ1327" s="290"/>
      <c r="AR1327" s="290"/>
      <c r="AS1327" s="290"/>
    </row>
    <row r="1328" spans="1:45" x14ac:dyDescent="0.25">
      <c r="AL1328" s="290"/>
      <c r="AM1328" s="290"/>
      <c r="AN1328" s="290"/>
      <c r="AO1328" s="290"/>
      <c r="AP1328" s="290"/>
      <c r="AQ1328" s="290"/>
      <c r="AR1328" s="290"/>
    </row>
    <row r="1329" spans="1:45" ht="14.25" thickBot="1" x14ac:dyDescent="0.3">
      <c r="B1329" s="338" t="s">
        <v>18</v>
      </c>
      <c r="C1329" s="339">
        <v>45586</v>
      </c>
      <c r="AL1329" s="290"/>
      <c r="AM1329" s="290"/>
      <c r="AN1329" s="290"/>
      <c r="AO1329" s="290"/>
      <c r="AP1329" s="290"/>
      <c r="AQ1329" s="290"/>
      <c r="AR1329" s="290"/>
    </row>
    <row r="1330" spans="1:45" ht="41.25" thickBot="1" x14ac:dyDescent="0.3">
      <c r="B1330" s="283" t="s">
        <v>0</v>
      </c>
      <c r="C1330" s="284" t="s">
        <v>1</v>
      </c>
      <c r="D1330" s="284" t="s">
        <v>2</v>
      </c>
      <c r="E1330" s="284" t="s">
        <v>3</v>
      </c>
      <c r="F1330" s="4" t="s">
        <v>318</v>
      </c>
      <c r="G1330" s="351" t="s">
        <v>479</v>
      </c>
      <c r="H1330" s="382" t="s">
        <v>460</v>
      </c>
      <c r="I1330" s="234" t="s">
        <v>465</v>
      </c>
      <c r="J1330" s="234"/>
      <c r="K1330" s="258" t="s">
        <v>464</v>
      </c>
      <c r="L1330" s="258" t="s">
        <v>328</v>
      </c>
      <c r="M1330" s="258" t="s">
        <v>327</v>
      </c>
      <c r="N1330" s="234" t="s">
        <v>389</v>
      </c>
      <c r="O1330" s="240" t="s">
        <v>130</v>
      </c>
      <c r="P1330" s="243" t="s">
        <v>303</v>
      </c>
      <c r="Q1330" s="244" t="s">
        <v>304</v>
      </c>
      <c r="R1330" s="244" t="s">
        <v>314</v>
      </c>
      <c r="S1330" s="245" t="s">
        <v>338</v>
      </c>
      <c r="T1330" s="245" t="s">
        <v>345</v>
      </c>
      <c r="U1330" s="245" t="s">
        <v>361</v>
      </c>
      <c r="V1330" s="245" t="s">
        <v>387</v>
      </c>
      <c r="W1330" s="245" t="s">
        <v>421</v>
      </c>
      <c r="X1330" s="245" t="s">
        <v>452</v>
      </c>
      <c r="Y1330" s="245" t="s">
        <v>463</v>
      </c>
      <c r="Z1330" s="245"/>
      <c r="AA1330" s="245"/>
      <c r="AB1330" s="245"/>
      <c r="AC1330" s="245"/>
      <c r="AD1330" s="245"/>
      <c r="AE1330" s="245"/>
      <c r="AF1330" s="245"/>
      <c r="AG1330" s="245"/>
      <c r="AH1330" s="245"/>
      <c r="AI1330" s="245"/>
      <c r="AJ1330" s="245" t="s">
        <v>360</v>
      </c>
      <c r="AK1330" s="246" t="s">
        <v>268</v>
      </c>
      <c r="AL1330" s="247" t="s">
        <v>269</v>
      </c>
      <c r="AM1330" s="291" t="s">
        <v>288</v>
      </c>
      <c r="AN1330" s="292" t="s">
        <v>289</v>
      </c>
      <c r="AO1330" s="292" t="s">
        <v>287</v>
      </c>
      <c r="AP1330" s="293" t="s">
        <v>290</v>
      </c>
      <c r="AQ1330" s="290" t="s">
        <v>306</v>
      </c>
      <c r="AR1330" s="290" t="s">
        <v>310</v>
      </c>
      <c r="AS1330" s="290" t="s">
        <v>311</v>
      </c>
    </row>
    <row r="1331" spans="1:45" ht="17.25" thickBot="1" x14ac:dyDescent="0.3">
      <c r="A1331" s="463" t="s">
        <v>416</v>
      </c>
      <c r="B1331" s="285">
        <v>273664</v>
      </c>
      <c r="C1331" s="286">
        <v>1135749</v>
      </c>
      <c r="D1331" s="286" t="s">
        <v>7</v>
      </c>
      <c r="E1331" s="286">
        <v>6060050026</v>
      </c>
      <c r="F1331" s="253">
        <f>G1366-AK1331+AL1331</f>
        <v>7</v>
      </c>
      <c r="G1331" s="235">
        <v>7</v>
      </c>
      <c r="H1331" s="394">
        <v>7</v>
      </c>
      <c r="I1331" s="232">
        <v>7</v>
      </c>
      <c r="J1331" s="232"/>
      <c r="K1331" s="232">
        <v>2</v>
      </c>
      <c r="L1331" s="232">
        <f>IF(K1365=K1330,L1366+AK1331,K1331)</f>
        <v>2</v>
      </c>
      <c r="M1331" s="232">
        <f>IF(K1365=K1330,0,L1366+AK1331-K1331)</f>
        <v>-1</v>
      </c>
      <c r="N1331" s="267">
        <v>5</v>
      </c>
      <c r="O1331" s="241">
        <f>N1331-G1331</f>
        <v>-2</v>
      </c>
      <c r="P1331" s="277">
        <v>4</v>
      </c>
      <c r="Q1331" s="278">
        <v>4</v>
      </c>
      <c r="R1331" s="279"/>
      <c r="S1331" s="279">
        <v>3</v>
      </c>
      <c r="T1331" s="279">
        <v>4</v>
      </c>
      <c r="U1331" s="279">
        <v>2</v>
      </c>
      <c r="V1331" s="279"/>
      <c r="W1331" s="279">
        <f>2+3</f>
        <v>5</v>
      </c>
      <c r="X1331" s="241"/>
      <c r="Y1331" s="241"/>
      <c r="Z1331" s="241"/>
      <c r="AA1331" s="241"/>
      <c r="AB1331" s="241"/>
      <c r="AC1331" s="241"/>
      <c r="AD1331" s="241"/>
      <c r="AE1331" s="241"/>
      <c r="AF1331" s="241"/>
      <c r="AG1331" s="241"/>
      <c r="AH1331" s="241"/>
      <c r="AI1331" s="241"/>
      <c r="AJ1331" s="241">
        <f>N1331-V1331</f>
        <v>5</v>
      </c>
      <c r="AK1331" s="235">
        <f>G1366+AL1331-G1331</f>
        <v>0</v>
      </c>
      <c r="AL1331" s="350"/>
      <c r="AM1331" s="294">
        <v>1.5</v>
      </c>
      <c r="AN1331" s="295">
        <v>4</v>
      </c>
      <c r="AO1331" s="296">
        <f>G1331/(AN1331)</f>
        <v>1.75</v>
      </c>
      <c r="AP1331" s="297">
        <f>AN1331*6</f>
        <v>24</v>
      </c>
      <c r="AQ1331" s="290">
        <f>G1331+K1331</f>
        <v>9</v>
      </c>
      <c r="AR1331" s="290">
        <f>IF(G1331&lt;G1366,(G1366-G1331+K1366-K1331),K1366-K1331)</f>
        <v>-1</v>
      </c>
      <c r="AS1331" s="290">
        <f>21-8</f>
        <v>13</v>
      </c>
    </row>
    <row r="1332" spans="1:45" ht="17.25" thickBot="1" x14ac:dyDescent="0.3">
      <c r="A1332" s="464"/>
      <c r="B1332" s="285">
        <v>273672</v>
      </c>
      <c r="C1332" s="286">
        <v>1135750</v>
      </c>
      <c r="D1332" s="286" t="s">
        <v>9</v>
      </c>
      <c r="E1332" s="287">
        <v>204000000000</v>
      </c>
      <c r="F1332" s="253">
        <f>G1367-AK1332+AL1332</f>
        <v>35</v>
      </c>
      <c r="G1332" s="235">
        <v>35</v>
      </c>
      <c r="H1332" s="394">
        <v>15</v>
      </c>
      <c r="I1332" s="232">
        <v>15</v>
      </c>
      <c r="J1332" s="232"/>
      <c r="K1332" s="232">
        <v>8</v>
      </c>
      <c r="L1332" s="232">
        <f>IF(K1365=K1330,L1367+AK1332,K1332)</f>
        <v>8</v>
      </c>
      <c r="M1332" s="232">
        <f>IF(K1365=K1330,0,L1367+AK1332-K1332)</f>
        <v>1</v>
      </c>
      <c r="N1332" s="267">
        <v>10</v>
      </c>
      <c r="O1332" s="241">
        <f>N1332-G1332</f>
        <v>-25</v>
      </c>
      <c r="P1332" s="277">
        <v>13</v>
      </c>
      <c r="Q1332" s="278">
        <v>2</v>
      </c>
      <c r="R1332" s="279">
        <v>6</v>
      </c>
      <c r="S1332" s="279">
        <v>6</v>
      </c>
      <c r="T1332" s="279">
        <v>10</v>
      </c>
      <c r="U1332" s="279">
        <v>4</v>
      </c>
      <c r="V1332" s="279">
        <v>6</v>
      </c>
      <c r="W1332" s="279">
        <v>16</v>
      </c>
      <c r="X1332" s="241"/>
      <c r="Y1332" s="241">
        <v>6</v>
      </c>
      <c r="Z1332" s="241"/>
      <c r="AA1332" s="241"/>
      <c r="AB1332" s="241"/>
      <c r="AC1332" s="241"/>
      <c r="AD1332" s="241"/>
      <c r="AE1332" s="241"/>
      <c r="AF1332" s="241"/>
      <c r="AG1332" s="241"/>
      <c r="AH1332" s="241"/>
      <c r="AI1332" s="241"/>
      <c r="AJ1332" s="241">
        <f>N1332-V1332</f>
        <v>4</v>
      </c>
      <c r="AK1332" s="235">
        <f>G1367+AL1332-G1332</f>
        <v>0</v>
      </c>
      <c r="AL1332" s="236">
        <v>20</v>
      </c>
      <c r="AM1332" s="298">
        <v>4.2</v>
      </c>
      <c r="AN1332" s="295">
        <v>9</v>
      </c>
      <c r="AO1332" s="296">
        <f>G1332/(AN1332)</f>
        <v>3.8888888888888888</v>
      </c>
      <c r="AP1332" s="297">
        <f>AN1332*6</f>
        <v>54</v>
      </c>
      <c r="AQ1332" s="290">
        <f>G1332+K1332</f>
        <v>43</v>
      </c>
      <c r="AR1332" s="290">
        <f>IF(G1332&lt;G1367,(G1367-G1332+K1367-K1332),K1367-K1332)</f>
        <v>1</v>
      </c>
      <c r="AS1332" s="290">
        <f>21-8</f>
        <v>13</v>
      </c>
    </row>
    <row r="1333" spans="1:45" ht="17.25" thickBot="1" x14ac:dyDescent="0.3">
      <c r="A1333" s="464"/>
      <c r="B1333" s="285">
        <v>273702</v>
      </c>
      <c r="C1333" s="286">
        <v>1135753</v>
      </c>
      <c r="D1333" s="286" t="s">
        <v>10</v>
      </c>
      <c r="E1333" s="287">
        <v>301000000000</v>
      </c>
      <c r="F1333" s="253">
        <f>G1368-AK1333+AL1333</f>
        <v>2</v>
      </c>
      <c r="G1333" s="235">
        <v>2</v>
      </c>
      <c r="H1333" s="394">
        <v>2</v>
      </c>
      <c r="I1333" s="232">
        <v>2</v>
      </c>
      <c r="J1333" s="232"/>
      <c r="K1333" s="232">
        <v>1</v>
      </c>
      <c r="L1333" s="232">
        <f>IF(K1365=K1330,L1368+AK1333,K1333)</f>
        <v>1</v>
      </c>
      <c r="M1333" s="232">
        <f>IF(K1365=K1330,0,L1368+AK1333-K1333)</f>
        <v>0</v>
      </c>
      <c r="N1333" s="232">
        <v>2</v>
      </c>
      <c r="O1333" s="241">
        <f>N1333-G1333</f>
        <v>0</v>
      </c>
      <c r="P1333" s="277"/>
      <c r="Q1333" s="278"/>
      <c r="R1333" s="279"/>
      <c r="S1333" s="279"/>
      <c r="T1333" s="279"/>
      <c r="U1333" s="279"/>
      <c r="V1333" s="279"/>
      <c r="W1333" s="279"/>
      <c r="X1333" s="241"/>
      <c r="Y1333" s="241"/>
      <c r="Z1333" s="241"/>
      <c r="AA1333" s="241"/>
      <c r="AB1333" s="241"/>
      <c r="AC1333" s="241"/>
      <c r="AD1333" s="241"/>
      <c r="AE1333" s="241"/>
      <c r="AF1333" s="241"/>
      <c r="AG1333" s="241"/>
      <c r="AH1333" s="241"/>
      <c r="AI1333" s="241"/>
      <c r="AJ1333" s="241">
        <f>N1333-V1333</f>
        <v>2</v>
      </c>
      <c r="AK1333" s="235">
        <f>G1368+AL1333-G1333</f>
        <v>0</v>
      </c>
      <c r="AL1333" s="236"/>
      <c r="AM1333" s="294">
        <f>4/12</f>
        <v>0.33333333333333331</v>
      </c>
      <c r="AN1333" s="295">
        <v>2</v>
      </c>
      <c r="AO1333" s="296">
        <f>G1333/(AN1333)</f>
        <v>1</v>
      </c>
      <c r="AP1333" s="297">
        <f>AN1333*6</f>
        <v>12</v>
      </c>
      <c r="AQ1333" s="290">
        <f>G1333+K1333</f>
        <v>3</v>
      </c>
      <c r="AR1333" s="290">
        <f>IF(G1333&lt;G1368,(G1368-G1333+K1368-K1333),K1368-K1333)</f>
        <v>0</v>
      </c>
      <c r="AS1333" s="290">
        <f>21-8</f>
        <v>13</v>
      </c>
    </row>
    <row r="1334" spans="1:45" ht="17.25" thickBot="1" x14ac:dyDescent="0.3">
      <c r="A1334" s="464"/>
      <c r="B1334" s="285">
        <v>273698</v>
      </c>
      <c r="C1334" s="286">
        <v>1135752</v>
      </c>
      <c r="D1334" s="286" t="s">
        <v>11</v>
      </c>
      <c r="E1334" s="287">
        <v>701000000000</v>
      </c>
      <c r="F1334" s="253">
        <f>G1369-AK1334+AL1334</f>
        <v>2</v>
      </c>
      <c r="G1334" s="235">
        <v>2</v>
      </c>
      <c r="H1334" s="394">
        <v>2</v>
      </c>
      <c r="I1334" s="232">
        <v>3</v>
      </c>
      <c r="J1334" s="232"/>
      <c r="K1334" s="232">
        <v>0</v>
      </c>
      <c r="L1334" s="232">
        <f>IF(K1365=K1330,L1369+AK1334,K1334)</f>
        <v>0</v>
      </c>
      <c r="M1334" s="232">
        <f>IF(K1365=K1330,0,L1369+AK1334-K1334)</f>
        <v>0</v>
      </c>
      <c r="N1334" s="232">
        <v>3</v>
      </c>
      <c r="O1334" s="241">
        <f>N1334-G1334</f>
        <v>1</v>
      </c>
      <c r="P1334" s="277">
        <v>2</v>
      </c>
      <c r="Q1334" s="278"/>
      <c r="R1334" s="279"/>
      <c r="S1334" s="279"/>
      <c r="T1334" s="279"/>
      <c r="U1334" s="279"/>
      <c r="V1334" s="279"/>
      <c r="W1334" s="279">
        <v>1</v>
      </c>
      <c r="X1334" s="241"/>
      <c r="Y1334" s="241"/>
      <c r="Z1334" s="241"/>
      <c r="AA1334" s="241"/>
      <c r="AB1334" s="241"/>
      <c r="AC1334" s="241"/>
      <c r="AD1334" s="241"/>
      <c r="AE1334" s="241"/>
      <c r="AF1334" s="241"/>
      <c r="AG1334" s="241"/>
      <c r="AH1334" s="241"/>
      <c r="AI1334" s="241"/>
      <c r="AJ1334" s="241">
        <f>N1334-V1334</f>
        <v>3</v>
      </c>
      <c r="AK1334" s="235">
        <f>G1369+AL1334-G1334</f>
        <v>0</v>
      </c>
      <c r="AL1334" s="236"/>
      <c r="AM1334" s="294">
        <f>4/12</f>
        <v>0.33333333333333331</v>
      </c>
      <c r="AN1334" s="295">
        <v>2</v>
      </c>
      <c r="AO1334" s="296">
        <f>G1334/(AN1334)</f>
        <v>1</v>
      </c>
      <c r="AP1334" s="297">
        <f>AN1334*6</f>
        <v>12</v>
      </c>
      <c r="AQ1334" s="290">
        <f>G1334+K1334</f>
        <v>2</v>
      </c>
      <c r="AR1334" s="290">
        <f>IF(G1334&lt;G1369,(G1369-G1334+K1369-K1334),K1369-K1334)</f>
        <v>0</v>
      </c>
      <c r="AS1334" s="290">
        <f>21-8</f>
        <v>13</v>
      </c>
    </row>
    <row r="1335" spans="1:45" ht="17.25" thickBot="1" x14ac:dyDescent="0.3">
      <c r="A1335" s="465"/>
      <c r="B1335" s="285">
        <v>273680</v>
      </c>
      <c r="C1335" s="286">
        <v>1135751</v>
      </c>
      <c r="D1335" s="286" t="s">
        <v>12</v>
      </c>
      <c r="E1335" s="286" t="s">
        <v>13</v>
      </c>
      <c r="F1335" s="254">
        <f>G1370-AK1335+AL1335</f>
        <v>5</v>
      </c>
      <c r="G1335" s="237">
        <v>5</v>
      </c>
      <c r="H1335" s="395">
        <v>5</v>
      </c>
      <c r="I1335" s="238">
        <v>5</v>
      </c>
      <c r="J1335" s="238"/>
      <c r="K1335" s="238">
        <v>11</v>
      </c>
      <c r="L1335" s="238">
        <f>IF(K1365=K1330,L1370+AK1335,K1335)</f>
        <v>11</v>
      </c>
      <c r="M1335" s="238">
        <f>IF(K1365=K1330,0,L1370+AK1335-K1335)</f>
        <v>0</v>
      </c>
      <c r="N1335" s="238">
        <v>9</v>
      </c>
      <c r="O1335" s="242">
        <f>N1335-G1335</f>
        <v>4</v>
      </c>
      <c r="P1335" s="280"/>
      <c r="Q1335" s="281"/>
      <c r="R1335" s="282"/>
      <c r="S1335" s="282"/>
      <c r="T1335" s="282">
        <v>11</v>
      </c>
      <c r="U1335" s="282"/>
      <c r="V1335" s="282"/>
      <c r="W1335" s="282">
        <v>9</v>
      </c>
      <c r="X1335" s="242"/>
      <c r="Y1335" s="242">
        <v>9</v>
      </c>
      <c r="Z1335" s="242"/>
      <c r="AA1335" s="242"/>
      <c r="AB1335" s="242"/>
      <c r="AC1335" s="242"/>
      <c r="AD1335" s="242"/>
      <c r="AE1335" s="242"/>
      <c r="AF1335" s="242"/>
      <c r="AG1335" s="242"/>
      <c r="AH1335" s="242"/>
      <c r="AI1335" s="242"/>
      <c r="AJ1335" s="242">
        <f>N1335-V1335</f>
        <v>9</v>
      </c>
      <c r="AK1335" s="235">
        <f>G1370+AL1335-G1335</f>
        <v>0</v>
      </c>
      <c r="AL1335" s="239"/>
      <c r="AM1335" s="299">
        <f>30/12</f>
        <v>2.5</v>
      </c>
      <c r="AN1335" s="300">
        <f>AM1335*2</f>
        <v>5</v>
      </c>
      <c r="AO1335" s="301">
        <f>G1335/(AN1335)</f>
        <v>1</v>
      </c>
      <c r="AP1335" s="302">
        <f>AN1335*6</f>
        <v>30</v>
      </c>
      <c r="AQ1335" s="290">
        <f>G1335+K1335</f>
        <v>16</v>
      </c>
      <c r="AR1335" s="290">
        <f>IF(G1335&lt;G1370,(G1370-G1335+K1370-K1335),K1370-K1335)</f>
        <v>0</v>
      </c>
      <c r="AS1335" s="290">
        <f>21-8</f>
        <v>13</v>
      </c>
    </row>
    <row r="1336" spans="1:45" ht="17.25" thickBot="1" x14ac:dyDescent="0.3">
      <c r="A1336" s="466" t="s">
        <v>417</v>
      </c>
      <c r="B1336" s="355" t="s">
        <v>129</v>
      </c>
      <c r="C1336" s="356"/>
      <c r="D1336" s="356"/>
      <c r="E1336" s="359"/>
      <c r="F1336" s="359"/>
      <c r="G1336" s="356"/>
      <c r="H1336" s="396"/>
      <c r="I1336" s="356"/>
      <c r="J1336" s="356"/>
      <c r="K1336" s="356"/>
      <c r="L1336" s="356"/>
      <c r="M1336" s="356"/>
      <c r="N1336" s="356"/>
      <c r="O1336" s="356"/>
      <c r="P1336" s="356"/>
      <c r="Q1336" s="356"/>
      <c r="R1336" s="356"/>
      <c r="S1336" s="356"/>
      <c r="T1336" s="356"/>
      <c r="U1336" s="356"/>
      <c r="V1336" s="356"/>
      <c r="W1336" s="356"/>
      <c r="X1336" s="356"/>
      <c r="Y1336" s="356"/>
      <c r="Z1336" s="356"/>
      <c r="AA1336" s="356"/>
      <c r="AB1336" s="356"/>
      <c r="AC1336" s="356"/>
      <c r="AD1336" s="356"/>
      <c r="AE1336" s="356"/>
      <c r="AF1336" s="356"/>
      <c r="AG1336" s="356"/>
      <c r="AH1336" s="356"/>
      <c r="AI1336" s="356"/>
      <c r="AJ1336" s="356"/>
      <c r="AK1336" s="356"/>
      <c r="AL1336" s="367"/>
      <c r="AM1336" s="356"/>
      <c r="AN1336" s="356"/>
      <c r="AO1336" s="356"/>
      <c r="AP1336" s="356"/>
      <c r="AQ1336" s="356"/>
      <c r="AR1336" s="356"/>
      <c r="AS1336" s="357"/>
    </row>
    <row r="1337" spans="1:45" ht="17.25" thickBot="1" x14ac:dyDescent="0.3">
      <c r="A1337" s="467"/>
      <c r="B1337" s="354"/>
      <c r="C1337" s="354">
        <v>1140327</v>
      </c>
      <c r="D1337" s="358" t="s">
        <v>394</v>
      </c>
      <c r="E1337" s="360"/>
      <c r="F1337" s="361">
        <f>G1372-AK1337+AL1337</f>
        <v>23</v>
      </c>
      <c r="G1337" s="218">
        <v>23</v>
      </c>
      <c r="H1337" s="397">
        <v>26</v>
      </c>
      <c r="I1337" s="218">
        <v>23</v>
      </c>
      <c r="J1337" s="218"/>
      <c r="K1337" s="218">
        <v>2</v>
      </c>
      <c r="L1337" s="218">
        <f>IF(K1365=K1330,L1372+AK1337,K1337)</f>
        <v>2</v>
      </c>
      <c r="M1337" s="218">
        <f>IF(K1365=K1330,0,L1372+AK1337-K1337)</f>
        <v>1</v>
      </c>
      <c r="N1337" s="218"/>
      <c r="O1337" s="218"/>
      <c r="P1337" s="352"/>
      <c r="Q1337" s="352"/>
      <c r="R1337" s="352"/>
      <c r="S1337" s="352"/>
      <c r="T1337" s="352"/>
      <c r="U1337" s="352"/>
      <c r="V1337" s="218"/>
      <c r="W1337" s="218"/>
      <c r="X1337" s="218">
        <v>4</v>
      </c>
      <c r="Y1337" s="218">
        <v>9</v>
      </c>
      <c r="Z1337" s="218"/>
      <c r="AA1337" s="218"/>
      <c r="AB1337" s="218"/>
      <c r="AC1337" s="218"/>
      <c r="AD1337" s="218"/>
      <c r="AE1337" s="218"/>
      <c r="AF1337" s="218"/>
      <c r="AG1337" s="218"/>
      <c r="AH1337" s="218"/>
      <c r="AI1337" s="218"/>
      <c r="AJ1337" s="242">
        <f>N1337-V1337</f>
        <v>0</v>
      </c>
      <c r="AK1337" s="274">
        <f>G1372+AL1337-G1337</f>
        <v>0</v>
      </c>
      <c r="AL1337" s="232"/>
      <c r="AM1337" s="353"/>
      <c r="AN1337" s="295"/>
      <c r="AO1337" s="296"/>
      <c r="AP1337" s="353"/>
      <c r="AQ1337" s="290"/>
      <c r="AR1337" s="290"/>
      <c r="AS1337" s="290"/>
    </row>
    <row r="1338" spans="1:45" ht="17.25" thickBot="1" x14ac:dyDescent="0.3">
      <c r="A1338" s="467"/>
      <c r="B1338" s="354"/>
      <c r="C1338" s="285">
        <v>1151231</v>
      </c>
      <c r="D1338" s="358" t="s">
        <v>395</v>
      </c>
      <c r="E1338" s="360"/>
      <c r="F1338" s="361">
        <f>G1373-AK1338+AL1338</f>
        <v>11</v>
      </c>
      <c r="G1338" s="369">
        <v>11</v>
      </c>
      <c r="H1338" s="397">
        <v>3</v>
      </c>
      <c r="I1338" s="218">
        <v>0</v>
      </c>
      <c r="J1338" s="218"/>
      <c r="K1338" s="218">
        <v>4</v>
      </c>
      <c r="L1338" s="218">
        <f>IF(K1365=K1330,L1373+AK1338,K1338)</f>
        <v>4</v>
      </c>
      <c r="M1338" s="218">
        <f>IF(K1365=K1330,0,L1373+AK1338-K1338)</f>
        <v>0</v>
      </c>
      <c r="N1338" s="218"/>
      <c r="O1338" s="218"/>
      <c r="P1338" s="352"/>
      <c r="Q1338" s="352"/>
      <c r="R1338" s="352"/>
      <c r="S1338" s="352"/>
      <c r="T1338" s="352"/>
      <c r="U1338" s="352"/>
      <c r="V1338" s="218"/>
      <c r="W1338" s="218"/>
      <c r="X1338" s="218">
        <v>3</v>
      </c>
      <c r="Y1338" s="218">
        <v>8</v>
      </c>
      <c r="Z1338" s="218"/>
      <c r="AA1338" s="218"/>
      <c r="AB1338" s="218"/>
      <c r="AC1338" s="218"/>
      <c r="AD1338" s="218"/>
      <c r="AE1338" s="218"/>
      <c r="AF1338" s="218"/>
      <c r="AG1338" s="218"/>
      <c r="AH1338" s="218"/>
      <c r="AI1338" s="218"/>
      <c r="AJ1338" s="242">
        <f>N1338-V1338</f>
        <v>0</v>
      </c>
      <c r="AK1338" s="274">
        <f>G1373+AL1338-G1338</f>
        <v>0</v>
      </c>
      <c r="AL1338" s="232">
        <v>11</v>
      </c>
      <c r="AM1338" s="353"/>
      <c r="AN1338" s="295"/>
      <c r="AO1338" s="296"/>
      <c r="AP1338" s="353"/>
      <c r="AQ1338" s="290"/>
      <c r="AR1338" s="290"/>
      <c r="AS1338" s="290"/>
    </row>
    <row r="1339" spans="1:45" ht="17.25" thickBot="1" x14ac:dyDescent="0.3">
      <c r="A1339" s="467"/>
      <c r="B1339" s="355" t="s">
        <v>420</v>
      </c>
      <c r="C1339" s="356"/>
      <c r="D1339" s="356"/>
      <c r="E1339" s="359"/>
      <c r="F1339" s="359"/>
      <c r="G1339" s="356"/>
      <c r="H1339" s="396"/>
      <c r="I1339" s="356"/>
      <c r="J1339" s="356"/>
      <c r="K1339" s="356"/>
      <c r="L1339" s="356"/>
      <c r="M1339" s="356"/>
      <c r="N1339" s="356"/>
      <c r="O1339" s="356"/>
      <c r="P1339" s="356"/>
      <c r="Q1339" s="356"/>
      <c r="R1339" s="356"/>
      <c r="S1339" s="356"/>
      <c r="T1339" s="356"/>
      <c r="U1339" s="356"/>
      <c r="V1339" s="356"/>
      <c r="W1339" s="356"/>
      <c r="X1339" s="356"/>
      <c r="Y1339" s="356"/>
      <c r="Z1339" s="356"/>
      <c r="AA1339" s="356"/>
      <c r="AB1339" s="356"/>
      <c r="AC1339" s="356"/>
      <c r="AD1339" s="356"/>
      <c r="AE1339" s="356"/>
      <c r="AF1339" s="356"/>
      <c r="AG1339" s="356"/>
      <c r="AH1339" s="356"/>
      <c r="AI1339" s="356"/>
      <c r="AJ1339" s="356"/>
      <c r="AK1339" s="356"/>
      <c r="AL1339" s="368"/>
      <c r="AM1339" s="356"/>
      <c r="AN1339" s="356"/>
      <c r="AO1339" s="356"/>
      <c r="AP1339" s="356"/>
      <c r="AQ1339" s="356"/>
      <c r="AR1339" s="356"/>
      <c r="AS1339" s="357"/>
    </row>
    <row r="1340" spans="1:45" ht="17.25" thickBot="1" x14ac:dyDescent="0.3">
      <c r="A1340" s="467"/>
      <c r="B1340" s="354"/>
      <c r="C1340" s="285">
        <v>1146032</v>
      </c>
      <c r="D1340" s="358" t="s">
        <v>396</v>
      </c>
      <c r="E1340" s="360"/>
      <c r="F1340" s="361">
        <f>G1375-AK1340+AL1340</f>
        <v>1</v>
      </c>
      <c r="G1340" s="364">
        <v>1</v>
      </c>
      <c r="H1340" s="397">
        <v>1</v>
      </c>
      <c r="I1340" s="364">
        <v>3</v>
      </c>
      <c r="J1340" s="364"/>
      <c r="K1340" s="364">
        <v>1</v>
      </c>
      <c r="L1340" s="218"/>
      <c r="M1340" s="218"/>
      <c r="N1340" s="218"/>
      <c r="O1340" s="218"/>
      <c r="P1340" s="352"/>
      <c r="Q1340" s="352"/>
      <c r="R1340" s="352"/>
      <c r="S1340" s="352"/>
      <c r="T1340" s="352"/>
      <c r="U1340" s="352"/>
      <c r="V1340" s="218"/>
      <c r="W1340" s="218"/>
      <c r="X1340" s="218"/>
      <c r="Y1340" s="218"/>
      <c r="Z1340" s="218"/>
      <c r="AA1340" s="218"/>
      <c r="AB1340" s="218"/>
      <c r="AC1340" s="218"/>
      <c r="AD1340" s="218"/>
      <c r="AE1340" s="218"/>
      <c r="AF1340" s="218"/>
      <c r="AG1340" s="218"/>
      <c r="AH1340" s="218"/>
      <c r="AI1340" s="218"/>
      <c r="AJ1340" s="218"/>
      <c r="AK1340" s="218"/>
      <c r="AL1340" s="218"/>
      <c r="AM1340" s="353"/>
      <c r="AN1340" s="295"/>
      <c r="AO1340" s="296"/>
      <c r="AP1340" s="353"/>
      <c r="AQ1340" s="290"/>
      <c r="AR1340" s="290"/>
      <c r="AS1340" s="290"/>
    </row>
    <row r="1341" spans="1:45" ht="17.25" thickBot="1" x14ac:dyDescent="0.3">
      <c r="A1341" s="467"/>
      <c r="B1341" s="354"/>
      <c r="C1341" s="285">
        <v>1146021</v>
      </c>
      <c r="D1341" s="358" t="s">
        <v>397</v>
      </c>
      <c r="E1341" s="360"/>
      <c r="F1341" s="361">
        <f>G1376-AK1341+AL1341</f>
        <v>2</v>
      </c>
      <c r="G1341" s="364">
        <v>2</v>
      </c>
      <c r="H1341" s="397">
        <v>2</v>
      </c>
      <c r="I1341" s="364">
        <v>2</v>
      </c>
      <c r="J1341" s="364"/>
      <c r="K1341" s="364">
        <v>2</v>
      </c>
      <c r="L1341" s="218"/>
      <c r="M1341" s="218"/>
      <c r="N1341" s="218"/>
      <c r="O1341" s="218"/>
      <c r="P1341" s="352"/>
      <c r="Q1341" s="352"/>
      <c r="R1341" s="352"/>
      <c r="S1341" s="352"/>
      <c r="T1341" s="352"/>
      <c r="U1341" s="352"/>
      <c r="V1341" s="218"/>
      <c r="W1341" s="218"/>
      <c r="X1341" s="218"/>
      <c r="Y1341" s="218"/>
      <c r="Z1341" s="218"/>
      <c r="AA1341" s="218"/>
      <c r="AB1341" s="218"/>
      <c r="AC1341" s="218"/>
      <c r="AD1341" s="218"/>
      <c r="AE1341" s="218"/>
      <c r="AF1341" s="218"/>
      <c r="AG1341" s="218"/>
      <c r="AH1341" s="218"/>
      <c r="AI1341" s="218"/>
      <c r="AJ1341" s="218"/>
      <c r="AK1341" s="218"/>
      <c r="AL1341" s="218"/>
      <c r="AM1341" s="353"/>
      <c r="AN1341" s="295"/>
      <c r="AO1341" s="296"/>
      <c r="AP1341" s="353"/>
      <c r="AQ1341" s="290"/>
      <c r="AR1341" s="290"/>
      <c r="AS1341" s="290"/>
    </row>
    <row r="1342" spans="1:45" ht="17.25" thickBot="1" x14ac:dyDescent="0.3">
      <c r="A1342" s="467"/>
      <c r="B1342" s="354"/>
      <c r="C1342" s="285">
        <v>1146018</v>
      </c>
      <c r="D1342" s="358" t="s">
        <v>398</v>
      </c>
      <c r="E1342" s="360"/>
      <c r="F1342" s="361">
        <f>G1377-AK1342+AL1342</f>
        <v>4</v>
      </c>
      <c r="G1342" s="364">
        <v>4</v>
      </c>
      <c r="H1342" s="397">
        <v>4</v>
      </c>
      <c r="I1342" s="364">
        <v>4</v>
      </c>
      <c r="J1342" s="364"/>
      <c r="K1342" s="364">
        <v>1</v>
      </c>
      <c r="L1342" s="218"/>
      <c r="M1342" s="218"/>
      <c r="N1342" s="218"/>
      <c r="O1342" s="218"/>
      <c r="P1342" s="352"/>
      <c r="Q1342" s="352"/>
      <c r="R1342" s="352"/>
      <c r="S1342" s="352"/>
      <c r="T1342" s="352"/>
      <c r="U1342" s="352"/>
      <c r="V1342" s="218"/>
      <c r="W1342" s="218"/>
      <c r="X1342" s="218"/>
      <c r="Y1342" s="218"/>
      <c r="Z1342" s="218"/>
      <c r="AA1342" s="218"/>
      <c r="AB1342" s="218"/>
      <c r="AC1342" s="218"/>
      <c r="AD1342" s="218"/>
      <c r="AE1342" s="218"/>
      <c r="AF1342" s="218"/>
      <c r="AG1342" s="218"/>
      <c r="AH1342" s="218"/>
      <c r="AI1342" s="218"/>
      <c r="AJ1342" s="218"/>
      <c r="AK1342" s="218"/>
      <c r="AL1342" s="218"/>
      <c r="AM1342" s="353"/>
      <c r="AN1342" s="295"/>
      <c r="AO1342" s="296"/>
      <c r="AP1342" s="353"/>
      <c r="AQ1342" s="290"/>
      <c r="AR1342" s="290"/>
      <c r="AS1342" s="290"/>
    </row>
    <row r="1343" spans="1:45" ht="17.25" thickBot="1" x14ac:dyDescent="0.3">
      <c r="A1343" s="467"/>
      <c r="B1343" s="354"/>
      <c r="C1343" s="285">
        <v>1146024</v>
      </c>
      <c r="D1343" s="358" t="s">
        <v>399</v>
      </c>
      <c r="E1343" s="360"/>
      <c r="F1343" s="361">
        <v>1</v>
      </c>
      <c r="G1343" s="364">
        <v>1</v>
      </c>
      <c r="H1343" s="397">
        <v>0</v>
      </c>
      <c r="I1343" s="364">
        <v>0</v>
      </c>
      <c r="J1343" s="364"/>
      <c r="K1343" s="364"/>
      <c r="L1343" s="218"/>
      <c r="M1343" s="218"/>
      <c r="N1343" s="218"/>
      <c r="O1343" s="218"/>
      <c r="P1343" s="352"/>
      <c r="Q1343" s="352"/>
      <c r="R1343" s="352"/>
      <c r="S1343" s="352"/>
      <c r="T1343" s="352"/>
      <c r="U1343" s="352"/>
      <c r="V1343" s="218"/>
      <c r="W1343" s="218"/>
      <c r="X1343" s="218"/>
      <c r="Y1343" s="218"/>
      <c r="Z1343" s="218"/>
      <c r="AA1343" s="218"/>
      <c r="AB1343" s="218"/>
      <c r="AC1343" s="218"/>
      <c r="AD1343" s="218"/>
      <c r="AE1343" s="218"/>
      <c r="AF1343" s="218"/>
      <c r="AG1343" s="218"/>
      <c r="AH1343" s="218"/>
      <c r="AI1343" s="218"/>
      <c r="AJ1343" s="218"/>
      <c r="AK1343" s="218"/>
      <c r="AL1343" s="218">
        <v>1</v>
      </c>
      <c r="AM1343" s="353"/>
      <c r="AN1343" s="295"/>
      <c r="AO1343" s="296"/>
      <c r="AP1343" s="353"/>
      <c r="AQ1343" s="290"/>
      <c r="AR1343" s="290"/>
      <c r="AS1343" s="290"/>
    </row>
    <row r="1344" spans="1:45" ht="17.25" thickBot="1" x14ac:dyDescent="0.3">
      <c r="A1344" s="467"/>
      <c r="B1344" s="354"/>
      <c r="C1344" s="285">
        <v>1146028</v>
      </c>
      <c r="D1344" s="358" t="s">
        <v>400</v>
      </c>
      <c r="E1344" s="360"/>
      <c r="F1344" s="361">
        <f>G1379-AK1344+AL1344</f>
        <v>1</v>
      </c>
      <c r="G1344" s="364">
        <v>1</v>
      </c>
      <c r="H1344" s="397">
        <v>3</v>
      </c>
      <c r="I1344" s="364">
        <v>1</v>
      </c>
      <c r="J1344" s="364"/>
      <c r="K1344" s="364">
        <v>1</v>
      </c>
      <c r="L1344" s="218"/>
      <c r="M1344" s="218"/>
      <c r="N1344" s="218"/>
      <c r="O1344" s="218"/>
      <c r="P1344" s="352"/>
      <c r="Q1344" s="352"/>
      <c r="R1344" s="352"/>
      <c r="S1344" s="352"/>
      <c r="T1344" s="352"/>
      <c r="U1344" s="352"/>
      <c r="V1344" s="218"/>
      <c r="W1344" s="218"/>
      <c r="X1344" s="218"/>
      <c r="Y1344" s="218"/>
      <c r="Z1344" s="218"/>
      <c r="AA1344" s="218"/>
      <c r="AB1344" s="218"/>
      <c r="AC1344" s="218"/>
      <c r="AD1344" s="218"/>
      <c r="AE1344" s="218"/>
      <c r="AF1344" s="218"/>
      <c r="AG1344" s="218"/>
      <c r="AH1344" s="218"/>
      <c r="AI1344" s="218"/>
      <c r="AJ1344" s="218"/>
      <c r="AK1344" s="218"/>
      <c r="AL1344" s="218"/>
      <c r="AM1344" s="353"/>
      <c r="AN1344" s="295"/>
      <c r="AO1344" s="296"/>
      <c r="AP1344" s="353"/>
      <c r="AQ1344" s="290"/>
      <c r="AR1344" s="290"/>
      <c r="AS1344" s="290"/>
    </row>
    <row r="1345" spans="1:45" ht="17.25" thickBot="1" x14ac:dyDescent="0.3">
      <c r="A1345" s="467"/>
      <c r="B1345" s="355" t="s">
        <v>419</v>
      </c>
      <c r="C1345" s="356"/>
      <c r="D1345" s="356"/>
      <c r="E1345" s="359"/>
      <c r="F1345" s="359"/>
      <c r="G1345" s="356"/>
      <c r="H1345" s="396"/>
      <c r="I1345" s="356"/>
      <c r="J1345" s="356"/>
      <c r="K1345" s="356"/>
      <c r="L1345" s="356"/>
      <c r="M1345" s="356"/>
      <c r="N1345" s="356"/>
      <c r="O1345" s="356"/>
      <c r="P1345" s="356"/>
      <c r="Q1345" s="356"/>
      <c r="R1345" s="356"/>
      <c r="S1345" s="356"/>
      <c r="T1345" s="356"/>
      <c r="U1345" s="356"/>
      <c r="V1345" s="356"/>
      <c r="W1345" s="356"/>
      <c r="X1345" s="356"/>
      <c r="Y1345" s="356"/>
      <c r="Z1345" s="356"/>
      <c r="AA1345" s="356"/>
      <c r="AB1345" s="356"/>
      <c r="AC1345" s="356"/>
      <c r="AD1345" s="356"/>
      <c r="AE1345" s="356"/>
      <c r="AF1345" s="356"/>
      <c r="AG1345" s="356"/>
      <c r="AH1345" s="356"/>
      <c r="AI1345" s="356"/>
      <c r="AJ1345" s="356"/>
      <c r="AK1345" s="356"/>
      <c r="AL1345" s="356"/>
      <c r="AM1345" s="356"/>
      <c r="AN1345" s="356"/>
      <c r="AO1345" s="356"/>
      <c r="AP1345" s="356"/>
      <c r="AQ1345" s="356"/>
      <c r="AR1345" s="356"/>
      <c r="AS1345" s="357"/>
    </row>
    <row r="1346" spans="1:45" ht="17.25" thickBot="1" x14ac:dyDescent="0.3">
      <c r="A1346" s="467"/>
      <c r="B1346" s="372"/>
      <c r="C1346" s="373">
        <v>1146031</v>
      </c>
      <c r="D1346" s="374" t="s">
        <v>401</v>
      </c>
      <c r="E1346" s="375"/>
      <c r="F1346" s="376">
        <f>G1381-AK1346+AL1346</f>
        <v>2</v>
      </c>
      <c r="G1346" s="377">
        <v>2</v>
      </c>
      <c r="H1346" s="397">
        <v>2</v>
      </c>
      <c r="I1346" s="377">
        <v>3</v>
      </c>
      <c r="J1346" s="377"/>
      <c r="K1346" s="377">
        <v>2</v>
      </c>
      <c r="L1346" s="377"/>
      <c r="M1346" s="377"/>
      <c r="N1346" s="377"/>
      <c r="O1346" s="377"/>
      <c r="P1346" s="377"/>
      <c r="Q1346" s="377"/>
      <c r="R1346" s="377"/>
      <c r="S1346" s="377"/>
      <c r="T1346" s="377"/>
      <c r="U1346" s="377"/>
      <c r="V1346" s="377"/>
      <c r="W1346" s="377"/>
      <c r="X1346" s="377"/>
      <c r="Y1346" s="377"/>
      <c r="Z1346" s="377"/>
      <c r="AA1346" s="377"/>
      <c r="AB1346" s="377"/>
      <c r="AC1346" s="377"/>
      <c r="AD1346" s="377"/>
      <c r="AE1346" s="377"/>
      <c r="AF1346" s="377"/>
      <c r="AG1346" s="377"/>
      <c r="AH1346" s="377"/>
      <c r="AI1346" s="377"/>
      <c r="AJ1346" s="377"/>
      <c r="AK1346" s="377"/>
      <c r="AL1346" s="377"/>
      <c r="AM1346" s="378"/>
      <c r="AN1346" s="379"/>
      <c r="AO1346" s="380"/>
      <c r="AP1346" s="378"/>
      <c r="AQ1346" s="381"/>
      <c r="AR1346" s="381"/>
      <c r="AS1346" s="381"/>
    </row>
    <row r="1347" spans="1:45" ht="17.25" thickBot="1" x14ac:dyDescent="0.3">
      <c r="A1347" s="467"/>
      <c r="B1347" s="372"/>
      <c r="C1347" s="373">
        <v>1146020</v>
      </c>
      <c r="D1347" s="374" t="s">
        <v>402</v>
      </c>
      <c r="E1347" s="375"/>
      <c r="F1347" s="376">
        <f>G1382-AK1347+AL1347</f>
        <v>1</v>
      </c>
      <c r="G1347" s="377">
        <v>1</v>
      </c>
      <c r="H1347" s="397">
        <v>1</v>
      </c>
      <c r="I1347" s="377">
        <v>1</v>
      </c>
      <c r="J1347" s="377"/>
      <c r="K1347" s="377">
        <v>2</v>
      </c>
      <c r="L1347" s="377"/>
      <c r="M1347" s="377"/>
      <c r="N1347" s="377"/>
      <c r="O1347" s="377"/>
      <c r="P1347" s="377"/>
      <c r="Q1347" s="377"/>
      <c r="R1347" s="377"/>
      <c r="S1347" s="377"/>
      <c r="T1347" s="377"/>
      <c r="U1347" s="377"/>
      <c r="V1347" s="377"/>
      <c r="W1347" s="377"/>
      <c r="X1347" s="377"/>
      <c r="Y1347" s="377"/>
      <c r="Z1347" s="377"/>
      <c r="AA1347" s="377"/>
      <c r="AB1347" s="377"/>
      <c r="AC1347" s="377"/>
      <c r="AD1347" s="377"/>
      <c r="AE1347" s="377"/>
      <c r="AF1347" s="377"/>
      <c r="AG1347" s="377"/>
      <c r="AH1347" s="377"/>
      <c r="AI1347" s="377"/>
      <c r="AJ1347" s="377"/>
      <c r="AK1347" s="377"/>
      <c r="AL1347" s="377"/>
      <c r="AM1347" s="378"/>
      <c r="AN1347" s="379"/>
      <c r="AO1347" s="380"/>
      <c r="AP1347" s="378"/>
      <c r="AQ1347" s="381"/>
      <c r="AR1347" s="381"/>
      <c r="AS1347" s="381"/>
    </row>
    <row r="1348" spans="1:45" ht="17.25" thickBot="1" x14ac:dyDescent="0.3">
      <c r="A1348" s="467"/>
      <c r="B1348" s="372"/>
      <c r="C1348" s="373">
        <v>1146016</v>
      </c>
      <c r="D1348" s="374" t="s">
        <v>398</v>
      </c>
      <c r="E1348" s="375"/>
      <c r="F1348" s="376">
        <f>G1383-AK1348+AL1348</f>
        <v>6</v>
      </c>
      <c r="G1348" s="377">
        <v>6</v>
      </c>
      <c r="H1348" s="397">
        <v>6</v>
      </c>
      <c r="I1348" s="377">
        <v>6</v>
      </c>
      <c r="J1348" s="377"/>
      <c r="K1348" s="377">
        <v>2</v>
      </c>
      <c r="L1348" s="377"/>
      <c r="M1348" s="377"/>
      <c r="N1348" s="377"/>
      <c r="O1348" s="377"/>
      <c r="P1348" s="377"/>
      <c r="Q1348" s="377"/>
      <c r="R1348" s="377"/>
      <c r="S1348" s="377"/>
      <c r="T1348" s="377"/>
      <c r="U1348" s="377"/>
      <c r="V1348" s="377"/>
      <c r="W1348" s="377"/>
      <c r="X1348" s="377"/>
      <c r="Y1348" s="377"/>
      <c r="Z1348" s="377"/>
      <c r="AA1348" s="377"/>
      <c r="AB1348" s="377"/>
      <c r="AC1348" s="377"/>
      <c r="AD1348" s="377"/>
      <c r="AE1348" s="377"/>
      <c r="AF1348" s="377"/>
      <c r="AG1348" s="377"/>
      <c r="AH1348" s="377"/>
      <c r="AI1348" s="377"/>
      <c r="AJ1348" s="377"/>
      <c r="AK1348" s="377"/>
      <c r="AL1348" s="377"/>
      <c r="AM1348" s="378"/>
      <c r="AN1348" s="379"/>
      <c r="AO1348" s="380"/>
      <c r="AP1348" s="378"/>
      <c r="AQ1348" s="381"/>
      <c r="AR1348" s="381"/>
      <c r="AS1348" s="381"/>
    </row>
    <row r="1349" spans="1:45" ht="17.25" thickBot="1" x14ac:dyDescent="0.3">
      <c r="A1349" s="467"/>
      <c r="B1349" s="372"/>
      <c r="C1349" s="373">
        <v>1146022</v>
      </c>
      <c r="D1349" s="374" t="s">
        <v>403</v>
      </c>
      <c r="E1349" s="375"/>
      <c r="F1349" s="376">
        <f>G1384-AK1349+AL1349</f>
        <v>0</v>
      </c>
      <c r="G1349" s="377">
        <v>0</v>
      </c>
      <c r="H1349" s="397">
        <v>0</v>
      </c>
      <c r="I1349" s="377">
        <v>0</v>
      </c>
      <c r="J1349" s="377"/>
      <c r="K1349" s="377"/>
      <c r="L1349" s="377"/>
      <c r="M1349" s="377"/>
      <c r="N1349" s="377"/>
      <c r="O1349" s="377"/>
      <c r="P1349" s="377"/>
      <c r="Q1349" s="377"/>
      <c r="R1349" s="377"/>
      <c r="S1349" s="377"/>
      <c r="T1349" s="377"/>
      <c r="U1349" s="377"/>
      <c r="V1349" s="377"/>
      <c r="W1349" s="377"/>
      <c r="X1349" s="377"/>
      <c r="Y1349" s="377"/>
      <c r="Z1349" s="377"/>
      <c r="AA1349" s="377"/>
      <c r="AB1349" s="377"/>
      <c r="AC1349" s="377"/>
      <c r="AD1349" s="377"/>
      <c r="AE1349" s="377"/>
      <c r="AF1349" s="377"/>
      <c r="AG1349" s="377"/>
      <c r="AH1349" s="377"/>
      <c r="AI1349" s="377"/>
      <c r="AJ1349" s="377"/>
      <c r="AK1349" s="377"/>
      <c r="AL1349" s="377"/>
      <c r="AM1349" s="378"/>
      <c r="AN1349" s="379"/>
      <c r="AO1349" s="380"/>
      <c r="AP1349" s="378"/>
      <c r="AQ1349" s="381"/>
      <c r="AR1349" s="381"/>
      <c r="AS1349" s="381"/>
    </row>
    <row r="1350" spans="1:45" ht="17.25" thickBot="1" x14ac:dyDescent="0.3">
      <c r="A1350" s="467"/>
      <c r="B1350" s="372"/>
      <c r="C1350" s="373">
        <v>1146027</v>
      </c>
      <c r="D1350" s="374" t="s">
        <v>404</v>
      </c>
      <c r="E1350" s="375"/>
      <c r="F1350" s="376">
        <f>G1385-AK1350+AL1350</f>
        <v>2</v>
      </c>
      <c r="G1350" s="377">
        <v>2</v>
      </c>
      <c r="H1350" s="397">
        <v>2</v>
      </c>
      <c r="I1350" s="377">
        <v>3</v>
      </c>
      <c r="J1350" s="377"/>
      <c r="K1350" s="377">
        <v>1</v>
      </c>
      <c r="L1350" s="377"/>
      <c r="M1350" s="377"/>
      <c r="N1350" s="377"/>
      <c r="O1350" s="377"/>
      <c r="P1350" s="377"/>
      <c r="Q1350" s="377"/>
      <c r="R1350" s="377"/>
      <c r="S1350" s="377"/>
      <c r="T1350" s="377"/>
      <c r="U1350" s="377"/>
      <c r="V1350" s="377"/>
      <c r="W1350" s="377"/>
      <c r="X1350" s="377"/>
      <c r="Y1350" s="377"/>
      <c r="Z1350" s="377"/>
      <c r="AA1350" s="377"/>
      <c r="AB1350" s="377"/>
      <c r="AC1350" s="377"/>
      <c r="AD1350" s="377"/>
      <c r="AE1350" s="377"/>
      <c r="AF1350" s="377"/>
      <c r="AG1350" s="377"/>
      <c r="AH1350" s="377"/>
      <c r="AI1350" s="377"/>
      <c r="AJ1350" s="377"/>
      <c r="AK1350" s="377"/>
      <c r="AL1350" s="377"/>
      <c r="AM1350" s="378"/>
      <c r="AN1350" s="379"/>
      <c r="AO1350" s="380"/>
      <c r="AP1350" s="378"/>
      <c r="AQ1350" s="381"/>
      <c r="AR1350" s="381"/>
      <c r="AS1350" s="381"/>
    </row>
    <row r="1351" spans="1:45" ht="17.25" thickBot="1" x14ac:dyDescent="0.3">
      <c r="A1351" s="467"/>
      <c r="B1351" s="355" t="s">
        <v>418</v>
      </c>
      <c r="C1351" s="356"/>
      <c r="D1351" s="356"/>
      <c r="E1351" s="359"/>
      <c r="F1351" s="359"/>
      <c r="G1351" s="356"/>
      <c r="H1351" s="396"/>
      <c r="I1351" s="356"/>
      <c r="J1351" s="356"/>
      <c r="K1351" s="356"/>
      <c r="L1351" s="356"/>
      <c r="M1351" s="356"/>
      <c r="N1351" s="356"/>
      <c r="O1351" s="356"/>
      <c r="P1351" s="356"/>
      <c r="Q1351" s="356"/>
      <c r="R1351" s="356"/>
      <c r="S1351" s="356"/>
      <c r="T1351" s="356"/>
      <c r="U1351" s="356"/>
      <c r="V1351" s="356"/>
      <c r="W1351" s="356"/>
      <c r="X1351" s="356"/>
      <c r="Y1351" s="356"/>
      <c r="Z1351" s="356"/>
      <c r="AA1351" s="356"/>
      <c r="AB1351" s="356"/>
      <c r="AC1351" s="356"/>
      <c r="AD1351" s="356"/>
      <c r="AE1351" s="356"/>
      <c r="AF1351" s="356"/>
      <c r="AG1351" s="356"/>
      <c r="AH1351" s="356"/>
      <c r="AI1351" s="356"/>
      <c r="AJ1351" s="356"/>
      <c r="AK1351" s="356"/>
      <c r="AL1351" s="356"/>
      <c r="AM1351" s="356"/>
      <c r="AN1351" s="356"/>
      <c r="AO1351" s="356"/>
      <c r="AP1351" s="356"/>
      <c r="AQ1351" s="356"/>
      <c r="AR1351" s="356"/>
      <c r="AS1351" s="357"/>
    </row>
    <row r="1352" spans="1:45" ht="17.25" thickBot="1" x14ac:dyDescent="0.3">
      <c r="A1352" s="467"/>
      <c r="B1352" s="354"/>
      <c r="C1352" s="285">
        <v>1151653</v>
      </c>
      <c r="D1352" s="358" t="s">
        <v>405</v>
      </c>
      <c r="E1352" s="360"/>
      <c r="F1352" s="361">
        <f>G1387-AK1352+AL1352</f>
        <v>0</v>
      </c>
      <c r="G1352" s="364">
        <v>0</v>
      </c>
      <c r="H1352" s="397">
        <v>0</v>
      </c>
      <c r="I1352" s="364">
        <v>1</v>
      </c>
      <c r="J1352" s="364"/>
      <c r="K1352" s="364"/>
      <c r="L1352" s="218"/>
      <c r="M1352" s="218"/>
      <c r="N1352" s="218"/>
      <c r="O1352" s="218"/>
      <c r="P1352" s="352"/>
      <c r="Q1352" s="352"/>
      <c r="R1352" s="352"/>
      <c r="S1352" s="352"/>
      <c r="T1352" s="352"/>
      <c r="U1352" s="352"/>
      <c r="V1352" s="218"/>
      <c r="W1352" s="218"/>
      <c r="X1352" s="218"/>
      <c r="Y1352" s="218"/>
      <c r="Z1352" s="218"/>
      <c r="AA1352" s="218"/>
      <c r="AB1352" s="218"/>
      <c r="AC1352" s="218"/>
      <c r="AD1352" s="218"/>
      <c r="AE1352" s="218"/>
      <c r="AF1352" s="218"/>
      <c r="AG1352" s="218"/>
      <c r="AH1352" s="218"/>
      <c r="AI1352" s="218"/>
      <c r="AJ1352" s="218"/>
      <c r="AK1352" s="218"/>
      <c r="AL1352" s="218"/>
      <c r="AM1352" s="353"/>
      <c r="AN1352" s="295"/>
      <c r="AO1352" s="296"/>
      <c r="AP1352" s="353"/>
      <c r="AQ1352" s="290"/>
      <c r="AR1352" s="290"/>
      <c r="AS1352" s="290"/>
    </row>
    <row r="1353" spans="1:45" ht="17.25" thickBot="1" x14ac:dyDescent="0.3">
      <c r="A1353" s="467"/>
      <c r="B1353" s="354"/>
      <c r="C1353" s="285">
        <v>1151650</v>
      </c>
      <c r="D1353" s="358" t="s">
        <v>406</v>
      </c>
      <c r="E1353" s="360"/>
      <c r="F1353" s="361">
        <f>G1388-AK1353+AL1353</f>
        <v>1</v>
      </c>
      <c r="G1353" s="364">
        <v>1</v>
      </c>
      <c r="H1353" s="397">
        <v>1</v>
      </c>
      <c r="I1353" s="364">
        <v>1</v>
      </c>
      <c r="J1353" s="364"/>
      <c r="K1353" s="364">
        <v>4</v>
      </c>
      <c r="L1353" s="218"/>
      <c r="M1353" s="218"/>
      <c r="N1353" s="218"/>
      <c r="O1353" s="218"/>
      <c r="P1353" s="352"/>
      <c r="Q1353" s="352"/>
      <c r="R1353" s="352"/>
      <c r="S1353" s="352"/>
      <c r="T1353" s="352"/>
      <c r="U1353" s="352"/>
      <c r="V1353" s="218"/>
      <c r="W1353" s="218"/>
      <c r="X1353" s="218"/>
      <c r="Y1353" s="218"/>
      <c r="Z1353" s="218"/>
      <c r="AA1353" s="218"/>
      <c r="AB1353" s="218"/>
      <c r="AC1353" s="218"/>
      <c r="AD1353" s="218"/>
      <c r="AE1353" s="218"/>
      <c r="AF1353" s="218"/>
      <c r="AG1353" s="218"/>
      <c r="AH1353" s="218"/>
      <c r="AI1353" s="218"/>
      <c r="AJ1353" s="218"/>
      <c r="AK1353" s="218"/>
      <c r="AL1353" s="218"/>
      <c r="AM1353" s="353"/>
      <c r="AN1353" s="295"/>
      <c r="AO1353" s="296"/>
      <c r="AP1353" s="353"/>
      <c r="AQ1353" s="290"/>
      <c r="AR1353" s="290"/>
      <c r="AS1353" s="290"/>
    </row>
    <row r="1354" spans="1:45" ht="17.25" thickBot="1" x14ac:dyDescent="0.3">
      <c r="A1354" s="467"/>
      <c r="B1354" s="354"/>
      <c r="C1354" s="285">
        <v>1151649</v>
      </c>
      <c r="D1354" s="358" t="s">
        <v>407</v>
      </c>
      <c r="E1354" s="360"/>
      <c r="F1354" s="361">
        <f>G1389-AK1354+AL1354</f>
        <v>2</v>
      </c>
      <c r="G1354" s="364">
        <v>2</v>
      </c>
      <c r="H1354" s="397">
        <v>2</v>
      </c>
      <c r="I1354" s="364">
        <v>2</v>
      </c>
      <c r="J1354" s="364"/>
      <c r="K1354" s="364">
        <v>2</v>
      </c>
      <c r="L1354" s="218"/>
      <c r="M1354" s="218"/>
      <c r="N1354" s="218"/>
      <c r="O1354" s="218"/>
      <c r="P1354" s="352"/>
      <c r="Q1354" s="352"/>
      <c r="R1354" s="352"/>
      <c r="S1354" s="352"/>
      <c r="T1354" s="352"/>
      <c r="U1354" s="352"/>
      <c r="V1354" s="218"/>
      <c r="W1354" s="218"/>
      <c r="X1354" s="218"/>
      <c r="Y1354" s="218"/>
      <c r="Z1354" s="218"/>
      <c r="AA1354" s="218"/>
      <c r="AB1354" s="218"/>
      <c r="AC1354" s="218"/>
      <c r="AD1354" s="218"/>
      <c r="AE1354" s="218"/>
      <c r="AF1354" s="218"/>
      <c r="AG1354" s="218"/>
      <c r="AH1354" s="218"/>
      <c r="AI1354" s="218"/>
      <c r="AJ1354" s="218"/>
      <c r="AK1354" s="218"/>
      <c r="AL1354" s="218"/>
      <c r="AM1354" s="353"/>
      <c r="AN1354" s="295"/>
      <c r="AO1354" s="296"/>
      <c r="AP1354" s="353"/>
      <c r="AQ1354" s="290"/>
      <c r="AR1354" s="290"/>
      <c r="AS1354" s="290"/>
    </row>
    <row r="1355" spans="1:45" ht="17.25" thickBot="1" x14ac:dyDescent="0.3">
      <c r="A1355" s="467"/>
      <c r="B1355" s="354"/>
      <c r="C1355" s="285">
        <v>1151651</v>
      </c>
      <c r="D1355" s="358" t="s">
        <v>408</v>
      </c>
      <c r="E1355" s="360"/>
      <c r="F1355" s="361">
        <v>2</v>
      </c>
      <c r="G1355" s="364">
        <v>2</v>
      </c>
      <c r="H1355" s="397">
        <v>0</v>
      </c>
      <c r="I1355" s="364">
        <v>0</v>
      </c>
      <c r="J1355" s="364"/>
      <c r="K1355" s="364"/>
      <c r="L1355" s="218"/>
      <c r="M1355" s="218"/>
      <c r="N1355" s="218"/>
      <c r="O1355" s="218"/>
      <c r="P1355" s="352"/>
      <c r="Q1355" s="352"/>
      <c r="R1355" s="352"/>
      <c r="S1355" s="352"/>
      <c r="T1355" s="352"/>
      <c r="U1355" s="352"/>
      <c r="V1355" s="218"/>
      <c r="W1355" s="218"/>
      <c r="X1355" s="218"/>
      <c r="Y1355" s="218"/>
      <c r="Z1355" s="218"/>
      <c r="AA1355" s="218"/>
      <c r="AB1355" s="218"/>
      <c r="AC1355" s="218"/>
      <c r="AD1355" s="218"/>
      <c r="AE1355" s="218"/>
      <c r="AF1355" s="218"/>
      <c r="AG1355" s="218"/>
      <c r="AH1355" s="218"/>
      <c r="AI1355" s="218"/>
      <c r="AJ1355" s="218"/>
      <c r="AK1355" s="218"/>
      <c r="AL1355" s="218">
        <v>2</v>
      </c>
      <c r="AM1355" s="353"/>
      <c r="AN1355" s="295"/>
      <c r="AO1355" s="296"/>
      <c r="AP1355" s="353"/>
      <c r="AQ1355" s="290"/>
      <c r="AR1355" s="290"/>
      <c r="AS1355" s="290"/>
    </row>
    <row r="1356" spans="1:45" ht="17.25" thickBot="1" x14ac:dyDescent="0.3">
      <c r="A1356" s="467"/>
      <c r="B1356" s="354"/>
      <c r="C1356" s="285">
        <v>1146029</v>
      </c>
      <c r="D1356" s="358" t="s">
        <v>409</v>
      </c>
      <c r="E1356" s="360"/>
      <c r="F1356" s="361">
        <f>G1391-AK1356+AL1356</f>
        <v>1</v>
      </c>
      <c r="G1356" s="364">
        <v>0</v>
      </c>
      <c r="H1356" s="397">
        <v>1</v>
      </c>
      <c r="I1356" s="364">
        <v>2</v>
      </c>
      <c r="J1356" s="364"/>
      <c r="K1356" s="364">
        <v>2</v>
      </c>
      <c r="L1356" s="218"/>
      <c r="M1356" s="218"/>
      <c r="N1356" s="218"/>
      <c r="O1356" s="218"/>
      <c r="P1356" s="352"/>
      <c r="Q1356" s="352"/>
      <c r="R1356" s="352"/>
      <c r="S1356" s="352"/>
      <c r="T1356" s="352"/>
      <c r="U1356" s="352"/>
      <c r="V1356" s="218"/>
      <c r="W1356" s="218"/>
      <c r="X1356" s="218"/>
      <c r="Y1356" s="218"/>
      <c r="Z1356" s="218"/>
      <c r="AA1356" s="218"/>
      <c r="AB1356" s="218"/>
      <c r="AC1356" s="218"/>
      <c r="AD1356" s="218"/>
      <c r="AE1356" s="218"/>
      <c r="AF1356" s="218"/>
      <c r="AG1356" s="218"/>
      <c r="AH1356" s="218"/>
      <c r="AI1356" s="218"/>
      <c r="AJ1356" s="218"/>
      <c r="AK1356" s="218"/>
      <c r="AL1356" s="218"/>
      <c r="AM1356" s="353"/>
      <c r="AN1356" s="295"/>
      <c r="AO1356" s="296"/>
      <c r="AP1356" s="353"/>
      <c r="AQ1356" s="290"/>
      <c r="AR1356" s="290"/>
      <c r="AS1356" s="290"/>
    </row>
    <row r="1357" spans="1:45" ht="17.25" thickBot="1" x14ac:dyDescent="0.3">
      <c r="A1357" s="467"/>
      <c r="B1357" s="355" t="s">
        <v>410</v>
      </c>
      <c r="C1357" s="356"/>
      <c r="D1357" s="356"/>
      <c r="E1357" s="359"/>
      <c r="F1357" s="359"/>
      <c r="G1357" s="356"/>
      <c r="H1357" s="396"/>
      <c r="I1357" s="356"/>
      <c r="J1357" s="356"/>
      <c r="K1357" s="356"/>
      <c r="L1357" s="356"/>
      <c r="M1357" s="356"/>
      <c r="N1357" s="356"/>
      <c r="O1357" s="356"/>
      <c r="P1357" s="356"/>
      <c r="Q1357" s="356"/>
      <c r="R1357" s="356"/>
      <c r="S1357" s="356"/>
      <c r="T1357" s="356"/>
      <c r="U1357" s="356"/>
      <c r="V1357" s="356"/>
      <c r="W1357" s="356"/>
      <c r="X1357" s="356"/>
      <c r="Y1357" s="356"/>
      <c r="Z1357" s="356"/>
      <c r="AA1357" s="356"/>
      <c r="AB1357" s="356"/>
      <c r="AC1357" s="356"/>
      <c r="AD1357" s="356"/>
      <c r="AE1357" s="356"/>
      <c r="AF1357" s="356"/>
      <c r="AG1357" s="356"/>
      <c r="AH1357" s="356"/>
      <c r="AI1357" s="356"/>
      <c r="AJ1357" s="356"/>
      <c r="AK1357" s="356"/>
      <c r="AL1357" s="356"/>
      <c r="AM1357" s="356"/>
      <c r="AN1357" s="356"/>
      <c r="AO1357" s="356"/>
      <c r="AP1357" s="356"/>
      <c r="AQ1357" s="356"/>
      <c r="AR1357" s="356"/>
      <c r="AS1357" s="357"/>
    </row>
    <row r="1358" spans="1:45" ht="17.25" thickBot="1" x14ac:dyDescent="0.3">
      <c r="A1358" s="467"/>
      <c r="B1358" s="354"/>
      <c r="C1358" s="285">
        <v>1699118</v>
      </c>
      <c r="D1358" s="358" t="s">
        <v>411</v>
      </c>
      <c r="E1358" s="360"/>
      <c r="F1358" s="361">
        <f>G1393-AK1358+AL1358</f>
        <v>0</v>
      </c>
      <c r="G1358" s="364">
        <v>0</v>
      </c>
      <c r="H1358" s="397">
        <v>0</v>
      </c>
      <c r="I1358" s="364">
        <v>0</v>
      </c>
      <c r="J1358" s="364"/>
      <c r="K1358" s="364"/>
      <c r="L1358" s="218"/>
      <c r="M1358" s="218"/>
      <c r="N1358" s="218"/>
      <c r="O1358" s="218"/>
      <c r="P1358" s="352"/>
      <c r="Q1358" s="352"/>
      <c r="R1358" s="352"/>
      <c r="S1358" s="352"/>
      <c r="T1358" s="352"/>
      <c r="U1358" s="352"/>
      <c r="V1358" s="218"/>
      <c r="W1358" s="218"/>
      <c r="X1358" s="218"/>
      <c r="Y1358" s="218"/>
      <c r="Z1358" s="218"/>
      <c r="AA1358" s="218"/>
      <c r="AB1358" s="218"/>
      <c r="AC1358" s="218"/>
      <c r="AD1358" s="218"/>
      <c r="AE1358" s="218"/>
      <c r="AF1358" s="218"/>
      <c r="AG1358" s="218"/>
      <c r="AH1358" s="218"/>
      <c r="AI1358" s="218"/>
      <c r="AJ1358" s="218"/>
      <c r="AK1358" s="218"/>
      <c r="AL1358" s="218"/>
      <c r="AM1358" s="353"/>
      <c r="AN1358" s="295"/>
      <c r="AO1358" s="296"/>
      <c r="AP1358" s="353"/>
      <c r="AQ1358" s="290"/>
      <c r="AR1358" s="290"/>
      <c r="AS1358" s="290"/>
    </row>
    <row r="1359" spans="1:45" ht="17.25" thickBot="1" x14ac:dyDescent="0.3">
      <c r="A1359" s="467"/>
      <c r="B1359" s="354"/>
      <c r="C1359" s="285">
        <v>1699119</v>
      </c>
      <c r="D1359" s="358" t="s">
        <v>412</v>
      </c>
      <c r="E1359" s="360"/>
      <c r="F1359" s="361">
        <f>G1394-AK1359+AL1359</f>
        <v>0</v>
      </c>
      <c r="G1359" s="364">
        <v>0</v>
      </c>
      <c r="H1359" s="397">
        <v>0</v>
      </c>
      <c r="I1359" s="364">
        <v>0</v>
      </c>
      <c r="J1359" s="364"/>
      <c r="K1359" s="364"/>
      <c r="L1359" s="218"/>
      <c r="M1359" s="218"/>
      <c r="N1359" s="218"/>
      <c r="O1359" s="218"/>
      <c r="P1359" s="352"/>
      <c r="Q1359" s="352"/>
      <c r="R1359" s="352"/>
      <c r="S1359" s="352"/>
      <c r="T1359" s="352"/>
      <c r="U1359" s="352"/>
      <c r="V1359" s="218"/>
      <c r="W1359" s="218"/>
      <c r="X1359" s="218"/>
      <c r="Y1359" s="218"/>
      <c r="Z1359" s="218"/>
      <c r="AA1359" s="218"/>
      <c r="AB1359" s="218"/>
      <c r="AC1359" s="218"/>
      <c r="AD1359" s="218"/>
      <c r="AE1359" s="218"/>
      <c r="AF1359" s="218"/>
      <c r="AG1359" s="218"/>
      <c r="AH1359" s="218"/>
      <c r="AI1359" s="218"/>
      <c r="AJ1359" s="218"/>
      <c r="AK1359" s="218"/>
      <c r="AL1359" s="218"/>
      <c r="AM1359" s="353"/>
      <c r="AN1359" s="295"/>
      <c r="AO1359" s="296"/>
      <c r="AP1359" s="353"/>
      <c r="AQ1359" s="290"/>
      <c r="AR1359" s="290"/>
      <c r="AS1359" s="290"/>
    </row>
    <row r="1360" spans="1:45" ht="17.25" thickBot="1" x14ac:dyDescent="0.3">
      <c r="A1360" s="467"/>
      <c r="B1360" s="354"/>
      <c r="C1360" s="285">
        <v>1699130</v>
      </c>
      <c r="D1360" s="358" t="s">
        <v>413</v>
      </c>
      <c r="E1360" s="360"/>
      <c r="F1360" s="361">
        <f>G1395-AK1360+AL1360</f>
        <v>0</v>
      </c>
      <c r="G1360" s="364">
        <v>0</v>
      </c>
      <c r="H1360" s="397">
        <v>0</v>
      </c>
      <c r="I1360" s="364">
        <v>0</v>
      </c>
      <c r="J1360" s="364"/>
      <c r="K1360" s="364"/>
      <c r="L1360" s="218"/>
      <c r="M1360" s="218"/>
      <c r="N1360" s="218"/>
      <c r="O1360" s="218"/>
      <c r="P1360" s="352"/>
      <c r="Q1360" s="352"/>
      <c r="R1360" s="352"/>
      <c r="S1360" s="352"/>
      <c r="T1360" s="352"/>
      <c r="U1360" s="352"/>
      <c r="V1360" s="218"/>
      <c r="W1360" s="218"/>
      <c r="X1360" s="218"/>
      <c r="Y1360" s="218"/>
      <c r="Z1360" s="218"/>
      <c r="AA1360" s="218"/>
      <c r="AB1360" s="218"/>
      <c r="AC1360" s="218"/>
      <c r="AD1360" s="218"/>
      <c r="AE1360" s="218"/>
      <c r="AF1360" s="218"/>
      <c r="AG1360" s="218"/>
      <c r="AH1360" s="218"/>
      <c r="AI1360" s="218"/>
      <c r="AJ1360" s="218"/>
      <c r="AK1360" s="218"/>
      <c r="AL1360" s="218"/>
      <c r="AM1360" s="353"/>
      <c r="AN1360" s="295"/>
      <c r="AO1360" s="296"/>
      <c r="AP1360" s="353"/>
      <c r="AQ1360" s="290"/>
      <c r="AR1360" s="290"/>
      <c r="AS1360" s="290"/>
    </row>
    <row r="1361" spans="1:45" ht="17.25" thickBot="1" x14ac:dyDescent="0.3">
      <c r="A1361" s="467"/>
      <c r="B1361" s="354"/>
      <c r="C1361" s="285">
        <v>1699131</v>
      </c>
      <c r="D1361" s="358" t="s">
        <v>414</v>
      </c>
      <c r="E1361" s="360"/>
      <c r="F1361" s="361">
        <f>G1396-AK1361+AL1361</f>
        <v>0</v>
      </c>
      <c r="G1361" s="364">
        <v>0</v>
      </c>
      <c r="H1361" s="397">
        <v>0</v>
      </c>
      <c r="I1361" s="364">
        <v>2</v>
      </c>
      <c r="J1361" s="364"/>
      <c r="K1361" s="364"/>
      <c r="L1361" s="218"/>
      <c r="M1361" s="218"/>
      <c r="N1361" s="218"/>
      <c r="O1361" s="218"/>
      <c r="P1361" s="352"/>
      <c r="Q1361" s="352"/>
      <c r="R1361" s="352"/>
      <c r="S1361" s="352"/>
      <c r="T1361" s="352"/>
      <c r="U1361" s="352"/>
      <c r="V1361" s="218"/>
      <c r="W1361" s="218"/>
      <c r="X1361" s="218"/>
      <c r="Y1361" s="218"/>
      <c r="Z1361" s="218"/>
      <c r="AA1361" s="218"/>
      <c r="AB1361" s="218"/>
      <c r="AC1361" s="218"/>
      <c r="AD1361" s="218"/>
      <c r="AE1361" s="218"/>
      <c r="AF1361" s="218"/>
      <c r="AG1361" s="218"/>
      <c r="AH1361" s="218"/>
      <c r="AI1361" s="218"/>
      <c r="AJ1361" s="218"/>
      <c r="AK1361" s="218"/>
      <c r="AL1361" s="218"/>
      <c r="AM1361" s="353"/>
      <c r="AN1361" s="295"/>
      <c r="AO1361" s="296"/>
      <c r="AP1361" s="353"/>
      <c r="AQ1361" s="290"/>
      <c r="AR1361" s="290"/>
      <c r="AS1361" s="290"/>
    </row>
    <row r="1362" spans="1:45" ht="17.25" thickBot="1" x14ac:dyDescent="0.3">
      <c r="A1362" s="468"/>
      <c r="B1362" s="354"/>
      <c r="C1362" s="285">
        <v>1699132</v>
      </c>
      <c r="D1362" s="358" t="s">
        <v>415</v>
      </c>
      <c r="E1362" s="285"/>
      <c r="F1362" s="362">
        <f>G1397-AK1362+AL1362</f>
        <v>0</v>
      </c>
      <c r="G1362" s="364">
        <v>0</v>
      </c>
      <c r="H1362" s="397">
        <v>0</v>
      </c>
      <c r="I1362" s="364">
        <v>2</v>
      </c>
      <c r="J1362" s="364"/>
      <c r="K1362" s="364">
        <v>2</v>
      </c>
      <c r="L1362" s="218"/>
      <c r="M1362" s="218"/>
      <c r="N1362" s="218"/>
      <c r="O1362" s="218"/>
      <c r="P1362" s="352"/>
      <c r="Q1362" s="352"/>
      <c r="R1362" s="352"/>
      <c r="S1362" s="352"/>
      <c r="T1362" s="352"/>
      <c r="U1362" s="352"/>
      <c r="V1362" s="218"/>
      <c r="W1362" s="218"/>
      <c r="X1362" s="218"/>
      <c r="Y1362" s="218"/>
      <c r="Z1362" s="218"/>
      <c r="AA1362" s="218"/>
      <c r="AB1362" s="218"/>
      <c r="AC1362" s="218"/>
      <c r="AD1362" s="218"/>
      <c r="AE1362" s="218"/>
      <c r="AF1362" s="218"/>
      <c r="AG1362" s="218"/>
      <c r="AH1362" s="218"/>
      <c r="AI1362" s="218"/>
      <c r="AJ1362" s="218"/>
      <c r="AK1362" s="218"/>
      <c r="AL1362" s="218"/>
      <c r="AM1362" s="353"/>
      <c r="AN1362" s="295"/>
      <c r="AO1362" s="296"/>
      <c r="AP1362" s="353"/>
      <c r="AQ1362" s="290"/>
      <c r="AR1362" s="290"/>
      <c r="AS1362" s="290"/>
    </row>
    <row r="1363" spans="1:45" x14ac:dyDescent="0.25">
      <c r="AL1363" s="290"/>
      <c r="AM1363" s="290"/>
      <c r="AN1363" s="290"/>
      <c r="AO1363" s="290"/>
      <c r="AP1363" s="290"/>
      <c r="AQ1363" s="290"/>
      <c r="AR1363" s="290"/>
    </row>
    <row r="1364" spans="1:45" ht="14.25" thickBot="1" x14ac:dyDescent="0.3">
      <c r="B1364" s="338" t="s">
        <v>18</v>
      </c>
      <c r="C1364" s="339">
        <v>45579</v>
      </c>
      <c r="AL1364" s="290"/>
      <c r="AM1364" s="290"/>
      <c r="AN1364" s="290"/>
      <c r="AO1364" s="290"/>
      <c r="AP1364" s="290"/>
      <c r="AQ1364" s="290"/>
      <c r="AR1364" s="290"/>
    </row>
    <row r="1365" spans="1:45" ht="41.25" thickBot="1" x14ac:dyDescent="0.3">
      <c r="B1365" s="283" t="s">
        <v>0</v>
      </c>
      <c r="C1365" s="284" t="s">
        <v>1</v>
      </c>
      <c r="D1365" s="284" t="s">
        <v>2</v>
      </c>
      <c r="E1365" s="284" t="s">
        <v>3</v>
      </c>
      <c r="F1365" s="4" t="s">
        <v>318</v>
      </c>
      <c r="G1365" s="351" t="s">
        <v>4</v>
      </c>
      <c r="H1365" s="382" t="s">
        <v>460</v>
      </c>
      <c r="I1365" s="234" t="s">
        <v>461</v>
      </c>
      <c r="J1365" s="234"/>
      <c r="K1365" s="258" t="s">
        <v>462</v>
      </c>
      <c r="L1365" s="258" t="s">
        <v>328</v>
      </c>
      <c r="M1365" s="258" t="s">
        <v>327</v>
      </c>
      <c r="N1365" s="234" t="s">
        <v>389</v>
      </c>
      <c r="O1365" s="240" t="s">
        <v>130</v>
      </c>
      <c r="P1365" s="243" t="s">
        <v>303</v>
      </c>
      <c r="Q1365" s="244" t="s">
        <v>304</v>
      </c>
      <c r="R1365" s="244" t="s">
        <v>314</v>
      </c>
      <c r="S1365" s="245" t="s">
        <v>338</v>
      </c>
      <c r="T1365" s="245" t="s">
        <v>345</v>
      </c>
      <c r="U1365" s="245" t="s">
        <v>361</v>
      </c>
      <c r="V1365" s="245" t="s">
        <v>387</v>
      </c>
      <c r="W1365" s="245" t="s">
        <v>421</v>
      </c>
      <c r="X1365" s="245" t="s">
        <v>452</v>
      </c>
      <c r="Y1365" s="245" t="s">
        <v>463</v>
      </c>
      <c r="Z1365" s="245"/>
      <c r="AA1365" s="245"/>
      <c r="AB1365" s="245"/>
      <c r="AC1365" s="245"/>
      <c r="AD1365" s="245"/>
      <c r="AE1365" s="245"/>
      <c r="AF1365" s="245"/>
      <c r="AG1365" s="245"/>
      <c r="AH1365" s="245"/>
      <c r="AI1365" s="245"/>
      <c r="AJ1365" s="245" t="s">
        <v>360</v>
      </c>
      <c r="AK1365" s="246" t="s">
        <v>268</v>
      </c>
      <c r="AL1365" s="247" t="s">
        <v>269</v>
      </c>
      <c r="AM1365" s="291" t="s">
        <v>288</v>
      </c>
      <c r="AN1365" s="292" t="s">
        <v>289</v>
      </c>
      <c r="AO1365" s="292" t="s">
        <v>287</v>
      </c>
      <c r="AP1365" s="293" t="s">
        <v>290</v>
      </c>
      <c r="AQ1365" s="290" t="s">
        <v>306</v>
      </c>
      <c r="AR1365" s="290" t="s">
        <v>310</v>
      </c>
      <c r="AS1365" s="290" t="s">
        <v>311</v>
      </c>
    </row>
    <row r="1366" spans="1:45" ht="17.25" thickBot="1" x14ac:dyDescent="0.3">
      <c r="A1366" s="463" t="s">
        <v>416</v>
      </c>
      <c r="B1366" s="285">
        <v>273664</v>
      </c>
      <c r="C1366" s="286">
        <v>1135749</v>
      </c>
      <c r="D1366" s="286" t="s">
        <v>7</v>
      </c>
      <c r="E1366" s="286">
        <v>6060050026</v>
      </c>
      <c r="F1366" s="253">
        <f>G1401-AK1366+AL1366</f>
        <v>7</v>
      </c>
      <c r="G1366" s="235">
        <v>7</v>
      </c>
      <c r="H1366" s="394">
        <v>7</v>
      </c>
      <c r="I1366" s="232">
        <v>7</v>
      </c>
      <c r="J1366" s="232"/>
      <c r="K1366" s="232">
        <v>1</v>
      </c>
      <c r="L1366" s="232">
        <f>IF(K1400=K1365,L1401+AK1366,K1366)</f>
        <v>1</v>
      </c>
      <c r="M1366" s="232">
        <f>IF(K1400=K1365,0,L1401+AK1366-K1366)</f>
        <v>0</v>
      </c>
      <c r="N1366" s="267">
        <v>5</v>
      </c>
      <c r="O1366" s="241">
        <f>N1366-G1366</f>
        <v>-2</v>
      </c>
      <c r="P1366" s="277">
        <v>4</v>
      </c>
      <c r="Q1366" s="278">
        <v>4</v>
      </c>
      <c r="R1366" s="279"/>
      <c r="S1366" s="279">
        <v>3</v>
      </c>
      <c r="T1366" s="279">
        <v>4</v>
      </c>
      <c r="U1366" s="279">
        <v>2</v>
      </c>
      <c r="V1366" s="279"/>
      <c r="W1366" s="279">
        <f>2+3</f>
        <v>5</v>
      </c>
      <c r="X1366" s="241"/>
      <c r="Y1366" s="241"/>
      <c r="Z1366" s="241"/>
      <c r="AA1366" s="241"/>
      <c r="AB1366" s="241"/>
      <c r="AC1366" s="241"/>
      <c r="AD1366" s="241"/>
      <c r="AE1366" s="241"/>
      <c r="AF1366" s="241"/>
      <c r="AG1366" s="241"/>
      <c r="AH1366" s="241"/>
      <c r="AI1366" s="241"/>
      <c r="AJ1366" s="241">
        <f>N1366-V1366</f>
        <v>5</v>
      </c>
      <c r="AK1366" s="235">
        <f>G1401+AL1366-G1366</f>
        <v>0</v>
      </c>
      <c r="AL1366" s="350"/>
      <c r="AM1366" s="294">
        <v>1.5</v>
      </c>
      <c r="AN1366" s="295">
        <v>4</v>
      </c>
      <c r="AO1366" s="296">
        <f>G1366/(AN1366)</f>
        <v>1.75</v>
      </c>
      <c r="AP1366" s="297">
        <f>AN1366*6</f>
        <v>24</v>
      </c>
      <c r="AQ1366" s="290">
        <f>G1366+K1366</f>
        <v>8</v>
      </c>
      <c r="AR1366" s="290">
        <f>IF(G1366&lt;G1401,(G1401-G1366+K1401-K1366),K1401-K1366)</f>
        <v>0</v>
      </c>
      <c r="AS1366" s="290">
        <f>21-8</f>
        <v>13</v>
      </c>
    </row>
    <row r="1367" spans="1:45" ht="17.25" thickBot="1" x14ac:dyDescent="0.3">
      <c r="A1367" s="464"/>
      <c r="B1367" s="285">
        <v>273672</v>
      </c>
      <c r="C1367" s="286">
        <v>1135750</v>
      </c>
      <c r="D1367" s="286" t="s">
        <v>9</v>
      </c>
      <c r="E1367" s="287">
        <v>204000000000</v>
      </c>
      <c r="F1367" s="253">
        <f>G1402-AK1367+AL1367</f>
        <v>15</v>
      </c>
      <c r="G1367" s="235">
        <v>15</v>
      </c>
      <c r="H1367" s="394">
        <v>15</v>
      </c>
      <c r="I1367" s="232">
        <v>15</v>
      </c>
      <c r="J1367" s="232"/>
      <c r="K1367" s="232">
        <v>9</v>
      </c>
      <c r="L1367" s="232">
        <f>IF(K1400=K1365,L1402+AK1367,K1367)</f>
        <v>9</v>
      </c>
      <c r="M1367" s="232">
        <f>IF(K1400=K1365,0,L1402+AK1367-K1367)</f>
        <v>0</v>
      </c>
      <c r="N1367" s="267">
        <v>10</v>
      </c>
      <c r="O1367" s="241">
        <f>N1367-G1367</f>
        <v>-5</v>
      </c>
      <c r="P1367" s="277">
        <v>13</v>
      </c>
      <c r="Q1367" s="278">
        <v>2</v>
      </c>
      <c r="R1367" s="279">
        <v>6</v>
      </c>
      <c r="S1367" s="279">
        <v>6</v>
      </c>
      <c r="T1367" s="279">
        <v>10</v>
      </c>
      <c r="U1367" s="279">
        <v>4</v>
      </c>
      <c r="V1367" s="279">
        <v>6</v>
      </c>
      <c r="W1367" s="279">
        <v>16</v>
      </c>
      <c r="X1367" s="241"/>
      <c r="Y1367" s="241">
        <v>6</v>
      </c>
      <c r="Z1367" s="241"/>
      <c r="AA1367" s="241"/>
      <c r="AB1367" s="241"/>
      <c r="AC1367" s="241"/>
      <c r="AD1367" s="241"/>
      <c r="AE1367" s="241"/>
      <c r="AF1367" s="241"/>
      <c r="AG1367" s="241"/>
      <c r="AH1367" s="241"/>
      <c r="AI1367" s="241"/>
      <c r="AJ1367" s="241">
        <f>N1367-V1367</f>
        <v>4</v>
      </c>
      <c r="AK1367" s="235">
        <f>G1402+AL1367-G1367</f>
        <v>0</v>
      </c>
      <c r="AL1367" s="236"/>
      <c r="AM1367" s="298">
        <v>4.2</v>
      </c>
      <c r="AN1367" s="295">
        <v>9</v>
      </c>
      <c r="AO1367" s="296">
        <f>G1367/(AN1367)</f>
        <v>1.6666666666666667</v>
      </c>
      <c r="AP1367" s="297">
        <f>AN1367*6</f>
        <v>54</v>
      </c>
      <c r="AQ1367" s="290">
        <f>G1367+K1367</f>
        <v>24</v>
      </c>
      <c r="AR1367" s="290">
        <f>IF(G1367&lt;G1402,(G1402-G1367+K1402-K1367),K1402-K1367)</f>
        <v>0</v>
      </c>
      <c r="AS1367" s="290">
        <f>21-8</f>
        <v>13</v>
      </c>
    </row>
    <row r="1368" spans="1:45" ht="17.25" thickBot="1" x14ac:dyDescent="0.3">
      <c r="A1368" s="464"/>
      <c r="B1368" s="285">
        <v>273702</v>
      </c>
      <c r="C1368" s="286">
        <v>1135753</v>
      </c>
      <c r="D1368" s="286" t="s">
        <v>10</v>
      </c>
      <c r="E1368" s="287">
        <v>301000000000</v>
      </c>
      <c r="F1368" s="253">
        <f>G1403-AK1368+AL1368</f>
        <v>2</v>
      </c>
      <c r="G1368" s="235">
        <v>2</v>
      </c>
      <c r="H1368" s="394">
        <v>2</v>
      </c>
      <c r="I1368" s="232">
        <v>2</v>
      </c>
      <c r="J1368" s="232"/>
      <c r="K1368" s="232">
        <v>1</v>
      </c>
      <c r="L1368" s="232">
        <f>IF(K1400=K1365,L1403+AK1368,K1368)</f>
        <v>1</v>
      </c>
      <c r="M1368" s="232">
        <f>IF(K1400=K1365,0,L1403+AK1368-K1368)</f>
        <v>0</v>
      </c>
      <c r="N1368" s="232">
        <v>2</v>
      </c>
      <c r="O1368" s="241">
        <f>N1368-G1368</f>
        <v>0</v>
      </c>
      <c r="P1368" s="277"/>
      <c r="Q1368" s="278"/>
      <c r="R1368" s="279"/>
      <c r="S1368" s="279"/>
      <c r="T1368" s="279"/>
      <c r="U1368" s="279"/>
      <c r="V1368" s="279"/>
      <c r="W1368" s="279"/>
      <c r="X1368" s="241"/>
      <c r="Y1368" s="241"/>
      <c r="Z1368" s="241"/>
      <c r="AA1368" s="241"/>
      <c r="AB1368" s="241"/>
      <c r="AC1368" s="241"/>
      <c r="AD1368" s="241"/>
      <c r="AE1368" s="241"/>
      <c r="AF1368" s="241"/>
      <c r="AG1368" s="241"/>
      <c r="AH1368" s="241"/>
      <c r="AI1368" s="241"/>
      <c r="AJ1368" s="241">
        <f>N1368-V1368</f>
        <v>2</v>
      </c>
      <c r="AK1368" s="235">
        <f>G1403+AL1368-G1368</f>
        <v>0</v>
      </c>
      <c r="AL1368" s="236"/>
      <c r="AM1368" s="294">
        <f>4/12</f>
        <v>0.33333333333333331</v>
      </c>
      <c r="AN1368" s="295">
        <v>2</v>
      </c>
      <c r="AO1368" s="296">
        <f>G1368/(AN1368)</f>
        <v>1</v>
      </c>
      <c r="AP1368" s="297">
        <f>AN1368*6</f>
        <v>12</v>
      </c>
      <c r="AQ1368" s="290">
        <f>G1368+K1368</f>
        <v>3</v>
      </c>
      <c r="AR1368" s="290">
        <f>IF(G1368&lt;G1403,(G1403-G1368+K1403-K1368),K1403-K1368)</f>
        <v>0</v>
      </c>
      <c r="AS1368" s="290">
        <f>21-8</f>
        <v>13</v>
      </c>
    </row>
    <row r="1369" spans="1:45" ht="17.25" thickBot="1" x14ac:dyDescent="0.3">
      <c r="A1369" s="464"/>
      <c r="B1369" s="285">
        <v>273698</v>
      </c>
      <c r="C1369" s="286">
        <v>1135752</v>
      </c>
      <c r="D1369" s="286" t="s">
        <v>11</v>
      </c>
      <c r="E1369" s="287">
        <v>701000000000</v>
      </c>
      <c r="F1369" s="253">
        <f>G1404-AK1369+AL1369</f>
        <v>2</v>
      </c>
      <c r="G1369" s="235">
        <v>2</v>
      </c>
      <c r="H1369" s="394">
        <v>2</v>
      </c>
      <c r="I1369" s="232">
        <v>3</v>
      </c>
      <c r="J1369" s="232"/>
      <c r="K1369" s="232">
        <v>0</v>
      </c>
      <c r="L1369" s="232">
        <f>IF(K1400=K1365,L1404+AK1369,K1369)</f>
        <v>0</v>
      </c>
      <c r="M1369" s="232">
        <f>IF(K1400=K1365,0,L1404+AK1369-K1369)</f>
        <v>0</v>
      </c>
      <c r="N1369" s="232">
        <v>3</v>
      </c>
      <c r="O1369" s="241">
        <f>N1369-G1369</f>
        <v>1</v>
      </c>
      <c r="P1369" s="277">
        <v>2</v>
      </c>
      <c r="Q1369" s="278"/>
      <c r="R1369" s="279"/>
      <c r="S1369" s="279"/>
      <c r="T1369" s="279"/>
      <c r="U1369" s="279"/>
      <c r="V1369" s="279"/>
      <c r="W1369" s="279">
        <v>1</v>
      </c>
      <c r="X1369" s="241"/>
      <c r="Y1369" s="241"/>
      <c r="Z1369" s="241"/>
      <c r="AA1369" s="241"/>
      <c r="AB1369" s="241"/>
      <c r="AC1369" s="241"/>
      <c r="AD1369" s="241"/>
      <c r="AE1369" s="241"/>
      <c r="AF1369" s="241"/>
      <c r="AG1369" s="241"/>
      <c r="AH1369" s="241"/>
      <c r="AI1369" s="241"/>
      <c r="AJ1369" s="241">
        <f>N1369-V1369</f>
        <v>3</v>
      </c>
      <c r="AK1369" s="235">
        <f>G1404+AL1369-G1369</f>
        <v>0</v>
      </c>
      <c r="AL1369" s="236"/>
      <c r="AM1369" s="294">
        <f>4/12</f>
        <v>0.33333333333333331</v>
      </c>
      <c r="AN1369" s="295">
        <v>2</v>
      </c>
      <c r="AO1369" s="296">
        <f>G1369/(AN1369)</f>
        <v>1</v>
      </c>
      <c r="AP1369" s="297">
        <f>AN1369*6</f>
        <v>12</v>
      </c>
      <c r="AQ1369" s="290">
        <f>G1369+K1369</f>
        <v>2</v>
      </c>
      <c r="AR1369" s="290">
        <f>IF(G1369&lt;G1404,(G1404-G1369+K1404-K1369),K1404-K1369)</f>
        <v>0</v>
      </c>
      <c r="AS1369" s="290">
        <f>21-8</f>
        <v>13</v>
      </c>
    </row>
    <row r="1370" spans="1:45" ht="17.25" thickBot="1" x14ac:dyDescent="0.3">
      <c r="A1370" s="465"/>
      <c r="B1370" s="285">
        <v>273680</v>
      </c>
      <c r="C1370" s="286">
        <v>1135751</v>
      </c>
      <c r="D1370" s="286" t="s">
        <v>12</v>
      </c>
      <c r="E1370" s="286" t="s">
        <v>13</v>
      </c>
      <c r="F1370" s="254">
        <f>G1405-AK1370+AL1370</f>
        <v>5</v>
      </c>
      <c r="G1370" s="237">
        <v>5</v>
      </c>
      <c r="H1370" s="395">
        <v>5</v>
      </c>
      <c r="I1370" s="238">
        <v>5</v>
      </c>
      <c r="J1370" s="238"/>
      <c r="K1370" s="238">
        <v>11</v>
      </c>
      <c r="L1370" s="238">
        <f>IF(K1400=K1365,L1405+AK1370,K1370)</f>
        <v>11</v>
      </c>
      <c r="M1370" s="238">
        <f>IF(K1400=K1365,0,L1405+AK1370-K1370)</f>
        <v>0</v>
      </c>
      <c r="N1370" s="238">
        <v>9</v>
      </c>
      <c r="O1370" s="242">
        <f>N1370-G1370</f>
        <v>4</v>
      </c>
      <c r="P1370" s="280"/>
      <c r="Q1370" s="281"/>
      <c r="R1370" s="282"/>
      <c r="S1370" s="282"/>
      <c r="T1370" s="282">
        <v>11</v>
      </c>
      <c r="U1370" s="282"/>
      <c r="V1370" s="282"/>
      <c r="W1370" s="282">
        <v>9</v>
      </c>
      <c r="X1370" s="242"/>
      <c r="Y1370" s="242">
        <v>9</v>
      </c>
      <c r="Z1370" s="242"/>
      <c r="AA1370" s="242"/>
      <c r="AB1370" s="242"/>
      <c r="AC1370" s="242"/>
      <c r="AD1370" s="242"/>
      <c r="AE1370" s="242"/>
      <c r="AF1370" s="242"/>
      <c r="AG1370" s="242"/>
      <c r="AH1370" s="242"/>
      <c r="AI1370" s="242"/>
      <c r="AJ1370" s="242">
        <f>N1370-V1370</f>
        <v>9</v>
      </c>
      <c r="AK1370" s="235">
        <f>G1405+AL1370-G1370</f>
        <v>0</v>
      </c>
      <c r="AL1370" s="239"/>
      <c r="AM1370" s="299">
        <f>30/12</f>
        <v>2.5</v>
      </c>
      <c r="AN1370" s="300">
        <f>AM1370*2</f>
        <v>5</v>
      </c>
      <c r="AO1370" s="301">
        <f>G1370/(AN1370)</f>
        <v>1</v>
      </c>
      <c r="AP1370" s="302">
        <f>AN1370*6</f>
        <v>30</v>
      </c>
      <c r="AQ1370" s="290">
        <f>G1370+K1370</f>
        <v>16</v>
      </c>
      <c r="AR1370" s="290">
        <f>IF(G1370&lt;G1405,(G1405-G1370+K1405-K1370),K1405-K1370)</f>
        <v>0</v>
      </c>
      <c r="AS1370" s="290">
        <f>21-8</f>
        <v>13</v>
      </c>
    </row>
    <row r="1371" spans="1:45" ht="17.25" thickBot="1" x14ac:dyDescent="0.3">
      <c r="A1371" s="466" t="s">
        <v>417</v>
      </c>
      <c r="B1371" s="355" t="s">
        <v>129</v>
      </c>
      <c r="C1371" s="356"/>
      <c r="D1371" s="356"/>
      <c r="E1371" s="359"/>
      <c r="F1371" s="359"/>
      <c r="G1371" s="356"/>
      <c r="H1371" s="396"/>
      <c r="I1371" s="356"/>
      <c r="J1371" s="356"/>
      <c r="K1371" s="356"/>
      <c r="L1371" s="356"/>
      <c r="M1371" s="356"/>
      <c r="N1371" s="356"/>
      <c r="O1371" s="356"/>
      <c r="P1371" s="356"/>
      <c r="Q1371" s="356"/>
      <c r="R1371" s="356"/>
      <c r="S1371" s="356"/>
      <c r="T1371" s="356"/>
      <c r="U1371" s="356"/>
      <c r="V1371" s="356"/>
      <c r="W1371" s="356"/>
      <c r="X1371" s="356"/>
      <c r="Y1371" s="356"/>
      <c r="Z1371" s="356"/>
      <c r="AA1371" s="356"/>
      <c r="AB1371" s="356"/>
      <c r="AC1371" s="356"/>
      <c r="AD1371" s="356"/>
      <c r="AE1371" s="356"/>
      <c r="AF1371" s="356"/>
      <c r="AG1371" s="356"/>
      <c r="AH1371" s="356"/>
      <c r="AI1371" s="356"/>
      <c r="AJ1371" s="356"/>
      <c r="AK1371" s="356"/>
      <c r="AL1371" s="367"/>
      <c r="AM1371" s="356"/>
      <c r="AN1371" s="356"/>
      <c r="AO1371" s="356"/>
      <c r="AP1371" s="356"/>
      <c r="AQ1371" s="356"/>
      <c r="AR1371" s="356"/>
      <c r="AS1371" s="357"/>
    </row>
    <row r="1372" spans="1:45" ht="17.25" thickBot="1" x14ac:dyDescent="0.3">
      <c r="A1372" s="467"/>
      <c r="B1372" s="354"/>
      <c r="C1372" s="354">
        <v>1140327</v>
      </c>
      <c r="D1372" s="358" t="s">
        <v>394</v>
      </c>
      <c r="E1372" s="360"/>
      <c r="F1372" s="361">
        <f>G1407-AK1372+AL1372</f>
        <v>23</v>
      </c>
      <c r="G1372" s="218">
        <v>23</v>
      </c>
      <c r="H1372" s="397">
        <v>26</v>
      </c>
      <c r="I1372" s="218">
        <v>23</v>
      </c>
      <c r="J1372" s="218"/>
      <c r="K1372" s="218">
        <v>3</v>
      </c>
      <c r="L1372" s="218">
        <f>IF(K1400=K1365,L1407+AK1372,K1372)</f>
        <v>3</v>
      </c>
      <c r="M1372" s="218">
        <f>IF(K1400=K1365,0,L1407+AK1372-K1372)</f>
        <v>5</v>
      </c>
      <c r="N1372" s="218"/>
      <c r="O1372" s="218"/>
      <c r="P1372" s="352"/>
      <c r="Q1372" s="352"/>
      <c r="R1372" s="352"/>
      <c r="S1372" s="352"/>
      <c r="T1372" s="352"/>
      <c r="U1372" s="352"/>
      <c r="V1372" s="218"/>
      <c r="W1372" s="218"/>
      <c r="X1372" s="218">
        <v>4</v>
      </c>
      <c r="Y1372" s="218">
        <v>9</v>
      </c>
      <c r="Z1372" s="218"/>
      <c r="AA1372" s="218"/>
      <c r="AB1372" s="218"/>
      <c r="AC1372" s="218"/>
      <c r="AD1372" s="218"/>
      <c r="AE1372" s="218"/>
      <c r="AF1372" s="218"/>
      <c r="AG1372" s="218"/>
      <c r="AH1372" s="218"/>
      <c r="AI1372" s="218"/>
      <c r="AJ1372" s="242">
        <f>N1372-V1372</f>
        <v>0</v>
      </c>
      <c r="AK1372" s="274">
        <f>G1407+AL1372-G1372</f>
        <v>3</v>
      </c>
      <c r="AL1372" s="232"/>
      <c r="AM1372" s="353"/>
      <c r="AN1372" s="295"/>
      <c r="AO1372" s="296"/>
      <c r="AP1372" s="353"/>
      <c r="AQ1372" s="290"/>
      <c r="AR1372" s="290"/>
      <c r="AS1372" s="290"/>
    </row>
    <row r="1373" spans="1:45" ht="17.25" thickBot="1" x14ac:dyDescent="0.3">
      <c r="A1373" s="467"/>
      <c r="B1373" s="354"/>
      <c r="C1373" s="285">
        <v>1151231</v>
      </c>
      <c r="D1373" s="358" t="s">
        <v>395</v>
      </c>
      <c r="E1373" s="360"/>
      <c r="F1373" s="361">
        <f>G1408-AK1373+AL1373</f>
        <v>0</v>
      </c>
      <c r="G1373" s="369">
        <v>0</v>
      </c>
      <c r="H1373" s="397">
        <v>3</v>
      </c>
      <c r="I1373" s="218">
        <v>0</v>
      </c>
      <c r="J1373" s="218"/>
      <c r="K1373" s="218">
        <v>4</v>
      </c>
      <c r="L1373" s="218">
        <f>IF(K1400=K1365,L1408+AK1373,K1373)</f>
        <v>4</v>
      </c>
      <c r="M1373" s="218">
        <f>IF(K1400=K1365,0,L1408+AK1373-K1373)</f>
        <v>3</v>
      </c>
      <c r="N1373" s="218"/>
      <c r="O1373" s="218"/>
      <c r="P1373" s="352"/>
      <c r="Q1373" s="352"/>
      <c r="R1373" s="352"/>
      <c r="S1373" s="352"/>
      <c r="T1373" s="352"/>
      <c r="U1373" s="352"/>
      <c r="V1373" s="218"/>
      <c r="W1373" s="218"/>
      <c r="X1373" s="218">
        <v>3</v>
      </c>
      <c r="Y1373" s="218">
        <v>8</v>
      </c>
      <c r="Z1373" s="218"/>
      <c r="AA1373" s="218"/>
      <c r="AB1373" s="218"/>
      <c r="AC1373" s="218"/>
      <c r="AD1373" s="218"/>
      <c r="AE1373" s="218"/>
      <c r="AF1373" s="218"/>
      <c r="AG1373" s="218"/>
      <c r="AH1373" s="218"/>
      <c r="AI1373" s="218"/>
      <c r="AJ1373" s="242">
        <f>N1373-V1373</f>
        <v>0</v>
      </c>
      <c r="AK1373" s="274">
        <f>G1408+AL1373-G1373</f>
        <v>3</v>
      </c>
      <c r="AL1373" s="232"/>
      <c r="AM1373" s="353"/>
      <c r="AN1373" s="295"/>
      <c r="AO1373" s="296"/>
      <c r="AP1373" s="353"/>
      <c r="AQ1373" s="290"/>
      <c r="AR1373" s="290"/>
      <c r="AS1373" s="290"/>
    </row>
    <row r="1374" spans="1:45" ht="17.25" thickBot="1" x14ac:dyDescent="0.3">
      <c r="A1374" s="467"/>
      <c r="B1374" s="355" t="s">
        <v>420</v>
      </c>
      <c r="C1374" s="356"/>
      <c r="D1374" s="356"/>
      <c r="E1374" s="359"/>
      <c r="F1374" s="359"/>
      <c r="G1374" s="356"/>
      <c r="H1374" s="396"/>
      <c r="I1374" s="356"/>
      <c r="J1374" s="356"/>
      <c r="K1374" s="356"/>
      <c r="L1374" s="356"/>
      <c r="M1374" s="356"/>
      <c r="N1374" s="356"/>
      <c r="O1374" s="356"/>
      <c r="P1374" s="356"/>
      <c r="Q1374" s="356"/>
      <c r="R1374" s="356"/>
      <c r="S1374" s="356"/>
      <c r="T1374" s="356"/>
      <c r="U1374" s="356"/>
      <c r="V1374" s="356"/>
      <c r="W1374" s="356"/>
      <c r="X1374" s="356"/>
      <c r="Y1374" s="356"/>
      <c r="Z1374" s="356"/>
      <c r="AA1374" s="356"/>
      <c r="AB1374" s="356"/>
      <c r="AC1374" s="356"/>
      <c r="AD1374" s="356"/>
      <c r="AE1374" s="356"/>
      <c r="AF1374" s="356"/>
      <c r="AG1374" s="356"/>
      <c r="AH1374" s="356"/>
      <c r="AI1374" s="356"/>
      <c r="AJ1374" s="356"/>
      <c r="AK1374" s="356"/>
      <c r="AL1374" s="368"/>
      <c r="AM1374" s="356"/>
      <c r="AN1374" s="356"/>
      <c r="AO1374" s="356"/>
      <c r="AP1374" s="356"/>
      <c r="AQ1374" s="356"/>
      <c r="AR1374" s="356"/>
      <c r="AS1374" s="357"/>
    </row>
    <row r="1375" spans="1:45" ht="17.25" thickBot="1" x14ac:dyDescent="0.3">
      <c r="A1375" s="467"/>
      <c r="B1375" s="354"/>
      <c r="C1375" s="285">
        <v>1146032</v>
      </c>
      <c r="D1375" s="358" t="s">
        <v>396</v>
      </c>
      <c r="E1375" s="360"/>
      <c r="F1375" s="361">
        <f>G1410-AK1375+AL1375</f>
        <v>1</v>
      </c>
      <c r="G1375" s="364">
        <v>1</v>
      </c>
      <c r="H1375" s="397">
        <v>1</v>
      </c>
      <c r="I1375" s="364">
        <v>3</v>
      </c>
      <c r="J1375" s="364"/>
      <c r="K1375" s="364">
        <v>1</v>
      </c>
      <c r="L1375" s="218"/>
      <c r="M1375" s="218"/>
      <c r="N1375" s="218"/>
      <c r="O1375" s="218"/>
      <c r="P1375" s="352"/>
      <c r="Q1375" s="352"/>
      <c r="R1375" s="352"/>
      <c r="S1375" s="352"/>
      <c r="T1375" s="352"/>
      <c r="U1375" s="352"/>
      <c r="V1375" s="218"/>
      <c r="W1375" s="218"/>
      <c r="X1375" s="218"/>
      <c r="Y1375" s="218"/>
      <c r="Z1375" s="218"/>
      <c r="AA1375" s="218"/>
      <c r="AB1375" s="218"/>
      <c r="AC1375" s="218"/>
      <c r="AD1375" s="218"/>
      <c r="AE1375" s="218"/>
      <c r="AF1375" s="218"/>
      <c r="AG1375" s="218"/>
      <c r="AH1375" s="218"/>
      <c r="AI1375" s="218"/>
      <c r="AJ1375" s="218"/>
      <c r="AK1375" s="218"/>
      <c r="AL1375" s="218"/>
      <c r="AM1375" s="353"/>
      <c r="AN1375" s="295"/>
      <c r="AO1375" s="296"/>
      <c r="AP1375" s="353"/>
      <c r="AQ1375" s="290"/>
      <c r="AR1375" s="290"/>
      <c r="AS1375" s="290"/>
    </row>
    <row r="1376" spans="1:45" ht="17.25" thickBot="1" x14ac:dyDescent="0.3">
      <c r="A1376" s="467"/>
      <c r="B1376" s="354"/>
      <c r="C1376" s="285">
        <v>1146021</v>
      </c>
      <c r="D1376" s="358" t="s">
        <v>397</v>
      </c>
      <c r="E1376" s="360"/>
      <c r="F1376" s="361">
        <f>G1411-AK1376+AL1376</f>
        <v>2</v>
      </c>
      <c r="G1376" s="364">
        <v>2</v>
      </c>
      <c r="H1376" s="397">
        <v>2</v>
      </c>
      <c r="I1376" s="364">
        <v>2</v>
      </c>
      <c r="J1376" s="364"/>
      <c r="K1376" s="364">
        <v>1</v>
      </c>
      <c r="L1376" s="218"/>
      <c r="M1376" s="218"/>
      <c r="N1376" s="218"/>
      <c r="O1376" s="218"/>
      <c r="P1376" s="352"/>
      <c r="Q1376" s="352"/>
      <c r="R1376" s="352"/>
      <c r="S1376" s="352"/>
      <c r="T1376" s="352"/>
      <c r="U1376" s="352"/>
      <c r="V1376" s="218"/>
      <c r="W1376" s="218"/>
      <c r="X1376" s="218"/>
      <c r="Y1376" s="218"/>
      <c r="Z1376" s="218"/>
      <c r="AA1376" s="218"/>
      <c r="AB1376" s="218"/>
      <c r="AC1376" s="218"/>
      <c r="AD1376" s="218"/>
      <c r="AE1376" s="218"/>
      <c r="AF1376" s="218"/>
      <c r="AG1376" s="218"/>
      <c r="AH1376" s="218"/>
      <c r="AI1376" s="218"/>
      <c r="AJ1376" s="218"/>
      <c r="AK1376" s="218"/>
      <c r="AL1376" s="218"/>
      <c r="AM1376" s="353"/>
      <c r="AN1376" s="295"/>
      <c r="AO1376" s="296"/>
      <c r="AP1376" s="353"/>
      <c r="AQ1376" s="290"/>
      <c r="AR1376" s="290"/>
      <c r="AS1376" s="290"/>
    </row>
    <row r="1377" spans="1:45" ht="17.25" thickBot="1" x14ac:dyDescent="0.3">
      <c r="A1377" s="467"/>
      <c r="B1377" s="354"/>
      <c r="C1377" s="285">
        <v>1146018</v>
      </c>
      <c r="D1377" s="358" t="s">
        <v>398</v>
      </c>
      <c r="E1377" s="360"/>
      <c r="F1377" s="361">
        <f>G1412-AK1377+AL1377</f>
        <v>4</v>
      </c>
      <c r="G1377" s="364">
        <v>4</v>
      </c>
      <c r="H1377" s="397">
        <v>4</v>
      </c>
      <c r="I1377" s="364">
        <v>4</v>
      </c>
      <c r="J1377" s="364"/>
      <c r="K1377" s="364">
        <v>1</v>
      </c>
      <c r="L1377" s="218"/>
      <c r="M1377" s="218"/>
      <c r="N1377" s="218"/>
      <c r="O1377" s="218"/>
      <c r="P1377" s="352"/>
      <c r="Q1377" s="352"/>
      <c r="R1377" s="352"/>
      <c r="S1377" s="352"/>
      <c r="T1377" s="352"/>
      <c r="U1377" s="352"/>
      <c r="V1377" s="218"/>
      <c r="W1377" s="218"/>
      <c r="X1377" s="218"/>
      <c r="Y1377" s="218"/>
      <c r="Z1377" s="218"/>
      <c r="AA1377" s="218"/>
      <c r="AB1377" s="218"/>
      <c r="AC1377" s="218"/>
      <c r="AD1377" s="218"/>
      <c r="AE1377" s="218"/>
      <c r="AF1377" s="218"/>
      <c r="AG1377" s="218"/>
      <c r="AH1377" s="218"/>
      <c r="AI1377" s="218"/>
      <c r="AJ1377" s="218"/>
      <c r="AK1377" s="218"/>
      <c r="AL1377" s="218"/>
      <c r="AM1377" s="353"/>
      <c r="AN1377" s="295"/>
      <c r="AO1377" s="296"/>
      <c r="AP1377" s="353"/>
      <c r="AQ1377" s="290"/>
      <c r="AR1377" s="290"/>
      <c r="AS1377" s="290"/>
    </row>
    <row r="1378" spans="1:45" ht="17.25" thickBot="1" x14ac:dyDescent="0.3">
      <c r="A1378" s="467"/>
      <c r="B1378" s="354"/>
      <c r="C1378" s="285">
        <v>1146024</v>
      </c>
      <c r="D1378" s="358" t="s">
        <v>399</v>
      </c>
      <c r="E1378" s="360"/>
      <c r="F1378" s="361">
        <f>G1413-AK1378+AL1378</f>
        <v>0</v>
      </c>
      <c r="G1378" s="364">
        <v>0</v>
      </c>
      <c r="H1378" s="397">
        <v>0</v>
      </c>
      <c r="I1378" s="364">
        <v>0</v>
      </c>
      <c r="J1378" s="364"/>
      <c r="K1378" s="364"/>
      <c r="L1378" s="218"/>
      <c r="M1378" s="218"/>
      <c r="N1378" s="218"/>
      <c r="O1378" s="218"/>
      <c r="P1378" s="352"/>
      <c r="Q1378" s="352"/>
      <c r="R1378" s="352"/>
      <c r="S1378" s="352"/>
      <c r="T1378" s="352"/>
      <c r="U1378" s="352"/>
      <c r="V1378" s="218"/>
      <c r="W1378" s="218"/>
      <c r="X1378" s="218"/>
      <c r="Y1378" s="218"/>
      <c r="Z1378" s="218"/>
      <c r="AA1378" s="218"/>
      <c r="AB1378" s="218"/>
      <c r="AC1378" s="218"/>
      <c r="AD1378" s="218"/>
      <c r="AE1378" s="218"/>
      <c r="AF1378" s="218"/>
      <c r="AG1378" s="218"/>
      <c r="AH1378" s="218"/>
      <c r="AI1378" s="218"/>
      <c r="AJ1378" s="218"/>
      <c r="AK1378" s="218"/>
      <c r="AL1378" s="218"/>
      <c r="AM1378" s="353"/>
      <c r="AN1378" s="295"/>
      <c r="AO1378" s="296"/>
      <c r="AP1378" s="353"/>
      <c r="AQ1378" s="290"/>
      <c r="AR1378" s="290"/>
      <c r="AS1378" s="290"/>
    </row>
    <row r="1379" spans="1:45" ht="17.25" thickBot="1" x14ac:dyDescent="0.3">
      <c r="A1379" s="467"/>
      <c r="B1379" s="354"/>
      <c r="C1379" s="285">
        <v>1146028</v>
      </c>
      <c r="D1379" s="358" t="s">
        <v>400</v>
      </c>
      <c r="E1379" s="360"/>
      <c r="F1379" s="361">
        <f>G1414-AK1379+AL1379</f>
        <v>3</v>
      </c>
      <c r="G1379" s="364">
        <v>1</v>
      </c>
      <c r="H1379" s="397">
        <v>3</v>
      </c>
      <c r="I1379" s="364">
        <v>1</v>
      </c>
      <c r="J1379" s="364"/>
      <c r="K1379" s="364">
        <v>1</v>
      </c>
      <c r="L1379" s="218"/>
      <c r="M1379" s="218"/>
      <c r="N1379" s="218"/>
      <c r="O1379" s="218"/>
      <c r="P1379" s="352"/>
      <c r="Q1379" s="352"/>
      <c r="R1379" s="352"/>
      <c r="S1379" s="352"/>
      <c r="T1379" s="352"/>
      <c r="U1379" s="352"/>
      <c r="V1379" s="218"/>
      <c r="W1379" s="218"/>
      <c r="X1379" s="218"/>
      <c r="Y1379" s="218"/>
      <c r="Z1379" s="218"/>
      <c r="AA1379" s="218"/>
      <c r="AB1379" s="218"/>
      <c r="AC1379" s="218"/>
      <c r="AD1379" s="218"/>
      <c r="AE1379" s="218"/>
      <c r="AF1379" s="218"/>
      <c r="AG1379" s="218"/>
      <c r="AH1379" s="218"/>
      <c r="AI1379" s="218"/>
      <c r="AJ1379" s="218"/>
      <c r="AK1379" s="218"/>
      <c r="AL1379" s="218"/>
      <c r="AM1379" s="353"/>
      <c r="AN1379" s="295"/>
      <c r="AO1379" s="296"/>
      <c r="AP1379" s="353"/>
      <c r="AQ1379" s="290"/>
      <c r="AR1379" s="290"/>
      <c r="AS1379" s="290"/>
    </row>
    <row r="1380" spans="1:45" ht="17.25" thickBot="1" x14ac:dyDescent="0.3">
      <c r="A1380" s="467"/>
      <c r="B1380" s="355" t="s">
        <v>419</v>
      </c>
      <c r="C1380" s="356"/>
      <c r="D1380" s="356"/>
      <c r="E1380" s="359"/>
      <c r="F1380" s="359"/>
      <c r="G1380" s="356"/>
      <c r="H1380" s="396"/>
      <c r="I1380" s="356"/>
      <c r="J1380" s="356"/>
      <c r="K1380" s="356"/>
      <c r="L1380" s="356"/>
      <c r="M1380" s="356"/>
      <c r="N1380" s="356"/>
      <c r="O1380" s="356"/>
      <c r="P1380" s="356"/>
      <c r="Q1380" s="356"/>
      <c r="R1380" s="356"/>
      <c r="S1380" s="356"/>
      <c r="T1380" s="356"/>
      <c r="U1380" s="356"/>
      <c r="V1380" s="356"/>
      <c r="W1380" s="356"/>
      <c r="X1380" s="356"/>
      <c r="Y1380" s="356"/>
      <c r="Z1380" s="356"/>
      <c r="AA1380" s="356"/>
      <c r="AB1380" s="356"/>
      <c r="AC1380" s="356"/>
      <c r="AD1380" s="356"/>
      <c r="AE1380" s="356"/>
      <c r="AF1380" s="356"/>
      <c r="AG1380" s="356"/>
      <c r="AH1380" s="356"/>
      <c r="AI1380" s="356"/>
      <c r="AJ1380" s="356"/>
      <c r="AK1380" s="356"/>
      <c r="AL1380" s="356"/>
      <c r="AM1380" s="356"/>
      <c r="AN1380" s="356"/>
      <c r="AO1380" s="356"/>
      <c r="AP1380" s="356"/>
      <c r="AQ1380" s="356"/>
      <c r="AR1380" s="356"/>
      <c r="AS1380" s="357"/>
    </row>
    <row r="1381" spans="1:45" ht="17.25" thickBot="1" x14ac:dyDescent="0.3">
      <c r="A1381" s="467"/>
      <c r="B1381" s="372"/>
      <c r="C1381" s="373">
        <v>1146031</v>
      </c>
      <c r="D1381" s="374" t="s">
        <v>401</v>
      </c>
      <c r="E1381" s="375"/>
      <c r="F1381" s="376">
        <f>G1416-AK1381+AL1381</f>
        <v>2</v>
      </c>
      <c r="G1381" s="377">
        <v>2</v>
      </c>
      <c r="H1381" s="397">
        <v>2</v>
      </c>
      <c r="I1381" s="377">
        <v>3</v>
      </c>
      <c r="J1381" s="377"/>
      <c r="K1381" s="377">
        <v>2</v>
      </c>
      <c r="L1381" s="377"/>
      <c r="M1381" s="377"/>
      <c r="N1381" s="377"/>
      <c r="O1381" s="377"/>
      <c r="P1381" s="377"/>
      <c r="Q1381" s="377"/>
      <c r="R1381" s="377"/>
      <c r="S1381" s="377"/>
      <c r="T1381" s="377"/>
      <c r="U1381" s="377"/>
      <c r="V1381" s="377"/>
      <c r="W1381" s="377"/>
      <c r="X1381" s="377"/>
      <c r="Y1381" s="377"/>
      <c r="Z1381" s="377"/>
      <c r="AA1381" s="377"/>
      <c r="AB1381" s="377"/>
      <c r="AC1381" s="377"/>
      <c r="AD1381" s="377"/>
      <c r="AE1381" s="377"/>
      <c r="AF1381" s="377"/>
      <c r="AG1381" s="377"/>
      <c r="AH1381" s="377"/>
      <c r="AI1381" s="377"/>
      <c r="AJ1381" s="377"/>
      <c r="AK1381" s="377"/>
      <c r="AL1381" s="377"/>
      <c r="AM1381" s="378"/>
      <c r="AN1381" s="379"/>
      <c r="AO1381" s="380"/>
      <c r="AP1381" s="378"/>
      <c r="AQ1381" s="381"/>
      <c r="AR1381" s="381"/>
      <c r="AS1381" s="381"/>
    </row>
    <row r="1382" spans="1:45" ht="17.25" thickBot="1" x14ac:dyDescent="0.3">
      <c r="A1382" s="467"/>
      <c r="B1382" s="372"/>
      <c r="C1382" s="373">
        <v>1146020</v>
      </c>
      <c r="D1382" s="374" t="s">
        <v>402</v>
      </c>
      <c r="E1382" s="375"/>
      <c r="F1382" s="376">
        <f>G1417-AK1382+AL1382</f>
        <v>1</v>
      </c>
      <c r="G1382" s="377">
        <v>1</v>
      </c>
      <c r="H1382" s="397">
        <v>1</v>
      </c>
      <c r="I1382" s="377">
        <v>1</v>
      </c>
      <c r="J1382" s="377"/>
      <c r="K1382" s="377"/>
      <c r="L1382" s="377"/>
      <c r="M1382" s="377"/>
      <c r="N1382" s="377"/>
      <c r="O1382" s="377"/>
      <c r="P1382" s="377"/>
      <c r="Q1382" s="377"/>
      <c r="R1382" s="377"/>
      <c r="S1382" s="377"/>
      <c r="T1382" s="377"/>
      <c r="U1382" s="377"/>
      <c r="V1382" s="377"/>
      <c r="W1382" s="377"/>
      <c r="X1382" s="377"/>
      <c r="Y1382" s="377"/>
      <c r="Z1382" s="377"/>
      <c r="AA1382" s="377"/>
      <c r="AB1382" s="377"/>
      <c r="AC1382" s="377"/>
      <c r="AD1382" s="377"/>
      <c r="AE1382" s="377"/>
      <c r="AF1382" s="377"/>
      <c r="AG1382" s="377"/>
      <c r="AH1382" s="377"/>
      <c r="AI1382" s="377"/>
      <c r="AJ1382" s="377"/>
      <c r="AK1382" s="377"/>
      <c r="AL1382" s="377"/>
      <c r="AM1382" s="378"/>
      <c r="AN1382" s="379"/>
      <c r="AO1382" s="380"/>
      <c r="AP1382" s="378"/>
      <c r="AQ1382" s="381"/>
      <c r="AR1382" s="381"/>
      <c r="AS1382" s="381"/>
    </row>
    <row r="1383" spans="1:45" ht="17.25" thickBot="1" x14ac:dyDescent="0.3">
      <c r="A1383" s="467"/>
      <c r="B1383" s="372"/>
      <c r="C1383" s="373">
        <v>1146016</v>
      </c>
      <c r="D1383" s="374" t="s">
        <v>398</v>
      </c>
      <c r="E1383" s="375"/>
      <c r="F1383" s="376">
        <f>G1418-AK1383+AL1383</f>
        <v>6</v>
      </c>
      <c r="G1383" s="377">
        <v>6</v>
      </c>
      <c r="H1383" s="397">
        <v>6</v>
      </c>
      <c r="I1383" s="377">
        <v>6</v>
      </c>
      <c r="J1383" s="377"/>
      <c r="K1383" s="377">
        <v>2</v>
      </c>
      <c r="L1383" s="377"/>
      <c r="M1383" s="377"/>
      <c r="N1383" s="377"/>
      <c r="O1383" s="377"/>
      <c r="P1383" s="377"/>
      <c r="Q1383" s="377"/>
      <c r="R1383" s="377"/>
      <c r="S1383" s="377"/>
      <c r="T1383" s="377"/>
      <c r="U1383" s="377"/>
      <c r="V1383" s="377"/>
      <c r="W1383" s="377"/>
      <c r="X1383" s="377"/>
      <c r="Y1383" s="377"/>
      <c r="Z1383" s="377"/>
      <c r="AA1383" s="377"/>
      <c r="AB1383" s="377"/>
      <c r="AC1383" s="377"/>
      <c r="AD1383" s="377"/>
      <c r="AE1383" s="377"/>
      <c r="AF1383" s="377"/>
      <c r="AG1383" s="377"/>
      <c r="AH1383" s="377"/>
      <c r="AI1383" s="377"/>
      <c r="AJ1383" s="377"/>
      <c r="AK1383" s="377"/>
      <c r="AL1383" s="377"/>
      <c r="AM1383" s="378"/>
      <c r="AN1383" s="379"/>
      <c r="AO1383" s="380"/>
      <c r="AP1383" s="378"/>
      <c r="AQ1383" s="381"/>
      <c r="AR1383" s="381"/>
      <c r="AS1383" s="381"/>
    </row>
    <row r="1384" spans="1:45" ht="17.25" thickBot="1" x14ac:dyDescent="0.3">
      <c r="A1384" s="467"/>
      <c r="B1384" s="372"/>
      <c r="C1384" s="373">
        <v>1146022</v>
      </c>
      <c r="D1384" s="374" t="s">
        <v>403</v>
      </c>
      <c r="E1384" s="375"/>
      <c r="F1384" s="376">
        <f>G1419-AK1384+AL1384</f>
        <v>0</v>
      </c>
      <c r="G1384" s="377">
        <v>0</v>
      </c>
      <c r="H1384" s="397">
        <v>0</v>
      </c>
      <c r="I1384" s="377">
        <v>0</v>
      </c>
      <c r="J1384" s="377"/>
      <c r="K1384" s="377"/>
      <c r="L1384" s="377"/>
      <c r="M1384" s="377"/>
      <c r="N1384" s="377"/>
      <c r="O1384" s="377"/>
      <c r="P1384" s="377"/>
      <c r="Q1384" s="377"/>
      <c r="R1384" s="377"/>
      <c r="S1384" s="377"/>
      <c r="T1384" s="377"/>
      <c r="U1384" s="377"/>
      <c r="V1384" s="377"/>
      <c r="W1384" s="377"/>
      <c r="X1384" s="377"/>
      <c r="Y1384" s="377"/>
      <c r="Z1384" s="377"/>
      <c r="AA1384" s="377"/>
      <c r="AB1384" s="377"/>
      <c r="AC1384" s="377"/>
      <c r="AD1384" s="377"/>
      <c r="AE1384" s="377"/>
      <c r="AF1384" s="377"/>
      <c r="AG1384" s="377"/>
      <c r="AH1384" s="377"/>
      <c r="AI1384" s="377"/>
      <c r="AJ1384" s="377"/>
      <c r="AK1384" s="377"/>
      <c r="AL1384" s="377"/>
      <c r="AM1384" s="378"/>
      <c r="AN1384" s="379"/>
      <c r="AO1384" s="380"/>
      <c r="AP1384" s="378"/>
      <c r="AQ1384" s="381"/>
      <c r="AR1384" s="381"/>
      <c r="AS1384" s="381"/>
    </row>
    <row r="1385" spans="1:45" ht="17.25" thickBot="1" x14ac:dyDescent="0.3">
      <c r="A1385" s="467"/>
      <c r="B1385" s="372"/>
      <c r="C1385" s="373">
        <v>1146027</v>
      </c>
      <c r="D1385" s="374" t="s">
        <v>404</v>
      </c>
      <c r="E1385" s="375"/>
      <c r="F1385" s="376">
        <f>G1420-AK1385+AL1385</f>
        <v>2</v>
      </c>
      <c r="G1385" s="377">
        <v>2</v>
      </c>
      <c r="H1385" s="397">
        <v>2</v>
      </c>
      <c r="I1385" s="377">
        <v>3</v>
      </c>
      <c r="J1385" s="377"/>
      <c r="K1385" s="377">
        <v>1</v>
      </c>
      <c r="L1385" s="377"/>
      <c r="M1385" s="377"/>
      <c r="N1385" s="377"/>
      <c r="O1385" s="377"/>
      <c r="P1385" s="377"/>
      <c r="Q1385" s="377"/>
      <c r="R1385" s="377"/>
      <c r="S1385" s="377"/>
      <c r="T1385" s="377"/>
      <c r="U1385" s="377"/>
      <c r="V1385" s="377"/>
      <c r="W1385" s="377"/>
      <c r="X1385" s="377"/>
      <c r="Y1385" s="377"/>
      <c r="Z1385" s="377"/>
      <c r="AA1385" s="377"/>
      <c r="AB1385" s="377"/>
      <c r="AC1385" s="377"/>
      <c r="AD1385" s="377"/>
      <c r="AE1385" s="377"/>
      <c r="AF1385" s="377"/>
      <c r="AG1385" s="377"/>
      <c r="AH1385" s="377"/>
      <c r="AI1385" s="377"/>
      <c r="AJ1385" s="377"/>
      <c r="AK1385" s="377"/>
      <c r="AL1385" s="377"/>
      <c r="AM1385" s="378"/>
      <c r="AN1385" s="379"/>
      <c r="AO1385" s="380"/>
      <c r="AP1385" s="378"/>
      <c r="AQ1385" s="381"/>
      <c r="AR1385" s="381"/>
      <c r="AS1385" s="381"/>
    </row>
    <row r="1386" spans="1:45" ht="17.25" thickBot="1" x14ac:dyDescent="0.3">
      <c r="A1386" s="467"/>
      <c r="B1386" s="355" t="s">
        <v>418</v>
      </c>
      <c r="C1386" s="356"/>
      <c r="D1386" s="356"/>
      <c r="E1386" s="359"/>
      <c r="F1386" s="359"/>
      <c r="G1386" s="356"/>
      <c r="H1386" s="396"/>
      <c r="I1386" s="356"/>
      <c r="J1386" s="356"/>
      <c r="K1386" s="356"/>
      <c r="L1386" s="356"/>
      <c r="M1386" s="356"/>
      <c r="N1386" s="356"/>
      <c r="O1386" s="356"/>
      <c r="P1386" s="356"/>
      <c r="Q1386" s="356"/>
      <c r="R1386" s="356"/>
      <c r="S1386" s="356"/>
      <c r="T1386" s="356"/>
      <c r="U1386" s="356"/>
      <c r="V1386" s="356"/>
      <c r="W1386" s="356"/>
      <c r="X1386" s="356"/>
      <c r="Y1386" s="356"/>
      <c r="Z1386" s="356"/>
      <c r="AA1386" s="356"/>
      <c r="AB1386" s="356"/>
      <c r="AC1386" s="356"/>
      <c r="AD1386" s="356"/>
      <c r="AE1386" s="356"/>
      <c r="AF1386" s="356"/>
      <c r="AG1386" s="356"/>
      <c r="AH1386" s="356"/>
      <c r="AI1386" s="356"/>
      <c r="AJ1386" s="356"/>
      <c r="AK1386" s="356"/>
      <c r="AL1386" s="356"/>
      <c r="AM1386" s="356"/>
      <c r="AN1386" s="356"/>
      <c r="AO1386" s="356"/>
      <c r="AP1386" s="356"/>
      <c r="AQ1386" s="356"/>
      <c r="AR1386" s="356"/>
      <c r="AS1386" s="357"/>
    </row>
    <row r="1387" spans="1:45" ht="17.25" thickBot="1" x14ac:dyDescent="0.3">
      <c r="A1387" s="467"/>
      <c r="B1387" s="354"/>
      <c r="C1387" s="285">
        <v>1151653</v>
      </c>
      <c r="D1387" s="358" t="s">
        <v>405</v>
      </c>
      <c r="E1387" s="360"/>
      <c r="F1387" s="361">
        <f>G1422-AK1387+AL1387</f>
        <v>0</v>
      </c>
      <c r="G1387" s="364">
        <v>0</v>
      </c>
      <c r="H1387" s="397">
        <v>0</v>
      </c>
      <c r="I1387" s="364">
        <v>1</v>
      </c>
      <c r="J1387" s="364"/>
      <c r="K1387" s="364"/>
      <c r="L1387" s="218"/>
      <c r="M1387" s="218"/>
      <c r="N1387" s="218"/>
      <c r="O1387" s="218"/>
      <c r="P1387" s="352"/>
      <c r="Q1387" s="352"/>
      <c r="R1387" s="352"/>
      <c r="S1387" s="352"/>
      <c r="T1387" s="352"/>
      <c r="U1387" s="352"/>
      <c r="V1387" s="218"/>
      <c r="W1387" s="218"/>
      <c r="X1387" s="218"/>
      <c r="Y1387" s="218"/>
      <c r="Z1387" s="218"/>
      <c r="AA1387" s="218"/>
      <c r="AB1387" s="218"/>
      <c r="AC1387" s="218"/>
      <c r="AD1387" s="218"/>
      <c r="AE1387" s="218"/>
      <c r="AF1387" s="218"/>
      <c r="AG1387" s="218"/>
      <c r="AH1387" s="218"/>
      <c r="AI1387" s="218"/>
      <c r="AJ1387" s="218"/>
      <c r="AK1387" s="218"/>
      <c r="AL1387" s="218"/>
      <c r="AM1387" s="353"/>
      <c r="AN1387" s="295"/>
      <c r="AO1387" s="296"/>
      <c r="AP1387" s="353"/>
      <c r="AQ1387" s="290"/>
      <c r="AR1387" s="290"/>
      <c r="AS1387" s="290"/>
    </row>
    <row r="1388" spans="1:45" ht="17.25" thickBot="1" x14ac:dyDescent="0.3">
      <c r="A1388" s="467"/>
      <c r="B1388" s="354"/>
      <c r="C1388" s="285">
        <v>1151650</v>
      </c>
      <c r="D1388" s="358" t="s">
        <v>406</v>
      </c>
      <c r="E1388" s="360"/>
      <c r="F1388" s="361">
        <f>G1423-AK1388+AL1388</f>
        <v>1</v>
      </c>
      <c r="G1388" s="364">
        <v>1</v>
      </c>
      <c r="H1388" s="397">
        <v>1</v>
      </c>
      <c r="I1388" s="364">
        <v>1</v>
      </c>
      <c r="J1388" s="364"/>
      <c r="K1388" s="364">
        <v>4</v>
      </c>
      <c r="L1388" s="218"/>
      <c r="M1388" s="218"/>
      <c r="N1388" s="218"/>
      <c r="O1388" s="218"/>
      <c r="P1388" s="352"/>
      <c r="Q1388" s="352"/>
      <c r="R1388" s="352"/>
      <c r="S1388" s="352"/>
      <c r="T1388" s="352"/>
      <c r="U1388" s="352"/>
      <c r="V1388" s="218"/>
      <c r="W1388" s="218"/>
      <c r="X1388" s="218"/>
      <c r="Y1388" s="218"/>
      <c r="Z1388" s="218"/>
      <c r="AA1388" s="218"/>
      <c r="AB1388" s="218"/>
      <c r="AC1388" s="218"/>
      <c r="AD1388" s="218"/>
      <c r="AE1388" s="218"/>
      <c r="AF1388" s="218"/>
      <c r="AG1388" s="218"/>
      <c r="AH1388" s="218"/>
      <c r="AI1388" s="218"/>
      <c r="AJ1388" s="218"/>
      <c r="AK1388" s="218"/>
      <c r="AL1388" s="218"/>
      <c r="AM1388" s="353"/>
      <c r="AN1388" s="295"/>
      <c r="AO1388" s="296"/>
      <c r="AP1388" s="353"/>
      <c r="AQ1388" s="290"/>
      <c r="AR1388" s="290"/>
      <c r="AS1388" s="290"/>
    </row>
    <row r="1389" spans="1:45" ht="17.25" thickBot="1" x14ac:dyDescent="0.3">
      <c r="A1389" s="467"/>
      <c r="B1389" s="354"/>
      <c r="C1389" s="285">
        <v>1151649</v>
      </c>
      <c r="D1389" s="358" t="s">
        <v>407</v>
      </c>
      <c r="E1389" s="360"/>
      <c r="F1389" s="361">
        <f>G1424-AK1389+AL1389</f>
        <v>2</v>
      </c>
      <c r="G1389" s="364">
        <v>2</v>
      </c>
      <c r="H1389" s="397">
        <v>2</v>
      </c>
      <c r="I1389" s="364">
        <v>2</v>
      </c>
      <c r="J1389" s="364"/>
      <c r="K1389" s="364">
        <v>2</v>
      </c>
      <c r="L1389" s="218"/>
      <c r="M1389" s="218"/>
      <c r="N1389" s="218"/>
      <c r="O1389" s="218"/>
      <c r="P1389" s="352"/>
      <c r="Q1389" s="352"/>
      <c r="R1389" s="352"/>
      <c r="S1389" s="352"/>
      <c r="T1389" s="352"/>
      <c r="U1389" s="352"/>
      <c r="V1389" s="218"/>
      <c r="W1389" s="218"/>
      <c r="X1389" s="218"/>
      <c r="Y1389" s="218"/>
      <c r="Z1389" s="218"/>
      <c r="AA1389" s="218"/>
      <c r="AB1389" s="218"/>
      <c r="AC1389" s="218"/>
      <c r="AD1389" s="218"/>
      <c r="AE1389" s="218"/>
      <c r="AF1389" s="218"/>
      <c r="AG1389" s="218"/>
      <c r="AH1389" s="218"/>
      <c r="AI1389" s="218"/>
      <c r="AJ1389" s="218"/>
      <c r="AK1389" s="218"/>
      <c r="AL1389" s="218"/>
      <c r="AM1389" s="353"/>
      <c r="AN1389" s="295"/>
      <c r="AO1389" s="296"/>
      <c r="AP1389" s="353"/>
      <c r="AQ1389" s="290"/>
      <c r="AR1389" s="290"/>
      <c r="AS1389" s="290"/>
    </row>
    <row r="1390" spans="1:45" ht="17.25" thickBot="1" x14ac:dyDescent="0.3">
      <c r="A1390" s="467"/>
      <c r="B1390" s="354"/>
      <c r="C1390" s="285">
        <v>1151651</v>
      </c>
      <c r="D1390" s="358" t="s">
        <v>408</v>
      </c>
      <c r="E1390" s="360"/>
      <c r="F1390" s="361">
        <f>G1425-AK1390+AL1390</f>
        <v>0</v>
      </c>
      <c r="G1390" s="364">
        <v>0</v>
      </c>
      <c r="H1390" s="397">
        <v>0</v>
      </c>
      <c r="I1390" s="364">
        <v>0</v>
      </c>
      <c r="J1390" s="364"/>
      <c r="K1390" s="364"/>
      <c r="L1390" s="218"/>
      <c r="M1390" s="218"/>
      <c r="N1390" s="218"/>
      <c r="O1390" s="218"/>
      <c r="P1390" s="352"/>
      <c r="Q1390" s="352"/>
      <c r="R1390" s="352"/>
      <c r="S1390" s="352"/>
      <c r="T1390" s="352"/>
      <c r="U1390" s="352"/>
      <c r="V1390" s="218"/>
      <c r="W1390" s="218"/>
      <c r="X1390" s="218"/>
      <c r="Y1390" s="218"/>
      <c r="Z1390" s="218"/>
      <c r="AA1390" s="218"/>
      <c r="AB1390" s="218"/>
      <c r="AC1390" s="218"/>
      <c r="AD1390" s="218"/>
      <c r="AE1390" s="218"/>
      <c r="AF1390" s="218"/>
      <c r="AG1390" s="218"/>
      <c r="AH1390" s="218"/>
      <c r="AI1390" s="218"/>
      <c r="AJ1390" s="218"/>
      <c r="AK1390" s="218"/>
      <c r="AL1390" s="218"/>
      <c r="AM1390" s="353"/>
      <c r="AN1390" s="295"/>
      <c r="AO1390" s="296"/>
      <c r="AP1390" s="353"/>
      <c r="AQ1390" s="290"/>
      <c r="AR1390" s="290"/>
      <c r="AS1390" s="290"/>
    </row>
    <row r="1391" spans="1:45" ht="17.25" thickBot="1" x14ac:dyDescent="0.3">
      <c r="A1391" s="467"/>
      <c r="B1391" s="354"/>
      <c r="C1391" s="285">
        <v>1146029</v>
      </c>
      <c r="D1391" s="358" t="s">
        <v>409</v>
      </c>
      <c r="E1391" s="360"/>
      <c r="F1391" s="361">
        <f>G1426-AK1391+AL1391</f>
        <v>1</v>
      </c>
      <c r="G1391" s="364">
        <v>1</v>
      </c>
      <c r="H1391" s="397">
        <v>1</v>
      </c>
      <c r="I1391" s="364">
        <v>2</v>
      </c>
      <c r="J1391" s="364"/>
      <c r="K1391" s="364"/>
      <c r="L1391" s="218"/>
      <c r="M1391" s="218"/>
      <c r="N1391" s="218"/>
      <c r="O1391" s="218"/>
      <c r="P1391" s="352"/>
      <c r="Q1391" s="352"/>
      <c r="R1391" s="352"/>
      <c r="S1391" s="352"/>
      <c r="T1391" s="352"/>
      <c r="U1391" s="352"/>
      <c r="V1391" s="218"/>
      <c r="W1391" s="218"/>
      <c r="X1391" s="218"/>
      <c r="Y1391" s="218"/>
      <c r="Z1391" s="218"/>
      <c r="AA1391" s="218"/>
      <c r="AB1391" s="218"/>
      <c r="AC1391" s="218"/>
      <c r="AD1391" s="218"/>
      <c r="AE1391" s="218"/>
      <c r="AF1391" s="218"/>
      <c r="AG1391" s="218"/>
      <c r="AH1391" s="218"/>
      <c r="AI1391" s="218"/>
      <c r="AJ1391" s="218"/>
      <c r="AK1391" s="218"/>
      <c r="AL1391" s="218"/>
      <c r="AM1391" s="353"/>
      <c r="AN1391" s="295"/>
      <c r="AO1391" s="296"/>
      <c r="AP1391" s="353"/>
      <c r="AQ1391" s="290"/>
      <c r="AR1391" s="290"/>
      <c r="AS1391" s="290"/>
    </row>
    <row r="1392" spans="1:45" ht="17.25" thickBot="1" x14ac:dyDescent="0.3">
      <c r="A1392" s="467"/>
      <c r="B1392" s="355" t="s">
        <v>410</v>
      </c>
      <c r="C1392" s="356"/>
      <c r="D1392" s="356"/>
      <c r="E1392" s="359"/>
      <c r="F1392" s="359"/>
      <c r="G1392" s="356"/>
      <c r="H1392" s="396"/>
      <c r="I1392" s="356"/>
      <c r="J1392" s="356"/>
      <c r="K1392" s="356"/>
      <c r="L1392" s="356"/>
      <c r="M1392" s="356"/>
      <c r="N1392" s="356"/>
      <c r="O1392" s="356"/>
      <c r="P1392" s="356"/>
      <c r="Q1392" s="356"/>
      <c r="R1392" s="356"/>
      <c r="S1392" s="356"/>
      <c r="T1392" s="356"/>
      <c r="U1392" s="356"/>
      <c r="V1392" s="356"/>
      <c r="W1392" s="356"/>
      <c r="X1392" s="356"/>
      <c r="Y1392" s="356"/>
      <c r="Z1392" s="356"/>
      <c r="AA1392" s="356"/>
      <c r="AB1392" s="356"/>
      <c r="AC1392" s="356"/>
      <c r="AD1392" s="356"/>
      <c r="AE1392" s="356"/>
      <c r="AF1392" s="356"/>
      <c r="AG1392" s="356"/>
      <c r="AH1392" s="356"/>
      <c r="AI1392" s="356"/>
      <c r="AJ1392" s="356"/>
      <c r="AK1392" s="356"/>
      <c r="AL1392" s="356"/>
      <c r="AM1392" s="356"/>
      <c r="AN1392" s="356"/>
      <c r="AO1392" s="356"/>
      <c r="AP1392" s="356"/>
      <c r="AQ1392" s="356"/>
      <c r="AR1392" s="356"/>
      <c r="AS1392" s="357"/>
    </row>
    <row r="1393" spans="1:45" ht="17.25" thickBot="1" x14ac:dyDescent="0.3">
      <c r="A1393" s="467"/>
      <c r="B1393" s="354"/>
      <c r="C1393" s="285">
        <v>1699118</v>
      </c>
      <c r="D1393" s="358" t="s">
        <v>411</v>
      </c>
      <c r="E1393" s="360"/>
      <c r="F1393" s="361">
        <f>G1428-AK1393+AL1393</f>
        <v>0</v>
      </c>
      <c r="G1393" s="364">
        <v>0</v>
      </c>
      <c r="H1393" s="397">
        <v>0</v>
      </c>
      <c r="I1393" s="364">
        <v>0</v>
      </c>
      <c r="J1393" s="364"/>
      <c r="K1393" s="364"/>
      <c r="L1393" s="218"/>
      <c r="M1393" s="218"/>
      <c r="N1393" s="218"/>
      <c r="O1393" s="218"/>
      <c r="P1393" s="352"/>
      <c r="Q1393" s="352"/>
      <c r="R1393" s="352"/>
      <c r="S1393" s="352"/>
      <c r="T1393" s="352"/>
      <c r="U1393" s="352"/>
      <c r="V1393" s="218"/>
      <c r="W1393" s="218"/>
      <c r="X1393" s="218"/>
      <c r="Y1393" s="218"/>
      <c r="Z1393" s="218"/>
      <c r="AA1393" s="218"/>
      <c r="AB1393" s="218"/>
      <c r="AC1393" s="218"/>
      <c r="AD1393" s="218"/>
      <c r="AE1393" s="218"/>
      <c r="AF1393" s="218"/>
      <c r="AG1393" s="218"/>
      <c r="AH1393" s="218"/>
      <c r="AI1393" s="218"/>
      <c r="AJ1393" s="218"/>
      <c r="AK1393" s="218"/>
      <c r="AL1393" s="218"/>
      <c r="AM1393" s="353"/>
      <c r="AN1393" s="295"/>
      <c r="AO1393" s="296"/>
      <c r="AP1393" s="353"/>
      <c r="AQ1393" s="290"/>
      <c r="AR1393" s="290"/>
      <c r="AS1393" s="290"/>
    </row>
    <row r="1394" spans="1:45" ht="17.25" thickBot="1" x14ac:dyDescent="0.3">
      <c r="A1394" s="467"/>
      <c r="B1394" s="354"/>
      <c r="C1394" s="285">
        <v>1699119</v>
      </c>
      <c r="D1394" s="358" t="s">
        <v>412</v>
      </c>
      <c r="E1394" s="360"/>
      <c r="F1394" s="361">
        <f>G1429-AK1394+AL1394</f>
        <v>0</v>
      </c>
      <c r="G1394" s="364">
        <v>0</v>
      </c>
      <c r="H1394" s="397">
        <v>0</v>
      </c>
      <c r="I1394" s="364">
        <v>0</v>
      </c>
      <c r="J1394" s="364"/>
      <c r="K1394" s="364"/>
      <c r="L1394" s="218"/>
      <c r="M1394" s="218"/>
      <c r="N1394" s="218"/>
      <c r="O1394" s="218"/>
      <c r="P1394" s="352"/>
      <c r="Q1394" s="352"/>
      <c r="R1394" s="352"/>
      <c r="S1394" s="352"/>
      <c r="T1394" s="352"/>
      <c r="U1394" s="352"/>
      <c r="V1394" s="218"/>
      <c r="W1394" s="218"/>
      <c r="X1394" s="218"/>
      <c r="Y1394" s="218"/>
      <c r="Z1394" s="218"/>
      <c r="AA1394" s="218"/>
      <c r="AB1394" s="218"/>
      <c r="AC1394" s="218"/>
      <c r="AD1394" s="218"/>
      <c r="AE1394" s="218"/>
      <c r="AF1394" s="218"/>
      <c r="AG1394" s="218"/>
      <c r="AH1394" s="218"/>
      <c r="AI1394" s="218"/>
      <c r="AJ1394" s="218"/>
      <c r="AK1394" s="218"/>
      <c r="AL1394" s="218"/>
      <c r="AM1394" s="353"/>
      <c r="AN1394" s="295"/>
      <c r="AO1394" s="296"/>
      <c r="AP1394" s="353"/>
      <c r="AQ1394" s="290"/>
      <c r="AR1394" s="290"/>
      <c r="AS1394" s="290"/>
    </row>
    <row r="1395" spans="1:45" ht="17.25" thickBot="1" x14ac:dyDescent="0.3">
      <c r="A1395" s="467"/>
      <c r="B1395" s="354"/>
      <c r="C1395" s="285">
        <v>1699130</v>
      </c>
      <c r="D1395" s="358" t="s">
        <v>413</v>
      </c>
      <c r="E1395" s="360"/>
      <c r="F1395" s="361">
        <f>G1430-AK1395+AL1395</f>
        <v>0</v>
      </c>
      <c r="G1395" s="364">
        <v>0</v>
      </c>
      <c r="H1395" s="397">
        <v>0</v>
      </c>
      <c r="I1395" s="364">
        <v>0</v>
      </c>
      <c r="J1395" s="364"/>
      <c r="K1395" s="364"/>
      <c r="L1395" s="218"/>
      <c r="M1395" s="218"/>
      <c r="N1395" s="218"/>
      <c r="O1395" s="218"/>
      <c r="P1395" s="352"/>
      <c r="Q1395" s="352"/>
      <c r="R1395" s="352"/>
      <c r="S1395" s="352"/>
      <c r="T1395" s="352"/>
      <c r="U1395" s="352"/>
      <c r="V1395" s="218"/>
      <c r="W1395" s="218"/>
      <c r="X1395" s="218"/>
      <c r="Y1395" s="218"/>
      <c r="Z1395" s="218"/>
      <c r="AA1395" s="218"/>
      <c r="AB1395" s="218"/>
      <c r="AC1395" s="218"/>
      <c r="AD1395" s="218"/>
      <c r="AE1395" s="218"/>
      <c r="AF1395" s="218"/>
      <c r="AG1395" s="218"/>
      <c r="AH1395" s="218"/>
      <c r="AI1395" s="218"/>
      <c r="AJ1395" s="218"/>
      <c r="AK1395" s="218"/>
      <c r="AL1395" s="218"/>
      <c r="AM1395" s="353"/>
      <c r="AN1395" s="295"/>
      <c r="AO1395" s="296"/>
      <c r="AP1395" s="353"/>
      <c r="AQ1395" s="290"/>
      <c r="AR1395" s="290"/>
      <c r="AS1395" s="290"/>
    </row>
    <row r="1396" spans="1:45" ht="17.25" thickBot="1" x14ac:dyDescent="0.3">
      <c r="A1396" s="467"/>
      <c r="B1396" s="354"/>
      <c r="C1396" s="285">
        <v>1699131</v>
      </c>
      <c r="D1396" s="358" t="s">
        <v>414</v>
      </c>
      <c r="E1396" s="360"/>
      <c r="F1396" s="361">
        <f>G1431-AK1396+AL1396</f>
        <v>0</v>
      </c>
      <c r="G1396" s="364">
        <v>0</v>
      </c>
      <c r="H1396" s="397">
        <v>0</v>
      </c>
      <c r="I1396" s="364">
        <v>2</v>
      </c>
      <c r="J1396" s="364"/>
      <c r="K1396" s="364"/>
      <c r="L1396" s="218"/>
      <c r="M1396" s="218"/>
      <c r="N1396" s="218"/>
      <c r="O1396" s="218"/>
      <c r="P1396" s="352"/>
      <c r="Q1396" s="352"/>
      <c r="R1396" s="352"/>
      <c r="S1396" s="352"/>
      <c r="T1396" s="352"/>
      <c r="U1396" s="352"/>
      <c r="V1396" s="218"/>
      <c r="W1396" s="218"/>
      <c r="X1396" s="218"/>
      <c r="Y1396" s="218"/>
      <c r="Z1396" s="218"/>
      <c r="AA1396" s="218"/>
      <c r="AB1396" s="218"/>
      <c r="AC1396" s="218"/>
      <c r="AD1396" s="218"/>
      <c r="AE1396" s="218"/>
      <c r="AF1396" s="218"/>
      <c r="AG1396" s="218"/>
      <c r="AH1396" s="218"/>
      <c r="AI1396" s="218"/>
      <c r="AJ1396" s="218"/>
      <c r="AK1396" s="218"/>
      <c r="AL1396" s="218"/>
      <c r="AM1396" s="353"/>
      <c r="AN1396" s="295"/>
      <c r="AO1396" s="296"/>
      <c r="AP1396" s="353"/>
      <c r="AQ1396" s="290"/>
      <c r="AR1396" s="290"/>
      <c r="AS1396" s="290"/>
    </row>
    <row r="1397" spans="1:45" ht="17.25" thickBot="1" x14ac:dyDescent="0.3">
      <c r="A1397" s="468"/>
      <c r="B1397" s="354"/>
      <c r="C1397" s="285">
        <v>1699132</v>
      </c>
      <c r="D1397" s="358" t="s">
        <v>415</v>
      </c>
      <c r="E1397" s="285"/>
      <c r="F1397" s="362">
        <f>G1432-AK1397+AL1397</f>
        <v>0</v>
      </c>
      <c r="G1397" s="364">
        <v>0</v>
      </c>
      <c r="H1397" s="397">
        <v>0</v>
      </c>
      <c r="I1397" s="364">
        <v>2</v>
      </c>
      <c r="J1397" s="364"/>
      <c r="K1397" s="364"/>
      <c r="L1397" s="218"/>
      <c r="M1397" s="218"/>
      <c r="N1397" s="218"/>
      <c r="O1397" s="218"/>
      <c r="P1397" s="352"/>
      <c r="Q1397" s="352"/>
      <c r="R1397" s="352"/>
      <c r="S1397" s="352"/>
      <c r="T1397" s="352"/>
      <c r="U1397" s="352"/>
      <c r="V1397" s="218"/>
      <c r="W1397" s="218"/>
      <c r="X1397" s="218"/>
      <c r="Y1397" s="218"/>
      <c r="Z1397" s="218"/>
      <c r="AA1397" s="218"/>
      <c r="AB1397" s="218"/>
      <c r="AC1397" s="218"/>
      <c r="AD1397" s="218"/>
      <c r="AE1397" s="218"/>
      <c r="AF1397" s="218"/>
      <c r="AG1397" s="218"/>
      <c r="AH1397" s="218"/>
      <c r="AI1397" s="218"/>
      <c r="AJ1397" s="218"/>
      <c r="AK1397" s="218"/>
      <c r="AL1397" s="218"/>
      <c r="AM1397" s="353"/>
      <c r="AN1397" s="295"/>
      <c r="AO1397" s="296"/>
      <c r="AP1397" s="353"/>
      <c r="AQ1397" s="290"/>
      <c r="AR1397" s="290"/>
      <c r="AS1397" s="290"/>
    </row>
    <row r="1398" spans="1:45" x14ac:dyDescent="0.25">
      <c r="AL1398" s="290"/>
      <c r="AM1398" s="290"/>
      <c r="AN1398" s="290"/>
      <c r="AO1398" s="290"/>
      <c r="AP1398" s="290"/>
      <c r="AQ1398" s="290"/>
      <c r="AR1398" s="290"/>
    </row>
    <row r="1399" spans="1:45" ht="14.25" thickBot="1" x14ac:dyDescent="0.3">
      <c r="B1399" s="338" t="s">
        <v>18</v>
      </c>
      <c r="C1399" s="339">
        <v>45572</v>
      </c>
      <c r="AL1399" s="290"/>
      <c r="AM1399" s="290"/>
      <c r="AN1399" s="290"/>
      <c r="AO1399" s="290"/>
      <c r="AP1399" s="290"/>
      <c r="AQ1399" s="290"/>
      <c r="AR1399" s="290"/>
    </row>
    <row r="1400" spans="1:45" ht="41.25" thickBot="1" x14ac:dyDescent="0.3">
      <c r="B1400" s="283" t="s">
        <v>0</v>
      </c>
      <c r="C1400" s="284" t="s">
        <v>1</v>
      </c>
      <c r="D1400" s="284" t="s">
        <v>2</v>
      </c>
      <c r="E1400" s="284" t="s">
        <v>3</v>
      </c>
      <c r="F1400" s="4" t="s">
        <v>318</v>
      </c>
      <c r="G1400" s="351" t="s">
        <v>4</v>
      </c>
      <c r="H1400" s="382" t="s">
        <v>460</v>
      </c>
      <c r="I1400" s="234" t="s">
        <v>455</v>
      </c>
      <c r="J1400" s="234"/>
      <c r="K1400" s="258" t="s">
        <v>456</v>
      </c>
      <c r="L1400" s="258" t="s">
        <v>328</v>
      </c>
      <c r="M1400" s="258" t="s">
        <v>327</v>
      </c>
      <c r="N1400" s="234" t="s">
        <v>389</v>
      </c>
      <c r="O1400" s="240" t="s">
        <v>130</v>
      </c>
      <c r="P1400" s="243" t="s">
        <v>303</v>
      </c>
      <c r="Q1400" s="244" t="s">
        <v>304</v>
      </c>
      <c r="R1400" s="244" t="s">
        <v>314</v>
      </c>
      <c r="S1400" s="245" t="s">
        <v>338</v>
      </c>
      <c r="T1400" s="245" t="s">
        <v>345</v>
      </c>
      <c r="U1400" s="245" t="s">
        <v>361</v>
      </c>
      <c r="V1400" s="245" t="s">
        <v>387</v>
      </c>
      <c r="W1400" s="245" t="s">
        <v>421</v>
      </c>
      <c r="X1400" s="245" t="s">
        <v>452</v>
      </c>
      <c r="Y1400" s="245" t="s">
        <v>463</v>
      </c>
      <c r="Z1400" s="245"/>
      <c r="AA1400" s="245"/>
      <c r="AB1400" s="245"/>
      <c r="AC1400" s="245"/>
      <c r="AD1400" s="245"/>
      <c r="AE1400" s="245"/>
      <c r="AF1400" s="245"/>
      <c r="AG1400" s="245"/>
      <c r="AH1400" s="245"/>
      <c r="AI1400" s="245"/>
      <c r="AJ1400" s="245" t="s">
        <v>360</v>
      </c>
      <c r="AK1400" s="246" t="s">
        <v>268</v>
      </c>
      <c r="AL1400" s="247" t="s">
        <v>269</v>
      </c>
      <c r="AM1400" s="291" t="s">
        <v>288</v>
      </c>
      <c r="AN1400" s="292" t="s">
        <v>289</v>
      </c>
      <c r="AO1400" s="292" t="s">
        <v>287</v>
      </c>
      <c r="AP1400" s="293" t="s">
        <v>290</v>
      </c>
      <c r="AQ1400" s="290" t="s">
        <v>306</v>
      </c>
      <c r="AR1400" s="290" t="s">
        <v>310</v>
      </c>
      <c r="AS1400" s="290" t="s">
        <v>311</v>
      </c>
    </row>
    <row r="1401" spans="1:45" ht="17.25" thickBot="1" x14ac:dyDescent="0.3">
      <c r="A1401" s="463" t="s">
        <v>416</v>
      </c>
      <c r="B1401" s="285">
        <v>273664</v>
      </c>
      <c r="C1401" s="286">
        <v>1135749</v>
      </c>
      <c r="D1401" s="286" t="s">
        <v>7</v>
      </c>
      <c r="E1401" s="286">
        <v>6060050026</v>
      </c>
      <c r="F1401" s="253">
        <f>G1436-AK1401+AL1401</f>
        <v>7</v>
      </c>
      <c r="G1401" s="235">
        <v>7</v>
      </c>
      <c r="H1401" s="394">
        <v>7</v>
      </c>
      <c r="I1401" s="232">
        <v>7</v>
      </c>
      <c r="J1401" s="232"/>
      <c r="K1401" s="232">
        <v>1</v>
      </c>
      <c r="L1401" s="232">
        <f>IF(K1435=K1400,L1436+AK1401,K1401)</f>
        <v>1</v>
      </c>
      <c r="M1401" s="232">
        <f>IF(K1435=K1400,0,L1436+AK1401-K1401)</f>
        <v>1</v>
      </c>
      <c r="N1401" s="267">
        <v>5</v>
      </c>
      <c r="O1401" s="241">
        <f>N1401-G1401</f>
        <v>-2</v>
      </c>
      <c r="P1401" s="277">
        <v>4</v>
      </c>
      <c r="Q1401" s="278">
        <v>4</v>
      </c>
      <c r="R1401" s="279"/>
      <c r="S1401" s="279">
        <v>3</v>
      </c>
      <c r="T1401" s="279">
        <v>4</v>
      </c>
      <c r="U1401" s="279">
        <v>2</v>
      </c>
      <c r="V1401" s="279"/>
      <c r="W1401" s="279">
        <f>2+3</f>
        <v>5</v>
      </c>
      <c r="X1401" s="241"/>
      <c r="Y1401" s="241"/>
      <c r="Z1401" s="241"/>
      <c r="AA1401" s="241"/>
      <c r="AB1401" s="241"/>
      <c r="AC1401" s="241"/>
      <c r="AD1401" s="241"/>
      <c r="AE1401" s="241"/>
      <c r="AF1401" s="241"/>
      <c r="AG1401" s="241"/>
      <c r="AH1401" s="241"/>
      <c r="AI1401" s="241"/>
      <c r="AJ1401" s="241">
        <f>N1401-V1401</f>
        <v>5</v>
      </c>
      <c r="AK1401" s="235">
        <f>G1436+AL1401-G1401</f>
        <v>0</v>
      </c>
      <c r="AL1401" s="350"/>
      <c r="AM1401" s="294">
        <v>1.5</v>
      </c>
      <c r="AN1401" s="295">
        <v>4</v>
      </c>
      <c r="AO1401" s="296">
        <f>G1401/(AN1401)</f>
        <v>1.75</v>
      </c>
      <c r="AP1401" s="297">
        <f>AN1401*6</f>
        <v>24</v>
      </c>
      <c r="AQ1401" s="290">
        <f>G1401+K1401</f>
        <v>8</v>
      </c>
      <c r="AR1401" s="290">
        <f>IF(G1401&lt;G1436,(G1436-G1401+K1436-K1401),K1436-K1401)</f>
        <v>1</v>
      </c>
      <c r="AS1401" s="290">
        <f>21-8</f>
        <v>13</v>
      </c>
    </row>
    <row r="1402" spans="1:45" ht="17.25" thickBot="1" x14ac:dyDescent="0.3">
      <c r="A1402" s="464"/>
      <c r="B1402" s="285">
        <v>273672</v>
      </c>
      <c r="C1402" s="286">
        <v>1135750</v>
      </c>
      <c r="D1402" s="286" t="s">
        <v>9</v>
      </c>
      <c r="E1402" s="287">
        <v>204000000000</v>
      </c>
      <c r="F1402" s="253">
        <f>G1437-AK1402+AL1402</f>
        <v>15</v>
      </c>
      <c r="G1402" s="235">
        <v>15</v>
      </c>
      <c r="H1402" s="394">
        <v>15</v>
      </c>
      <c r="I1402" s="232">
        <v>15</v>
      </c>
      <c r="J1402" s="232"/>
      <c r="K1402" s="232">
        <v>9</v>
      </c>
      <c r="L1402" s="232">
        <f>IF(K1435=K1400,L1437+AK1402,K1402)</f>
        <v>9</v>
      </c>
      <c r="M1402" s="232">
        <f>IF(K1435=K1400,0,L1437+AK1402-K1402)</f>
        <v>3</v>
      </c>
      <c r="N1402" s="267">
        <v>10</v>
      </c>
      <c r="O1402" s="241">
        <f>N1402-G1402</f>
        <v>-5</v>
      </c>
      <c r="P1402" s="277">
        <v>13</v>
      </c>
      <c r="Q1402" s="278">
        <v>2</v>
      </c>
      <c r="R1402" s="279">
        <v>6</v>
      </c>
      <c r="S1402" s="279">
        <v>6</v>
      </c>
      <c r="T1402" s="279">
        <v>10</v>
      </c>
      <c r="U1402" s="279">
        <v>4</v>
      </c>
      <c r="V1402" s="279">
        <v>6</v>
      </c>
      <c r="W1402" s="279">
        <v>16</v>
      </c>
      <c r="X1402" s="241"/>
      <c r="Y1402" s="241">
        <v>6</v>
      </c>
      <c r="Z1402" s="241"/>
      <c r="AA1402" s="241"/>
      <c r="AB1402" s="241"/>
      <c r="AC1402" s="241"/>
      <c r="AD1402" s="241"/>
      <c r="AE1402" s="241"/>
      <c r="AF1402" s="241"/>
      <c r="AG1402" s="241"/>
      <c r="AH1402" s="241"/>
      <c r="AI1402" s="241"/>
      <c r="AJ1402" s="241">
        <f>N1402-V1402</f>
        <v>4</v>
      </c>
      <c r="AK1402" s="235">
        <f>G1437+AL1402-G1402</f>
        <v>6</v>
      </c>
      <c r="AL1402" s="236">
        <v>8</v>
      </c>
      <c r="AM1402" s="298">
        <v>4.2</v>
      </c>
      <c r="AN1402" s="295">
        <v>9</v>
      </c>
      <c r="AO1402" s="296">
        <f>G1402/(AN1402)</f>
        <v>1.6666666666666667</v>
      </c>
      <c r="AP1402" s="297">
        <f>AN1402*6</f>
        <v>54</v>
      </c>
      <c r="AQ1402" s="290">
        <f>G1402+K1402</f>
        <v>24</v>
      </c>
      <c r="AR1402" s="290">
        <f>IF(G1402&lt;G1437,(G1437-G1402+K1437-K1402),K1437-K1402)</f>
        <v>-3</v>
      </c>
      <c r="AS1402" s="290">
        <f>21-8</f>
        <v>13</v>
      </c>
    </row>
    <row r="1403" spans="1:45" ht="17.25" thickBot="1" x14ac:dyDescent="0.3">
      <c r="A1403" s="464"/>
      <c r="B1403" s="285">
        <v>273702</v>
      </c>
      <c r="C1403" s="286">
        <v>1135753</v>
      </c>
      <c r="D1403" s="286" t="s">
        <v>10</v>
      </c>
      <c r="E1403" s="287">
        <v>301000000000</v>
      </c>
      <c r="F1403" s="253">
        <f>G1438-AK1403+AL1403</f>
        <v>2</v>
      </c>
      <c r="G1403" s="235">
        <v>2</v>
      </c>
      <c r="H1403" s="394">
        <v>2</v>
      </c>
      <c r="I1403" s="232">
        <v>2</v>
      </c>
      <c r="J1403" s="232"/>
      <c r="K1403" s="232">
        <v>1</v>
      </c>
      <c r="L1403" s="232">
        <f>IF(K1435=K1400,L1438+AK1403,K1403)</f>
        <v>1</v>
      </c>
      <c r="M1403" s="232">
        <f>IF(K1435=K1400,0,L1438+AK1403-K1403)</f>
        <v>0</v>
      </c>
      <c r="N1403" s="232">
        <v>2</v>
      </c>
      <c r="O1403" s="241">
        <f>N1403-G1403</f>
        <v>0</v>
      </c>
      <c r="P1403" s="277"/>
      <c r="Q1403" s="278"/>
      <c r="R1403" s="279"/>
      <c r="S1403" s="279"/>
      <c r="T1403" s="279"/>
      <c r="U1403" s="279"/>
      <c r="V1403" s="279"/>
      <c r="W1403" s="279"/>
      <c r="X1403" s="241"/>
      <c r="Y1403" s="241"/>
      <c r="Z1403" s="241"/>
      <c r="AA1403" s="241"/>
      <c r="AB1403" s="241"/>
      <c r="AC1403" s="241"/>
      <c r="AD1403" s="241"/>
      <c r="AE1403" s="241"/>
      <c r="AF1403" s="241"/>
      <c r="AG1403" s="241"/>
      <c r="AH1403" s="241"/>
      <c r="AI1403" s="241"/>
      <c r="AJ1403" s="241">
        <f>N1403-V1403</f>
        <v>2</v>
      </c>
      <c r="AK1403" s="235">
        <f>G1438+AL1403-G1403</f>
        <v>0</v>
      </c>
      <c r="AL1403" s="236"/>
      <c r="AM1403" s="294">
        <f>4/12</f>
        <v>0.33333333333333331</v>
      </c>
      <c r="AN1403" s="295">
        <v>2</v>
      </c>
      <c r="AO1403" s="296">
        <f>G1403/(AN1403)</f>
        <v>1</v>
      </c>
      <c r="AP1403" s="297">
        <f>AN1403*6</f>
        <v>12</v>
      </c>
      <c r="AQ1403" s="290">
        <f>G1403+K1403</f>
        <v>3</v>
      </c>
      <c r="AR1403" s="290">
        <f>IF(G1403&lt;G1438,(G1438-G1403+K1438-K1403),K1438-K1403)</f>
        <v>0</v>
      </c>
      <c r="AS1403" s="290">
        <f>21-8</f>
        <v>13</v>
      </c>
    </row>
    <row r="1404" spans="1:45" ht="17.25" thickBot="1" x14ac:dyDescent="0.3">
      <c r="A1404" s="464"/>
      <c r="B1404" s="285">
        <v>273698</v>
      </c>
      <c r="C1404" s="286">
        <v>1135752</v>
      </c>
      <c r="D1404" s="286" t="s">
        <v>11</v>
      </c>
      <c r="E1404" s="287">
        <v>701000000000</v>
      </c>
      <c r="F1404" s="253">
        <f>G1439-AK1404+AL1404</f>
        <v>2</v>
      </c>
      <c r="G1404" s="235">
        <v>2</v>
      </c>
      <c r="H1404" s="394">
        <v>2</v>
      </c>
      <c r="I1404" s="232">
        <v>3</v>
      </c>
      <c r="J1404" s="232"/>
      <c r="K1404" s="232">
        <v>0</v>
      </c>
      <c r="L1404" s="232">
        <f>IF(K1435=K1400,L1439+AK1404,K1404)</f>
        <v>0</v>
      </c>
      <c r="M1404" s="232">
        <f>IF(K1435=K1400,0,L1439+AK1404-K1404)</f>
        <v>0</v>
      </c>
      <c r="N1404" s="232">
        <v>3</v>
      </c>
      <c r="O1404" s="241">
        <f>N1404-G1404</f>
        <v>1</v>
      </c>
      <c r="P1404" s="277">
        <v>2</v>
      </c>
      <c r="Q1404" s="278"/>
      <c r="R1404" s="279"/>
      <c r="S1404" s="279"/>
      <c r="T1404" s="279"/>
      <c r="U1404" s="279"/>
      <c r="V1404" s="279"/>
      <c r="W1404" s="279">
        <v>1</v>
      </c>
      <c r="X1404" s="241"/>
      <c r="Y1404" s="241"/>
      <c r="Z1404" s="241"/>
      <c r="AA1404" s="241"/>
      <c r="AB1404" s="241"/>
      <c r="AC1404" s="241"/>
      <c r="AD1404" s="241"/>
      <c r="AE1404" s="241"/>
      <c r="AF1404" s="241"/>
      <c r="AG1404" s="241"/>
      <c r="AH1404" s="241"/>
      <c r="AI1404" s="241"/>
      <c r="AJ1404" s="241">
        <f>N1404-V1404</f>
        <v>3</v>
      </c>
      <c r="AK1404" s="235">
        <f>G1439+AL1404-G1404</f>
        <v>0</v>
      </c>
      <c r="AL1404" s="236"/>
      <c r="AM1404" s="294">
        <f>4/12</f>
        <v>0.33333333333333331</v>
      </c>
      <c r="AN1404" s="295">
        <v>2</v>
      </c>
      <c r="AO1404" s="296">
        <f>G1404/(AN1404)</f>
        <v>1</v>
      </c>
      <c r="AP1404" s="297">
        <f>AN1404*6</f>
        <v>12</v>
      </c>
      <c r="AQ1404" s="290">
        <f>G1404+K1404</f>
        <v>2</v>
      </c>
      <c r="AR1404" s="290">
        <f>IF(G1404&lt;G1439,(G1439-G1404+K1439-K1404),K1439-K1404)</f>
        <v>0</v>
      </c>
      <c r="AS1404" s="290">
        <f>21-8</f>
        <v>13</v>
      </c>
    </row>
    <row r="1405" spans="1:45" ht="17.25" thickBot="1" x14ac:dyDescent="0.3">
      <c r="A1405" s="465"/>
      <c r="B1405" s="285">
        <v>273680</v>
      </c>
      <c r="C1405" s="286">
        <v>1135751</v>
      </c>
      <c r="D1405" s="286" t="s">
        <v>12</v>
      </c>
      <c r="E1405" s="286" t="s">
        <v>13</v>
      </c>
      <c r="F1405" s="254">
        <f>G1440-AK1405+AL1405</f>
        <v>5</v>
      </c>
      <c r="G1405" s="237">
        <v>5</v>
      </c>
      <c r="H1405" s="395">
        <v>5</v>
      </c>
      <c r="I1405" s="238">
        <v>5</v>
      </c>
      <c r="J1405" s="238"/>
      <c r="K1405" s="238">
        <v>11</v>
      </c>
      <c r="L1405" s="238">
        <f>IF(K1435=K1400,L1440+AK1405,K1405)</f>
        <v>11</v>
      </c>
      <c r="M1405" s="238">
        <f>IF(K1435=K1400,0,L1440+AK1405-K1405)</f>
        <v>0</v>
      </c>
      <c r="N1405" s="238">
        <v>9</v>
      </c>
      <c r="O1405" s="242">
        <f>N1405-G1405</f>
        <v>4</v>
      </c>
      <c r="P1405" s="280"/>
      <c r="Q1405" s="281"/>
      <c r="R1405" s="282"/>
      <c r="S1405" s="282"/>
      <c r="T1405" s="282">
        <v>11</v>
      </c>
      <c r="U1405" s="282"/>
      <c r="V1405" s="282"/>
      <c r="W1405" s="282">
        <v>9</v>
      </c>
      <c r="X1405" s="242"/>
      <c r="Y1405" s="242">
        <v>9</v>
      </c>
      <c r="Z1405" s="242"/>
      <c r="AA1405" s="242"/>
      <c r="AB1405" s="242"/>
      <c r="AC1405" s="242"/>
      <c r="AD1405" s="242"/>
      <c r="AE1405" s="242"/>
      <c r="AF1405" s="242"/>
      <c r="AG1405" s="242"/>
      <c r="AH1405" s="242"/>
      <c r="AI1405" s="242"/>
      <c r="AJ1405" s="242">
        <f>N1405-V1405</f>
        <v>9</v>
      </c>
      <c r="AK1405" s="235">
        <f>G1440+AL1405-G1405</f>
        <v>9</v>
      </c>
      <c r="AL1405" s="239"/>
      <c r="AM1405" s="299">
        <f>30/12</f>
        <v>2.5</v>
      </c>
      <c r="AN1405" s="300">
        <f>AM1405*2</f>
        <v>5</v>
      </c>
      <c r="AO1405" s="301">
        <f>G1405/(AN1405)</f>
        <v>1</v>
      </c>
      <c r="AP1405" s="302">
        <f>AN1405*6</f>
        <v>30</v>
      </c>
      <c r="AQ1405" s="290">
        <f>G1405+K1405</f>
        <v>16</v>
      </c>
      <c r="AR1405" s="290">
        <f>IF(G1405&lt;G1440,(G1440-G1405+K1440-K1405),K1440-K1405)</f>
        <v>0</v>
      </c>
      <c r="AS1405" s="290">
        <f>21-8</f>
        <v>13</v>
      </c>
    </row>
    <row r="1406" spans="1:45" ht="17.25" thickBot="1" x14ac:dyDescent="0.3">
      <c r="A1406" s="466" t="s">
        <v>417</v>
      </c>
      <c r="B1406" s="355" t="s">
        <v>129</v>
      </c>
      <c r="C1406" s="356"/>
      <c r="D1406" s="356"/>
      <c r="E1406" s="359"/>
      <c r="F1406" s="359"/>
      <c r="G1406" s="356"/>
      <c r="H1406" s="396"/>
      <c r="I1406" s="356"/>
      <c r="J1406" s="356"/>
      <c r="K1406" s="356"/>
      <c r="L1406" s="356"/>
      <c r="M1406" s="356"/>
      <c r="N1406" s="356"/>
      <c r="O1406" s="356"/>
      <c r="P1406" s="356"/>
      <c r="Q1406" s="356"/>
      <c r="R1406" s="356"/>
      <c r="S1406" s="356"/>
      <c r="T1406" s="356"/>
      <c r="U1406" s="356"/>
      <c r="V1406" s="356"/>
      <c r="W1406" s="356"/>
      <c r="X1406" s="356"/>
      <c r="Y1406" s="356"/>
      <c r="Z1406" s="356"/>
      <c r="AA1406" s="356"/>
      <c r="AB1406" s="356"/>
      <c r="AC1406" s="356"/>
      <c r="AD1406" s="356"/>
      <c r="AE1406" s="356"/>
      <c r="AF1406" s="356"/>
      <c r="AG1406" s="356"/>
      <c r="AH1406" s="356"/>
      <c r="AI1406" s="356"/>
      <c r="AJ1406" s="356"/>
      <c r="AK1406" s="356"/>
      <c r="AL1406" s="367"/>
      <c r="AM1406" s="356"/>
      <c r="AN1406" s="356"/>
      <c r="AO1406" s="356"/>
      <c r="AP1406" s="356"/>
      <c r="AQ1406" s="356"/>
      <c r="AR1406" s="356"/>
      <c r="AS1406" s="357"/>
    </row>
    <row r="1407" spans="1:45" ht="17.25" thickBot="1" x14ac:dyDescent="0.3">
      <c r="A1407" s="467"/>
      <c r="B1407" s="354"/>
      <c r="C1407" s="354">
        <v>1140327</v>
      </c>
      <c r="D1407" s="358" t="s">
        <v>394</v>
      </c>
      <c r="E1407" s="360"/>
      <c r="F1407" s="361">
        <f>G1442-AK1407+AL1407</f>
        <v>26</v>
      </c>
      <c r="G1407" s="218">
        <v>26</v>
      </c>
      <c r="H1407" s="397">
        <v>26</v>
      </c>
      <c r="I1407" s="218">
        <v>23</v>
      </c>
      <c r="J1407" s="218"/>
      <c r="K1407" s="218">
        <v>5</v>
      </c>
      <c r="L1407" s="218">
        <f>IF(K1435=K1400,L1442+AK1407,K1407)</f>
        <v>5</v>
      </c>
      <c r="M1407" s="218">
        <f>IF(K1435=K1400,0,L1442+AK1407-K1407)</f>
        <v>5</v>
      </c>
      <c r="N1407" s="218"/>
      <c r="O1407" s="218"/>
      <c r="P1407" s="352"/>
      <c r="Q1407" s="352"/>
      <c r="R1407" s="352"/>
      <c r="S1407" s="352"/>
      <c r="T1407" s="352"/>
      <c r="U1407" s="352"/>
      <c r="V1407" s="218"/>
      <c r="W1407" s="218"/>
      <c r="X1407" s="218">
        <v>4</v>
      </c>
      <c r="Y1407" s="218">
        <v>9</v>
      </c>
      <c r="Z1407" s="218"/>
      <c r="AA1407" s="218"/>
      <c r="AB1407" s="218"/>
      <c r="AC1407" s="218"/>
      <c r="AD1407" s="218"/>
      <c r="AE1407" s="218"/>
      <c r="AF1407" s="218"/>
      <c r="AG1407" s="218"/>
      <c r="AH1407" s="218"/>
      <c r="AI1407" s="218"/>
      <c r="AJ1407" s="242">
        <f>N1407-V1407</f>
        <v>0</v>
      </c>
      <c r="AK1407" s="274">
        <f>G1442+AL1407-G1407</f>
        <v>10</v>
      </c>
      <c r="AL1407" s="232">
        <v>10</v>
      </c>
      <c r="AM1407" s="353"/>
      <c r="AN1407" s="295"/>
      <c r="AO1407" s="296"/>
      <c r="AP1407" s="353"/>
      <c r="AQ1407" s="290"/>
      <c r="AR1407" s="290"/>
      <c r="AS1407" s="290"/>
    </row>
    <row r="1408" spans="1:45" ht="17.25" thickBot="1" x14ac:dyDescent="0.3">
      <c r="A1408" s="467"/>
      <c r="B1408" s="354"/>
      <c r="C1408" s="285">
        <v>1151231</v>
      </c>
      <c r="D1408" s="358" t="s">
        <v>395</v>
      </c>
      <c r="E1408" s="360"/>
      <c r="F1408" s="361">
        <f>G1443-AK1408+AL1408</f>
        <v>3</v>
      </c>
      <c r="G1408" s="369">
        <v>3</v>
      </c>
      <c r="H1408" s="397">
        <v>3</v>
      </c>
      <c r="I1408" s="218">
        <v>0</v>
      </c>
      <c r="J1408" s="218"/>
      <c r="K1408" s="218">
        <v>4</v>
      </c>
      <c r="L1408" s="218">
        <f>IF(K1435=K1400,L1443+AK1408,K1408)</f>
        <v>4</v>
      </c>
      <c r="M1408" s="218">
        <f>IF(K1435=K1400,0,L1443+AK1408-K1408)</f>
        <v>4</v>
      </c>
      <c r="N1408" s="218"/>
      <c r="O1408" s="218"/>
      <c r="P1408" s="352"/>
      <c r="Q1408" s="352"/>
      <c r="R1408" s="352"/>
      <c r="S1408" s="352"/>
      <c r="T1408" s="352"/>
      <c r="U1408" s="352"/>
      <c r="V1408" s="218"/>
      <c r="W1408" s="218"/>
      <c r="X1408" s="218">
        <v>3</v>
      </c>
      <c r="Y1408" s="218">
        <v>8</v>
      </c>
      <c r="Z1408" s="218"/>
      <c r="AA1408" s="218"/>
      <c r="AB1408" s="218"/>
      <c r="AC1408" s="218"/>
      <c r="AD1408" s="218"/>
      <c r="AE1408" s="218"/>
      <c r="AF1408" s="218"/>
      <c r="AG1408" s="218"/>
      <c r="AH1408" s="218"/>
      <c r="AI1408" s="218"/>
      <c r="AJ1408" s="242">
        <f>N1408-V1408</f>
        <v>0</v>
      </c>
      <c r="AK1408" s="274">
        <f>G1443+AL1408-G1408</f>
        <v>7</v>
      </c>
      <c r="AL1408" s="232">
        <v>3</v>
      </c>
      <c r="AM1408" s="353"/>
      <c r="AN1408" s="295"/>
      <c r="AO1408" s="296"/>
      <c r="AP1408" s="353"/>
      <c r="AQ1408" s="290"/>
      <c r="AR1408" s="290"/>
      <c r="AS1408" s="290"/>
    </row>
    <row r="1409" spans="1:45" ht="17.25" thickBot="1" x14ac:dyDescent="0.3">
      <c r="A1409" s="467"/>
      <c r="B1409" s="355" t="s">
        <v>420</v>
      </c>
      <c r="C1409" s="356"/>
      <c r="D1409" s="356"/>
      <c r="E1409" s="359"/>
      <c r="F1409" s="359"/>
      <c r="G1409" s="356"/>
      <c r="H1409" s="396"/>
      <c r="I1409" s="356"/>
      <c r="J1409" s="356"/>
      <c r="K1409" s="356"/>
      <c r="L1409" s="356"/>
      <c r="M1409" s="356"/>
      <c r="N1409" s="356"/>
      <c r="O1409" s="356"/>
      <c r="P1409" s="356"/>
      <c r="Q1409" s="356"/>
      <c r="R1409" s="356"/>
      <c r="S1409" s="356"/>
      <c r="T1409" s="356"/>
      <c r="U1409" s="356"/>
      <c r="V1409" s="356"/>
      <c r="W1409" s="356"/>
      <c r="X1409" s="356"/>
      <c r="Y1409" s="356"/>
      <c r="Z1409" s="356"/>
      <c r="AA1409" s="356"/>
      <c r="AB1409" s="356"/>
      <c r="AC1409" s="356"/>
      <c r="AD1409" s="356"/>
      <c r="AE1409" s="356"/>
      <c r="AF1409" s="356"/>
      <c r="AG1409" s="356"/>
      <c r="AH1409" s="356"/>
      <c r="AI1409" s="356"/>
      <c r="AJ1409" s="356"/>
      <c r="AK1409" s="356"/>
      <c r="AL1409" s="368"/>
      <c r="AM1409" s="356"/>
      <c r="AN1409" s="356"/>
      <c r="AO1409" s="356"/>
      <c r="AP1409" s="356"/>
      <c r="AQ1409" s="356"/>
      <c r="AR1409" s="356"/>
      <c r="AS1409" s="357"/>
    </row>
    <row r="1410" spans="1:45" ht="17.25" thickBot="1" x14ac:dyDescent="0.3">
      <c r="A1410" s="467"/>
      <c r="B1410" s="354"/>
      <c r="C1410" s="285">
        <v>1146032</v>
      </c>
      <c r="D1410" s="358" t="s">
        <v>396</v>
      </c>
      <c r="E1410" s="360"/>
      <c r="F1410" s="361">
        <f>G1445-AK1410+AL1410</f>
        <v>1</v>
      </c>
      <c r="G1410" s="364">
        <v>1</v>
      </c>
      <c r="H1410" s="397">
        <v>1</v>
      </c>
      <c r="I1410" s="364">
        <v>3</v>
      </c>
      <c r="J1410" s="364"/>
      <c r="K1410" s="364"/>
      <c r="L1410" s="218"/>
      <c r="M1410" s="218"/>
      <c r="N1410" s="218"/>
      <c r="O1410" s="218"/>
      <c r="P1410" s="352"/>
      <c r="Q1410" s="352"/>
      <c r="R1410" s="352"/>
      <c r="S1410" s="352"/>
      <c r="T1410" s="352"/>
      <c r="U1410" s="352"/>
      <c r="V1410" s="218"/>
      <c r="W1410" s="218"/>
      <c r="X1410" s="218"/>
      <c r="Y1410" s="218"/>
      <c r="Z1410" s="218"/>
      <c r="AA1410" s="218"/>
      <c r="AB1410" s="218"/>
      <c r="AC1410" s="218"/>
      <c r="AD1410" s="218"/>
      <c r="AE1410" s="218"/>
      <c r="AF1410" s="218"/>
      <c r="AG1410" s="218"/>
      <c r="AH1410" s="218"/>
      <c r="AI1410" s="218"/>
      <c r="AJ1410" s="218"/>
      <c r="AK1410" s="218"/>
      <c r="AL1410" s="218"/>
      <c r="AM1410" s="353"/>
      <c r="AN1410" s="295"/>
      <c r="AO1410" s="296"/>
      <c r="AP1410" s="353"/>
      <c r="AQ1410" s="290"/>
      <c r="AR1410" s="290"/>
      <c r="AS1410" s="290"/>
    </row>
    <row r="1411" spans="1:45" ht="17.25" thickBot="1" x14ac:dyDescent="0.3">
      <c r="A1411" s="467"/>
      <c r="B1411" s="354"/>
      <c r="C1411" s="285">
        <v>1146021</v>
      </c>
      <c r="D1411" s="358" t="s">
        <v>397</v>
      </c>
      <c r="E1411" s="360"/>
      <c r="F1411" s="361">
        <f>G1446-AK1411+AL1411</f>
        <v>2</v>
      </c>
      <c r="G1411" s="364">
        <v>2</v>
      </c>
      <c r="H1411" s="397">
        <v>2</v>
      </c>
      <c r="I1411" s="364">
        <v>2</v>
      </c>
      <c r="J1411" s="364"/>
      <c r="K1411" s="364"/>
      <c r="L1411" s="218"/>
      <c r="M1411" s="218"/>
      <c r="N1411" s="218"/>
      <c r="O1411" s="218"/>
      <c r="P1411" s="352"/>
      <c r="Q1411" s="352"/>
      <c r="R1411" s="352"/>
      <c r="S1411" s="352"/>
      <c r="T1411" s="352"/>
      <c r="U1411" s="352"/>
      <c r="V1411" s="218"/>
      <c r="W1411" s="218"/>
      <c r="X1411" s="218"/>
      <c r="Y1411" s="218"/>
      <c r="Z1411" s="218"/>
      <c r="AA1411" s="218"/>
      <c r="AB1411" s="218"/>
      <c r="AC1411" s="218"/>
      <c r="AD1411" s="218"/>
      <c r="AE1411" s="218"/>
      <c r="AF1411" s="218"/>
      <c r="AG1411" s="218"/>
      <c r="AH1411" s="218"/>
      <c r="AI1411" s="218"/>
      <c r="AJ1411" s="218"/>
      <c r="AK1411" s="218"/>
      <c r="AL1411" s="218"/>
      <c r="AM1411" s="353"/>
      <c r="AN1411" s="295"/>
      <c r="AO1411" s="296"/>
      <c r="AP1411" s="353"/>
      <c r="AQ1411" s="290"/>
      <c r="AR1411" s="290"/>
      <c r="AS1411" s="290"/>
    </row>
    <row r="1412" spans="1:45" ht="17.25" thickBot="1" x14ac:dyDescent="0.3">
      <c r="A1412" s="467"/>
      <c r="B1412" s="354"/>
      <c r="C1412" s="285">
        <v>1146018</v>
      </c>
      <c r="D1412" s="358" t="s">
        <v>398</v>
      </c>
      <c r="E1412" s="360"/>
      <c r="F1412" s="361">
        <f>G1447-AK1412+AL1412</f>
        <v>4</v>
      </c>
      <c r="G1412" s="364">
        <v>4</v>
      </c>
      <c r="H1412" s="397">
        <v>4</v>
      </c>
      <c r="I1412" s="364" t="s">
        <v>457</v>
      </c>
      <c r="J1412" s="364"/>
      <c r="K1412" s="364"/>
      <c r="L1412" s="218"/>
      <c r="M1412" s="218"/>
      <c r="N1412" s="218"/>
      <c r="O1412" s="218"/>
      <c r="P1412" s="352"/>
      <c r="Q1412" s="352"/>
      <c r="R1412" s="352"/>
      <c r="S1412" s="352"/>
      <c r="T1412" s="352"/>
      <c r="U1412" s="352"/>
      <c r="V1412" s="218"/>
      <c r="W1412" s="218"/>
      <c r="X1412" s="218"/>
      <c r="Y1412" s="218"/>
      <c r="Z1412" s="218"/>
      <c r="AA1412" s="218"/>
      <c r="AB1412" s="218"/>
      <c r="AC1412" s="218"/>
      <c r="AD1412" s="218"/>
      <c r="AE1412" s="218"/>
      <c r="AF1412" s="218"/>
      <c r="AG1412" s="218"/>
      <c r="AH1412" s="218"/>
      <c r="AI1412" s="218"/>
      <c r="AJ1412" s="218"/>
      <c r="AK1412" s="218"/>
      <c r="AL1412" s="218"/>
      <c r="AM1412" s="353"/>
      <c r="AN1412" s="295"/>
      <c r="AO1412" s="296"/>
      <c r="AP1412" s="353"/>
      <c r="AQ1412" s="290"/>
      <c r="AR1412" s="290"/>
      <c r="AS1412" s="290"/>
    </row>
    <row r="1413" spans="1:45" ht="17.25" thickBot="1" x14ac:dyDescent="0.3">
      <c r="A1413" s="467"/>
      <c r="B1413" s="354"/>
      <c r="C1413" s="285">
        <v>1146024</v>
      </c>
      <c r="D1413" s="358" t="s">
        <v>399</v>
      </c>
      <c r="E1413" s="360"/>
      <c r="F1413" s="361">
        <f>G1448-AK1413+AL1413</f>
        <v>1</v>
      </c>
      <c r="G1413" s="364">
        <v>0</v>
      </c>
      <c r="H1413" s="397">
        <v>0</v>
      </c>
      <c r="I1413" s="364">
        <v>0</v>
      </c>
      <c r="J1413" s="364"/>
      <c r="K1413" s="364"/>
      <c r="L1413" s="218"/>
      <c r="M1413" s="218"/>
      <c r="N1413" s="218"/>
      <c r="O1413" s="218"/>
      <c r="P1413" s="352"/>
      <c r="Q1413" s="352"/>
      <c r="R1413" s="352"/>
      <c r="S1413" s="352"/>
      <c r="T1413" s="352"/>
      <c r="U1413" s="352"/>
      <c r="V1413" s="218"/>
      <c r="W1413" s="218"/>
      <c r="X1413" s="218"/>
      <c r="Y1413" s="218"/>
      <c r="Z1413" s="218"/>
      <c r="AA1413" s="218"/>
      <c r="AB1413" s="218"/>
      <c r="AC1413" s="218"/>
      <c r="AD1413" s="218"/>
      <c r="AE1413" s="218"/>
      <c r="AF1413" s="218"/>
      <c r="AG1413" s="218"/>
      <c r="AH1413" s="218"/>
      <c r="AI1413" s="218"/>
      <c r="AJ1413" s="218"/>
      <c r="AK1413" s="218"/>
      <c r="AL1413" s="218"/>
      <c r="AM1413" s="353"/>
      <c r="AN1413" s="295"/>
      <c r="AO1413" s="296"/>
      <c r="AP1413" s="353"/>
      <c r="AQ1413" s="290"/>
      <c r="AR1413" s="290"/>
      <c r="AS1413" s="290"/>
    </row>
    <row r="1414" spans="1:45" ht="17.25" thickBot="1" x14ac:dyDescent="0.3">
      <c r="A1414" s="467"/>
      <c r="B1414" s="354"/>
      <c r="C1414" s="285">
        <v>1146028</v>
      </c>
      <c r="D1414" s="358" t="s">
        <v>400</v>
      </c>
      <c r="E1414" s="360"/>
      <c r="F1414" s="361">
        <f>G1449-AK1414+AL1414</f>
        <v>3</v>
      </c>
      <c r="G1414" s="364">
        <v>3</v>
      </c>
      <c r="H1414" s="397">
        <v>3</v>
      </c>
      <c r="I1414" s="364">
        <v>3</v>
      </c>
      <c r="J1414" s="364"/>
      <c r="K1414" s="364"/>
      <c r="L1414" s="218"/>
      <c r="M1414" s="218"/>
      <c r="N1414" s="218"/>
      <c r="O1414" s="218"/>
      <c r="P1414" s="352"/>
      <c r="Q1414" s="352"/>
      <c r="R1414" s="352"/>
      <c r="S1414" s="352"/>
      <c r="T1414" s="352"/>
      <c r="U1414" s="352"/>
      <c r="V1414" s="218"/>
      <c r="W1414" s="218"/>
      <c r="X1414" s="218"/>
      <c r="Y1414" s="218"/>
      <c r="Z1414" s="218"/>
      <c r="AA1414" s="218"/>
      <c r="AB1414" s="218"/>
      <c r="AC1414" s="218"/>
      <c r="AD1414" s="218"/>
      <c r="AE1414" s="218"/>
      <c r="AF1414" s="218"/>
      <c r="AG1414" s="218"/>
      <c r="AH1414" s="218"/>
      <c r="AI1414" s="218"/>
      <c r="AJ1414" s="218"/>
      <c r="AK1414" s="218"/>
      <c r="AL1414" s="218"/>
      <c r="AM1414" s="353"/>
      <c r="AN1414" s="295"/>
      <c r="AO1414" s="296"/>
      <c r="AP1414" s="353"/>
      <c r="AQ1414" s="290"/>
      <c r="AR1414" s="290"/>
      <c r="AS1414" s="290"/>
    </row>
    <row r="1415" spans="1:45" ht="17.25" thickBot="1" x14ac:dyDescent="0.3">
      <c r="A1415" s="467"/>
      <c r="B1415" s="355" t="s">
        <v>419</v>
      </c>
      <c r="C1415" s="356"/>
      <c r="D1415" s="356"/>
      <c r="E1415" s="359"/>
      <c r="F1415" s="359"/>
      <c r="G1415" s="356"/>
      <c r="H1415" s="396"/>
      <c r="I1415" s="356"/>
      <c r="J1415" s="356"/>
      <c r="K1415" s="356"/>
      <c r="L1415" s="356"/>
      <c r="M1415" s="356"/>
      <c r="N1415" s="356"/>
      <c r="O1415" s="356"/>
      <c r="P1415" s="356"/>
      <c r="Q1415" s="356"/>
      <c r="R1415" s="356"/>
      <c r="S1415" s="356"/>
      <c r="T1415" s="356"/>
      <c r="U1415" s="356"/>
      <c r="V1415" s="356"/>
      <c r="W1415" s="356"/>
      <c r="X1415" s="356"/>
      <c r="Y1415" s="356"/>
      <c r="Z1415" s="356"/>
      <c r="AA1415" s="356"/>
      <c r="AB1415" s="356"/>
      <c r="AC1415" s="356"/>
      <c r="AD1415" s="356"/>
      <c r="AE1415" s="356"/>
      <c r="AF1415" s="356"/>
      <c r="AG1415" s="356"/>
      <c r="AH1415" s="356"/>
      <c r="AI1415" s="356"/>
      <c r="AJ1415" s="356"/>
      <c r="AK1415" s="356"/>
      <c r="AL1415" s="356"/>
      <c r="AM1415" s="356"/>
      <c r="AN1415" s="356"/>
      <c r="AO1415" s="356"/>
      <c r="AP1415" s="356"/>
      <c r="AQ1415" s="356"/>
      <c r="AR1415" s="356"/>
      <c r="AS1415" s="357"/>
    </row>
    <row r="1416" spans="1:45" ht="17.25" thickBot="1" x14ac:dyDescent="0.3">
      <c r="A1416" s="467"/>
      <c r="B1416" s="372"/>
      <c r="C1416" s="373">
        <v>1146031</v>
      </c>
      <c r="D1416" s="374" t="s">
        <v>401</v>
      </c>
      <c r="E1416" s="375"/>
      <c r="F1416" s="376">
        <f>G1451-AK1416+AL1416</f>
        <v>2</v>
      </c>
      <c r="G1416" s="377">
        <v>2</v>
      </c>
      <c r="H1416" s="397">
        <v>2</v>
      </c>
      <c r="I1416" s="377">
        <v>2</v>
      </c>
      <c r="J1416" s="377"/>
      <c r="K1416" s="377"/>
      <c r="L1416" s="377"/>
      <c r="M1416" s="377"/>
      <c r="N1416" s="377"/>
      <c r="O1416" s="377"/>
      <c r="P1416" s="377"/>
      <c r="Q1416" s="377"/>
      <c r="R1416" s="377"/>
      <c r="S1416" s="377"/>
      <c r="T1416" s="377"/>
      <c r="U1416" s="377"/>
      <c r="V1416" s="377"/>
      <c r="W1416" s="377"/>
      <c r="X1416" s="377"/>
      <c r="Y1416" s="377"/>
      <c r="Z1416" s="377"/>
      <c r="AA1416" s="377"/>
      <c r="AB1416" s="377"/>
      <c r="AC1416" s="377"/>
      <c r="AD1416" s="377"/>
      <c r="AE1416" s="377"/>
      <c r="AF1416" s="377"/>
      <c r="AG1416" s="377"/>
      <c r="AH1416" s="377"/>
      <c r="AI1416" s="377"/>
      <c r="AJ1416" s="377"/>
      <c r="AK1416" s="377"/>
      <c r="AL1416" s="377"/>
      <c r="AM1416" s="378"/>
      <c r="AN1416" s="379"/>
      <c r="AO1416" s="380"/>
      <c r="AP1416" s="378"/>
      <c r="AQ1416" s="381"/>
      <c r="AR1416" s="381"/>
      <c r="AS1416" s="381"/>
    </row>
    <row r="1417" spans="1:45" ht="17.25" thickBot="1" x14ac:dyDescent="0.3">
      <c r="A1417" s="467"/>
      <c r="B1417" s="372"/>
      <c r="C1417" s="373">
        <v>1146020</v>
      </c>
      <c r="D1417" s="374" t="s">
        <v>402</v>
      </c>
      <c r="E1417" s="375"/>
      <c r="F1417" s="376">
        <f>G1452-AK1417+AL1417</f>
        <v>1</v>
      </c>
      <c r="G1417" s="377">
        <v>1</v>
      </c>
      <c r="H1417" s="397">
        <v>1</v>
      </c>
      <c r="I1417" s="377">
        <v>1</v>
      </c>
      <c r="J1417" s="377"/>
      <c r="K1417" s="377"/>
      <c r="L1417" s="377"/>
      <c r="M1417" s="377"/>
      <c r="N1417" s="377"/>
      <c r="O1417" s="377"/>
      <c r="P1417" s="377"/>
      <c r="Q1417" s="377"/>
      <c r="R1417" s="377"/>
      <c r="S1417" s="377"/>
      <c r="T1417" s="377"/>
      <c r="U1417" s="377"/>
      <c r="V1417" s="377"/>
      <c r="W1417" s="377"/>
      <c r="X1417" s="377"/>
      <c r="Y1417" s="377"/>
      <c r="Z1417" s="377"/>
      <c r="AA1417" s="377"/>
      <c r="AB1417" s="377"/>
      <c r="AC1417" s="377"/>
      <c r="AD1417" s="377"/>
      <c r="AE1417" s="377"/>
      <c r="AF1417" s="377"/>
      <c r="AG1417" s="377"/>
      <c r="AH1417" s="377"/>
      <c r="AI1417" s="377"/>
      <c r="AJ1417" s="377"/>
      <c r="AK1417" s="377"/>
      <c r="AL1417" s="377"/>
      <c r="AM1417" s="378"/>
      <c r="AN1417" s="379"/>
      <c r="AO1417" s="380"/>
      <c r="AP1417" s="378"/>
      <c r="AQ1417" s="381"/>
      <c r="AR1417" s="381"/>
      <c r="AS1417" s="381"/>
    </row>
    <row r="1418" spans="1:45" ht="17.25" thickBot="1" x14ac:dyDescent="0.3">
      <c r="A1418" s="467"/>
      <c r="B1418" s="372"/>
      <c r="C1418" s="373">
        <v>1146016</v>
      </c>
      <c r="D1418" s="374" t="s">
        <v>398</v>
      </c>
      <c r="E1418" s="375"/>
      <c r="F1418" s="376">
        <f>G1453-AK1418+AL1418</f>
        <v>6</v>
      </c>
      <c r="G1418" s="377">
        <v>6</v>
      </c>
      <c r="H1418" s="397">
        <v>6</v>
      </c>
      <c r="I1418" s="377" t="s">
        <v>458</v>
      </c>
      <c r="J1418" s="377"/>
      <c r="K1418" s="377"/>
      <c r="L1418" s="377"/>
      <c r="M1418" s="377"/>
      <c r="N1418" s="377"/>
      <c r="O1418" s="377"/>
      <c r="P1418" s="377"/>
      <c r="Q1418" s="377"/>
      <c r="R1418" s="377"/>
      <c r="S1418" s="377"/>
      <c r="T1418" s="377"/>
      <c r="U1418" s="377"/>
      <c r="V1418" s="377"/>
      <c r="W1418" s="377"/>
      <c r="X1418" s="377"/>
      <c r="Y1418" s="377"/>
      <c r="Z1418" s="377"/>
      <c r="AA1418" s="377"/>
      <c r="AB1418" s="377"/>
      <c r="AC1418" s="377"/>
      <c r="AD1418" s="377"/>
      <c r="AE1418" s="377"/>
      <c r="AF1418" s="377"/>
      <c r="AG1418" s="377"/>
      <c r="AH1418" s="377"/>
      <c r="AI1418" s="377"/>
      <c r="AJ1418" s="377"/>
      <c r="AK1418" s="377"/>
      <c r="AL1418" s="377"/>
      <c r="AM1418" s="378"/>
      <c r="AN1418" s="379"/>
      <c r="AO1418" s="380"/>
      <c r="AP1418" s="378"/>
      <c r="AQ1418" s="381"/>
      <c r="AR1418" s="381"/>
      <c r="AS1418" s="381"/>
    </row>
    <row r="1419" spans="1:45" ht="17.25" thickBot="1" x14ac:dyDescent="0.3">
      <c r="A1419" s="467"/>
      <c r="B1419" s="372"/>
      <c r="C1419" s="373">
        <v>1146022</v>
      </c>
      <c r="D1419" s="374" t="s">
        <v>403</v>
      </c>
      <c r="E1419" s="375"/>
      <c r="F1419" s="376">
        <f>G1454-AK1419+AL1419</f>
        <v>0</v>
      </c>
      <c r="G1419" s="377">
        <v>0</v>
      </c>
      <c r="H1419" s="397">
        <v>0</v>
      </c>
      <c r="I1419" s="377">
        <v>0</v>
      </c>
      <c r="J1419" s="377"/>
      <c r="K1419" s="377"/>
      <c r="L1419" s="377"/>
      <c r="M1419" s="377"/>
      <c r="N1419" s="377"/>
      <c r="O1419" s="377"/>
      <c r="P1419" s="377"/>
      <c r="Q1419" s="377"/>
      <c r="R1419" s="377"/>
      <c r="S1419" s="377"/>
      <c r="T1419" s="377"/>
      <c r="U1419" s="377"/>
      <c r="V1419" s="377"/>
      <c r="W1419" s="377"/>
      <c r="X1419" s="377"/>
      <c r="Y1419" s="377"/>
      <c r="Z1419" s="377"/>
      <c r="AA1419" s="377"/>
      <c r="AB1419" s="377"/>
      <c r="AC1419" s="377"/>
      <c r="AD1419" s="377"/>
      <c r="AE1419" s="377"/>
      <c r="AF1419" s="377"/>
      <c r="AG1419" s="377"/>
      <c r="AH1419" s="377"/>
      <c r="AI1419" s="377"/>
      <c r="AJ1419" s="377"/>
      <c r="AK1419" s="377"/>
      <c r="AL1419" s="377"/>
      <c r="AM1419" s="378"/>
      <c r="AN1419" s="379"/>
      <c r="AO1419" s="380"/>
      <c r="AP1419" s="378"/>
      <c r="AQ1419" s="381"/>
      <c r="AR1419" s="381"/>
      <c r="AS1419" s="381"/>
    </row>
    <row r="1420" spans="1:45" ht="17.25" thickBot="1" x14ac:dyDescent="0.3">
      <c r="A1420" s="467"/>
      <c r="B1420" s="372"/>
      <c r="C1420" s="373">
        <v>1146027</v>
      </c>
      <c r="D1420" s="374" t="s">
        <v>404</v>
      </c>
      <c r="E1420" s="375"/>
      <c r="F1420" s="376">
        <f>G1455-AK1420+AL1420</f>
        <v>2</v>
      </c>
      <c r="G1420" s="377">
        <v>2</v>
      </c>
      <c r="H1420" s="397">
        <v>2</v>
      </c>
      <c r="I1420" s="377">
        <v>3</v>
      </c>
      <c r="J1420" s="377"/>
      <c r="K1420" s="377"/>
      <c r="L1420" s="377"/>
      <c r="M1420" s="377"/>
      <c r="N1420" s="377"/>
      <c r="O1420" s="377"/>
      <c r="P1420" s="377"/>
      <c r="Q1420" s="377"/>
      <c r="R1420" s="377"/>
      <c r="S1420" s="377"/>
      <c r="T1420" s="377"/>
      <c r="U1420" s="377"/>
      <c r="V1420" s="377"/>
      <c r="W1420" s="377"/>
      <c r="X1420" s="377"/>
      <c r="Y1420" s="377"/>
      <c r="Z1420" s="377"/>
      <c r="AA1420" s="377"/>
      <c r="AB1420" s="377"/>
      <c r="AC1420" s="377"/>
      <c r="AD1420" s="377"/>
      <c r="AE1420" s="377"/>
      <c r="AF1420" s="377"/>
      <c r="AG1420" s="377"/>
      <c r="AH1420" s="377"/>
      <c r="AI1420" s="377"/>
      <c r="AJ1420" s="377"/>
      <c r="AK1420" s="377"/>
      <c r="AL1420" s="377"/>
      <c r="AM1420" s="378"/>
      <c r="AN1420" s="379"/>
      <c r="AO1420" s="380"/>
      <c r="AP1420" s="378"/>
      <c r="AQ1420" s="381"/>
      <c r="AR1420" s="381"/>
      <c r="AS1420" s="381"/>
    </row>
    <row r="1421" spans="1:45" ht="17.25" thickBot="1" x14ac:dyDescent="0.3">
      <c r="A1421" s="467"/>
      <c r="B1421" s="355" t="s">
        <v>418</v>
      </c>
      <c r="C1421" s="356"/>
      <c r="D1421" s="356"/>
      <c r="E1421" s="359"/>
      <c r="F1421" s="359"/>
      <c r="G1421" s="356"/>
      <c r="H1421" s="396"/>
      <c r="I1421" s="356"/>
      <c r="J1421" s="356"/>
      <c r="K1421" s="356"/>
      <c r="L1421" s="356"/>
      <c r="M1421" s="356"/>
      <c r="N1421" s="356"/>
      <c r="O1421" s="356"/>
      <c r="P1421" s="356"/>
      <c r="Q1421" s="356"/>
      <c r="R1421" s="356"/>
      <c r="S1421" s="356"/>
      <c r="T1421" s="356"/>
      <c r="U1421" s="356"/>
      <c r="V1421" s="356"/>
      <c r="W1421" s="356"/>
      <c r="X1421" s="356"/>
      <c r="Y1421" s="356"/>
      <c r="Z1421" s="356"/>
      <c r="AA1421" s="356"/>
      <c r="AB1421" s="356"/>
      <c r="AC1421" s="356"/>
      <c r="AD1421" s="356"/>
      <c r="AE1421" s="356"/>
      <c r="AF1421" s="356"/>
      <c r="AG1421" s="356"/>
      <c r="AH1421" s="356"/>
      <c r="AI1421" s="356"/>
      <c r="AJ1421" s="356"/>
      <c r="AK1421" s="356"/>
      <c r="AL1421" s="356"/>
      <c r="AM1421" s="356"/>
      <c r="AN1421" s="356"/>
      <c r="AO1421" s="356"/>
      <c r="AP1421" s="356"/>
      <c r="AQ1421" s="356"/>
      <c r="AR1421" s="356"/>
      <c r="AS1421" s="357"/>
    </row>
    <row r="1422" spans="1:45" ht="17.25" thickBot="1" x14ac:dyDescent="0.3">
      <c r="A1422" s="467"/>
      <c r="B1422" s="354"/>
      <c r="C1422" s="285">
        <v>1151653</v>
      </c>
      <c r="D1422" s="358" t="s">
        <v>405</v>
      </c>
      <c r="E1422" s="360"/>
      <c r="F1422" s="361">
        <f>G1457-AK1422+AL1422</f>
        <v>0</v>
      </c>
      <c r="G1422" s="364">
        <v>0</v>
      </c>
      <c r="H1422" s="397">
        <v>0</v>
      </c>
      <c r="I1422" s="364">
        <v>1</v>
      </c>
      <c r="J1422" s="364"/>
      <c r="K1422" s="364"/>
      <c r="L1422" s="218"/>
      <c r="M1422" s="218"/>
      <c r="N1422" s="218"/>
      <c r="O1422" s="218"/>
      <c r="P1422" s="352"/>
      <c r="Q1422" s="352"/>
      <c r="R1422" s="352"/>
      <c r="S1422" s="352"/>
      <c r="T1422" s="352"/>
      <c r="U1422" s="352"/>
      <c r="V1422" s="218"/>
      <c r="W1422" s="218"/>
      <c r="X1422" s="218"/>
      <c r="Y1422" s="218"/>
      <c r="Z1422" s="218"/>
      <c r="AA1422" s="218"/>
      <c r="AB1422" s="218"/>
      <c r="AC1422" s="218"/>
      <c r="AD1422" s="218"/>
      <c r="AE1422" s="218"/>
      <c r="AF1422" s="218"/>
      <c r="AG1422" s="218"/>
      <c r="AH1422" s="218"/>
      <c r="AI1422" s="218"/>
      <c r="AJ1422" s="218"/>
      <c r="AK1422" s="218"/>
      <c r="AL1422" s="218"/>
      <c r="AM1422" s="353"/>
      <c r="AN1422" s="295"/>
      <c r="AO1422" s="296"/>
      <c r="AP1422" s="353"/>
      <c r="AQ1422" s="290"/>
      <c r="AR1422" s="290"/>
      <c r="AS1422" s="290"/>
    </row>
    <row r="1423" spans="1:45" ht="17.25" thickBot="1" x14ac:dyDescent="0.3">
      <c r="A1423" s="467"/>
      <c r="B1423" s="354"/>
      <c r="C1423" s="285">
        <v>1151650</v>
      </c>
      <c r="D1423" s="358" t="s">
        <v>406</v>
      </c>
      <c r="E1423" s="360"/>
      <c r="F1423" s="361">
        <f>G1458-AK1423+AL1423</f>
        <v>1</v>
      </c>
      <c r="G1423" s="364">
        <v>1</v>
      </c>
      <c r="H1423" s="397">
        <v>1</v>
      </c>
      <c r="I1423" s="364">
        <v>1</v>
      </c>
      <c r="J1423" s="364"/>
      <c r="K1423" s="364"/>
      <c r="L1423" s="218"/>
      <c r="M1423" s="218"/>
      <c r="N1423" s="218"/>
      <c r="O1423" s="218"/>
      <c r="P1423" s="352"/>
      <c r="Q1423" s="352"/>
      <c r="R1423" s="352"/>
      <c r="S1423" s="352"/>
      <c r="T1423" s="352"/>
      <c r="U1423" s="352"/>
      <c r="V1423" s="218"/>
      <c r="W1423" s="218"/>
      <c r="X1423" s="218"/>
      <c r="Y1423" s="218"/>
      <c r="Z1423" s="218"/>
      <c r="AA1423" s="218"/>
      <c r="AB1423" s="218"/>
      <c r="AC1423" s="218"/>
      <c r="AD1423" s="218"/>
      <c r="AE1423" s="218"/>
      <c r="AF1423" s="218"/>
      <c r="AG1423" s="218"/>
      <c r="AH1423" s="218"/>
      <c r="AI1423" s="218"/>
      <c r="AJ1423" s="218"/>
      <c r="AK1423" s="218"/>
      <c r="AL1423" s="218"/>
      <c r="AM1423" s="353"/>
      <c r="AN1423" s="295"/>
      <c r="AO1423" s="296"/>
      <c r="AP1423" s="353"/>
      <c r="AQ1423" s="290"/>
      <c r="AR1423" s="290"/>
      <c r="AS1423" s="290"/>
    </row>
    <row r="1424" spans="1:45" ht="17.25" thickBot="1" x14ac:dyDescent="0.3">
      <c r="A1424" s="467"/>
      <c r="B1424" s="354"/>
      <c r="C1424" s="285">
        <v>1151649</v>
      </c>
      <c r="D1424" s="358" t="s">
        <v>407</v>
      </c>
      <c r="E1424" s="360"/>
      <c r="F1424" s="361">
        <f>G1459-AK1424+AL1424</f>
        <v>2</v>
      </c>
      <c r="G1424" s="364">
        <v>2</v>
      </c>
      <c r="H1424" s="397">
        <v>2</v>
      </c>
      <c r="I1424" s="364" t="s">
        <v>459</v>
      </c>
      <c r="J1424" s="364"/>
      <c r="K1424" s="364"/>
      <c r="L1424" s="218"/>
      <c r="M1424" s="218"/>
      <c r="N1424" s="218"/>
      <c r="O1424" s="218"/>
      <c r="P1424" s="352"/>
      <c r="Q1424" s="352"/>
      <c r="R1424" s="352"/>
      <c r="S1424" s="352"/>
      <c r="T1424" s="352"/>
      <c r="U1424" s="352"/>
      <c r="V1424" s="218"/>
      <c r="W1424" s="218"/>
      <c r="X1424" s="218"/>
      <c r="Y1424" s="218"/>
      <c r="Z1424" s="218"/>
      <c r="AA1424" s="218"/>
      <c r="AB1424" s="218"/>
      <c r="AC1424" s="218"/>
      <c r="AD1424" s="218"/>
      <c r="AE1424" s="218"/>
      <c r="AF1424" s="218"/>
      <c r="AG1424" s="218"/>
      <c r="AH1424" s="218"/>
      <c r="AI1424" s="218"/>
      <c r="AJ1424" s="218"/>
      <c r="AK1424" s="218"/>
      <c r="AL1424" s="218"/>
      <c r="AM1424" s="353"/>
      <c r="AN1424" s="295"/>
      <c r="AO1424" s="296"/>
      <c r="AP1424" s="353"/>
      <c r="AQ1424" s="290"/>
      <c r="AR1424" s="290"/>
      <c r="AS1424" s="290"/>
    </row>
    <row r="1425" spans="1:45" ht="17.25" thickBot="1" x14ac:dyDescent="0.3">
      <c r="A1425" s="467"/>
      <c r="B1425" s="354"/>
      <c r="C1425" s="285">
        <v>1151651</v>
      </c>
      <c r="D1425" s="358" t="s">
        <v>408</v>
      </c>
      <c r="E1425" s="360"/>
      <c r="F1425" s="361">
        <f>G1460-AK1425+AL1425</f>
        <v>0</v>
      </c>
      <c r="G1425" s="364">
        <v>0</v>
      </c>
      <c r="H1425" s="397">
        <v>0</v>
      </c>
      <c r="I1425" s="364">
        <v>0</v>
      </c>
      <c r="J1425" s="364"/>
      <c r="K1425" s="364"/>
      <c r="L1425" s="218"/>
      <c r="M1425" s="218"/>
      <c r="N1425" s="218"/>
      <c r="O1425" s="218"/>
      <c r="P1425" s="352"/>
      <c r="Q1425" s="352"/>
      <c r="R1425" s="352"/>
      <c r="S1425" s="352"/>
      <c r="T1425" s="352"/>
      <c r="U1425" s="352"/>
      <c r="V1425" s="218"/>
      <c r="W1425" s="218"/>
      <c r="X1425" s="218"/>
      <c r="Y1425" s="218"/>
      <c r="Z1425" s="218"/>
      <c r="AA1425" s="218"/>
      <c r="AB1425" s="218"/>
      <c r="AC1425" s="218"/>
      <c r="AD1425" s="218"/>
      <c r="AE1425" s="218"/>
      <c r="AF1425" s="218"/>
      <c r="AG1425" s="218"/>
      <c r="AH1425" s="218"/>
      <c r="AI1425" s="218"/>
      <c r="AJ1425" s="218"/>
      <c r="AK1425" s="218"/>
      <c r="AL1425" s="218"/>
      <c r="AM1425" s="353"/>
      <c r="AN1425" s="295"/>
      <c r="AO1425" s="296"/>
      <c r="AP1425" s="353"/>
      <c r="AQ1425" s="290"/>
      <c r="AR1425" s="290"/>
      <c r="AS1425" s="290"/>
    </row>
    <row r="1426" spans="1:45" ht="17.25" thickBot="1" x14ac:dyDescent="0.3">
      <c r="A1426" s="467"/>
      <c r="B1426" s="354"/>
      <c r="C1426" s="285">
        <v>1146029</v>
      </c>
      <c r="D1426" s="358" t="s">
        <v>409</v>
      </c>
      <c r="E1426" s="360"/>
      <c r="F1426" s="361">
        <f>G1461-AK1426+AL1426</f>
        <v>1</v>
      </c>
      <c r="G1426" s="364">
        <v>1</v>
      </c>
      <c r="H1426" s="397">
        <v>1</v>
      </c>
      <c r="I1426" s="364">
        <v>2</v>
      </c>
      <c r="J1426" s="364"/>
      <c r="K1426" s="364"/>
      <c r="L1426" s="218"/>
      <c r="M1426" s="218"/>
      <c r="N1426" s="218"/>
      <c r="O1426" s="218"/>
      <c r="P1426" s="352"/>
      <c r="Q1426" s="352"/>
      <c r="R1426" s="352"/>
      <c r="S1426" s="352"/>
      <c r="T1426" s="352"/>
      <c r="U1426" s="352"/>
      <c r="V1426" s="218"/>
      <c r="W1426" s="218"/>
      <c r="X1426" s="218"/>
      <c r="Y1426" s="218"/>
      <c r="Z1426" s="218"/>
      <c r="AA1426" s="218"/>
      <c r="AB1426" s="218"/>
      <c r="AC1426" s="218"/>
      <c r="AD1426" s="218"/>
      <c r="AE1426" s="218"/>
      <c r="AF1426" s="218"/>
      <c r="AG1426" s="218"/>
      <c r="AH1426" s="218"/>
      <c r="AI1426" s="218"/>
      <c r="AJ1426" s="218"/>
      <c r="AK1426" s="218"/>
      <c r="AL1426" s="218"/>
      <c r="AM1426" s="353"/>
      <c r="AN1426" s="295"/>
      <c r="AO1426" s="296"/>
      <c r="AP1426" s="353"/>
      <c r="AQ1426" s="290"/>
      <c r="AR1426" s="290"/>
      <c r="AS1426" s="290"/>
    </row>
    <row r="1427" spans="1:45" ht="17.25" thickBot="1" x14ac:dyDescent="0.3">
      <c r="A1427" s="467"/>
      <c r="B1427" s="355" t="s">
        <v>410</v>
      </c>
      <c r="C1427" s="356"/>
      <c r="D1427" s="356"/>
      <c r="E1427" s="359"/>
      <c r="F1427" s="359"/>
      <c r="G1427" s="356"/>
      <c r="H1427" s="396"/>
      <c r="I1427" s="356"/>
      <c r="J1427" s="356"/>
      <c r="K1427" s="356"/>
      <c r="L1427" s="356"/>
      <c r="M1427" s="356"/>
      <c r="N1427" s="356"/>
      <c r="O1427" s="356"/>
      <c r="P1427" s="356"/>
      <c r="Q1427" s="356"/>
      <c r="R1427" s="356"/>
      <c r="S1427" s="356"/>
      <c r="T1427" s="356"/>
      <c r="U1427" s="356"/>
      <c r="V1427" s="356"/>
      <c r="W1427" s="356"/>
      <c r="X1427" s="356"/>
      <c r="Y1427" s="356"/>
      <c r="Z1427" s="356"/>
      <c r="AA1427" s="356"/>
      <c r="AB1427" s="356"/>
      <c r="AC1427" s="356"/>
      <c r="AD1427" s="356"/>
      <c r="AE1427" s="356"/>
      <c r="AF1427" s="356"/>
      <c r="AG1427" s="356"/>
      <c r="AH1427" s="356"/>
      <c r="AI1427" s="356"/>
      <c r="AJ1427" s="356"/>
      <c r="AK1427" s="356"/>
      <c r="AL1427" s="356"/>
      <c r="AM1427" s="356"/>
      <c r="AN1427" s="356"/>
      <c r="AO1427" s="356"/>
      <c r="AP1427" s="356"/>
      <c r="AQ1427" s="356"/>
      <c r="AR1427" s="356"/>
      <c r="AS1427" s="357"/>
    </row>
    <row r="1428" spans="1:45" ht="17.25" thickBot="1" x14ac:dyDescent="0.3">
      <c r="A1428" s="467"/>
      <c r="B1428" s="354"/>
      <c r="C1428" s="285">
        <v>1699118</v>
      </c>
      <c r="D1428" s="358" t="s">
        <v>411</v>
      </c>
      <c r="E1428" s="360"/>
      <c r="F1428" s="361">
        <f>G1463-AK1428+AL1428</f>
        <v>0</v>
      </c>
      <c r="G1428" s="364">
        <v>0</v>
      </c>
      <c r="H1428" s="397">
        <v>0</v>
      </c>
      <c r="I1428" s="364">
        <v>0</v>
      </c>
      <c r="J1428" s="364"/>
      <c r="K1428" s="364"/>
      <c r="L1428" s="218"/>
      <c r="M1428" s="218"/>
      <c r="N1428" s="218"/>
      <c r="O1428" s="218"/>
      <c r="P1428" s="352"/>
      <c r="Q1428" s="352"/>
      <c r="R1428" s="352"/>
      <c r="S1428" s="352"/>
      <c r="T1428" s="352"/>
      <c r="U1428" s="352"/>
      <c r="V1428" s="218"/>
      <c r="W1428" s="218"/>
      <c r="X1428" s="218"/>
      <c r="Y1428" s="218"/>
      <c r="Z1428" s="218"/>
      <c r="AA1428" s="218"/>
      <c r="AB1428" s="218"/>
      <c r="AC1428" s="218"/>
      <c r="AD1428" s="218"/>
      <c r="AE1428" s="218"/>
      <c r="AF1428" s="218"/>
      <c r="AG1428" s="218"/>
      <c r="AH1428" s="218"/>
      <c r="AI1428" s="218"/>
      <c r="AJ1428" s="218"/>
      <c r="AK1428" s="218"/>
      <c r="AL1428" s="218"/>
      <c r="AM1428" s="353"/>
      <c r="AN1428" s="295"/>
      <c r="AO1428" s="296"/>
      <c r="AP1428" s="353"/>
      <c r="AQ1428" s="290"/>
      <c r="AR1428" s="290"/>
      <c r="AS1428" s="290"/>
    </row>
    <row r="1429" spans="1:45" ht="17.25" thickBot="1" x14ac:dyDescent="0.3">
      <c r="A1429" s="467"/>
      <c r="B1429" s="354"/>
      <c r="C1429" s="285">
        <v>1699119</v>
      </c>
      <c r="D1429" s="358" t="s">
        <v>412</v>
      </c>
      <c r="E1429" s="360"/>
      <c r="F1429" s="361">
        <f>G1464-AK1429+AL1429</f>
        <v>0</v>
      </c>
      <c r="G1429" s="364">
        <v>0</v>
      </c>
      <c r="H1429" s="397">
        <v>0</v>
      </c>
      <c r="I1429" s="364">
        <v>0</v>
      </c>
      <c r="J1429" s="364"/>
      <c r="K1429" s="364"/>
      <c r="L1429" s="218"/>
      <c r="M1429" s="218"/>
      <c r="N1429" s="218"/>
      <c r="O1429" s="218"/>
      <c r="P1429" s="352"/>
      <c r="Q1429" s="352"/>
      <c r="R1429" s="352"/>
      <c r="S1429" s="352"/>
      <c r="T1429" s="352"/>
      <c r="U1429" s="352"/>
      <c r="V1429" s="218"/>
      <c r="W1429" s="218"/>
      <c r="X1429" s="218"/>
      <c r="Y1429" s="218"/>
      <c r="Z1429" s="218"/>
      <c r="AA1429" s="218"/>
      <c r="AB1429" s="218"/>
      <c r="AC1429" s="218"/>
      <c r="AD1429" s="218"/>
      <c r="AE1429" s="218"/>
      <c r="AF1429" s="218"/>
      <c r="AG1429" s="218"/>
      <c r="AH1429" s="218"/>
      <c r="AI1429" s="218"/>
      <c r="AJ1429" s="218"/>
      <c r="AK1429" s="218"/>
      <c r="AL1429" s="218"/>
      <c r="AM1429" s="353"/>
      <c r="AN1429" s="295"/>
      <c r="AO1429" s="296"/>
      <c r="AP1429" s="353"/>
      <c r="AQ1429" s="290"/>
      <c r="AR1429" s="290"/>
      <c r="AS1429" s="290"/>
    </row>
    <row r="1430" spans="1:45" ht="17.25" thickBot="1" x14ac:dyDescent="0.3">
      <c r="A1430" s="467"/>
      <c r="B1430" s="354"/>
      <c r="C1430" s="285">
        <v>1699130</v>
      </c>
      <c r="D1430" s="358" t="s">
        <v>413</v>
      </c>
      <c r="E1430" s="360"/>
      <c r="F1430" s="361">
        <f>G1465-AK1430+AL1430</f>
        <v>0</v>
      </c>
      <c r="G1430" s="364">
        <v>0</v>
      </c>
      <c r="H1430" s="397">
        <v>0</v>
      </c>
      <c r="I1430" s="364">
        <v>0</v>
      </c>
      <c r="J1430" s="364"/>
      <c r="K1430" s="364"/>
      <c r="L1430" s="218"/>
      <c r="M1430" s="218"/>
      <c r="N1430" s="218"/>
      <c r="O1430" s="218"/>
      <c r="P1430" s="352"/>
      <c r="Q1430" s="352"/>
      <c r="R1430" s="352"/>
      <c r="S1430" s="352"/>
      <c r="T1430" s="352"/>
      <c r="U1430" s="352"/>
      <c r="V1430" s="218"/>
      <c r="W1430" s="218"/>
      <c r="X1430" s="218"/>
      <c r="Y1430" s="218"/>
      <c r="Z1430" s="218"/>
      <c r="AA1430" s="218"/>
      <c r="AB1430" s="218"/>
      <c r="AC1430" s="218"/>
      <c r="AD1430" s="218"/>
      <c r="AE1430" s="218"/>
      <c r="AF1430" s="218"/>
      <c r="AG1430" s="218"/>
      <c r="AH1430" s="218"/>
      <c r="AI1430" s="218"/>
      <c r="AJ1430" s="218"/>
      <c r="AK1430" s="218"/>
      <c r="AL1430" s="218"/>
      <c r="AM1430" s="353"/>
      <c r="AN1430" s="295"/>
      <c r="AO1430" s="296"/>
      <c r="AP1430" s="353"/>
      <c r="AQ1430" s="290"/>
      <c r="AR1430" s="290"/>
      <c r="AS1430" s="290"/>
    </row>
    <row r="1431" spans="1:45" ht="17.25" thickBot="1" x14ac:dyDescent="0.3">
      <c r="A1431" s="467"/>
      <c r="B1431" s="354"/>
      <c r="C1431" s="285">
        <v>1699131</v>
      </c>
      <c r="D1431" s="358" t="s">
        <v>414</v>
      </c>
      <c r="E1431" s="360"/>
      <c r="F1431" s="361">
        <f>G1466-AK1431+AL1431</f>
        <v>0</v>
      </c>
      <c r="G1431" s="364">
        <v>0</v>
      </c>
      <c r="H1431" s="397">
        <v>0</v>
      </c>
      <c r="I1431" s="364">
        <v>2</v>
      </c>
      <c r="J1431" s="364"/>
      <c r="K1431" s="364"/>
      <c r="L1431" s="218"/>
      <c r="M1431" s="218"/>
      <c r="N1431" s="218"/>
      <c r="O1431" s="218"/>
      <c r="P1431" s="352"/>
      <c r="Q1431" s="352"/>
      <c r="R1431" s="352"/>
      <c r="S1431" s="352"/>
      <c r="T1431" s="352"/>
      <c r="U1431" s="352"/>
      <c r="V1431" s="218"/>
      <c r="W1431" s="218"/>
      <c r="X1431" s="218"/>
      <c r="Y1431" s="218"/>
      <c r="Z1431" s="218"/>
      <c r="AA1431" s="218"/>
      <c r="AB1431" s="218"/>
      <c r="AC1431" s="218"/>
      <c r="AD1431" s="218"/>
      <c r="AE1431" s="218"/>
      <c r="AF1431" s="218"/>
      <c r="AG1431" s="218"/>
      <c r="AH1431" s="218"/>
      <c r="AI1431" s="218"/>
      <c r="AJ1431" s="218"/>
      <c r="AK1431" s="218"/>
      <c r="AL1431" s="218"/>
      <c r="AM1431" s="353"/>
      <c r="AN1431" s="295"/>
      <c r="AO1431" s="296"/>
      <c r="AP1431" s="353"/>
      <c r="AQ1431" s="290"/>
      <c r="AR1431" s="290"/>
      <c r="AS1431" s="290"/>
    </row>
    <row r="1432" spans="1:45" ht="17.25" thickBot="1" x14ac:dyDescent="0.3">
      <c r="A1432" s="468"/>
      <c r="B1432" s="354"/>
      <c r="C1432" s="285">
        <v>1699132</v>
      </c>
      <c r="D1432" s="358" t="s">
        <v>415</v>
      </c>
      <c r="E1432" s="285"/>
      <c r="F1432" s="362">
        <f>G1467-AK1432+AL1432</f>
        <v>0</v>
      </c>
      <c r="G1432" s="364">
        <v>0</v>
      </c>
      <c r="H1432" s="397">
        <v>0</v>
      </c>
      <c r="I1432" s="364">
        <v>2</v>
      </c>
      <c r="J1432" s="364"/>
      <c r="K1432" s="364"/>
      <c r="L1432" s="218"/>
      <c r="M1432" s="218"/>
      <c r="N1432" s="218"/>
      <c r="O1432" s="218"/>
      <c r="P1432" s="352"/>
      <c r="Q1432" s="352"/>
      <c r="R1432" s="352"/>
      <c r="S1432" s="352"/>
      <c r="T1432" s="352"/>
      <c r="U1432" s="352"/>
      <c r="V1432" s="218"/>
      <c r="W1432" s="218"/>
      <c r="X1432" s="218"/>
      <c r="Y1432" s="218"/>
      <c r="Z1432" s="218"/>
      <c r="AA1432" s="218"/>
      <c r="AB1432" s="218"/>
      <c r="AC1432" s="218"/>
      <c r="AD1432" s="218"/>
      <c r="AE1432" s="218"/>
      <c r="AF1432" s="218"/>
      <c r="AG1432" s="218"/>
      <c r="AH1432" s="218"/>
      <c r="AI1432" s="218"/>
      <c r="AJ1432" s="218"/>
      <c r="AK1432" s="218"/>
      <c r="AL1432" s="218"/>
      <c r="AM1432" s="353"/>
      <c r="AN1432" s="295"/>
      <c r="AO1432" s="296"/>
      <c r="AP1432" s="353"/>
      <c r="AQ1432" s="290"/>
      <c r="AR1432" s="290"/>
      <c r="AS1432" s="290"/>
    </row>
    <row r="1433" spans="1:45" x14ac:dyDescent="0.25">
      <c r="AL1433" s="290"/>
      <c r="AM1433" s="290"/>
      <c r="AN1433" s="290"/>
      <c r="AO1433" s="290"/>
      <c r="AP1433" s="290"/>
      <c r="AQ1433" s="290"/>
      <c r="AR1433" s="290"/>
    </row>
    <row r="1434" spans="1:45" ht="14.25" thickBot="1" x14ac:dyDescent="0.3">
      <c r="B1434" s="338" t="s">
        <v>18</v>
      </c>
      <c r="C1434" s="339">
        <v>45565</v>
      </c>
      <c r="AL1434" s="290"/>
      <c r="AM1434" s="290"/>
      <c r="AN1434" s="290"/>
      <c r="AO1434" s="290"/>
      <c r="AP1434" s="290"/>
      <c r="AQ1434" s="290"/>
      <c r="AR1434" s="290"/>
    </row>
    <row r="1435" spans="1:45" ht="41.25" thickBot="1" x14ac:dyDescent="0.3">
      <c r="B1435" s="283" t="s">
        <v>0</v>
      </c>
      <c r="C1435" s="284" t="s">
        <v>1</v>
      </c>
      <c r="D1435" s="284" t="s">
        <v>2</v>
      </c>
      <c r="E1435" s="284" t="s">
        <v>3</v>
      </c>
      <c r="F1435" s="4" t="s">
        <v>318</v>
      </c>
      <c r="G1435" s="351" t="s">
        <v>4</v>
      </c>
      <c r="H1435" s="382" t="s">
        <v>460</v>
      </c>
      <c r="I1435" s="234" t="s">
        <v>454</v>
      </c>
      <c r="J1435" s="234"/>
      <c r="K1435" s="258" t="s">
        <v>453</v>
      </c>
      <c r="L1435" s="258" t="s">
        <v>328</v>
      </c>
      <c r="M1435" s="258" t="s">
        <v>327</v>
      </c>
      <c r="N1435" s="234" t="s">
        <v>389</v>
      </c>
      <c r="O1435" s="240" t="s">
        <v>130</v>
      </c>
      <c r="P1435" s="243" t="s">
        <v>303</v>
      </c>
      <c r="Q1435" s="244" t="s">
        <v>304</v>
      </c>
      <c r="R1435" s="244" t="s">
        <v>314</v>
      </c>
      <c r="S1435" s="245" t="s">
        <v>338</v>
      </c>
      <c r="T1435" s="245" t="s">
        <v>345</v>
      </c>
      <c r="U1435" s="245" t="s">
        <v>361</v>
      </c>
      <c r="V1435" s="245" t="s">
        <v>387</v>
      </c>
      <c r="W1435" s="245" t="s">
        <v>421</v>
      </c>
      <c r="X1435" s="245" t="s">
        <v>452</v>
      </c>
      <c r="Y1435" s="245" t="s">
        <v>463</v>
      </c>
      <c r="Z1435" s="245"/>
      <c r="AA1435" s="245"/>
      <c r="AB1435" s="245"/>
      <c r="AC1435" s="245"/>
      <c r="AD1435" s="245"/>
      <c r="AE1435" s="245"/>
      <c r="AF1435" s="245"/>
      <c r="AG1435" s="245"/>
      <c r="AH1435" s="245"/>
      <c r="AI1435" s="245"/>
      <c r="AJ1435" s="245" t="s">
        <v>360</v>
      </c>
      <c r="AK1435" s="246" t="s">
        <v>268</v>
      </c>
      <c r="AL1435" s="247" t="s">
        <v>269</v>
      </c>
      <c r="AM1435" s="291" t="s">
        <v>288</v>
      </c>
      <c r="AN1435" s="292" t="s">
        <v>289</v>
      </c>
      <c r="AO1435" s="292" t="s">
        <v>287</v>
      </c>
      <c r="AP1435" s="293" t="s">
        <v>290</v>
      </c>
      <c r="AQ1435" s="290" t="s">
        <v>306</v>
      </c>
      <c r="AR1435" s="290" t="s">
        <v>310</v>
      </c>
      <c r="AS1435" s="290" t="s">
        <v>311</v>
      </c>
    </row>
    <row r="1436" spans="1:45" ht="17.25" thickBot="1" x14ac:dyDescent="0.3">
      <c r="A1436" s="463" t="s">
        <v>416</v>
      </c>
      <c r="B1436" s="285">
        <v>273664</v>
      </c>
      <c r="C1436" s="286">
        <v>1135749</v>
      </c>
      <c r="D1436" s="286" t="s">
        <v>7</v>
      </c>
      <c r="E1436" s="286">
        <v>6060050026</v>
      </c>
      <c r="F1436" s="253">
        <f>G1471-AK1436+AL1436</f>
        <v>7</v>
      </c>
      <c r="G1436" s="235">
        <v>7</v>
      </c>
      <c r="H1436" s="394">
        <v>5</v>
      </c>
      <c r="I1436" s="232">
        <v>7</v>
      </c>
      <c r="J1436" s="232"/>
      <c r="K1436" s="232">
        <v>2</v>
      </c>
      <c r="L1436" s="232">
        <f>IF(K1470=K1435,L1471+AK1436,K1436)</f>
        <v>2</v>
      </c>
      <c r="M1436" s="232">
        <f>IF(K1470=K1435,0,L1471+AK1436-K1436)</f>
        <v>1</v>
      </c>
      <c r="N1436" s="267">
        <v>5</v>
      </c>
      <c r="O1436" s="241">
        <f>N1436-G1436</f>
        <v>-2</v>
      </c>
      <c r="P1436" s="277">
        <v>4</v>
      </c>
      <c r="Q1436" s="278">
        <v>4</v>
      </c>
      <c r="R1436" s="279"/>
      <c r="S1436" s="279">
        <v>3</v>
      </c>
      <c r="T1436" s="279">
        <v>4</v>
      </c>
      <c r="U1436" s="279">
        <v>2</v>
      </c>
      <c r="V1436" s="279"/>
      <c r="W1436" s="279">
        <f>2+3</f>
        <v>5</v>
      </c>
      <c r="X1436" s="241"/>
      <c r="Y1436" s="241"/>
      <c r="Z1436" s="241"/>
      <c r="AA1436" s="241"/>
      <c r="AB1436" s="241"/>
      <c r="AC1436" s="241"/>
      <c r="AD1436" s="241"/>
      <c r="AE1436" s="241"/>
      <c r="AF1436" s="241"/>
      <c r="AG1436" s="241"/>
      <c r="AH1436" s="241"/>
      <c r="AI1436" s="241"/>
      <c r="AJ1436" s="241">
        <f>N1436-V1436</f>
        <v>5</v>
      </c>
      <c r="AK1436" s="235">
        <f>G1471+AL1436-G1436</f>
        <v>0</v>
      </c>
      <c r="AL1436" s="350"/>
      <c r="AM1436" s="294">
        <v>1.5</v>
      </c>
      <c r="AN1436" s="295">
        <v>4</v>
      </c>
      <c r="AO1436" s="296">
        <f>G1436/(AN1436)</f>
        <v>1.75</v>
      </c>
      <c r="AP1436" s="297">
        <f>AN1436*6</f>
        <v>24</v>
      </c>
      <c r="AQ1436" s="290">
        <f>G1436+K1436</f>
        <v>9</v>
      </c>
      <c r="AR1436" s="290">
        <f>IF(G1436&lt;G1471,(G1471-G1436+K1471-K1436),K1471-K1436)</f>
        <v>1</v>
      </c>
      <c r="AS1436" s="290">
        <f>21-8</f>
        <v>13</v>
      </c>
    </row>
    <row r="1437" spans="1:45" ht="17.25" thickBot="1" x14ac:dyDescent="0.3">
      <c r="A1437" s="464"/>
      <c r="B1437" s="285">
        <v>273672</v>
      </c>
      <c r="C1437" s="286">
        <v>1135750</v>
      </c>
      <c r="D1437" s="286" t="s">
        <v>9</v>
      </c>
      <c r="E1437" s="287">
        <v>204000000000</v>
      </c>
      <c r="F1437" s="253">
        <f>G1472-AK1437+AL1437</f>
        <v>13</v>
      </c>
      <c r="G1437" s="235">
        <v>13</v>
      </c>
      <c r="H1437" s="394">
        <v>16</v>
      </c>
      <c r="I1437" s="232">
        <v>13</v>
      </c>
      <c r="J1437" s="232"/>
      <c r="K1437" s="232">
        <v>6</v>
      </c>
      <c r="L1437" s="232">
        <f>IF(K1470=K1435,L1472+AK1437,K1437)</f>
        <v>6</v>
      </c>
      <c r="M1437" s="232">
        <f>IF(K1470=K1435,0,L1472+AK1437-K1437)</f>
        <v>1</v>
      </c>
      <c r="N1437" s="267">
        <v>10</v>
      </c>
      <c r="O1437" s="241">
        <f>N1437-G1437</f>
        <v>-3</v>
      </c>
      <c r="P1437" s="277">
        <v>13</v>
      </c>
      <c r="Q1437" s="278">
        <v>2</v>
      </c>
      <c r="R1437" s="279">
        <v>6</v>
      </c>
      <c r="S1437" s="279">
        <v>6</v>
      </c>
      <c r="T1437" s="279">
        <v>10</v>
      </c>
      <c r="U1437" s="279">
        <v>4</v>
      </c>
      <c r="V1437" s="279">
        <v>6</v>
      </c>
      <c r="W1437" s="279">
        <v>16</v>
      </c>
      <c r="X1437" s="241"/>
      <c r="Y1437" s="241"/>
      <c r="Z1437" s="241"/>
      <c r="AA1437" s="241"/>
      <c r="AB1437" s="241"/>
      <c r="AC1437" s="241"/>
      <c r="AD1437" s="241"/>
      <c r="AE1437" s="241"/>
      <c r="AF1437" s="241"/>
      <c r="AG1437" s="241"/>
      <c r="AH1437" s="241"/>
      <c r="AI1437" s="241"/>
      <c r="AJ1437" s="241">
        <f>N1437-V1437</f>
        <v>4</v>
      </c>
      <c r="AK1437" s="235">
        <f>G1472+AL1437-G1437</f>
        <v>0</v>
      </c>
      <c r="AL1437" s="236"/>
      <c r="AM1437" s="298">
        <v>4.2</v>
      </c>
      <c r="AN1437" s="295">
        <v>9</v>
      </c>
      <c r="AO1437" s="296">
        <f>G1437/(AN1437)</f>
        <v>1.4444444444444444</v>
      </c>
      <c r="AP1437" s="297">
        <f>AN1437*6</f>
        <v>54</v>
      </c>
      <c r="AQ1437" s="290">
        <f>G1437+K1437</f>
        <v>19</v>
      </c>
      <c r="AR1437" s="290">
        <f>IF(G1437&lt;G1472,(G1472-G1437+K1472-K1437),K1472-K1437)</f>
        <v>1</v>
      </c>
      <c r="AS1437" s="290">
        <f>21-8</f>
        <v>13</v>
      </c>
    </row>
    <row r="1438" spans="1:45" ht="17.25" thickBot="1" x14ac:dyDescent="0.3">
      <c r="A1438" s="464"/>
      <c r="B1438" s="285">
        <v>273702</v>
      </c>
      <c r="C1438" s="286">
        <v>1135753</v>
      </c>
      <c r="D1438" s="286" t="s">
        <v>10</v>
      </c>
      <c r="E1438" s="287">
        <v>301000000000</v>
      </c>
      <c r="F1438" s="253">
        <f>G1473-AK1438+AL1438</f>
        <v>2</v>
      </c>
      <c r="G1438" s="235">
        <v>2</v>
      </c>
      <c r="H1438" s="394">
        <v>1</v>
      </c>
      <c r="I1438" s="232">
        <v>2</v>
      </c>
      <c r="J1438" s="232"/>
      <c r="K1438" s="232">
        <v>1</v>
      </c>
      <c r="L1438" s="232">
        <f>IF(K1470=K1435,L1473+AK1438,K1438)</f>
        <v>1</v>
      </c>
      <c r="M1438" s="232">
        <f>IF(K1470=K1435,0,L1473+AK1438-K1438)</f>
        <v>0</v>
      </c>
      <c r="N1438" s="232">
        <v>2</v>
      </c>
      <c r="O1438" s="241">
        <f>N1438-G1438</f>
        <v>0</v>
      </c>
      <c r="P1438" s="277"/>
      <c r="Q1438" s="278"/>
      <c r="R1438" s="279"/>
      <c r="S1438" s="279"/>
      <c r="T1438" s="279"/>
      <c r="U1438" s="279"/>
      <c r="V1438" s="279"/>
      <c r="W1438" s="279"/>
      <c r="X1438" s="241"/>
      <c r="Y1438" s="241"/>
      <c r="Z1438" s="241"/>
      <c r="AA1438" s="241"/>
      <c r="AB1438" s="241"/>
      <c r="AC1438" s="241"/>
      <c r="AD1438" s="241"/>
      <c r="AE1438" s="241"/>
      <c r="AF1438" s="241"/>
      <c r="AG1438" s="241"/>
      <c r="AH1438" s="241"/>
      <c r="AI1438" s="241"/>
      <c r="AJ1438" s="241">
        <f>N1438-V1438</f>
        <v>2</v>
      </c>
      <c r="AK1438" s="235">
        <f>G1473+AL1438-G1438</f>
        <v>0</v>
      </c>
      <c r="AL1438" s="236"/>
      <c r="AM1438" s="294">
        <f>4/12</f>
        <v>0.33333333333333331</v>
      </c>
      <c r="AN1438" s="295">
        <v>2</v>
      </c>
      <c r="AO1438" s="296">
        <f>G1438/(AN1438)</f>
        <v>1</v>
      </c>
      <c r="AP1438" s="297">
        <f>AN1438*6</f>
        <v>12</v>
      </c>
      <c r="AQ1438" s="290">
        <f>G1438+K1438</f>
        <v>3</v>
      </c>
      <c r="AR1438" s="290">
        <f>IF(G1438&lt;G1473,(G1473-G1438+K1473-K1438),K1473-K1438)</f>
        <v>0</v>
      </c>
      <c r="AS1438" s="290">
        <f>21-8</f>
        <v>13</v>
      </c>
    </row>
    <row r="1439" spans="1:45" ht="17.25" thickBot="1" x14ac:dyDescent="0.3">
      <c r="A1439" s="464"/>
      <c r="B1439" s="285">
        <v>273698</v>
      </c>
      <c r="C1439" s="286">
        <v>1135752</v>
      </c>
      <c r="D1439" s="286" t="s">
        <v>11</v>
      </c>
      <c r="E1439" s="287">
        <v>701000000000</v>
      </c>
      <c r="F1439" s="253">
        <f>G1474-AK1439+AL1439</f>
        <v>2</v>
      </c>
      <c r="G1439" s="235">
        <v>2</v>
      </c>
      <c r="H1439" s="394">
        <v>2</v>
      </c>
      <c r="I1439" s="232">
        <v>3</v>
      </c>
      <c r="J1439" s="232"/>
      <c r="K1439" s="232">
        <v>0</v>
      </c>
      <c r="L1439" s="232">
        <f>IF(K1470=K1435,L1474+AK1439,K1439)</f>
        <v>0</v>
      </c>
      <c r="M1439" s="232">
        <f>IF(K1470=K1435,0,L1474+AK1439-K1439)</f>
        <v>0</v>
      </c>
      <c r="N1439" s="232">
        <v>3</v>
      </c>
      <c r="O1439" s="241">
        <f>N1439-G1439</f>
        <v>1</v>
      </c>
      <c r="P1439" s="277">
        <v>2</v>
      </c>
      <c r="Q1439" s="278"/>
      <c r="R1439" s="279"/>
      <c r="S1439" s="279"/>
      <c r="T1439" s="279"/>
      <c r="U1439" s="279"/>
      <c r="V1439" s="279"/>
      <c r="W1439" s="279">
        <v>1</v>
      </c>
      <c r="X1439" s="241"/>
      <c r="Y1439" s="241"/>
      <c r="Z1439" s="241"/>
      <c r="AA1439" s="241"/>
      <c r="AB1439" s="241"/>
      <c r="AC1439" s="241"/>
      <c r="AD1439" s="241"/>
      <c r="AE1439" s="241"/>
      <c r="AF1439" s="241"/>
      <c r="AG1439" s="241"/>
      <c r="AH1439" s="241"/>
      <c r="AI1439" s="241"/>
      <c r="AJ1439" s="241">
        <f>N1439-V1439</f>
        <v>3</v>
      </c>
      <c r="AK1439" s="235">
        <f>G1474+AL1439-G1439</f>
        <v>0</v>
      </c>
      <c r="AL1439" s="236"/>
      <c r="AM1439" s="294">
        <f>4/12</f>
        <v>0.33333333333333331</v>
      </c>
      <c r="AN1439" s="295">
        <v>2</v>
      </c>
      <c r="AO1439" s="296">
        <f>G1439/(AN1439)</f>
        <v>1</v>
      </c>
      <c r="AP1439" s="297">
        <f>AN1439*6</f>
        <v>12</v>
      </c>
      <c r="AQ1439" s="290">
        <f>G1439+K1439</f>
        <v>2</v>
      </c>
      <c r="AR1439" s="290">
        <f>IF(G1439&lt;G1474,(G1474-G1439+K1474-K1439),K1474-K1439)</f>
        <v>0</v>
      </c>
      <c r="AS1439" s="290">
        <f>21-8</f>
        <v>13</v>
      </c>
    </row>
    <row r="1440" spans="1:45" ht="17.25" thickBot="1" x14ac:dyDescent="0.3">
      <c r="A1440" s="465"/>
      <c r="B1440" s="285">
        <v>273680</v>
      </c>
      <c r="C1440" s="286">
        <v>1135751</v>
      </c>
      <c r="D1440" s="286" t="s">
        <v>12</v>
      </c>
      <c r="E1440" s="286" t="s">
        <v>13</v>
      </c>
      <c r="F1440" s="254">
        <f>G1475-AK1440+AL1440</f>
        <v>14</v>
      </c>
      <c r="G1440" s="237">
        <v>14</v>
      </c>
      <c r="H1440" s="395">
        <v>8</v>
      </c>
      <c r="I1440" s="238">
        <v>14</v>
      </c>
      <c r="J1440" s="238"/>
      <c r="K1440" s="238">
        <v>2</v>
      </c>
      <c r="L1440" s="238">
        <f>IF(K1470=K1435,L1475+AK1440,K1440)</f>
        <v>2</v>
      </c>
      <c r="M1440" s="238">
        <f>IF(K1470=K1435,0,L1475+AK1440-K1440)</f>
        <v>0</v>
      </c>
      <c r="N1440" s="238">
        <v>9</v>
      </c>
      <c r="O1440" s="242">
        <f>N1440-G1440</f>
        <v>-5</v>
      </c>
      <c r="P1440" s="280"/>
      <c r="Q1440" s="281"/>
      <c r="R1440" s="282"/>
      <c r="S1440" s="282"/>
      <c r="T1440" s="282">
        <v>11</v>
      </c>
      <c r="U1440" s="282"/>
      <c r="V1440" s="282"/>
      <c r="W1440" s="282">
        <v>9</v>
      </c>
      <c r="X1440" s="242"/>
      <c r="Y1440" s="242"/>
      <c r="Z1440" s="242"/>
      <c r="AA1440" s="242"/>
      <c r="AB1440" s="242"/>
      <c r="AC1440" s="242"/>
      <c r="AD1440" s="242"/>
      <c r="AE1440" s="242"/>
      <c r="AF1440" s="242"/>
      <c r="AG1440" s="242"/>
      <c r="AH1440" s="242"/>
      <c r="AI1440" s="242"/>
      <c r="AJ1440" s="242">
        <f>N1440-V1440</f>
        <v>9</v>
      </c>
      <c r="AK1440" s="235">
        <f>G1475+AL1440-G1440</f>
        <v>0</v>
      </c>
      <c r="AL1440" s="239">
        <v>9</v>
      </c>
      <c r="AM1440" s="299">
        <f>30/12</f>
        <v>2.5</v>
      </c>
      <c r="AN1440" s="300">
        <f>AM1440*2</f>
        <v>5</v>
      </c>
      <c r="AO1440" s="301">
        <f>G1440/(AN1440)</f>
        <v>2.8</v>
      </c>
      <c r="AP1440" s="302">
        <f>AN1440*6</f>
        <v>30</v>
      </c>
      <c r="AQ1440" s="290">
        <f>G1440+K1440</f>
        <v>16</v>
      </c>
      <c r="AR1440" s="290">
        <f>IF(G1440&lt;G1475,(G1475-G1440+K1475-K1440),K1475-K1440)</f>
        <v>0</v>
      </c>
      <c r="AS1440" s="290">
        <f>21-8</f>
        <v>13</v>
      </c>
    </row>
    <row r="1441" spans="1:45" ht="17.25" thickBot="1" x14ac:dyDescent="0.3">
      <c r="A1441" s="466" t="s">
        <v>417</v>
      </c>
      <c r="B1441" s="355" t="s">
        <v>129</v>
      </c>
      <c r="C1441" s="356"/>
      <c r="D1441" s="356"/>
      <c r="E1441" s="359"/>
      <c r="F1441" s="359"/>
      <c r="G1441" s="356"/>
      <c r="H1441" s="396"/>
      <c r="I1441" s="356"/>
      <c r="J1441" s="356"/>
      <c r="K1441" s="356"/>
      <c r="L1441" s="356"/>
      <c r="M1441" s="356"/>
      <c r="N1441" s="356"/>
      <c r="O1441" s="356"/>
      <c r="P1441" s="356"/>
      <c r="Q1441" s="356"/>
      <c r="R1441" s="356"/>
      <c r="S1441" s="356"/>
      <c r="T1441" s="356"/>
      <c r="U1441" s="356"/>
      <c r="V1441" s="356"/>
      <c r="W1441" s="356"/>
      <c r="X1441" s="356"/>
      <c r="Y1441" s="356"/>
      <c r="Z1441" s="356"/>
      <c r="AA1441" s="356"/>
      <c r="AB1441" s="356"/>
      <c r="AC1441" s="356"/>
      <c r="AD1441" s="356"/>
      <c r="AE1441" s="356"/>
      <c r="AF1441" s="356"/>
      <c r="AG1441" s="356"/>
      <c r="AH1441" s="356"/>
      <c r="AI1441" s="356"/>
      <c r="AJ1441" s="356"/>
      <c r="AK1441" s="356"/>
      <c r="AL1441" s="367"/>
      <c r="AM1441" s="356"/>
      <c r="AN1441" s="356"/>
      <c r="AO1441" s="356"/>
      <c r="AP1441" s="356"/>
      <c r="AQ1441" s="356"/>
      <c r="AR1441" s="356"/>
      <c r="AS1441" s="357"/>
    </row>
    <row r="1442" spans="1:45" ht="17.25" thickBot="1" x14ac:dyDescent="0.3">
      <c r="A1442" s="467"/>
      <c r="B1442" s="354"/>
      <c r="C1442" s="354">
        <v>1140327</v>
      </c>
      <c r="D1442" s="358" t="s">
        <v>394</v>
      </c>
      <c r="E1442" s="360"/>
      <c r="F1442" s="361">
        <f>G1477-AK1442+AL1442</f>
        <v>26</v>
      </c>
      <c r="G1442" s="218">
        <v>26</v>
      </c>
      <c r="H1442" s="397">
        <v>23</v>
      </c>
      <c r="I1442" s="218">
        <v>19</v>
      </c>
      <c r="J1442" s="218"/>
      <c r="K1442" s="218">
        <v>0</v>
      </c>
      <c r="L1442" s="218">
        <f>IF(K1470=K1435,L1477+AK1442,K1442)</f>
        <v>0</v>
      </c>
      <c r="M1442" s="218">
        <f>IF(K1470=K1435,0,L1477+AK1442-K1442)</f>
        <v>1</v>
      </c>
      <c r="N1442" s="218"/>
      <c r="O1442" s="218"/>
      <c r="P1442" s="352"/>
      <c r="Q1442" s="352"/>
      <c r="R1442" s="352"/>
      <c r="S1442" s="352"/>
      <c r="T1442" s="352"/>
      <c r="U1442" s="352"/>
      <c r="V1442" s="218"/>
      <c r="W1442" s="218"/>
      <c r="X1442" s="218">
        <v>7</v>
      </c>
      <c r="Y1442" s="218"/>
      <c r="Z1442" s="218"/>
      <c r="AA1442" s="218"/>
      <c r="AB1442" s="218"/>
      <c r="AC1442" s="218"/>
      <c r="AD1442" s="218"/>
      <c r="AE1442" s="218"/>
      <c r="AF1442" s="218"/>
      <c r="AG1442" s="218"/>
      <c r="AH1442" s="218"/>
      <c r="AI1442" s="218"/>
      <c r="AJ1442" s="242">
        <f>N1442-V1442</f>
        <v>0</v>
      </c>
      <c r="AK1442" s="274">
        <f>G1477+AL1442-G1442</f>
        <v>0</v>
      </c>
      <c r="AL1442" s="232"/>
      <c r="AM1442" s="353"/>
      <c r="AN1442" s="295"/>
      <c r="AO1442" s="296"/>
      <c r="AP1442" s="353"/>
      <c r="AQ1442" s="290"/>
      <c r="AR1442" s="290"/>
      <c r="AS1442" s="290"/>
    </row>
    <row r="1443" spans="1:45" ht="17.25" thickBot="1" x14ac:dyDescent="0.3">
      <c r="A1443" s="467"/>
      <c r="B1443" s="354"/>
      <c r="C1443" s="285">
        <v>1151231</v>
      </c>
      <c r="D1443" s="358" t="s">
        <v>395</v>
      </c>
      <c r="E1443" s="360"/>
      <c r="F1443" s="361">
        <f>G1478-AK1443+AL1443</f>
        <v>7</v>
      </c>
      <c r="G1443" s="369">
        <v>7</v>
      </c>
      <c r="H1443" s="397">
        <v>13</v>
      </c>
      <c r="I1443" s="218">
        <v>1</v>
      </c>
      <c r="J1443" s="218"/>
      <c r="K1443" s="218">
        <v>1</v>
      </c>
      <c r="L1443" s="218">
        <f>IF(K1470=K1435,L1478+AK1443,K1443)</f>
        <v>1</v>
      </c>
      <c r="M1443" s="218">
        <f>IF(K1470=K1435,0,L1478+AK1443-K1443)</f>
        <v>1</v>
      </c>
      <c r="N1443" s="218"/>
      <c r="O1443" s="218"/>
      <c r="P1443" s="352"/>
      <c r="Q1443" s="352"/>
      <c r="R1443" s="352"/>
      <c r="S1443" s="352"/>
      <c r="T1443" s="352"/>
      <c r="U1443" s="352"/>
      <c r="V1443" s="218"/>
      <c r="W1443" s="218"/>
      <c r="X1443" s="218">
        <v>7</v>
      </c>
      <c r="Y1443" s="218"/>
      <c r="Z1443" s="218"/>
      <c r="AA1443" s="218"/>
      <c r="AB1443" s="218"/>
      <c r="AC1443" s="218"/>
      <c r="AD1443" s="218"/>
      <c r="AE1443" s="218"/>
      <c r="AF1443" s="218"/>
      <c r="AG1443" s="218"/>
      <c r="AH1443" s="218"/>
      <c r="AI1443" s="218"/>
      <c r="AJ1443" s="242">
        <f>N1443-V1443</f>
        <v>0</v>
      </c>
      <c r="AK1443" s="274">
        <f>G1478+AL1443-G1443</f>
        <v>0</v>
      </c>
      <c r="AL1443" s="232"/>
      <c r="AM1443" s="353"/>
      <c r="AN1443" s="295"/>
      <c r="AO1443" s="296"/>
      <c r="AP1443" s="353"/>
      <c r="AQ1443" s="290"/>
      <c r="AR1443" s="290"/>
      <c r="AS1443" s="290"/>
    </row>
    <row r="1444" spans="1:45" ht="17.25" thickBot="1" x14ac:dyDescent="0.3">
      <c r="A1444" s="467"/>
      <c r="B1444" s="355" t="s">
        <v>420</v>
      </c>
      <c r="C1444" s="356"/>
      <c r="D1444" s="356"/>
      <c r="E1444" s="359"/>
      <c r="F1444" s="359"/>
      <c r="G1444" s="356"/>
      <c r="H1444" s="396"/>
      <c r="I1444" s="356"/>
      <c r="J1444" s="356"/>
      <c r="K1444" s="356"/>
      <c r="L1444" s="356"/>
      <c r="M1444" s="356"/>
      <c r="N1444" s="356"/>
      <c r="O1444" s="356"/>
      <c r="P1444" s="356"/>
      <c r="Q1444" s="356"/>
      <c r="R1444" s="356"/>
      <c r="S1444" s="356"/>
      <c r="T1444" s="356"/>
      <c r="U1444" s="356"/>
      <c r="V1444" s="356"/>
      <c r="W1444" s="356"/>
      <c r="X1444" s="356"/>
      <c r="Y1444" s="356"/>
      <c r="Z1444" s="356"/>
      <c r="AA1444" s="356"/>
      <c r="AB1444" s="356"/>
      <c r="AC1444" s="356"/>
      <c r="AD1444" s="356"/>
      <c r="AE1444" s="356"/>
      <c r="AF1444" s="356"/>
      <c r="AG1444" s="356"/>
      <c r="AH1444" s="356"/>
      <c r="AI1444" s="356"/>
      <c r="AJ1444" s="356"/>
      <c r="AK1444" s="356"/>
      <c r="AL1444" s="368"/>
      <c r="AM1444" s="356"/>
      <c r="AN1444" s="356"/>
      <c r="AO1444" s="356"/>
      <c r="AP1444" s="356"/>
      <c r="AQ1444" s="356"/>
      <c r="AR1444" s="356"/>
      <c r="AS1444" s="357"/>
    </row>
    <row r="1445" spans="1:45" ht="17.25" thickBot="1" x14ac:dyDescent="0.3">
      <c r="A1445" s="467"/>
      <c r="B1445" s="354"/>
      <c r="C1445" s="285">
        <v>1146032</v>
      </c>
      <c r="D1445" s="358" t="s">
        <v>396</v>
      </c>
      <c r="E1445" s="360"/>
      <c r="F1445" s="361">
        <f>G1480-AK1445+AL1445</f>
        <v>0</v>
      </c>
      <c r="G1445" s="364">
        <v>1</v>
      </c>
      <c r="H1445" s="397">
        <v>1</v>
      </c>
      <c r="I1445" s="364">
        <v>2</v>
      </c>
      <c r="J1445" s="364"/>
      <c r="K1445" s="364">
        <v>1</v>
      </c>
      <c r="L1445" s="218"/>
      <c r="M1445" s="218"/>
      <c r="N1445" s="218"/>
      <c r="O1445" s="218"/>
      <c r="P1445" s="352"/>
      <c r="Q1445" s="352"/>
      <c r="R1445" s="352"/>
      <c r="S1445" s="352"/>
      <c r="T1445" s="352"/>
      <c r="U1445" s="352"/>
      <c r="V1445" s="218"/>
      <c r="W1445" s="218"/>
      <c r="X1445" s="218"/>
      <c r="Y1445" s="218"/>
      <c r="Z1445" s="218"/>
      <c r="AA1445" s="218"/>
      <c r="AB1445" s="218"/>
      <c r="AC1445" s="218"/>
      <c r="AD1445" s="218"/>
      <c r="AE1445" s="218"/>
      <c r="AF1445" s="218"/>
      <c r="AG1445" s="218"/>
      <c r="AH1445" s="218"/>
      <c r="AI1445" s="218"/>
      <c r="AJ1445" s="218"/>
      <c r="AK1445" s="218"/>
      <c r="AL1445" s="218"/>
      <c r="AM1445" s="353"/>
      <c r="AN1445" s="295"/>
      <c r="AO1445" s="296"/>
      <c r="AP1445" s="353"/>
      <c r="AQ1445" s="290"/>
      <c r="AR1445" s="290"/>
      <c r="AS1445" s="290"/>
    </row>
    <row r="1446" spans="1:45" ht="17.25" thickBot="1" x14ac:dyDescent="0.3">
      <c r="A1446" s="467"/>
      <c r="B1446" s="354"/>
      <c r="C1446" s="285">
        <v>1146021</v>
      </c>
      <c r="D1446" s="358" t="s">
        <v>397</v>
      </c>
      <c r="E1446" s="360"/>
      <c r="F1446" s="361">
        <f>G1481-AK1446+AL1446</f>
        <v>0</v>
      </c>
      <c r="G1446" s="364">
        <v>2</v>
      </c>
      <c r="H1446" s="397">
        <v>2</v>
      </c>
      <c r="I1446" s="364">
        <v>2</v>
      </c>
      <c r="J1446" s="364"/>
      <c r="K1446" s="364">
        <v>2</v>
      </c>
      <c r="L1446" s="218"/>
      <c r="M1446" s="218"/>
      <c r="N1446" s="218"/>
      <c r="O1446" s="218"/>
      <c r="P1446" s="352"/>
      <c r="Q1446" s="352"/>
      <c r="R1446" s="352"/>
      <c r="S1446" s="352"/>
      <c r="T1446" s="352"/>
      <c r="U1446" s="352"/>
      <c r="V1446" s="218"/>
      <c r="W1446" s="218"/>
      <c r="X1446" s="218"/>
      <c r="Y1446" s="218"/>
      <c r="Z1446" s="218"/>
      <c r="AA1446" s="218"/>
      <c r="AB1446" s="218"/>
      <c r="AC1446" s="218"/>
      <c r="AD1446" s="218"/>
      <c r="AE1446" s="218"/>
      <c r="AF1446" s="218"/>
      <c r="AG1446" s="218"/>
      <c r="AH1446" s="218"/>
      <c r="AI1446" s="218"/>
      <c r="AJ1446" s="218"/>
      <c r="AK1446" s="218"/>
      <c r="AL1446" s="218"/>
      <c r="AM1446" s="353"/>
      <c r="AN1446" s="295"/>
      <c r="AO1446" s="296"/>
      <c r="AP1446" s="353"/>
      <c r="AQ1446" s="290"/>
      <c r="AR1446" s="290"/>
      <c r="AS1446" s="290"/>
    </row>
    <row r="1447" spans="1:45" ht="17.25" thickBot="1" x14ac:dyDescent="0.3">
      <c r="A1447" s="467"/>
      <c r="B1447" s="354"/>
      <c r="C1447" s="285">
        <v>1146018</v>
      </c>
      <c r="D1447" s="358" t="s">
        <v>398</v>
      </c>
      <c r="E1447" s="360"/>
      <c r="F1447" s="361">
        <f>G1482-AK1447+AL1447</f>
        <v>0</v>
      </c>
      <c r="G1447" s="364">
        <v>4</v>
      </c>
      <c r="H1447" s="397">
        <v>1</v>
      </c>
      <c r="I1447" s="364"/>
      <c r="J1447" s="364"/>
      <c r="K1447" s="364">
        <v>2</v>
      </c>
      <c r="L1447" s="218"/>
      <c r="M1447" s="218"/>
      <c r="N1447" s="218"/>
      <c r="O1447" s="218"/>
      <c r="P1447" s="352"/>
      <c r="Q1447" s="352"/>
      <c r="R1447" s="352"/>
      <c r="S1447" s="352"/>
      <c r="T1447" s="352"/>
      <c r="U1447" s="352"/>
      <c r="V1447" s="218"/>
      <c r="W1447" s="218"/>
      <c r="X1447" s="218"/>
      <c r="Y1447" s="218"/>
      <c r="Z1447" s="218"/>
      <c r="AA1447" s="218"/>
      <c r="AB1447" s="218"/>
      <c r="AC1447" s="218"/>
      <c r="AD1447" s="218"/>
      <c r="AE1447" s="218"/>
      <c r="AF1447" s="218"/>
      <c r="AG1447" s="218"/>
      <c r="AH1447" s="218"/>
      <c r="AI1447" s="218"/>
      <c r="AJ1447" s="218"/>
      <c r="AK1447" s="218"/>
      <c r="AL1447" s="218"/>
      <c r="AM1447" s="353"/>
      <c r="AN1447" s="295"/>
      <c r="AO1447" s="296"/>
      <c r="AP1447" s="353"/>
      <c r="AQ1447" s="290"/>
      <c r="AR1447" s="290"/>
      <c r="AS1447" s="290"/>
    </row>
    <row r="1448" spans="1:45" ht="17.25" thickBot="1" x14ac:dyDescent="0.3">
      <c r="A1448" s="467"/>
      <c r="B1448" s="354"/>
      <c r="C1448" s="285">
        <v>1146024</v>
      </c>
      <c r="D1448" s="358" t="s">
        <v>399</v>
      </c>
      <c r="E1448" s="360"/>
      <c r="F1448" s="361">
        <f>G1483-AK1448+AL1448</f>
        <v>0</v>
      </c>
      <c r="G1448" s="364">
        <v>1</v>
      </c>
      <c r="H1448" s="397">
        <v>2</v>
      </c>
      <c r="I1448" s="364">
        <v>1</v>
      </c>
      <c r="J1448" s="364"/>
      <c r="K1448" s="364"/>
      <c r="L1448" s="218"/>
      <c r="M1448" s="218"/>
      <c r="N1448" s="218"/>
      <c r="O1448" s="218"/>
      <c r="P1448" s="352"/>
      <c r="Q1448" s="352"/>
      <c r="R1448" s="352"/>
      <c r="S1448" s="352"/>
      <c r="T1448" s="352"/>
      <c r="U1448" s="352"/>
      <c r="V1448" s="218"/>
      <c r="W1448" s="218"/>
      <c r="X1448" s="218"/>
      <c r="Y1448" s="218"/>
      <c r="Z1448" s="218"/>
      <c r="AA1448" s="218"/>
      <c r="AB1448" s="218"/>
      <c r="AC1448" s="218"/>
      <c r="AD1448" s="218"/>
      <c r="AE1448" s="218"/>
      <c r="AF1448" s="218"/>
      <c r="AG1448" s="218"/>
      <c r="AH1448" s="218"/>
      <c r="AI1448" s="218"/>
      <c r="AJ1448" s="218"/>
      <c r="AK1448" s="218"/>
      <c r="AL1448" s="218"/>
      <c r="AM1448" s="353"/>
      <c r="AN1448" s="295"/>
      <c r="AO1448" s="296"/>
      <c r="AP1448" s="353"/>
      <c r="AQ1448" s="290"/>
      <c r="AR1448" s="290"/>
      <c r="AS1448" s="290"/>
    </row>
    <row r="1449" spans="1:45" ht="17.25" thickBot="1" x14ac:dyDescent="0.3">
      <c r="A1449" s="467"/>
      <c r="B1449" s="354"/>
      <c r="C1449" s="285">
        <v>1146028</v>
      </c>
      <c r="D1449" s="358" t="s">
        <v>400</v>
      </c>
      <c r="E1449" s="360"/>
      <c r="F1449" s="361">
        <f>G1484-AK1449+AL1449</f>
        <v>0</v>
      </c>
      <c r="G1449" s="364">
        <v>3</v>
      </c>
      <c r="H1449" s="397">
        <v>2</v>
      </c>
      <c r="I1449" s="364">
        <v>3</v>
      </c>
      <c r="J1449" s="364"/>
      <c r="K1449" s="364"/>
      <c r="L1449" s="218"/>
      <c r="M1449" s="218"/>
      <c r="N1449" s="218"/>
      <c r="O1449" s="218"/>
      <c r="P1449" s="352"/>
      <c r="Q1449" s="352"/>
      <c r="R1449" s="352"/>
      <c r="S1449" s="352"/>
      <c r="T1449" s="352"/>
      <c r="U1449" s="352"/>
      <c r="V1449" s="218"/>
      <c r="W1449" s="218"/>
      <c r="X1449" s="218"/>
      <c r="Y1449" s="218"/>
      <c r="Z1449" s="218"/>
      <c r="AA1449" s="218"/>
      <c r="AB1449" s="218"/>
      <c r="AC1449" s="218"/>
      <c r="AD1449" s="218"/>
      <c r="AE1449" s="218"/>
      <c r="AF1449" s="218"/>
      <c r="AG1449" s="218"/>
      <c r="AH1449" s="218"/>
      <c r="AI1449" s="218"/>
      <c r="AJ1449" s="218"/>
      <c r="AK1449" s="218"/>
      <c r="AL1449" s="218"/>
      <c r="AM1449" s="353"/>
      <c r="AN1449" s="295"/>
      <c r="AO1449" s="296"/>
      <c r="AP1449" s="353"/>
      <c r="AQ1449" s="290"/>
      <c r="AR1449" s="290"/>
      <c r="AS1449" s="290"/>
    </row>
    <row r="1450" spans="1:45" ht="17.25" thickBot="1" x14ac:dyDescent="0.3">
      <c r="A1450" s="467"/>
      <c r="B1450" s="355" t="s">
        <v>419</v>
      </c>
      <c r="C1450" s="356"/>
      <c r="D1450" s="356"/>
      <c r="E1450" s="359"/>
      <c r="F1450" s="359"/>
      <c r="G1450" s="356"/>
      <c r="H1450" s="396"/>
      <c r="I1450" s="356"/>
      <c r="J1450" s="356"/>
      <c r="K1450" s="356"/>
      <c r="L1450" s="356"/>
      <c r="M1450" s="356"/>
      <c r="N1450" s="356"/>
      <c r="O1450" s="356"/>
      <c r="P1450" s="356"/>
      <c r="Q1450" s="356"/>
      <c r="R1450" s="356"/>
      <c r="S1450" s="356"/>
      <c r="T1450" s="356"/>
      <c r="U1450" s="356"/>
      <c r="V1450" s="356"/>
      <c r="W1450" s="356"/>
      <c r="X1450" s="356"/>
      <c r="Y1450" s="356"/>
      <c r="Z1450" s="356"/>
      <c r="AA1450" s="356"/>
      <c r="AB1450" s="356"/>
      <c r="AC1450" s="356"/>
      <c r="AD1450" s="356"/>
      <c r="AE1450" s="356"/>
      <c r="AF1450" s="356"/>
      <c r="AG1450" s="356"/>
      <c r="AH1450" s="356"/>
      <c r="AI1450" s="356"/>
      <c r="AJ1450" s="356"/>
      <c r="AK1450" s="356"/>
      <c r="AL1450" s="356"/>
      <c r="AM1450" s="356"/>
      <c r="AN1450" s="356"/>
      <c r="AO1450" s="356"/>
      <c r="AP1450" s="356"/>
      <c r="AQ1450" s="356"/>
      <c r="AR1450" s="356"/>
      <c r="AS1450" s="357"/>
    </row>
    <row r="1451" spans="1:45" ht="17.25" thickBot="1" x14ac:dyDescent="0.3">
      <c r="A1451" s="467"/>
      <c r="B1451" s="354"/>
      <c r="C1451" s="285">
        <v>1146031</v>
      </c>
      <c r="D1451" s="358" t="s">
        <v>401</v>
      </c>
      <c r="E1451" s="360"/>
      <c r="F1451" s="361">
        <f>G1486-AK1451+AL1451</f>
        <v>0</v>
      </c>
      <c r="G1451" s="364">
        <v>2</v>
      </c>
      <c r="H1451" s="397">
        <v>1</v>
      </c>
      <c r="I1451" s="364">
        <v>1</v>
      </c>
      <c r="J1451" s="364"/>
      <c r="K1451" s="364">
        <v>2</v>
      </c>
      <c r="L1451" s="218"/>
      <c r="M1451" s="218"/>
      <c r="N1451" s="218"/>
      <c r="O1451" s="218"/>
      <c r="P1451" s="352"/>
      <c r="Q1451" s="352"/>
      <c r="R1451" s="352"/>
      <c r="S1451" s="352"/>
      <c r="T1451" s="352"/>
      <c r="U1451" s="352"/>
      <c r="V1451" s="218"/>
      <c r="W1451" s="218"/>
      <c r="X1451" s="218"/>
      <c r="Y1451" s="218"/>
      <c r="Z1451" s="218"/>
      <c r="AA1451" s="218"/>
      <c r="AB1451" s="218"/>
      <c r="AC1451" s="218"/>
      <c r="AD1451" s="218"/>
      <c r="AE1451" s="218"/>
      <c r="AF1451" s="218"/>
      <c r="AG1451" s="218"/>
      <c r="AH1451" s="218"/>
      <c r="AI1451" s="218"/>
      <c r="AJ1451" s="218"/>
      <c r="AK1451" s="218"/>
      <c r="AL1451" s="218"/>
      <c r="AM1451" s="353"/>
      <c r="AN1451" s="295"/>
      <c r="AO1451" s="296"/>
      <c r="AP1451" s="353"/>
      <c r="AQ1451" s="290"/>
      <c r="AR1451" s="290"/>
      <c r="AS1451" s="290"/>
    </row>
    <row r="1452" spans="1:45" ht="17.25" thickBot="1" x14ac:dyDescent="0.3">
      <c r="A1452" s="467"/>
      <c r="B1452" s="354"/>
      <c r="C1452" s="285">
        <v>1146020</v>
      </c>
      <c r="D1452" s="358" t="s">
        <v>402</v>
      </c>
      <c r="E1452" s="360"/>
      <c r="F1452" s="361">
        <f>G1487-AK1452+AL1452</f>
        <v>0</v>
      </c>
      <c r="G1452" s="364">
        <v>1</v>
      </c>
      <c r="H1452" s="397">
        <v>1</v>
      </c>
      <c r="I1452" s="364">
        <v>1</v>
      </c>
      <c r="J1452" s="364"/>
      <c r="K1452" s="364">
        <v>2</v>
      </c>
      <c r="L1452" s="218"/>
      <c r="M1452" s="218"/>
      <c r="N1452" s="218"/>
      <c r="O1452" s="218"/>
      <c r="P1452" s="352"/>
      <c r="Q1452" s="352"/>
      <c r="R1452" s="352"/>
      <c r="S1452" s="352"/>
      <c r="T1452" s="352"/>
      <c r="U1452" s="352"/>
      <c r="V1452" s="218"/>
      <c r="W1452" s="218"/>
      <c r="X1452" s="218"/>
      <c r="Y1452" s="218"/>
      <c r="Z1452" s="218"/>
      <c r="AA1452" s="218"/>
      <c r="AB1452" s="218"/>
      <c r="AC1452" s="218"/>
      <c r="AD1452" s="218"/>
      <c r="AE1452" s="218"/>
      <c r="AF1452" s="218"/>
      <c r="AG1452" s="218"/>
      <c r="AH1452" s="218"/>
      <c r="AI1452" s="218"/>
      <c r="AJ1452" s="218"/>
      <c r="AK1452" s="218"/>
      <c r="AL1452" s="218"/>
      <c r="AM1452" s="353"/>
      <c r="AN1452" s="295"/>
      <c r="AO1452" s="296"/>
      <c r="AP1452" s="353"/>
      <c r="AQ1452" s="290"/>
      <c r="AR1452" s="290"/>
      <c r="AS1452" s="290"/>
    </row>
    <row r="1453" spans="1:45" ht="17.25" thickBot="1" x14ac:dyDescent="0.3">
      <c r="A1453" s="467"/>
      <c r="B1453" s="354"/>
      <c r="C1453" s="285">
        <v>1146016</v>
      </c>
      <c r="D1453" s="358" t="s">
        <v>398</v>
      </c>
      <c r="E1453" s="360"/>
      <c r="F1453" s="361">
        <f>G1488-AK1453+AL1453</f>
        <v>0</v>
      </c>
      <c r="G1453" s="364">
        <v>6</v>
      </c>
      <c r="H1453" s="397">
        <v>1</v>
      </c>
      <c r="I1453" s="364"/>
      <c r="J1453" s="364"/>
      <c r="K1453" s="364">
        <v>2</v>
      </c>
      <c r="L1453" s="218"/>
      <c r="M1453" s="218"/>
      <c r="N1453" s="218"/>
      <c r="O1453" s="218"/>
      <c r="P1453" s="352"/>
      <c r="Q1453" s="352"/>
      <c r="R1453" s="352"/>
      <c r="S1453" s="352"/>
      <c r="T1453" s="352"/>
      <c r="U1453" s="352"/>
      <c r="V1453" s="218"/>
      <c r="W1453" s="218"/>
      <c r="X1453" s="218"/>
      <c r="Y1453" s="218"/>
      <c r="Z1453" s="218"/>
      <c r="AA1453" s="218"/>
      <c r="AB1453" s="218"/>
      <c r="AC1453" s="218"/>
      <c r="AD1453" s="218"/>
      <c r="AE1453" s="218"/>
      <c r="AF1453" s="218"/>
      <c r="AG1453" s="218"/>
      <c r="AH1453" s="218"/>
      <c r="AI1453" s="218"/>
      <c r="AJ1453" s="218"/>
      <c r="AK1453" s="218"/>
      <c r="AL1453" s="218"/>
      <c r="AM1453" s="353"/>
      <c r="AN1453" s="295"/>
      <c r="AO1453" s="296"/>
      <c r="AP1453" s="353"/>
      <c r="AQ1453" s="290"/>
      <c r="AR1453" s="290"/>
      <c r="AS1453" s="290"/>
    </row>
    <row r="1454" spans="1:45" ht="17.25" thickBot="1" x14ac:dyDescent="0.3">
      <c r="A1454" s="467"/>
      <c r="B1454" s="354"/>
      <c r="C1454" s="285">
        <v>1146022</v>
      </c>
      <c r="D1454" s="358" t="s">
        <v>403</v>
      </c>
      <c r="E1454" s="360"/>
      <c r="F1454" s="361">
        <f>G1489-AK1454+AL1454</f>
        <v>0</v>
      </c>
      <c r="G1454" s="364">
        <v>0</v>
      </c>
      <c r="H1454" s="397">
        <v>2</v>
      </c>
      <c r="I1454" s="364"/>
      <c r="J1454" s="364"/>
      <c r="K1454" s="364"/>
      <c r="L1454" s="218"/>
      <c r="M1454" s="218"/>
      <c r="N1454" s="218"/>
      <c r="O1454" s="218"/>
      <c r="P1454" s="352"/>
      <c r="Q1454" s="352"/>
      <c r="R1454" s="352"/>
      <c r="S1454" s="352"/>
      <c r="T1454" s="352"/>
      <c r="U1454" s="352"/>
      <c r="V1454" s="218"/>
      <c r="W1454" s="218"/>
      <c r="X1454" s="218"/>
      <c r="Y1454" s="218"/>
      <c r="Z1454" s="218"/>
      <c r="AA1454" s="218"/>
      <c r="AB1454" s="218"/>
      <c r="AC1454" s="218"/>
      <c r="AD1454" s="218"/>
      <c r="AE1454" s="218"/>
      <c r="AF1454" s="218"/>
      <c r="AG1454" s="218"/>
      <c r="AH1454" s="218"/>
      <c r="AI1454" s="218"/>
      <c r="AJ1454" s="218"/>
      <c r="AK1454" s="218"/>
      <c r="AL1454" s="218"/>
      <c r="AM1454" s="353"/>
      <c r="AN1454" s="295"/>
      <c r="AO1454" s="296"/>
      <c r="AP1454" s="353"/>
      <c r="AQ1454" s="290"/>
      <c r="AR1454" s="290"/>
      <c r="AS1454" s="290"/>
    </row>
    <row r="1455" spans="1:45" ht="17.25" thickBot="1" x14ac:dyDescent="0.3">
      <c r="A1455" s="467"/>
      <c r="B1455" s="354"/>
      <c r="C1455" s="285">
        <v>1146027</v>
      </c>
      <c r="D1455" s="358" t="s">
        <v>404</v>
      </c>
      <c r="E1455" s="360"/>
      <c r="F1455" s="361">
        <f>G1490-AK1455+AL1455</f>
        <v>0</v>
      </c>
      <c r="G1455" s="364">
        <v>2</v>
      </c>
      <c r="H1455" s="397">
        <v>2</v>
      </c>
      <c r="I1455" s="364">
        <v>3</v>
      </c>
      <c r="J1455" s="364"/>
      <c r="K1455" s="364">
        <v>1</v>
      </c>
      <c r="L1455" s="218"/>
      <c r="M1455" s="218"/>
      <c r="N1455" s="218"/>
      <c r="O1455" s="218"/>
      <c r="P1455" s="352"/>
      <c r="Q1455" s="352"/>
      <c r="R1455" s="352"/>
      <c r="S1455" s="352"/>
      <c r="T1455" s="352"/>
      <c r="U1455" s="352"/>
      <c r="V1455" s="218"/>
      <c r="W1455" s="218"/>
      <c r="X1455" s="218"/>
      <c r="Y1455" s="218"/>
      <c r="Z1455" s="218"/>
      <c r="AA1455" s="218"/>
      <c r="AB1455" s="218"/>
      <c r="AC1455" s="218"/>
      <c r="AD1455" s="218"/>
      <c r="AE1455" s="218"/>
      <c r="AF1455" s="218"/>
      <c r="AG1455" s="218"/>
      <c r="AH1455" s="218"/>
      <c r="AI1455" s="218"/>
      <c r="AJ1455" s="218"/>
      <c r="AK1455" s="218"/>
      <c r="AL1455" s="218"/>
      <c r="AM1455" s="353"/>
      <c r="AN1455" s="295"/>
      <c r="AO1455" s="296"/>
      <c r="AP1455" s="353"/>
      <c r="AQ1455" s="290"/>
      <c r="AR1455" s="290"/>
      <c r="AS1455" s="290"/>
    </row>
    <row r="1456" spans="1:45" ht="17.25" thickBot="1" x14ac:dyDescent="0.3">
      <c r="A1456" s="467"/>
      <c r="B1456" s="355" t="s">
        <v>418</v>
      </c>
      <c r="C1456" s="356"/>
      <c r="D1456" s="356"/>
      <c r="E1456" s="359"/>
      <c r="F1456" s="359"/>
      <c r="G1456" s="356"/>
      <c r="H1456" s="396"/>
      <c r="I1456" s="356"/>
      <c r="J1456" s="356"/>
      <c r="K1456" s="356"/>
      <c r="L1456" s="356"/>
      <c r="M1456" s="356"/>
      <c r="N1456" s="356"/>
      <c r="O1456" s="356"/>
      <c r="P1456" s="356"/>
      <c r="Q1456" s="356"/>
      <c r="R1456" s="356"/>
      <c r="S1456" s="356"/>
      <c r="T1456" s="356"/>
      <c r="U1456" s="356"/>
      <c r="V1456" s="356"/>
      <c r="W1456" s="356"/>
      <c r="X1456" s="356"/>
      <c r="Y1456" s="356"/>
      <c r="Z1456" s="356"/>
      <c r="AA1456" s="356"/>
      <c r="AB1456" s="356"/>
      <c r="AC1456" s="356"/>
      <c r="AD1456" s="356"/>
      <c r="AE1456" s="356"/>
      <c r="AF1456" s="356"/>
      <c r="AG1456" s="356"/>
      <c r="AH1456" s="356"/>
      <c r="AI1456" s="356"/>
      <c r="AJ1456" s="356"/>
      <c r="AK1456" s="356"/>
      <c r="AL1456" s="356"/>
      <c r="AM1456" s="356"/>
      <c r="AN1456" s="356"/>
      <c r="AO1456" s="356"/>
      <c r="AP1456" s="356"/>
      <c r="AQ1456" s="356"/>
      <c r="AR1456" s="356"/>
      <c r="AS1456" s="357"/>
    </row>
    <row r="1457" spans="1:45" ht="17.25" thickBot="1" x14ac:dyDescent="0.3">
      <c r="A1457" s="467"/>
      <c r="B1457" s="354"/>
      <c r="C1457" s="285">
        <v>1151653</v>
      </c>
      <c r="D1457" s="358" t="s">
        <v>405</v>
      </c>
      <c r="E1457" s="360"/>
      <c r="F1457" s="361">
        <f>G1492-AK1457+AL1457</f>
        <v>0</v>
      </c>
      <c r="G1457" s="364">
        <v>0</v>
      </c>
      <c r="H1457" s="397">
        <v>1</v>
      </c>
      <c r="I1457" s="364">
        <v>1</v>
      </c>
      <c r="J1457" s="364"/>
      <c r="K1457" s="364"/>
      <c r="L1457" s="218"/>
      <c r="M1457" s="218"/>
      <c r="N1457" s="218"/>
      <c r="O1457" s="218"/>
      <c r="P1457" s="352"/>
      <c r="Q1457" s="352"/>
      <c r="R1457" s="352"/>
      <c r="S1457" s="352"/>
      <c r="T1457" s="352"/>
      <c r="U1457" s="352"/>
      <c r="V1457" s="218"/>
      <c r="W1457" s="218"/>
      <c r="X1457" s="218"/>
      <c r="Y1457" s="218"/>
      <c r="Z1457" s="218"/>
      <c r="AA1457" s="218"/>
      <c r="AB1457" s="218"/>
      <c r="AC1457" s="218"/>
      <c r="AD1457" s="218"/>
      <c r="AE1457" s="218"/>
      <c r="AF1457" s="218"/>
      <c r="AG1457" s="218"/>
      <c r="AH1457" s="218"/>
      <c r="AI1457" s="218"/>
      <c r="AJ1457" s="218"/>
      <c r="AK1457" s="218"/>
      <c r="AL1457" s="218"/>
      <c r="AM1457" s="353"/>
      <c r="AN1457" s="295"/>
      <c r="AO1457" s="296"/>
      <c r="AP1457" s="353"/>
      <c r="AQ1457" s="290"/>
      <c r="AR1457" s="290"/>
      <c r="AS1457" s="290"/>
    </row>
    <row r="1458" spans="1:45" ht="17.25" thickBot="1" x14ac:dyDescent="0.3">
      <c r="A1458" s="467"/>
      <c r="B1458" s="354"/>
      <c r="C1458" s="285">
        <v>1151650</v>
      </c>
      <c r="D1458" s="358" t="s">
        <v>406</v>
      </c>
      <c r="E1458" s="360"/>
      <c r="F1458" s="361">
        <f>G1493-AK1458+AL1458</f>
        <v>0</v>
      </c>
      <c r="G1458" s="364">
        <v>1</v>
      </c>
      <c r="H1458" s="397">
        <v>2</v>
      </c>
      <c r="I1458" s="364">
        <v>1</v>
      </c>
      <c r="J1458" s="364"/>
      <c r="K1458" s="364">
        <v>4</v>
      </c>
      <c r="L1458" s="218"/>
      <c r="M1458" s="218"/>
      <c r="N1458" s="218"/>
      <c r="O1458" s="218"/>
      <c r="P1458" s="352"/>
      <c r="Q1458" s="352"/>
      <c r="R1458" s="352"/>
      <c r="S1458" s="352"/>
      <c r="T1458" s="352"/>
      <c r="U1458" s="352"/>
      <c r="V1458" s="218"/>
      <c r="W1458" s="218"/>
      <c r="X1458" s="218"/>
      <c r="Y1458" s="218"/>
      <c r="Z1458" s="218"/>
      <c r="AA1458" s="218"/>
      <c r="AB1458" s="218"/>
      <c r="AC1458" s="218"/>
      <c r="AD1458" s="218"/>
      <c r="AE1458" s="218"/>
      <c r="AF1458" s="218"/>
      <c r="AG1458" s="218"/>
      <c r="AH1458" s="218"/>
      <c r="AI1458" s="218"/>
      <c r="AJ1458" s="218"/>
      <c r="AK1458" s="218"/>
      <c r="AL1458" s="218"/>
      <c r="AM1458" s="353"/>
      <c r="AN1458" s="295"/>
      <c r="AO1458" s="296"/>
      <c r="AP1458" s="353"/>
      <c r="AQ1458" s="290"/>
      <c r="AR1458" s="290"/>
      <c r="AS1458" s="290"/>
    </row>
    <row r="1459" spans="1:45" ht="17.25" thickBot="1" x14ac:dyDescent="0.3">
      <c r="A1459" s="467"/>
      <c r="B1459" s="354"/>
      <c r="C1459" s="285">
        <v>1151649</v>
      </c>
      <c r="D1459" s="358" t="s">
        <v>407</v>
      </c>
      <c r="E1459" s="360"/>
      <c r="F1459" s="361">
        <f>G1494-AK1459+AL1459</f>
        <v>0</v>
      </c>
      <c r="G1459" s="364">
        <v>2</v>
      </c>
      <c r="H1459" s="397">
        <v>4</v>
      </c>
      <c r="I1459" s="364"/>
      <c r="J1459" s="364"/>
      <c r="K1459" s="364">
        <v>2</v>
      </c>
      <c r="L1459" s="218"/>
      <c r="M1459" s="218"/>
      <c r="N1459" s="218"/>
      <c r="O1459" s="218"/>
      <c r="P1459" s="352"/>
      <c r="Q1459" s="352"/>
      <c r="R1459" s="352"/>
      <c r="S1459" s="352"/>
      <c r="T1459" s="352"/>
      <c r="U1459" s="352"/>
      <c r="V1459" s="218"/>
      <c r="W1459" s="218"/>
      <c r="X1459" s="218"/>
      <c r="Y1459" s="218"/>
      <c r="Z1459" s="218"/>
      <c r="AA1459" s="218"/>
      <c r="AB1459" s="218"/>
      <c r="AC1459" s="218"/>
      <c r="AD1459" s="218"/>
      <c r="AE1459" s="218"/>
      <c r="AF1459" s="218"/>
      <c r="AG1459" s="218"/>
      <c r="AH1459" s="218"/>
      <c r="AI1459" s="218"/>
      <c r="AJ1459" s="218"/>
      <c r="AK1459" s="218"/>
      <c r="AL1459" s="218"/>
      <c r="AM1459" s="353"/>
      <c r="AN1459" s="295"/>
      <c r="AO1459" s="296"/>
      <c r="AP1459" s="353"/>
      <c r="AQ1459" s="290"/>
      <c r="AR1459" s="290"/>
      <c r="AS1459" s="290"/>
    </row>
    <row r="1460" spans="1:45" ht="17.25" thickBot="1" x14ac:dyDescent="0.3">
      <c r="A1460" s="467"/>
      <c r="B1460" s="354"/>
      <c r="C1460" s="285">
        <v>1151651</v>
      </c>
      <c r="D1460" s="358" t="s">
        <v>408</v>
      </c>
      <c r="E1460" s="360"/>
      <c r="F1460" s="361">
        <f>G1495-AK1460+AL1460</f>
        <v>0</v>
      </c>
      <c r="G1460" s="364">
        <v>0</v>
      </c>
      <c r="H1460" s="397">
        <v>1</v>
      </c>
      <c r="I1460" s="364"/>
      <c r="J1460" s="364"/>
      <c r="K1460" s="364"/>
      <c r="L1460" s="218"/>
      <c r="M1460" s="218"/>
      <c r="N1460" s="218"/>
      <c r="O1460" s="218"/>
      <c r="P1460" s="352"/>
      <c r="Q1460" s="352"/>
      <c r="R1460" s="352"/>
      <c r="S1460" s="352"/>
      <c r="T1460" s="352"/>
      <c r="U1460" s="352"/>
      <c r="V1460" s="218"/>
      <c r="W1460" s="218"/>
      <c r="X1460" s="218"/>
      <c r="Y1460" s="218"/>
      <c r="Z1460" s="218"/>
      <c r="AA1460" s="218"/>
      <c r="AB1460" s="218"/>
      <c r="AC1460" s="218"/>
      <c r="AD1460" s="218"/>
      <c r="AE1460" s="218"/>
      <c r="AF1460" s="218"/>
      <c r="AG1460" s="218"/>
      <c r="AH1460" s="218"/>
      <c r="AI1460" s="218"/>
      <c r="AJ1460" s="218"/>
      <c r="AK1460" s="218"/>
      <c r="AL1460" s="218"/>
      <c r="AM1460" s="353"/>
      <c r="AN1460" s="295"/>
      <c r="AO1460" s="296"/>
      <c r="AP1460" s="353"/>
      <c r="AQ1460" s="290"/>
      <c r="AR1460" s="290"/>
      <c r="AS1460" s="290"/>
    </row>
    <row r="1461" spans="1:45" ht="17.25" thickBot="1" x14ac:dyDescent="0.3">
      <c r="A1461" s="467"/>
      <c r="B1461" s="354"/>
      <c r="C1461" s="285">
        <v>1146029</v>
      </c>
      <c r="D1461" s="358" t="s">
        <v>409</v>
      </c>
      <c r="E1461" s="360"/>
      <c r="F1461" s="361">
        <f>G1496-AK1461+AL1461</f>
        <v>0</v>
      </c>
      <c r="G1461" s="364">
        <v>1</v>
      </c>
      <c r="H1461" s="397">
        <v>2</v>
      </c>
      <c r="I1461" s="364">
        <v>2</v>
      </c>
      <c r="J1461" s="364"/>
      <c r="K1461" s="364"/>
      <c r="L1461" s="218"/>
      <c r="M1461" s="218"/>
      <c r="N1461" s="218"/>
      <c r="O1461" s="218"/>
      <c r="P1461" s="352"/>
      <c r="Q1461" s="352"/>
      <c r="R1461" s="352"/>
      <c r="S1461" s="352"/>
      <c r="T1461" s="352"/>
      <c r="U1461" s="352"/>
      <c r="V1461" s="218"/>
      <c r="W1461" s="218"/>
      <c r="X1461" s="218"/>
      <c r="Y1461" s="218"/>
      <c r="Z1461" s="218"/>
      <c r="AA1461" s="218"/>
      <c r="AB1461" s="218"/>
      <c r="AC1461" s="218"/>
      <c r="AD1461" s="218"/>
      <c r="AE1461" s="218"/>
      <c r="AF1461" s="218"/>
      <c r="AG1461" s="218"/>
      <c r="AH1461" s="218"/>
      <c r="AI1461" s="218"/>
      <c r="AJ1461" s="218"/>
      <c r="AK1461" s="218"/>
      <c r="AL1461" s="218"/>
      <c r="AM1461" s="353"/>
      <c r="AN1461" s="295"/>
      <c r="AO1461" s="296"/>
      <c r="AP1461" s="353"/>
      <c r="AQ1461" s="290"/>
      <c r="AR1461" s="290"/>
      <c r="AS1461" s="290"/>
    </row>
    <row r="1462" spans="1:45" ht="17.25" thickBot="1" x14ac:dyDescent="0.3">
      <c r="A1462" s="467"/>
      <c r="B1462" s="355" t="s">
        <v>410</v>
      </c>
      <c r="C1462" s="356"/>
      <c r="D1462" s="356"/>
      <c r="E1462" s="359"/>
      <c r="F1462" s="359"/>
      <c r="G1462" s="356"/>
      <c r="H1462" s="396"/>
      <c r="I1462" s="356"/>
      <c r="J1462" s="356"/>
      <c r="K1462" s="356"/>
      <c r="L1462" s="356"/>
      <c r="M1462" s="356"/>
      <c r="N1462" s="356"/>
      <c r="O1462" s="356"/>
      <c r="P1462" s="356"/>
      <c r="Q1462" s="356"/>
      <c r="R1462" s="356"/>
      <c r="S1462" s="356"/>
      <c r="T1462" s="356"/>
      <c r="U1462" s="356"/>
      <c r="V1462" s="356"/>
      <c r="W1462" s="356"/>
      <c r="X1462" s="356"/>
      <c r="Y1462" s="356"/>
      <c r="Z1462" s="356"/>
      <c r="AA1462" s="356"/>
      <c r="AB1462" s="356"/>
      <c r="AC1462" s="356"/>
      <c r="AD1462" s="356"/>
      <c r="AE1462" s="356"/>
      <c r="AF1462" s="356"/>
      <c r="AG1462" s="356"/>
      <c r="AH1462" s="356"/>
      <c r="AI1462" s="356"/>
      <c r="AJ1462" s="356"/>
      <c r="AK1462" s="356"/>
      <c r="AL1462" s="356"/>
      <c r="AM1462" s="356"/>
      <c r="AN1462" s="356"/>
      <c r="AO1462" s="356"/>
      <c r="AP1462" s="356"/>
      <c r="AQ1462" s="356"/>
      <c r="AR1462" s="356"/>
      <c r="AS1462" s="357"/>
    </row>
    <row r="1463" spans="1:45" ht="17.25" thickBot="1" x14ac:dyDescent="0.3">
      <c r="A1463" s="467"/>
      <c r="B1463" s="354"/>
      <c r="C1463" s="285">
        <v>1699118</v>
      </c>
      <c r="D1463" s="358" t="s">
        <v>411</v>
      </c>
      <c r="E1463" s="360"/>
      <c r="F1463" s="361">
        <f>G1498-AK1463+AL1463</f>
        <v>0</v>
      </c>
      <c r="G1463" s="364">
        <v>0</v>
      </c>
      <c r="H1463" s="397">
        <v>1</v>
      </c>
      <c r="I1463" s="364"/>
      <c r="J1463" s="364"/>
      <c r="K1463" s="364"/>
      <c r="L1463" s="218"/>
      <c r="M1463" s="218"/>
      <c r="N1463" s="218"/>
      <c r="O1463" s="218"/>
      <c r="P1463" s="352"/>
      <c r="Q1463" s="352"/>
      <c r="R1463" s="352"/>
      <c r="S1463" s="352"/>
      <c r="T1463" s="352"/>
      <c r="U1463" s="352"/>
      <c r="V1463" s="218"/>
      <c r="W1463" s="218"/>
      <c r="X1463" s="218"/>
      <c r="Y1463" s="218"/>
      <c r="Z1463" s="218"/>
      <c r="AA1463" s="218"/>
      <c r="AB1463" s="218"/>
      <c r="AC1463" s="218"/>
      <c r="AD1463" s="218"/>
      <c r="AE1463" s="218"/>
      <c r="AF1463" s="218"/>
      <c r="AG1463" s="218"/>
      <c r="AH1463" s="218"/>
      <c r="AI1463" s="218"/>
      <c r="AJ1463" s="218"/>
      <c r="AK1463" s="218"/>
      <c r="AL1463" s="218"/>
      <c r="AM1463" s="353"/>
      <c r="AN1463" s="295"/>
      <c r="AO1463" s="296"/>
      <c r="AP1463" s="353"/>
      <c r="AQ1463" s="290"/>
      <c r="AR1463" s="290"/>
      <c r="AS1463" s="290"/>
    </row>
    <row r="1464" spans="1:45" ht="17.25" thickBot="1" x14ac:dyDescent="0.3">
      <c r="A1464" s="467"/>
      <c r="B1464" s="354"/>
      <c r="C1464" s="285">
        <v>1699119</v>
      </c>
      <c r="D1464" s="358" t="s">
        <v>412</v>
      </c>
      <c r="E1464" s="360"/>
      <c r="F1464" s="361">
        <f>G1499-AK1464+AL1464</f>
        <v>0</v>
      </c>
      <c r="G1464" s="364">
        <v>0</v>
      </c>
      <c r="H1464" s="397">
        <v>1</v>
      </c>
      <c r="I1464" s="364"/>
      <c r="J1464" s="364"/>
      <c r="K1464" s="364"/>
      <c r="L1464" s="218"/>
      <c r="M1464" s="218"/>
      <c r="N1464" s="218"/>
      <c r="O1464" s="218"/>
      <c r="P1464" s="352"/>
      <c r="Q1464" s="352"/>
      <c r="R1464" s="352"/>
      <c r="S1464" s="352"/>
      <c r="T1464" s="352"/>
      <c r="U1464" s="352"/>
      <c r="V1464" s="218"/>
      <c r="W1464" s="218"/>
      <c r="X1464" s="218"/>
      <c r="Y1464" s="218"/>
      <c r="Z1464" s="218"/>
      <c r="AA1464" s="218"/>
      <c r="AB1464" s="218"/>
      <c r="AC1464" s="218"/>
      <c r="AD1464" s="218"/>
      <c r="AE1464" s="218"/>
      <c r="AF1464" s="218"/>
      <c r="AG1464" s="218"/>
      <c r="AH1464" s="218"/>
      <c r="AI1464" s="218"/>
      <c r="AJ1464" s="218"/>
      <c r="AK1464" s="218"/>
      <c r="AL1464" s="218"/>
      <c r="AM1464" s="353"/>
      <c r="AN1464" s="295"/>
      <c r="AO1464" s="296"/>
      <c r="AP1464" s="353"/>
      <c r="AQ1464" s="290"/>
      <c r="AR1464" s="290"/>
      <c r="AS1464" s="290"/>
    </row>
    <row r="1465" spans="1:45" ht="17.25" thickBot="1" x14ac:dyDescent="0.3">
      <c r="A1465" s="467"/>
      <c r="B1465" s="354"/>
      <c r="C1465" s="285">
        <v>1699130</v>
      </c>
      <c r="D1465" s="358" t="s">
        <v>413</v>
      </c>
      <c r="E1465" s="360"/>
      <c r="F1465" s="361">
        <f>G1500-AK1465+AL1465</f>
        <v>0</v>
      </c>
      <c r="G1465" s="364">
        <v>0</v>
      </c>
      <c r="H1465" s="397">
        <v>4</v>
      </c>
      <c r="I1465" s="364"/>
      <c r="J1465" s="364"/>
      <c r="K1465" s="364"/>
      <c r="L1465" s="218"/>
      <c r="M1465" s="218"/>
      <c r="N1465" s="218"/>
      <c r="O1465" s="218"/>
      <c r="P1465" s="352"/>
      <c r="Q1465" s="352"/>
      <c r="R1465" s="352"/>
      <c r="S1465" s="352"/>
      <c r="T1465" s="352"/>
      <c r="U1465" s="352"/>
      <c r="V1465" s="218"/>
      <c r="W1465" s="218"/>
      <c r="X1465" s="218"/>
      <c r="Y1465" s="218"/>
      <c r="Z1465" s="218"/>
      <c r="AA1465" s="218"/>
      <c r="AB1465" s="218"/>
      <c r="AC1465" s="218"/>
      <c r="AD1465" s="218"/>
      <c r="AE1465" s="218"/>
      <c r="AF1465" s="218"/>
      <c r="AG1465" s="218"/>
      <c r="AH1465" s="218"/>
      <c r="AI1465" s="218"/>
      <c r="AJ1465" s="218"/>
      <c r="AK1465" s="218"/>
      <c r="AL1465" s="218"/>
      <c r="AM1465" s="353"/>
      <c r="AN1465" s="295"/>
      <c r="AO1465" s="296"/>
      <c r="AP1465" s="353"/>
      <c r="AQ1465" s="290"/>
      <c r="AR1465" s="290"/>
      <c r="AS1465" s="290"/>
    </row>
    <row r="1466" spans="1:45" ht="17.25" thickBot="1" x14ac:dyDescent="0.3">
      <c r="A1466" s="467"/>
      <c r="B1466" s="354"/>
      <c r="C1466" s="285">
        <v>1699131</v>
      </c>
      <c r="D1466" s="358" t="s">
        <v>414</v>
      </c>
      <c r="E1466" s="360"/>
      <c r="F1466" s="361">
        <f>G1501-AK1466+AL1466</f>
        <v>0</v>
      </c>
      <c r="G1466" s="364">
        <v>0</v>
      </c>
      <c r="H1466" s="397">
        <v>3</v>
      </c>
      <c r="I1466" s="364">
        <v>2</v>
      </c>
      <c r="J1466" s="364"/>
      <c r="K1466" s="364"/>
      <c r="L1466" s="218"/>
      <c r="M1466" s="218"/>
      <c r="N1466" s="218"/>
      <c r="O1466" s="218"/>
      <c r="P1466" s="352"/>
      <c r="Q1466" s="352"/>
      <c r="R1466" s="352"/>
      <c r="S1466" s="352"/>
      <c r="T1466" s="352"/>
      <c r="U1466" s="352"/>
      <c r="V1466" s="218"/>
      <c r="W1466" s="218"/>
      <c r="X1466" s="218"/>
      <c r="Y1466" s="218"/>
      <c r="Z1466" s="218"/>
      <c r="AA1466" s="218"/>
      <c r="AB1466" s="218"/>
      <c r="AC1466" s="218"/>
      <c r="AD1466" s="218"/>
      <c r="AE1466" s="218"/>
      <c r="AF1466" s="218"/>
      <c r="AG1466" s="218"/>
      <c r="AH1466" s="218"/>
      <c r="AI1466" s="218"/>
      <c r="AJ1466" s="218"/>
      <c r="AK1466" s="218"/>
      <c r="AL1466" s="218"/>
      <c r="AM1466" s="353"/>
      <c r="AN1466" s="295"/>
      <c r="AO1466" s="296"/>
      <c r="AP1466" s="353"/>
      <c r="AQ1466" s="290"/>
      <c r="AR1466" s="290"/>
      <c r="AS1466" s="290"/>
    </row>
    <row r="1467" spans="1:45" ht="17.25" thickBot="1" x14ac:dyDescent="0.3">
      <c r="A1467" s="468"/>
      <c r="B1467" s="354"/>
      <c r="C1467" s="285">
        <v>1699132</v>
      </c>
      <c r="D1467" s="358" t="s">
        <v>415</v>
      </c>
      <c r="E1467" s="285"/>
      <c r="F1467" s="362">
        <f>G1502-AK1467+AL1467</f>
        <v>0</v>
      </c>
      <c r="G1467" s="364">
        <v>0</v>
      </c>
      <c r="H1467" s="397">
        <v>3</v>
      </c>
      <c r="I1467" s="364"/>
      <c r="J1467" s="364"/>
      <c r="K1467" s="364"/>
      <c r="L1467" s="218"/>
      <c r="M1467" s="218"/>
      <c r="N1467" s="218"/>
      <c r="O1467" s="218"/>
      <c r="P1467" s="352"/>
      <c r="Q1467" s="352"/>
      <c r="R1467" s="352"/>
      <c r="S1467" s="352"/>
      <c r="T1467" s="352"/>
      <c r="U1467" s="352"/>
      <c r="V1467" s="218"/>
      <c r="W1467" s="218"/>
      <c r="X1467" s="218"/>
      <c r="Y1467" s="218"/>
      <c r="Z1467" s="218"/>
      <c r="AA1467" s="218"/>
      <c r="AB1467" s="218"/>
      <c r="AC1467" s="218"/>
      <c r="AD1467" s="218"/>
      <c r="AE1467" s="218"/>
      <c r="AF1467" s="218"/>
      <c r="AG1467" s="218"/>
      <c r="AH1467" s="218"/>
      <c r="AI1467" s="218"/>
      <c r="AJ1467" s="218"/>
      <c r="AK1467" s="218"/>
      <c r="AL1467" s="218"/>
      <c r="AM1467" s="353"/>
      <c r="AN1467" s="295"/>
      <c r="AO1467" s="296"/>
      <c r="AP1467" s="353"/>
      <c r="AQ1467" s="290"/>
      <c r="AR1467" s="290"/>
      <c r="AS1467" s="290"/>
    </row>
    <row r="1468" spans="1:45" x14ac:dyDescent="0.25">
      <c r="AL1468" s="290"/>
      <c r="AM1468" s="290"/>
      <c r="AN1468" s="290"/>
      <c r="AO1468" s="290"/>
      <c r="AP1468" s="290"/>
      <c r="AQ1468" s="290"/>
      <c r="AR1468" s="290"/>
    </row>
    <row r="1469" spans="1:45" ht="14.25" thickBot="1" x14ac:dyDescent="0.3">
      <c r="B1469" s="338" t="s">
        <v>18</v>
      </c>
      <c r="C1469" s="339">
        <v>45558</v>
      </c>
      <c r="AL1469" s="290"/>
      <c r="AM1469" s="290"/>
      <c r="AN1469" s="290"/>
      <c r="AO1469" s="290"/>
      <c r="AP1469" s="290"/>
      <c r="AQ1469" s="290"/>
      <c r="AR1469" s="290"/>
    </row>
    <row r="1470" spans="1:45" ht="41.25" thickBot="1" x14ac:dyDescent="0.3">
      <c r="B1470" s="283" t="s">
        <v>0</v>
      </c>
      <c r="C1470" s="284" t="s">
        <v>1</v>
      </c>
      <c r="D1470" s="284" t="s">
        <v>2</v>
      </c>
      <c r="E1470" s="284" t="s">
        <v>3</v>
      </c>
      <c r="F1470" s="4" t="s">
        <v>318</v>
      </c>
      <c r="G1470" s="351" t="s">
        <v>4</v>
      </c>
      <c r="H1470" s="382" t="s">
        <v>460</v>
      </c>
      <c r="I1470" s="234" t="s">
        <v>449</v>
      </c>
      <c r="J1470" s="234"/>
      <c r="K1470" s="258" t="s">
        <v>450</v>
      </c>
      <c r="L1470" s="258" t="s">
        <v>328</v>
      </c>
      <c r="M1470" s="258" t="s">
        <v>327</v>
      </c>
      <c r="N1470" s="234" t="s">
        <v>389</v>
      </c>
      <c r="O1470" s="240" t="s">
        <v>130</v>
      </c>
      <c r="P1470" s="243" t="s">
        <v>303</v>
      </c>
      <c r="Q1470" s="244" t="s">
        <v>304</v>
      </c>
      <c r="R1470" s="244" t="s">
        <v>314</v>
      </c>
      <c r="S1470" s="245" t="s">
        <v>338</v>
      </c>
      <c r="T1470" s="245" t="s">
        <v>345</v>
      </c>
      <c r="U1470" s="245" t="s">
        <v>361</v>
      </c>
      <c r="V1470" s="245" t="s">
        <v>387</v>
      </c>
      <c r="W1470" s="245" t="s">
        <v>421</v>
      </c>
      <c r="X1470" s="245" t="s">
        <v>452</v>
      </c>
      <c r="Y1470" s="245"/>
      <c r="Z1470" s="245"/>
      <c r="AA1470" s="245"/>
      <c r="AB1470" s="245"/>
      <c r="AC1470" s="245"/>
      <c r="AD1470" s="245"/>
      <c r="AE1470" s="245"/>
      <c r="AF1470" s="245"/>
      <c r="AG1470" s="245"/>
      <c r="AH1470" s="245"/>
      <c r="AI1470" s="245"/>
      <c r="AJ1470" s="245" t="s">
        <v>360</v>
      </c>
      <c r="AK1470" s="246" t="s">
        <v>268</v>
      </c>
      <c r="AL1470" s="247" t="s">
        <v>269</v>
      </c>
      <c r="AM1470" s="291" t="s">
        <v>288</v>
      </c>
      <c r="AN1470" s="292" t="s">
        <v>289</v>
      </c>
      <c r="AO1470" s="292" t="s">
        <v>287</v>
      </c>
      <c r="AP1470" s="293" t="s">
        <v>290</v>
      </c>
      <c r="AQ1470" s="290" t="s">
        <v>306</v>
      </c>
      <c r="AR1470" s="290" t="s">
        <v>310</v>
      </c>
      <c r="AS1470" s="290" t="s">
        <v>311</v>
      </c>
    </row>
    <row r="1471" spans="1:45" ht="17.25" thickBot="1" x14ac:dyDescent="0.3">
      <c r="A1471" s="463" t="s">
        <v>416</v>
      </c>
      <c r="B1471" s="285">
        <v>273664</v>
      </c>
      <c r="C1471" s="286">
        <v>1135749</v>
      </c>
      <c r="D1471" s="286" t="s">
        <v>7</v>
      </c>
      <c r="E1471" s="286">
        <v>6060050026</v>
      </c>
      <c r="F1471" s="253">
        <f>G1506-AK1471+AL1471</f>
        <v>7</v>
      </c>
      <c r="G1471" s="235">
        <v>7</v>
      </c>
      <c r="H1471" s="394">
        <v>5</v>
      </c>
      <c r="I1471" s="232">
        <v>7</v>
      </c>
      <c r="J1471" s="232"/>
      <c r="K1471" s="232">
        <v>3</v>
      </c>
      <c r="L1471" s="232">
        <f>IF(K1505=K1470,L1506+AK1471,K1471)</f>
        <v>3</v>
      </c>
      <c r="M1471" s="232">
        <f>IF(K1505=K1470,0,L1506+AK1471-K1471)</f>
        <v>0</v>
      </c>
      <c r="N1471" s="267">
        <v>5</v>
      </c>
      <c r="O1471" s="241">
        <f>N1471-G1471</f>
        <v>-2</v>
      </c>
      <c r="P1471" s="277">
        <v>4</v>
      </c>
      <c r="Q1471" s="278">
        <v>4</v>
      </c>
      <c r="R1471" s="279"/>
      <c r="S1471" s="279">
        <v>3</v>
      </c>
      <c r="T1471" s="279">
        <v>4</v>
      </c>
      <c r="U1471" s="279">
        <v>2</v>
      </c>
      <c r="V1471" s="279"/>
      <c r="W1471" s="279">
        <f>2+3</f>
        <v>5</v>
      </c>
      <c r="X1471" s="241"/>
      <c r="Y1471" s="241"/>
      <c r="Z1471" s="241"/>
      <c r="AA1471" s="241"/>
      <c r="AB1471" s="241"/>
      <c r="AC1471" s="241"/>
      <c r="AD1471" s="241"/>
      <c r="AE1471" s="241"/>
      <c r="AF1471" s="241"/>
      <c r="AG1471" s="241"/>
      <c r="AH1471" s="241"/>
      <c r="AI1471" s="241"/>
      <c r="AJ1471" s="241">
        <f>N1471-V1471</f>
        <v>5</v>
      </c>
      <c r="AK1471" s="235">
        <f>G1506+AL1471-G1471</f>
        <v>0</v>
      </c>
      <c r="AL1471" s="350">
        <v>3</v>
      </c>
      <c r="AM1471" s="294">
        <v>1.5</v>
      </c>
      <c r="AN1471" s="295">
        <v>4</v>
      </c>
      <c r="AO1471" s="296">
        <f>G1471/(AN1471)</f>
        <v>1.75</v>
      </c>
      <c r="AP1471" s="297">
        <f>AN1471*6</f>
        <v>24</v>
      </c>
      <c r="AQ1471" s="290">
        <f>G1471+K1471</f>
        <v>10</v>
      </c>
      <c r="AR1471" s="290">
        <f>IF(G1471&lt;G1506,(G1506-G1471+K1506-K1471),K1506-K1471)</f>
        <v>0</v>
      </c>
      <c r="AS1471" s="290">
        <f>21-8</f>
        <v>13</v>
      </c>
    </row>
    <row r="1472" spans="1:45" ht="17.25" thickBot="1" x14ac:dyDescent="0.3">
      <c r="A1472" s="464"/>
      <c r="B1472" s="285">
        <v>273672</v>
      </c>
      <c r="C1472" s="286">
        <v>1135750</v>
      </c>
      <c r="D1472" s="286" t="s">
        <v>9</v>
      </c>
      <c r="E1472" s="287">
        <v>204000000000</v>
      </c>
      <c r="F1472" s="253">
        <f>G1507-AK1472+AL1472</f>
        <v>13</v>
      </c>
      <c r="G1472" s="235">
        <v>13</v>
      </c>
      <c r="H1472" s="394">
        <v>16</v>
      </c>
      <c r="I1472" s="232">
        <v>13</v>
      </c>
      <c r="J1472" s="232"/>
      <c r="K1472" s="232">
        <v>7</v>
      </c>
      <c r="L1472" s="232">
        <f>IF(K1505=K1470,L1507+AK1472,K1472)</f>
        <v>7</v>
      </c>
      <c r="M1472" s="232">
        <f>IF(K1505=K1470,0,L1507+AK1472-K1472)</f>
        <v>0</v>
      </c>
      <c r="N1472" s="267">
        <v>10</v>
      </c>
      <c r="O1472" s="241">
        <f>N1472-G1472</f>
        <v>-3</v>
      </c>
      <c r="P1472" s="277">
        <v>13</v>
      </c>
      <c r="Q1472" s="278">
        <v>2</v>
      </c>
      <c r="R1472" s="279">
        <v>6</v>
      </c>
      <c r="S1472" s="279">
        <v>6</v>
      </c>
      <c r="T1472" s="279">
        <v>10</v>
      </c>
      <c r="U1472" s="279">
        <v>4</v>
      </c>
      <c r="V1472" s="279">
        <v>6</v>
      </c>
      <c r="W1472" s="279">
        <v>16</v>
      </c>
      <c r="X1472" s="241"/>
      <c r="Y1472" s="241"/>
      <c r="Z1472" s="241"/>
      <c r="AA1472" s="241"/>
      <c r="AB1472" s="241"/>
      <c r="AC1472" s="241"/>
      <c r="AD1472" s="241"/>
      <c r="AE1472" s="241"/>
      <c r="AF1472" s="241"/>
      <c r="AG1472" s="241"/>
      <c r="AH1472" s="241"/>
      <c r="AI1472" s="241"/>
      <c r="AJ1472" s="241">
        <f>N1472-V1472</f>
        <v>4</v>
      </c>
      <c r="AK1472" s="235">
        <f>G1507+AL1472-G1472</f>
        <v>0</v>
      </c>
      <c r="AL1472" s="236">
        <v>8</v>
      </c>
      <c r="AM1472" s="298">
        <v>4.2</v>
      </c>
      <c r="AN1472" s="295">
        <v>9</v>
      </c>
      <c r="AO1472" s="296">
        <f>G1472/(AN1472)</f>
        <v>1.4444444444444444</v>
      </c>
      <c r="AP1472" s="297">
        <f>AN1472*6</f>
        <v>54</v>
      </c>
      <c r="AQ1472" s="290">
        <f>G1472+K1472</f>
        <v>20</v>
      </c>
      <c r="AR1472" s="290">
        <f>IF(G1472&lt;G1507,(G1507-G1472+K1507-K1472),K1507-K1472)</f>
        <v>0</v>
      </c>
      <c r="AS1472" s="290">
        <f>21-8</f>
        <v>13</v>
      </c>
    </row>
    <row r="1473" spans="1:45" ht="17.25" thickBot="1" x14ac:dyDescent="0.3">
      <c r="A1473" s="464"/>
      <c r="B1473" s="285">
        <v>273702</v>
      </c>
      <c r="C1473" s="286">
        <v>1135753</v>
      </c>
      <c r="D1473" s="286" t="s">
        <v>10</v>
      </c>
      <c r="E1473" s="287">
        <v>301000000000</v>
      </c>
      <c r="F1473" s="253">
        <f>G1508-AK1473+AL1473</f>
        <v>2</v>
      </c>
      <c r="G1473" s="235">
        <v>2</v>
      </c>
      <c r="H1473" s="394">
        <v>1</v>
      </c>
      <c r="I1473" s="232">
        <v>2</v>
      </c>
      <c r="J1473" s="232"/>
      <c r="K1473" s="232">
        <v>1</v>
      </c>
      <c r="L1473" s="232">
        <f>IF(K1505=K1470,L1508+AK1473,K1473)</f>
        <v>1</v>
      </c>
      <c r="M1473" s="232">
        <f>IF(K1505=K1470,0,L1508+AK1473-K1473)</f>
        <v>0</v>
      </c>
      <c r="N1473" s="232">
        <v>2</v>
      </c>
      <c r="O1473" s="241">
        <f>N1473-G1473</f>
        <v>0</v>
      </c>
      <c r="P1473" s="277"/>
      <c r="Q1473" s="278"/>
      <c r="R1473" s="279"/>
      <c r="S1473" s="279"/>
      <c r="T1473" s="279"/>
      <c r="U1473" s="279"/>
      <c r="V1473" s="279"/>
      <c r="W1473" s="279"/>
      <c r="X1473" s="241"/>
      <c r="Y1473" s="241"/>
      <c r="Z1473" s="241"/>
      <c r="AA1473" s="241"/>
      <c r="AB1473" s="241"/>
      <c r="AC1473" s="241"/>
      <c r="AD1473" s="241"/>
      <c r="AE1473" s="241"/>
      <c r="AF1473" s="241"/>
      <c r="AG1473" s="241"/>
      <c r="AH1473" s="241"/>
      <c r="AI1473" s="241"/>
      <c r="AJ1473" s="241">
        <f>N1473-V1473</f>
        <v>2</v>
      </c>
      <c r="AK1473" s="235">
        <f>G1508+AL1473-G1473</f>
        <v>0</v>
      </c>
      <c r="AL1473" s="236"/>
      <c r="AM1473" s="294">
        <f>4/12</f>
        <v>0.33333333333333331</v>
      </c>
      <c r="AN1473" s="295">
        <v>2</v>
      </c>
      <c r="AO1473" s="296">
        <f>G1473/(AN1473)</f>
        <v>1</v>
      </c>
      <c r="AP1473" s="297">
        <f>AN1473*6</f>
        <v>12</v>
      </c>
      <c r="AQ1473" s="290">
        <f>G1473+K1473</f>
        <v>3</v>
      </c>
      <c r="AR1473" s="290">
        <f>IF(G1473&lt;G1508,(G1508-G1473+K1508-K1473),K1508-K1473)</f>
        <v>0</v>
      </c>
      <c r="AS1473" s="290">
        <f>21-8</f>
        <v>13</v>
      </c>
    </row>
    <row r="1474" spans="1:45" ht="17.25" thickBot="1" x14ac:dyDescent="0.3">
      <c r="A1474" s="464"/>
      <c r="B1474" s="285">
        <v>273698</v>
      </c>
      <c r="C1474" s="286">
        <v>1135752</v>
      </c>
      <c r="D1474" s="286" t="s">
        <v>11</v>
      </c>
      <c r="E1474" s="287">
        <v>701000000000</v>
      </c>
      <c r="F1474" s="253">
        <f>G1509-AK1474+AL1474</f>
        <v>2</v>
      </c>
      <c r="G1474" s="235">
        <v>2</v>
      </c>
      <c r="H1474" s="394">
        <v>2</v>
      </c>
      <c r="I1474" s="232">
        <v>3</v>
      </c>
      <c r="J1474" s="232"/>
      <c r="K1474" s="232">
        <v>0</v>
      </c>
      <c r="L1474" s="232">
        <f>IF(K1505=K1470,L1509+AK1474,K1474)</f>
        <v>0</v>
      </c>
      <c r="M1474" s="232">
        <f>IF(K1505=K1470,0,L1509+AK1474-K1474)</f>
        <v>0</v>
      </c>
      <c r="N1474" s="232">
        <v>3</v>
      </c>
      <c r="O1474" s="241">
        <f>N1474-G1474</f>
        <v>1</v>
      </c>
      <c r="P1474" s="277">
        <v>2</v>
      </c>
      <c r="Q1474" s="278"/>
      <c r="R1474" s="279"/>
      <c r="S1474" s="279"/>
      <c r="T1474" s="279"/>
      <c r="U1474" s="279"/>
      <c r="V1474" s="279"/>
      <c r="W1474" s="279">
        <v>1</v>
      </c>
      <c r="X1474" s="241"/>
      <c r="Y1474" s="241"/>
      <c r="Z1474" s="241"/>
      <c r="AA1474" s="241"/>
      <c r="AB1474" s="241"/>
      <c r="AC1474" s="241"/>
      <c r="AD1474" s="241"/>
      <c r="AE1474" s="241"/>
      <c r="AF1474" s="241"/>
      <c r="AG1474" s="241"/>
      <c r="AH1474" s="241"/>
      <c r="AI1474" s="241"/>
      <c r="AJ1474" s="241">
        <f>N1474-V1474</f>
        <v>3</v>
      </c>
      <c r="AK1474" s="235">
        <f>G1509+AL1474-G1474</f>
        <v>0</v>
      </c>
      <c r="AL1474" s="236"/>
      <c r="AM1474" s="294">
        <f>4/12</f>
        <v>0.33333333333333331</v>
      </c>
      <c r="AN1474" s="295">
        <v>2</v>
      </c>
      <c r="AO1474" s="296">
        <f>G1474/(AN1474)</f>
        <v>1</v>
      </c>
      <c r="AP1474" s="297">
        <f>AN1474*6</f>
        <v>12</v>
      </c>
      <c r="AQ1474" s="290">
        <f>G1474+K1474</f>
        <v>2</v>
      </c>
      <c r="AR1474" s="290">
        <f>IF(G1474&lt;G1509,(G1509-G1474+K1509-K1474),K1509-K1474)</f>
        <v>0</v>
      </c>
      <c r="AS1474" s="290">
        <f>21-8</f>
        <v>13</v>
      </c>
    </row>
    <row r="1475" spans="1:45" ht="17.25" thickBot="1" x14ac:dyDescent="0.3">
      <c r="A1475" s="465"/>
      <c r="B1475" s="285">
        <v>273680</v>
      </c>
      <c r="C1475" s="286">
        <v>1135751</v>
      </c>
      <c r="D1475" s="286" t="s">
        <v>12</v>
      </c>
      <c r="E1475" s="286" t="s">
        <v>13</v>
      </c>
      <c r="F1475" s="254">
        <f>G1510-AK1475+AL1475</f>
        <v>5</v>
      </c>
      <c r="G1475" s="237">
        <v>5</v>
      </c>
      <c r="H1475" s="395">
        <v>8</v>
      </c>
      <c r="I1475" s="238">
        <v>5</v>
      </c>
      <c r="J1475" s="238"/>
      <c r="K1475" s="238">
        <v>2</v>
      </c>
      <c r="L1475" s="238">
        <f>IF(K1505=K1470,L1510+AK1475,K1475)</f>
        <v>2</v>
      </c>
      <c r="M1475" s="238">
        <f>IF(K1505=K1470,0,L1510+AK1475-K1475)</f>
        <v>0</v>
      </c>
      <c r="N1475" s="238">
        <v>9</v>
      </c>
      <c r="O1475" s="242">
        <f>N1475-G1475</f>
        <v>4</v>
      </c>
      <c r="P1475" s="280"/>
      <c r="Q1475" s="281"/>
      <c r="R1475" s="282"/>
      <c r="S1475" s="282"/>
      <c r="T1475" s="282">
        <v>11</v>
      </c>
      <c r="U1475" s="282"/>
      <c r="V1475" s="282"/>
      <c r="W1475" s="282">
        <v>9</v>
      </c>
      <c r="X1475" s="242"/>
      <c r="Y1475" s="242"/>
      <c r="Z1475" s="242"/>
      <c r="AA1475" s="242"/>
      <c r="AB1475" s="242"/>
      <c r="AC1475" s="242"/>
      <c r="AD1475" s="242"/>
      <c r="AE1475" s="242"/>
      <c r="AF1475" s="242"/>
      <c r="AG1475" s="242"/>
      <c r="AH1475" s="242"/>
      <c r="AI1475" s="242"/>
      <c r="AJ1475" s="242">
        <f>N1475-V1475</f>
        <v>9</v>
      </c>
      <c r="AK1475" s="235">
        <f>G1510+AL1475-G1475</f>
        <v>0</v>
      </c>
      <c r="AL1475" s="239"/>
      <c r="AM1475" s="299">
        <f>30/12</f>
        <v>2.5</v>
      </c>
      <c r="AN1475" s="300">
        <f>AM1475*2</f>
        <v>5</v>
      </c>
      <c r="AO1475" s="301">
        <f>G1475/(AN1475)</f>
        <v>1</v>
      </c>
      <c r="AP1475" s="302">
        <f>AN1475*6</f>
        <v>30</v>
      </c>
      <c r="AQ1475" s="290">
        <f>G1475+K1475</f>
        <v>7</v>
      </c>
      <c r="AR1475" s="290">
        <f>IF(G1475&lt;G1510,(G1510-G1475+K1510-K1475),K1510-K1475)</f>
        <v>0</v>
      </c>
      <c r="AS1475" s="290">
        <f>21-8</f>
        <v>13</v>
      </c>
    </row>
    <row r="1476" spans="1:45" ht="17.25" thickBot="1" x14ac:dyDescent="0.3">
      <c r="A1476" s="466" t="s">
        <v>417</v>
      </c>
      <c r="B1476" s="355" t="s">
        <v>129</v>
      </c>
      <c r="C1476" s="356"/>
      <c r="D1476" s="356"/>
      <c r="E1476" s="359"/>
      <c r="F1476" s="359"/>
      <c r="G1476" s="356"/>
      <c r="H1476" s="396"/>
      <c r="I1476" s="356"/>
      <c r="J1476" s="356"/>
      <c r="K1476" s="356"/>
      <c r="L1476" s="356"/>
      <c r="M1476" s="356"/>
      <c r="N1476" s="356"/>
      <c r="O1476" s="356"/>
      <c r="P1476" s="356"/>
      <c r="Q1476" s="356"/>
      <c r="R1476" s="356"/>
      <c r="S1476" s="356"/>
      <c r="T1476" s="356"/>
      <c r="U1476" s="356"/>
      <c r="V1476" s="356"/>
      <c r="W1476" s="356"/>
      <c r="X1476" s="356"/>
      <c r="Y1476" s="356"/>
      <c r="Z1476" s="356"/>
      <c r="AA1476" s="356"/>
      <c r="AB1476" s="356"/>
      <c r="AC1476" s="356"/>
      <c r="AD1476" s="356"/>
      <c r="AE1476" s="356"/>
      <c r="AF1476" s="356"/>
      <c r="AG1476" s="356"/>
      <c r="AH1476" s="356"/>
      <c r="AI1476" s="356"/>
      <c r="AJ1476" s="356"/>
      <c r="AK1476" s="356"/>
      <c r="AL1476" s="367"/>
      <c r="AM1476" s="356"/>
      <c r="AN1476" s="356"/>
      <c r="AO1476" s="356"/>
      <c r="AP1476" s="356"/>
      <c r="AQ1476" s="356"/>
      <c r="AR1476" s="356"/>
      <c r="AS1476" s="357"/>
    </row>
    <row r="1477" spans="1:45" ht="17.25" thickBot="1" x14ac:dyDescent="0.3">
      <c r="A1477" s="467"/>
      <c r="B1477" s="354"/>
      <c r="C1477" s="354">
        <v>1140327</v>
      </c>
      <c r="D1477" s="358" t="s">
        <v>394</v>
      </c>
      <c r="E1477" s="360"/>
      <c r="F1477" s="361">
        <f>G1512-AK1477+AL1477</f>
        <v>26</v>
      </c>
      <c r="G1477" s="218">
        <v>26</v>
      </c>
      <c r="H1477" s="397">
        <v>23</v>
      </c>
      <c r="I1477" s="218">
        <v>19</v>
      </c>
      <c r="J1477" s="218"/>
      <c r="K1477" s="218">
        <v>1</v>
      </c>
      <c r="L1477" s="218">
        <f>IF(K1505=K1470,L1512+AK1477,K1477)</f>
        <v>1</v>
      </c>
      <c r="M1477" s="218">
        <f>IF(K1505=K1470,0,L1512+AK1477-K1477)</f>
        <v>1</v>
      </c>
      <c r="N1477" s="218"/>
      <c r="O1477" s="218"/>
      <c r="P1477" s="352"/>
      <c r="Q1477" s="352"/>
      <c r="R1477" s="352"/>
      <c r="S1477" s="352"/>
      <c r="T1477" s="352"/>
      <c r="U1477" s="352"/>
      <c r="V1477" s="218"/>
      <c r="W1477" s="218"/>
      <c r="X1477" s="218">
        <v>7</v>
      </c>
      <c r="Y1477" s="218"/>
      <c r="Z1477" s="218"/>
      <c r="AA1477" s="218"/>
      <c r="AB1477" s="218"/>
      <c r="AC1477" s="218"/>
      <c r="AD1477" s="218"/>
      <c r="AE1477" s="218"/>
      <c r="AF1477" s="218"/>
      <c r="AG1477" s="218"/>
      <c r="AH1477" s="218"/>
      <c r="AI1477" s="218"/>
      <c r="AJ1477" s="242">
        <f>N1477-V1477</f>
        <v>0</v>
      </c>
      <c r="AK1477" s="274">
        <f>G1512+AL1477-G1477</f>
        <v>0</v>
      </c>
      <c r="AL1477" s="232">
        <v>5</v>
      </c>
      <c r="AM1477" s="353"/>
      <c r="AN1477" s="295"/>
      <c r="AO1477" s="296"/>
      <c r="AP1477" s="353"/>
      <c r="AQ1477" s="290"/>
      <c r="AR1477" s="290"/>
      <c r="AS1477" s="290"/>
    </row>
    <row r="1478" spans="1:45" ht="17.25" thickBot="1" x14ac:dyDescent="0.3">
      <c r="A1478" s="467"/>
      <c r="B1478" s="354"/>
      <c r="C1478" s="285">
        <v>1151231</v>
      </c>
      <c r="D1478" s="358" t="s">
        <v>395</v>
      </c>
      <c r="E1478" s="360"/>
      <c r="F1478" s="361">
        <f>G1513-AK1478+AL1478</f>
        <v>7</v>
      </c>
      <c r="G1478" s="369">
        <v>7</v>
      </c>
      <c r="H1478" s="397">
        <v>13</v>
      </c>
      <c r="I1478" s="218">
        <v>1</v>
      </c>
      <c r="J1478" s="218"/>
      <c r="K1478" s="218">
        <v>2</v>
      </c>
      <c r="L1478" s="218">
        <f>IF(K1505=K1470,L1513+AK1478,K1478)</f>
        <v>2</v>
      </c>
      <c r="M1478" s="218">
        <f>IF(K1505=K1470,0,L1513+AK1478-K1478)</f>
        <v>2</v>
      </c>
      <c r="N1478" s="218"/>
      <c r="O1478" s="218"/>
      <c r="P1478" s="352"/>
      <c r="Q1478" s="352"/>
      <c r="R1478" s="352"/>
      <c r="S1478" s="352"/>
      <c r="T1478" s="352"/>
      <c r="U1478" s="352"/>
      <c r="V1478" s="218"/>
      <c r="W1478" s="218"/>
      <c r="X1478" s="218">
        <v>7</v>
      </c>
      <c r="Y1478" s="218"/>
      <c r="Z1478" s="218"/>
      <c r="AA1478" s="218"/>
      <c r="AB1478" s="218"/>
      <c r="AC1478" s="218"/>
      <c r="AD1478" s="218"/>
      <c r="AE1478" s="218"/>
      <c r="AF1478" s="218"/>
      <c r="AG1478" s="218"/>
      <c r="AH1478" s="218"/>
      <c r="AI1478" s="218"/>
      <c r="AJ1478" s="242">
        <f>N1478-V1478</f>
        <v>0</v>
      </c>
      <c r="AK1478" s="274">
        <f>G1513+AL1478-G1478</f>
        <v>0</v>
      </c>
      <c r="AL1478" s="232"/>
      <c r="AM1478" s="353"/>
      <c r="AN1478" s="295"/>
      <c r="AO1478" s="296"/>
      <c r="AP1478" s="353"/>
      <c r="AQ1478" s="290"/>
      <c r="AR1478" s="290"/>
      <c r="AS1478" s="290"/>
    </row>
    <row r="1479" spans="1:45" ht="17.25" thickBot="1" x14ac:dyDescent="0.3">
      <c r="A1479" s="467"/>
      <c r="B1479" s="355" t="s">
        <v>420</v>
      </c>
      <c r="C1479" s="356"/>
      <c r="D1479" s="356"/>
      <c r="E1479" s="359"/>
      <c r="F1479" s="359"/>
      <c r="G1479" s="356"/>
      <c r="H1479" s="396"/>
      <c r="I1479" s="356"/>
      <c r="J1479" s="356"/>
      <c r="K1479" s="356"/>
      <c r="L1479" s="356"/>
      <c r="M1479" s="356"/>
      <c r="N1479" s="356"/>
      <c r="O1479" s="356"/>
      <c r="P1479" s="356"/>
      <c r="Q1479" s="356"/>
      <c r="R1479" s="356"/>
      <c r="S1479" s="356"/>
      <c r="T1479" s="356"/>
      <c r="U1479" s="356"/>
      <c r="V1479" s="356"/>
      <c r="W1479" s="356"/>
      <c r="X1479" s="356"/>
      <c r="Y1479" s="356"/>
      <c r="Z1479" s="356"/>
      <c r="AA1479" s="356"/>
      <c r="AB1479" s="356"/>
      <c r="AC1479" s="356"/>
      <c r="AD1479" s="356"/>
      <c r="AE1479" s="356"/>
      <c r="AF1479" s="356"/>
      <c r="AG1479" s="356"/>
      <c r="AH1479" s="356"/>
      <c r="AI1479" s="356"/>
      <c r="AJ1479" s="356"/>
      <c r="AK1479" s="356"/>
      <c r="AL1479" s="368"/>
      <c r="AM1479" s="356"/>
      <c r="AN1479" s="356"/>
      <c r="AO1479" s="356"/>
      <c r="AP1479" s="356"/>
      <c r="AQ1479" s="356"/>
      <c r="AR1479" s="356"/>
      <c r="AS1479" s="357"/>
    </row>
    <row r="1480" spans="1:45" ht="17.25" thickBot="1" x14ac:dyDescent="0.3">
      <c r="A1480" s="467"/>
      <c r="B1480" s="354"/>
      <c r="C1480" s="285">
        <v>1146032</v>
      </c>
      <c r="D1480" s="358" t="s">
        <v>396</v>
      </c>
      <c r="E1480" s="360"/>
      <c r="F1480" s="361">
        <f>G1515-AK1480+AL1480</f>
        <v>1</v>
      </c>
      <c r="G1480" s="364"/>
      <c r="H1480" s="397">
        <v>1</v>
      </c>
      <c r="I1480" s="218">
        <v>2</v>
      </c>
      <c r="J1480" s="218"/>
      <c r="K1480" s="218">
        <v>1</v>
      </c>
      <c r="L1480" s="218"/>
      <c r="M1480" s="218"/>
      <c r="N1480" s="218"/>
      <c r="O1480" s="218"/>
      <c r="P1480" s="352"/>
      <c r="Q1480" s="352"/>
      <c r="R1480" s="352"/>
      <c r="S1480" s="352"/>
      <c r="T1480" s="352"/>
      <c r="U1480" s="352"/>
      <c r="V1480" s="218"/>
      <c r="W1480" s="218"/>
      <c r="X1480" s="218"/>
      <c r="Y1480" s="218"/>
      <c r="Z1480" s="218"/>
      <c r="AA1480" s="218"/>
      <c r="AB1480" s="218"/>
      <c r="AC1480" s="218"/>
      <c r="AD1480" s="218"/>
      <c r="AE1480" s="218"/>
      <c r="AF1480" s="218"/>
      <c r="AG1480" s="218"/>
      <c r="AH1480" s="218"/>
      <c r="AI1480" s="218"/>
      <c r="AJ1480" s="218"/>
      <c r="AK1480" s="218"/>
      <c r="AL1480" s="218"/>
      <c r="AM1480" s="353"/>
      <c r="AN1480" s="295"/>
      <c r="AO1480" s="296"/>
      <c r="AP1480" s="353"/>
      <c r="AQ1480" s="290"/>
      <c r="AR1480" s="290"/>
      <c r="AS1480" s="290"/>
    </row>
    <row r="1481" spans="1:45" ht="17.25" thickBot="1" x14ac:dyDescent="0.3">
      <c r="A1481" s="467"/>
      <c r="B1481" s="354"/>
      <c r="C1481" s="285">
        <v>1146021</v>
      </c>
      <c r="D1481" s="358" t="s">
        <v>397</v>
      </c>
      <c r="E1481" s="360"/>
      <c r="F1481" s="361">
        <f>G1516-AK1481+AL1481</f>
        <v>2</v>
      </c>
      <c r="G1481" s="364"/>
      <c r="H1481" s="397">
        <v>2</v>
      </c>
      <c r="I1481" s="218">
        <v>2</v>
      </c>
      <c r="J1481" s="218"/>
      <c r="K1481" s="218">
        <v>2</v>
      </c>
      <c r="L1481" s="218"/>
      <c r="M1481" s="218"/>
      <c r="N1481" s="218"/>
      <c r="O1481" s="218"/>
      <c r="P1481" s="352"/>
      <c r="Q1481" s="352"/>
      <c r="R1481" s="352"/>
      <c r="S1481" s="352"/>
      <c r="T1481" s="352"/>
      <c r="U1481" s="352"/>
      <c r="V1481" s="218"/>
      <c r="W1481" s="218"/>
      <c r="X1481" s="218"/>
      <c r="Y1481" s="218"/>
      <c r="Z1481" s="218"/>
      <c r="AA1481" s="218"/>
      <c r="AB1481" s="218"/>
      <c r="AC1481" s="218"/>
      <c r="AD1481" s="218"/>
      <c r="AE1481" s="218"/>
      <c r="AF1481" s="218"/>
      <c r="AG1481" s="218"/>
      <c r="AH1481" s="218"/>
      <c r="AI1481" s="218"/>
      <c r="AJ1481" s="218"/>
      <c r="AK1481" s="218"/>
      <c r="AL1481" s="218"/>
      <c r="AM1481" s="353"/>
      <c r="AN1481" s="295"/>
      <c r="AO1481" s="296"/>
      <c r="AP1481" s="353"/>
      <c r="AQ1481" s="290"/>
      <c r="AR1481" s="290"/>
      <c r="AS1481" s="290"/>
    </row>
    <row r="1482" spans="1:45" ht="17.25" thickBot="1" x14ac:dyDescent="0.3">
      <c r="A1482" s="467"/>
      <c r="B1482" s="354"/>
      <c r="C1482" s="285">
        <v>1146018</v>
      </c>
      <c r="D1482" s="358" t="s">
        <v>398</v>
      </c>
      <c r="E1482" s="360"/>
      <c r="F1482" s="361">
        <f>G1517-AK1482+AL1482</f>
        <v>4</v>
      </c>
      <c r="G1482" s="364"/>
      <c r="H1482" s="397">
        <v>1</v>
      </c>
      <c r="I1482" s="218"/>
      <c r="J1482" s="218"/>
      <c r="K1482" s="218">
        <v>2</v>
      </c>
      <c r="L1482" s="218"/>
      <c r="M1482" s="218"/>
      <c r="N1482" s="218"/>
      <c r="O1482" s="218"/>
      <c r="P1482" s="352"/>
      <c r="Q1482" s="352"/>
      <c r="R1482" s="352"/>
      <c r="S1482" s="352"/>
      <c r="T1482" s="352"/>
      <c r="U1482" s="352"/>
      <c r="V1482" s="218"/>
      <c r="W1482" s="218"/>
      <c r="X1482" s="218"/>
      <c r="Y1482" s="218"/>
      <c r="Z1482" s="218"/>
      <c r="AA1482" s="218"/>
      <c r="AB1482" s="218"/>
      <c r="AC1482" s="218"/>
      <c r="AD1482" s="218"/>
      <c r="AE1482" s="218"/>
      <c r="AF1482" s="218"/>
      <c r="AG1482" s="218"/>
      <c r="AH1482" s="218"/>
      <c r="AI1482" s="218"/>
      <c r="AJ1482" s="218"/>
      <c r="AK1482" s="218"/>
      <c r="AL1482" s="218"/>
      <c r="AM1482" s="353"/>
      <c r="AN1482" s="295"/>
      <c r="AO1482" s="296"/>
      <c r="AP1482" s="353"/>
      <c r="AQ1482" s="290"/>
      <c r="AR1482" s="290"/>
      <c r="AS1482" s="290"/>
    </row>
    <row r="1483" spans="1:45" ht="17.25" thickBot="1" x14ac:dyDescent="0.3">
      <c r="A1483" s="467"/>
      <c r="B1483" s="354"/>
      <c r="C1483" s="285">
        <v>1146024</v>
      </c>
      <c r="D1483" s="358" t="s">
        <v>399</v>
      </c>
      <c r="E1483" s="360"/>
      <c r="F1483" s="361">
        <f>G1518-AK1483+AL1483</f>
        <v>1</v>
      </c>
      <c r="G1483" s="364"/>
      <c r="H1483" s="397">
        <v>2</v>
      </c>
      <c r="I1483" s="218">
        <v>1</v>
      </c>
      <c r="J1483" s="218"/>
      <c r="K1483" s="218"/>
      <c r="L1483" s="218"/>
      <c r="M1483" s="218"/>
      <c r="N1483" s="218"/>
      <c r="O1483" s="218"/>
      <c r="P1483" s="352"/>
      <c r="Q1483" s="352"/>
      <c r="R1483" s="352"/>
      <c r="S1483" s="352"/>
      <c r="T1483" s="352"/>
      <c r="U1483" s="352"/>
      <c r="V1483" s="218"/>
      <c r="W1483" s="218"/>
      <c r="X1483" s="218"/>
      <c r="Y1483" s="218"/>
      <c r="Z1483" s="218"/>
      <c r="AA1483" s="218"/>
      <c r="AB1483" s="218"/>
      <c r="AC1483" s="218"/>
      <c r="AD1483" s="218"/>
      <c r="AE1483" s="218"/>
      <c r="AF1483" s="218"/>
      <c r="AG1483" s="218"/>
      <c r="AH1483" s="218"/>
      <c r="AI1483" s="218"/>
      <c r="AJ1483" s="218"/>
      <c r="AK1483" s="218"/>
      <c r="AL1483" s="218"/>
      <c r="AM1483" s="353"/>
      <c r="AN1483" s="295"/>
      <c r="AO1483" s="296"/>
      <c r="AP1483" s="353"/>
      <c r="AQ1483" s="290"/>
      <c r="AR1483" s="290"/>
      <c r="AS1483" s="290"/>
    </row>
    <row r="1484" spans="1:45" ht="17.25" thickBot="1" x14ac:dyDescent="0.3">
      <c r="A1484" s="467"/>
      <c r="B1484" s="354"/>
      <c r="C1484" s="285">
        <v>1146028</v>
      </c>
      <c r="D1484" s="358" t="s">
        <v>400</v>
      </c>
      <c r="E1484" s="360"/>
      <c r="F1484" s="361">
        <f>G1519-AK1484+AL1484</f>
        <v>3</v>
      </c>
      <c r="G1484" s="364"/>
      <c r="H1484" s="397">
        <v>2</v>
      </c>
      <c r="I1484" s="218">
        <v>3</v>
      </c>
      <c r="J1484" s="218"/>
      <c r="K1484" s="218"/>
      <c r="L1484" s="218"/>
      <c r="M1484" s="218"/>
      <c r="N1484" s="218"/>
      <c r="O1484" s="218"/>
      <c r="P1484" s="352"/>
      <c r="Q1484" s="352"/>
      <c r="R1484" s="352"/>
      <c r="S1484" s="352"/>
      <c r="T1484" s="352"/>
      <c r="U1484" s="352"/>
      <c r="V1484" s="218"/>
      <c r="W1484" s="218"/>
      <c r="X1484" s="218"/>
      <c r="Y1484" s="218"/>
      <c r="Z1484" s="218"/>
      <c r="AA1484" s="218"/>
      <c r="AB1484" s="218"/>
      <c r="AC1484" s="218"/>
      <c r="AD1484" s="218"/>
      <c r="AE1484" s="218"/>
      <c r="AF1484" s="218"/>
      <c r="AG1484" s="218"/>
      <c r="AH1484" s="218"/>
      <c r="AI1484" s="218"/>
      <c r="AJ1484" s="218"/>
      <c r="AK1484" s="218"/>
      <c r="AL1484" s="218"/>
      <c r="AM1484" s="353"/>
      <c r="AN1484" s="295"/>
      <c r="AO1484" s="296"/>
      <c r="AP1484" s="353"/>
      <c r="AQ1484" s="290"/>
      <c r="AR1484" s="290"/>
      <c r="AS1484" s="290"/>
    </row>
    <row r="1485" spans="1:45" ht="17.25" thickBot="1" x14ac:dyDescent="0.3">
      <c r="A1485" s="467"/>
      <c r="B1485" s="355" t="s">
        <v>419</v>
      </c>
      <c r="C1485" s="356"/>
      <c r="D1485" s="356"/>
      <c r="E1485" s="359"/>
      <c r="F1485" s="359"/>
      <c r="G1485" s="356"/>
      <c r="H1485" s="396"/>
      <c r="I1485" s="356"/>
      <c r="J1485" s="356"/>
      <c r="K1485" s="356"/>
      <c r="L1485" s="356"/>
      <c r="M1485" s="356"/>
      <c r="N1485" s="356"/>
      <c r="O1485" s="356"/>
      <c r="P1485" s="356"/>
      <c r="Q1485" s="356"/>
      <c r="R1485" s="356"/>
      <c r="S1485" s="356"/>
      <c r="T1485" s="356"/>
      <c r="U1485" s="356"/>
      <c r="V1485" s="356"/>
      <c r="W1485" s="356"/>
      <c r="X1485" s="356"/>
      <c r="Y1485" s="356"/>
      <c r="Z1485" s="356"/>
      <c r="AA1485" s="356"/>
      <c r="AB1485" s="356"/>
      <c r="AC1485" s="356"/>
      <c r="AD1485" s="356"/>
      <c r="AE1485" s="356"/>
      <c r="AF1485" s="356"/>
      <c r="AG1485" s="356"/>
      <c r="AH1485" s="356"/>
      <c r="AI1485" s="356"/>
      <c r="AJ1485" s="356"/>
      <c r="AK1485" s="356"/>
      <c r="AL1485" s="356"/>
      <c r="AM1485" s="356"/>
      <c r="AN1485" s="356"/>
      <c r="AO1485" s="356"/>
      <c r="AP1485" s="356"/>
      <c r="AQ1485" s="356"/>
      <c r="AR1485" s="356"/>
      <c r="AS1485" s="357"/>
    </row>
    <row r="1486" spans="1:45" ht="17.25" thickBot="1" x14ac:dyDescent="0.3">
      <c r="A1486" s="467"/>
      <c r="B1486" s="354"/>
      <c r="C1486" s="285">
        <v>1146031</v>
      </c>
      <c r="D1486" s="358" t="s">
        <v>401</v>
      </c>
      <c r="E1486" s="360"/>
      <c r="F1486" s="361">
        <f>G1521-AK1486+AL1486</f>
        <v>2</v>
      </c>
      <c r="G1486" s="364"/>
      <c r="H1486" s="397">
        <v>1</v>
      </c>
      <c r="I1486" s="218">
        <v>1</v>
      </c>
      <c r="J1486" s="218"/>
      <c r="K1486" s="218">
        <v>2</v>
      </c>
      <c r="L1486" s="218"/>
      <c r="M1486" s="218"/>
      <c r="N1486" s="218"/>
      <c r="O1486" s="218"/>
      <c r="P1486" s="352"/>
      <c r="Q1486" s="352"/>
      <c r="R1486" s="352"/>
      <c r="S1486" s="352"/>
      <c r="T1486" s="352"/>
      <c r="U1486" s="352"/>
      <c r="V1486" s="218"/>
      <c r="W1486" s="218"/>
      <c r="X1486" s="218"/>
      <c r="Y1486" s="218"/>
      <c r="Z1486" s="218"/>
      <c r="AA1486" s="218"/>
      <c r="AB1486" s="218"/>
      <c r="AC1486" s="218"/>
      <c r="AD1486" s="218"/>
      <c r="AE1486" s="218"/>
      <c r="AF1486" s="218"/>
      <c r="AG1486" s="218"/>
      <c r="AH1486" s="218"/>
      <c r="AI1486" s="218"/>
      <c r="AJ1486" s="218"/>
      <c r="AK1486" s="218"/>
      <c r="AL1486" s="218"/>
      <c r="AM1486" s="353"/>
      <c r="AN1486" s="295"/>
      <c r="AO1486" s="296"/>
      <c r="AP1486" s="353"/>
      <c r="AQ1486" s="290"/>
      <c r="AR1486" s="290"/>
      <c r="AS1486" s="290"/>
    </row>
    <row r="1487" spans="1:45" ht="17.25" thickBot="1" x14ac:dyDescent="0.3">
      <c r="A1487" s="467"/>
      <c r="B1487" s="354"/>
      <c r="C1487" s="285">
        <v>1146020</v>
      </c>
      <c r="D1487" s="358" t="s">
        <v>402</v>
      </c>
      <c r="E1487" s="360"/>
      <c r="F1487" s="361">
        <f>G1522-AK1487+AL1487</f>
        <v>1</v>
      </c>
      <c r="G1487" s="364"/>
      <c r="H1487" s="397">
        <v>1</v>
      </c>
      <c r="I1487" s="218">
        <v>1</v>
      </c>
      <c r="J1487" s="218"/>
      <c r="K1487" s="218">
        <v>2</v>
      </c>
      <c r="L1487" s="218"/>
      <c r="M1487" s="218"/>
      <c r="N1487" s="218"/>
      <c r="O1487" s="218"/>
      <c r="P1487" s="352"/>
      <c r="Q1487" s="352"/>
      <c r="R1487" s="352"/>
      <c r="S1487" s="352"/>
      <c r="T1487" s="352"/>
      <c r="U1487" s="352"/>
      <c r="V1487" s="218"/>
      <c r="W1487" s="218"/>
      <c r="X1487" s="218"/>
      <c r="Y1487" s="218"/>
      <c r="Z1487" s="218"/>
      <c r="AA1487" s="218"/>
      <c r="AB1487" s="218"/>
      <c r="AC1487" s="218"/>
      <c r="AD1487" s="218"/>
      <c r="AE1487" s="218"/>
      <c r="AF1487" s="218"/>
      <c r="AG1487" s="218"/>
      <c r="AH1487" s="218"/>
      <c r="AI1487" s="218"/>
      <c r="AJ1487" s="218"/>
      <c r="AK1487" s="218"/>
      <c r="AL1487" s="218"/>
      <c r="AM1487" s="353"/>
      <c r="AN1487" s="295"/>
      <c r="AO1487" s="296"/>
      <c r="AP1487" s="353"/>
      <c r="AQ1487" s="290"/>
      <c r="AR1487" s="290"/>
      <c r="AS1487" s="290"/>
    </row>
    <row r="1488" spans="1:45" ht="17.25" thickBot="1" x14ac:dyDescent="0.3">
      <c r="A1488" s="467"/>
      <c r="B1488" s="354"/>
      <c r="C1488" s="285">
        <v>1146016</v>
      </c>
      <c r="D1488" s="358" t="s">
        <v>398</v>
      </c>
      <c r="E1488" s="360"/>
      <c r="F1488" s="361">
        <f>G1523-AK1488+AL1488</f>
        <v>6</v>
      </c>
      <c r="G1488" s="364"/>
      <c r="H1488" s="397">
        <v>1</v>
      </c>
      <c r="I1488" s="218"/>
      <c r="J1488" s="218"/>
      <c r="K1488" s="218">
        <v>2</v>
      </c>
      <c r="L1488" s="218"/>
      <c r="M1488" s="218"/>
      <c r="N1488" s="218"/>
      <c r="O1488" s="218"/>
      <c r="P1488" s="352"/>
      <c r="Q1488" s="352"/>
      <c r="R1488" s="352"/>
      <c r="S1488" s="352"/>
      <c r="T1488" s="352"/>
      <c r="U1488" s="352"/>
      <c r="V1488" s="218"/>
      <c r="W1488" s="218"/>
      <c r="X1488" s="218"/>
      <c r="Y1488" s="218"/>
      <c r="Z1488" s="218"/>
      <c r="AA1488" s="218"/>
      <c r="AB1488" s="218"/>
      <c r="AC1488" s="218"/>
      <c r="AD1488" s="218"/>
      <c r="AE1488" s="218"/>
      <c r="AF1488" s="218"/>
      <c r="AG1488" s="218"/>
      <c r="AH1488" s="218"/>
      <c r="AI1488" s="218"/>
      <c r="AJ1488" s="218"/>
      <c r="AK1488" s="218"/>
      <c r="AL1488" s="218"/>
      <c r="AM1488" s="353"/>
      <c r="AN1488" s="295"/>
      <c r="AO1488" s="296"/>
      <c r="AP1488" s="353"/>
      <c r="AQ1488" s="290"/>
      <c r="AR1488" s="290"/>
      <c r="AS1488" s="290"/>
    </row>
    <row r="1489" spans="1:45" ht="17.25" thickBot="1" x14ac:dyDescent="0.3">
      <c r="A1489" s="467"/>
      <c r="B1489" s="354"/>
      <c r="C1489" s="285">
        <v>1146022</v>
      </c>
      <c r="D1489" s="358" t="s">
        <v>403</v>
      </c>
      <c r="E1489" s="360"/>
      <c r="F1489" s="361">
        <f>G1524-AK1489+AL1489</f>
        <v>0</v>
      </c>
      <c r="G1489" s="364"/>
      <c r="H1489" s="397">
        <v>2</v>
      </c>
      <c r="I1489" s="218"/>
      <c r="J1489" s="218"/>
      <c r="K1489" s="218"/>
      <c r="L1489" s="218"/>
      <c r="M1489" s="218"/>
      <c r="N1489" s="218"/>
      <c r="O1489" s="218"/>
      <c r="P1489" s="352"/>
      <c r="Q1489" s="352"/>
      <c r="R1489" s="352"/>
      <c r="S1489" s="352"/>
      <c r="T1489" s="352"/>
      <c r="U1489" s="352"/>
      <c r="V1489" s="218"/>
      <c r="W1489" s="218"/>
      <c r="X1489" s="218"/>
      <c r="Y1489" s="218"/>
      <c r="Z1489" s="218"/>
      <c r="AA1489" s="218"/>
      <c r="AB1489" s="218"/>
      <c r="AC1489" s="218"/>
      <c r="AD1489" s="218"/>
      <c r="AE1489" s="218"/>
      <c r="AF1489" s="218"/>
      <c r="AG1489" s="218"/>
      <c r="AH1489" s="218"/>
      <c r="AI1489" s="218"/>
      <c r="AJ1489" s="218"/>
      <c r="AK1489" s="218"/>
      <c r="AL1489" s="218"/>
      <c r="AM1489" s="353"/>
      <c r="AN1489" s="295"/>
      <c r="AO1489" s="296"/>
      <c r="AP1489" s="353"/>
      <c r="AQ1489" s="290"/>
      <c r="AR1489" s="290"/>
      <c r="AS1489" s="290"/>
    </row>
    <row r="1490" spans="1:45" ht="17.25" thickBot="1" x14ac:dyDescent="0.3">
      <c r="A1490" s="467"/>
      <c r="B1490" s="354"/>
      <c r="C1490" s="285">
        <v>1146027</v>
      </c>
      <c r="D1490" s="358" t="s">
        <v>404</v>
      </c>
      <c r="E1490" s="360"/>
      <c r="F1490" s="361">
        <f>G1525-AK1490+AL1490</f>
        <v>2</v>
      </c>
      <c r="G1490" s="364"/>
      <c r="H1490" s="397">
        <v>2</v>
      </c>
      <c r="I1490" s="218">
        <v>3</v>
      </c>
      <c r="J1490" s="218"/>
      <c r="K1490" s="218">
        <v>1</v>
      </c>
      <c r="L1490" s="218"/>
      <c r="M1490" s="218"/>
      <c r="N1490" s="218"/>
      <c r="O1490" s="218"/>
      <c r="P1490" s="352"/>
      <c r="Q1490" s="352"/>
      <c r="R1490" s="352"/>
      <c r="S1490" s="352"/>
      <c r="T1490" s="352"/>
      <c r="U1490" s="352"/>
      <c r="V1490" s="218"/>
      <c r="W1490" s="218"/>
      <c r="X1490" s="218"/>
      <c r="Y1490" s="218"/>
      <c r="Z1490" s="218"/>
      <c r="AA1490" s="218"/>
      <c r="AB1490" s="218"/>
      <c r="AC1490" s="218"/>
      <c r="AD1490" s="218"/>
      <c r="AE1490" s="218"/>
      <c r="AF1490" s="218"/>
      <c r="AG1490" s="218"/>
      <c r="AH1490" s="218"/>
      <c r="AI1490" s="218"/>
      <c r="AJ1490" s="218"/>
      <c r="AK1490" s="218"/>
      <c r="AL1490" s="218"/>
      <c r="AM1490" s="353"/>
      <c r="AN1490" s="295"/>
      <c r="AO1490" s="296"/>
      <c r="AP1490" s="353"/>
      <c r="AQ1490" s="290"/>
      <c r="AR1490" s="290"/>
      <c r="AS1490" s="290"/>
    </row>
    <row r="1491" spans="1:45" ht="17.25" thickBot="1" x14ac:dyDescent="0.3">
      <c r="A1491" s="467"/>
      <c r="B1491" s="355" t="s">
        <v>418</v>
      </c>
      <c r="C1491" s="356"/>
      <c r="D1491" s="356"/>
      <c r="E1491" s="359"/>
      <c r="F1491" s="359"/>
      <c r="G1491" s="356"/>
      <c r="H1491" s="396"/>
      <c r="I1491" s="356"/>
      <c r="J1491" s="356"/>
      <c r="K1491" s="356"/>
      <c r="L1491" s="356"/>
      <c r="M1491" s="356"/>
      <c r="N1491" s="356"/>
      <c r="O1491" s="356"/>
      <c r="P1491" s="356"/>
      <c r="Q1491" s="356"/>
      <c r="R1491" s="356"/>
      <c r="S1491" s="356"/>
      <c r="T1491" s="356"/>
      <c r="U1491" s="356"/>
      <c r="V1491" s="356"/>
      <c r="W1491" s="356"/>
      <c r="X1491" s="356"/>
      <c r="Y1491" s="356"/>
      <c r="Z1491" s="356"/>
      <c r="AA1491" s="356"/>
      <c r="AB1491" s="356"/>
      <c r="AC1491" s="356"/>
      <c r="AD1491" s="356"/>
      <c r="AE1491" s="356"/>
      <c r="AF1491" s="356"/>
      <c r="AG1491" s="356"/>
      <c r="AH1491" s="356"/>
      <c r="AI1491" s="356"/>
      <c r="AJ1491" s="356"/>
      <c r="AK1491" s="356"/>
      <c r="AL1491" s="356"/>
      <c r="AM1491" s="356"/>
      <c r="AN1491" s="356"/>
      <c r="AO1491" s="356"/>
      <c r="AP1491" s="356"/>
      <c r="AQ1491" s="356"/>
      <c r="AR1491" s="356"/>
      <c r="AS1491" s="357"/>
    </row>
    <row r="1492" spans="1:45" ht="17.25" thickBot="1" x14ac:dyDescent="0.3">
      <c r="A1492" s="467"/>
      <c r="B1492" s="354"/>
      <c r="C1492" s="285">
        <v>1151653</v>
      </c>
      <c r="D1492" s="358" t="s">
        <v>405</v>
      </c>
      <c r="E1492" s="360"/>
      <c r="F1492" s="361">
        <f>G1527-AK1492+AL1492</f>
        <v>0</v>
      </c>
      <c r="G1492" s="364"/>
      <c r="H1492" s="397">
        <v>1</v>
      </c>
      <c r="I1492" s="218">
        <v>1</v>
      </c>
      <c r="J1492" s="218"/>
      <c r="K1492" s="218"/>
      <c r="L1492" s="218"/>
      <c r="M1492" s="218"/>
      <c r="N1492" s="218"/>
      <c r="O1492" s="218"/>
      <c r="P1492" s="352"/>
      <c r="Q1492" s="352"/>
      <c r="R1492" s="352"/>
      <c r="S1492" s="352"/>
      <c r="T1492" s="352"/>
      <c r="U1492" s="352"/>
      <c r="V1492" s="218"/>
      <c r="W1492" s="218"/>
      <c r="X1492" s="218"/>
      <c r="Y1492" s="218"/>
      <c r="Z1492" s="218"/>
      <c r="AA1492" s="218"/>
      <c r="AB1492" s="218"/>
      <c r="AC1492" s="218"/>
      <c r="AD1492" s="218"/>
      <c r="AE1492" s="218"/>
      <c r="AF1492" s="218"/>
      <c r="AG1492" s="218"/>
      <c r="AH1492" s="218"/>
      <c r="AI1492" s="218"/>
      <c r="AJ1492" s="218"/>
      <c r="AK1492" s="218"/>
      <c r="AL1492" s="218"/>
      <c r="AM1492" s="353"/>
      <c r="AN1492" s="295"/>
      <c r="AO1492" s="296"/>
      <c r="AP1492" s="353"/>
      <c r="AQ1492" s="290"/>
      <c r="AR1492" s="290"/>
      <c r="AS1492" s="290"/>
    </row>
    <row r="1493" spans="1:45" ht="17.25" thickBot="1" x14ac:dyDescent="0.3">
      <c r="A1493" s="467"/>
      <c r="B1493" s="354"/>
      <c r="C1493" s="285">
        <v>1151650</v>
      </c>
      <c r="D1493" s="358" t="s">
        <v>406</v>
      </c>
      <c r="E1493" s="360"/>
      <c r="F1493" s="361">
        <f>G1528-AK1493+AL1493</f>
        <v>1</v>
      </c>
      <c r="G1493" s="364"/>
      <c r="H1493" s="397">
        <v>2</v>
      </c>
      <c r="I1493" s="218">
        <v>1</v>
      </c>
      <c r="J1493" s="218"/>
      <c r="K1493" s="218">
        <v>4</v>
      </c>
      <c r="L1493" s="218"/>
      <c r="M1493" s="218"/>
      <c r="N1493" s="218"/>
      <c r="O1493" s="218"/>
      <c r="P1493" s="352"/>
      <c r="Q1493" s="352"/>
      <c r="R1493" s="352"/>
      <c r="S1493" s="352"/>
      <c r="T1493" s="352"/>
      <c r="U1493" s="352"/>
      <c r="V1493" s="218"/>
      <c r="W1493" s="218"/>
      <c r="X1493" s="218"/>
      <c r="Y1493" s="218"/>
      <c r="Z1493" s="218"/>
      <c r="AA1493" s="218"/>
      <c r="AB1493" s="218"/>
      <c r="AC1493" s="218"/>
      <c r="AD1493" s="218"/>
      <c r="AE1493" s="218"/>
      <c r="AF1493" s="218"/>
      <c r="AG1493" s="218"/>
      <c r="AH1493" s="218"/>
      <c r="AI1493" s="218"/>
      <c r="AJ1493" s="218"/>
      <c r="AK1493" s="218"/>
      <c r="AL1493" s="218"/>
      <c r="AM1493" s="353"/>
      <c r="AN1493" s="295"/>
      <c r="AO1493" s="296"/>
      <c r="AP1493" s="353"/>
      <c r="AQ1493" s="290"/>
      <c r="AR1493" s="290"/>
      <c r="AS1493" s="290"/>
    </row>
    <row r="1494" spans="1:45" ht="17.25" thickBot="1" x14ac:dyDescent="0.3">
      <c r="A1494" s="467"/>
      <c r="B1494" s="354"/>
      <c r="C1494" s="285">
        <v>1151649</v>
      </c>
      <c r="D1494" s="358" t="s">
        <v>407</v>
      </c>
      <c r="E1494" s="360"/>
      <c r="F1494" s="361">
        <f>G1529-AK1494+AL1494</f>
        <v>2</v>
      </c>
      <c r="G1494" s="364"/>
      <c r="H1494" s="397">
        <v>4</v>
      </c>
      <c r="I1494" s="218"/>
      <c r="J1494" s="218"/>
      <c r="K1494" s="218">
        <v>2</v>
      </c>
      <c r="L1494" s="218"/>
      <c r="M1494" s="218"/>
      <c r="N1494" s="218"/>
      <c r="O1494" s="218"/>
      <c r="P1494" s="352"/>
      <c r="Q1494" s="352"/>
      <c r="R1494" s="352"/>
      <c r="S1494" s="352"/>
      <c r="T1494" s="352"/>
      <c r="U1494" s="352"/>
      <c r="V1494" s="218"/>
      <c r="W1494" s="218"/>
      <c r="X1494" s="218"/>
      <c r="Y1494" s="218"/>
      <c r="Z1494" s="218"/>
      <c r="AA1494" s="218"/>
      <c r="AB1494" s="218"/>
      <c r="AC1494" s="218"/>
      <c r="AD1494" s="218"/>
      <c r="AE1494" s="218"/>
      <c r="AF1494" s="218"/>
      <c r="AG1494" s="218"/>
      <c r="AH1494" s="218"/>
      <c r="AI1494" s="218"/>
      <c r="AJ1494" s="218"/>
      <c r="AK1494" s="218"/>
      <c r="AL1494" s="218"/>
      <c r="AM1494" s="353"/>
      <c r="AN1494" s="295"/>
      <c r="AO1494" s="296"/>
      <c r="AP1494" s="353"/>
      <c r="AQ1494" s="290"/>
      <c r="AR1494" s="290"/>
      <c r="AS1494" s="290"/>
    </row>
    <row r="1495" spans="1:45" ht="17.25" thickBot="1" x14ac:dyDescent="0.3">
      <c r="A1495" s="467"/>
      <c r="B1495" s="354"/>
      <c r="C1495" s="285">
        <v>1151651</v>
      </c>
      <c r="D1495" s="358" t="s">
        <v>408</v>
      </c>
      <c r="E1495" s="360"/>
      <c r="F1495" s="361">
        <f>G1530-AK1495+AL1495</f>
        <v>0</v>
      </c>
      <c r="G1495" s="364"/>
      <c r="H1495" s="397">
        <v>1</v>
      </c>
      <c r="I1495" s="218"/>
      <c r="J1495" s="218"/>
      <c r="K1495" s="218"/>
      <c r="L1495" s="218"/>
      <c r="M1495" s="218"/>
      <c r="N1495" s="218"/>
      <c r="O1495" s="218"/>
      <c r="P1495" s="352"/>
      <c r="Q1495" s="352"/>
      <c r="R1495" s="352"/>
      <c r="S1495" s="352"/>
      <c r="T1495" s="352"/>
      <c r="U1495" s="352"/>
      <c r="V1495" s="218"/>
      <c r="W1495" s="218"/>
      <c r="X1495" s="218"/>
      <c r="Y1495" s="218"/>
      <c r="Z1495" s="218"/>
      <c r="AA1495" s="218"/>
      <c r="AB1495" s="218"/>
      <c r="AC1495" s="218"/>
      <c r="AD1495" s="218"/>
      <c r="AE1495" s="218"/>
      <c r="AF1495" s="218"/>
      <c r="AG1495" s="218"/>
      <c r="AH1495" s="218"/>
      <c r="AI1495" s="218"/>
      <c r="AJ1495" s="218"/>
      <c r="AK1495" s="218"/>
      <c r="AL1495" s="218"/>
      <c r="AM1495" s="353"/>
      <c r="AN1495" s="295"/>
      <c r="AO1495" s="296"/>
      <c r="AP1495" s="353"/>
      <c r="AQ1495" s="290"/>
      <c r="AR1495" s="290"/>
      <c r="AS1495" s="290"/>
    </row>
    <row r="1496" spans="1:45" ht="17.25" thickBot="1" x14ac:dyDescent="0.3">
      <c r="A1496" s="467"/>
      <c r="B1496" s="354"/>
      <c r="C1496" s="285">
        <v>1146029</v>
      </c>
      <c r="D1496" s="358" t="s">
        <v>409</v>
      </c>
      <c r="E1496" s="360"/>
      <c r="F1496" s="361">
        <f>G1531-AK1496+AL1496</f>
        <v>1</v>
      </c>
      <c r="G1496" s="364"/>
      <c r="H1496" s="397">
        <v>2</v>
      </c>
      <c r="I1496" s="218">
        <v>2</v>
      </c>
      <c r="J1496" s="218"/>
      <c r="K1496" s="218"/>
      <c r="L1496" s="218"/>
      <c r="M1496" s="218"/>
      <c r="N1496" s="218"/>
      <c r="O1496" s="218"/>
      <c r="P1496" s="352"/>
      <c r="Q1496" s="352"/>
      <c r="R1496" s="352"/>
      <c r="S1496" s="352"/>
      <c r="T1496" s="352"/>
      <c r="U1496" s="352"/>
      <c r="V1496" s="218"/>
      <c r="W1496" s="218"/>
      <c r="X1496" s="218"/>
      <c r="Y1496" s="218"/>
      <c r="Z1496" s="218"/>
      <c r="AA1496" s="218"/>
      <c r="AB1496" s="218"/>
      <c r="AC1496" s="218"/>
      <c r="AD1496" s="218"/>
      <c r="AE1496" s="218"/>
      <c r="AF1496" s="218"/>
      <c r="AG1496" s="218"/>
      <c r="AH1496" s="218"/>
      <c r="AI1496" s="218"/>
      <c r="AJ1496" s="218"/>
      <c r="AK1496" s="218"/>
      <c r="AL1496" s="218"/>
      <c r="AM1496" s="353"/>
      <c r="AN1496" s="295"/>
      <c r="AO1496" s="296"/>
      <c r="AP1496" s="353"/>
      <c r="AQ1496" s="290"/>
      <c r="AR1496" s="290"/>
      <c r="AS1496" s="290"/>
    </row>
    <row r="1497" spans="1:45" ht="17.25" thickBot="1" x14ac:dyDescent="0.3">
      <c r="A1497" s="467"/>
      <c r="B1497" s="355" t="s">
        <v>410</v>
      </c>
      <c r="C1497" s="356"/>
      <c r="D1497" s="356"/>
      <c r="E1497" s="359"/>
      <c r="F1497" s="359"/>
      <c r="G1497" s="356"/>
      <c r="H1497" s="396"/>
      <c r="I1497" s="356"/>
      <c r="J1497" s="356"/>
      <c r="K1497" s="356"/>
      <c r="L1497" s="356"/>
      <c r="M1497" s="356"/>
      <c r="N1497" s="356"/>
      <c r="O1497" s="356"/>
      <c r="P1497" s="356"/>
      <c r="Q1497" s="356"/>
      <c r="R1497" s="356"/>
      <c r="S1497" s="356"/>
      <c r="T1497" s="356"/>
      <c r="U1497" s="356"/>
      <c r="V1497" s="356"/>
      <c r="W1497" s="356"/>
      <c r="X1497" s="356"/>
      <c r="Y1497" s="356"/>
      <c r="Z1497" s="356"/>
      <c r="AA1497" s="356"/>
      <c r="AB1497" s="356"/>
      <c r="AC1497" s="356"/>
      <c r="AD1497" s="356"/>
      <c r="AE1497" s="356"/>
      <c r="AF1497" s="356"/>
      <c r="AG1497" s="356"/>
      <c r="AH1497" s="356"/>
      <c r="AI1497" s="356"/>
      <c r="AJ1497" s="356"/>
      <c r="AK1497" s="356"/>
      <c r="AL1497" s="356"/>
      <c r="AM1497" s="356"/>
      <c r="AN1497" s="356"/>
      <c r="AO1497" s="356"/>
      <c r="AP1497" s="356"/>
      <c r="AQ1497" s="356"/>
      <c r="AR1497" s="356"/>
      <c r="AS1497" s="357"/>
    </row>
    <row r="1498" spans="1:45" ht="17.25" thickBot="1" x14ac:dyDescent="0.3">
      <c r="A1498" s="467"/>
      <c r="B1498" s="354"/>
      <c r="C1498" s="285">
        <v>1699118</v>
      </c>
      <c r="D1498" s="358" t="s">
        <v>411</v>
      </c>
      <c r="E1498" s="360"/>
      <c r="F1498" s="361">
        <f>G1533-AK1498+AL1498</f>
        <v>0</v>
      </c>
      <c r="G1498" s="364"/>
      <c r="H1498" s="397">
        <v>1</v>
      </c>
      <c r="I1498" s="218"/>
      <c r="J1498" s="218"/>
      <c r="K1498" s="218"/>
      <c r="L1498" s="218"/>
      <c r="M1498" s="218"/>
      <c r="N1498" s="218"/>
      <c r="O1498" s="218"/>
      <c r="P1498" s="352"/>
      <c r="Q1498" s="352"/>
      <c r="R1498" s="352"/>
      <c r="S1498" s="352"/>
      <c r="T1498" s="352"/>
      <c r="U1498" s="352"/>
      <c r="V1498" s="218"/>
      <c r="W1498" s="218"/>
      <c r="X1498" s="218"/>
      <c r="Y1498" s="218"/>
      <c r="Z1498" s="218"/>
      <c r="AA1498" s="218"/>
      <c r="AB1498" s="218"/>
      <c r="AC1498" s="218"/>
      <c r="AD1498" s="218"/>
      <c r="AE1498" s="218"/>
      <c r="AF1498" s="218"/>
      <c r="AG1498" s="218"/>
      <c r="AH1498" s="218"/>
      <c r="AI1498" s="218"/>
      <c r="AJ1498" s="218"/>
      <c r="AK1498" s="218"/>
      <c r="AL1498" s="218"/>
      <c r="AM1498" s="353"/>
      <c r="AN1498" s="295"/>
      <c r="AO1498" s="296"/>
      <c r="AP1498" s="353"/>
      <c r="AQ1498" s="290"/>
      <c r="AR1498" s="290"/>
      <c r="AS1498" s="290"/>
    </row>
    <row r="1499" spans="1:45" ht="17.25" thickBot="1" x14ac:dyDescent="0.3">
      <c r="A1499" s="467"/>
      <c r="B1499" s="354"/>
      <c r="C1499" s="285">
        <v>1699119</v>
      </c>
      <c r="D1499" s="358" t="s">
        <v>412</v>
      </c>
      <c r="E1499" s="360"/>
      <c r="F1499" s="361">
        <f>G1534-AK1499+AL1499</f>
        <v>0</v>
      </c>
      <c r="G1499" s="364"/>
      <c r="H1499" s="397">
        <v>1</v>
      </c>
      <c r="I1499" s="218"/>
      <c r="J1499" s="218"/>
      <c r="K1499" s="218"/>
      <c r="L1499" s="218"/>
      <c r="M1499" s="218"/>
      <c r="N1499" s="218"/>
      <c r="O1499" s="218"/>
      <c r="P1499" s="352"/>
      <c r="Q1499" s="352"/>
      <c r="R1499" s="352"/>
      <c r="S1499" s="352"/>
      <c r="T1499" s="352"/>
      <c r="U1499" s="352"/>
      <c r="V1499" s="218"/>
      <c r="W1499" s="218"/>
      <c r="X1499" s="218"/>
      <c r="Y1499" s="218"/>
      <c r="Z1499" s="218"/>
      <c r="AA1499" s="218"/>
      <c r="AB1499" s="218"/>
      <c r="AC1499" s="218"/>
      <c r="AD1499" s="218"/>
      <c r="AE1499" s="218"/>
      <c r="AF1499" s="218"/>
      <c r="AG1499" s="218"/>
      <c r="AH1499" s="218"/>
      <c r="AI1499" s="218"/>
      <c r="AJ1499" s="218"/>
      <c r="AK1499" s="218"/>
      <c r="AL1499" s="218"/>
      <c r="AM1499" s="353"/>
      <c r="AN1499" s="295"/>
      <c r="AO1499" s="296"/>
      <c r="AP1499" s="353"/>
      <c r="AQ1499" s="290"/>
      <c r="AR1499" s="290"/>
      <c r="AS1499" s="290"/>
    </row>
    <row r="1500" spans="1:45" ht="17.25" thickBot="1" x14ac:dyDescent="0.3">
      <c r="A1500" s="467"/>
      <c r="B1500" s="354"/>
      <c r="C1500" s="285">
        <v>1699130</v>
      </c>
      <c r="D1500" s="358" t="s">
        <v>413</v>
      </c>
      <c r="E1500" s="360"/>
      <c r="F1500" s="361">
        <f>G1535-AK1500+AL1500</f>
        <v>0</v>
      </c>
      <c r="G1500" s="364"/>
      <c r="H1500" s="397">
        <v>4</v>
      </c>
      <c r="I1500" s="218"/>
      <c r="J1500" s="218"/>
      <c r="K1500" s="218"/>
      <c r="L1500" s="218"/>
      <c r="M1500" s="218"/>
      <c r="N1500" s="218"/>
      <c r="O1500" s="218"/>
      <c r="P1500" s="352"/>
      <c r="Q1500" s="352"/>
      <c r="R1500" s="352"/>
      <c r="S1500" s="352"/>
      <c r="T1500" s="352"/>
      <c r="U1500" s="352"/>
      <c r="V1500" s="218"/>
      <c r="W1500" s="218"/>
      <c r="X1500" s="218"/>
      <c r="Y1500" s="218"/>
      <c r="Z1500" s="218"/>
      <c r="AA1500" s="218"/>
      <c r="AB1500" s="218"/>
      <c r="AC1500" s="218"/>
      <c r="AD1500" s="218"/>
      <c r="AE1500" s="218"/>
      <c r="AF1500" s="218"/>
      <c r="AG1500" s="218"/>
      <c r="AH1500" s="218"/>
      <c r="AI1500" s="218"/>
      <c r="AJ1500" s="218"/>
      <c r="AK1500" s="218"/>
      <c r="AL1500" s="218"/>
      <c r="AM1500" s="353"/>
      <c r="AN1500" s="295"/>
      <c r="AO1500" s="296"/>
      <c r="AP1500" s="353"/>
      <c r="AQ1500" s="290"/>
      <c r="AR1500" s="290"/>
      <c r="AS1500" s="290"/>
    </row>
    <row r="1501" spans="1:45" ht="17.25" thickBot="1" x14ac:dyDescent="0.3">
      <c r="A1501" s="467"/>
      <c r="B1501" s="354"/>
      <c r="C1501" s="285">
        <v>1699131</v>
      </c>
      <c r="D1501" s="358" t="s">
        <v>414</v>
      </c>
      <c r="E1501" s="360"/>
      <c r="F1501" s="361">
        <f>G1536-AK1501+AL1501</f>
        <v>0</v>
      </c>
      <c r="G1501" s="364"/>
      <c r="H1501" s="397">
        <v>3</v>
      </c>
      <c r="I1501" s="218">
        <v>2</v>
      </c>
      <c r="J1501" s="218"/>
      <c r="K1501" s="218"/>
      <c r="L1501" s="218"/>
      <c r="M1501" s="218"/>
      <c r="N1501" s="218"/>
      <c r="O1501" s="218"/>
      <c r="P1501" s="352"/>
      <c r="Q1501" s="352"/>
      <c r="R1501" s="352"/>
      <c r="S1501" s="352"/>
      <c r="T1501" s="352"/>
      <c r="U1501" s="352"/>
      <c r="V1501" s="218"/>
      <c r="W1501" s="218"/>
      <c r="X1501" s="218"/>
      <c r="Y1501" s="218"/>
      <c r="Z1501" s="218"/>
      <c r="AA1501" s="218"/>
      <c r="AB1501" s="218"/>
      <c r="AC1501" s="218"/>
      <c r="AD1501" s="218"/>
      <c r="AE1501" s="218"/>
      <c r="AF1501" s="218"/>
      <c r="AG1501" s="218"/>
      <c r="AH1501" s="218"/>
      <c r="AI1501" s="218"/>
      <c r="AJ1501" s="218"/>
      <c r="AK1501" s="218"/>
      <c r="AL1501" s="218"/>
      <c r="AM1501" s="353"/>
      <c r="AN1501" s="295"/>
      <c r="AO1501" s="296"/>
      <c r="AP1501" s="353"/>
      <c r="AQ1501" s="290"/>
      <c r="AR1501" s="290"/>
      <c r="AS1501" s="290"/>
    </row>
    <row r="1502" spans="1:45" ht="17.25" thickBot="1" x14ac:dyDescent="0.3">
      <c r="A1502" s="468"/>
      <c r="B1502" s="354"/>
      <c r="C1502" s="285">
        <v>1699132</v>
      </c>
      <c r="D1502" s="358" t="s">
        <v>415</v>
      </c>
      <c r="E1502" s="285"/>
      <c r="F1502" s="362">
        <f>G1537-AK1502+AL1502</f>
        <v>0</v>
      </c>
      <c r="G1502" s="364"/>
      <c r="H1502" s="397">
        <v>3</v>
      </c>
      <c r="I1502" s="218"/>
      <c r="J1502" s="218"/>
      <c r="K1502" s="218"/>
      <c r="L1502" s="218"/>
      <c r="M1502" s="218"/>
      <c r="N1502" s="218"/>
      <c r="O1502" s="218"/>
      <c r="P1502" s="352"/>
      <c r="Q1502" s="352"/>
      <c r="R1502" s="352"/>
      <c r="S1502" s="352"/>
      <c r="T1502" s="352"/>
      <c r="U1502" s="352"/>
      <c r="V1502" s="218"/>
      <c r="W1502" s="218"/>
      <c r="X1502" s="218"/>
      <c r="Y1502" s="218"/>
      <c r="Z1502" s="218"/>
      <c r="AA1502" s="218"/>
      <c r="AB1502" s="218"/>
      <c r="AC1502" s="218"/>
      <c r="AD1502" s="218"/>
      <c r="AE1502" s="218"/>
      <c r="AF1502" s="218"/>
      <c r="AG1502" s="218"/>
      <c r="AH1502" s="218"/>
      <c r="AI1502" s="218"/>
      <c r="AJ1502" s="218"/>
      <c r="AK1502" s="218"/>
      <c r="AL1502" s="218"/>
      <c r="AM1502" s="353"/>
      <c r="AN1502" s="295"/>
      <c r="AO1502" s="296"/>
      <c r="AP1502" s="353"/>
      <c r="AQ1502" s="290"/>
      <c r="AR1502" s="290"/>
      <c r="AS1502" s="290"/>
    </row>
    <row r="1503" spans="1:45" x14ac:dyDescent="0.25">
      <c r="AL1503" s="290"/>
      <c r="AM1503" s="290"/>
      <c r="AN1503" s="290"/>
      <c r="AO1503" s="290"/>
      <c r="AP1503" s="290"/>
      <c r="AQ1503" s="290"/>
      <c r="AR1503" s="290"/>
    </row>
    <row r="1504" spans="1:45" ht="14.25" thickBot="1" x14ac:dyDescent="0.3">
      <c r="B1504" s="338" t="s">
        <v>18</v>
      </c>
      <c r="C1504" s="339">
        <v>45551</v>
      </c>
      <c r="AL1504" s="290"/>
      <c r="AM1504" s="290"/>
      <c r="AN1504" s="290"/>
      <c r="AO1504" s="290"/>
      <c r="AP1504" s="290"/>
      <c r="AQ1504" s="290"/>
      <c r="AR1504" s="290"/>
    </row>
    <row r="1505" spans="1:45" ht="41.25" thickBot="1" x14ac:dyDescent="0.3">
      <c r="B1505" s="283" t="s">
        <v>0</v>
      </c>
      <c r="C1505" s="284" t="s">
        <v>1</v>
      </c>
      <c r="D1505" s="284" t="s">
        <v>2</v>
      </c>
      <c r="E1505" s="284" t="s">
        <v>3</v>
      </c>
      <c r="F1505" s="4" t="s">
        <v>318</v>
      </c>
      <c r="G1505" s="351" t="s">
        <v>4</v>
      </c>
      <c r="H1505" s="382" t="s">
        <v>460</v>
      </c>
      <c r="I1505" s="234" t="s">
        <v>447</v>
      </c>
      <c r="J1505" s="234"/>
      <c r="K1505" s="258" t="s">
        <v>448</v>
      </c>
      <c r="L1505" s="258" t="s">
        <v>328</v>
      </c>
      <c r="M1505" s="258" t="s">
        <v>327</v>
      </c>
      <c r="N1505" s="234" t="s">
        <v>389</v>
      </c>
      <c r="O1505" s="240" t="s">
        <v>130</v>
      </c>
      <c r="P1505" s="243" t="s">
        <v>303</v>
      </c>
      <c r="Q1505" s="244" t="s">
        <v>304</v>
      </c>
      <c r="R1505" s="244" t="s">
        <v>314</v>
      </c>
      <c r="S1505" s="245" t="s">
        <v>338</v>
      </c>
      <c r="T1505" s="245" t="s">
        <v>345</v>
      </c>
      <c r="U1505" s="245" t="s">
        <v>361</v>
      </c>
      <c r="V1505" s="245" t="s">
        <v>387</v>
      </c>
      <c r="W1505" s="245" t="s">
        <v>421</v>
      </c>
      <c r="X1505" s="245" t="s">
        <v>451</v>
      </c>
      <c r="Y1505" s="245"/>
      <c r="Z1505" s="245"/>
      <c r="AA1505" s="245"/>
      <c r="AB1505" s="245"/>
      <c r="AC1505" s="245"/>
      <c r="AD1505" s="245"/>
      <c r="AE1505" s="245"/>
      <c r="AF1505" s="245"/>
      <c r="AG1505" s="245"/>
      <c r="AH1505" s="245"/>
      <c r="AI1505" s="245"/>
      <c r="AJ1505" s="245" t="s">
        <v>360</v>
      </c>
      <c r="AK1505" s="246" t="s">
        <v>268</v>
      </c>
      <c r="AL1505" s="247" t="s">
        <v>269</v>
      </c>
      <c r="AM1505" s="291" t="s">
        <v>288</v>
      </c>
      <c r="AN1505" s="292" t="s">
        <v>289</v>
      </c>
      <c r="AO1505" s="292" t="s">
        <v>287</v>
      </c>
      <c r="AP1505" s="293" t="s">
        <v>290</v>
      </c>
      <c r="AQ1505" s="290" t="s">
        <v>306</v>
      </c>
      <c r="AR1505" s="290" t="s">
        <v>310</v>
      </c>
      <c r="AS1505" s="290" t="s">
        <v>311</v>
      </c>
    </row>
    <row r="1506" spans="1:45" ht="17.25" thickBot="1" x14ac:dyDescent="0.3">
      <c r="A1506" s="463" t="s">
        <v>416</v>
      </c>
      <c r="B1506" s="285">
        <v>273664</v>
      </c>
      <c r="C1506" s="286">
        <v>1135749</v>
      </c>
      <c r="D1506" s="286" t="s">
        <v>7</v>
      </c>
      <c r="E1506" s="286">
        <v>6060050026</v>
      </c>
      <c r="F1506" s="253">
        <f>G1541-AK1506+AL1506</f>
        <v>4</v>
      </c>
      <c r="G1506" s="235">
        <v>4</v>
      </c>
      <c r="H1506" s="394">
        <v>5</v>
      </c>
      <c r="I1506" s="232">
        <v>4</v>
      </c>
      <c r="J1506" s="232"/>
      <c r="K1506" s="232">
        <v>3</v>
      </c>
      <c r="L1506" s="232">
        <f>IF(K1540=K1505,L1541+AK1506,K1506)</f>
        <v>3</v>
      </c>
      <c r="M1506" s="232">
        <f>IF(K1540=K1505,0,L1541+AK1506-K1506)</f>
        <v>0</v>
      </c>
      <c r="N1506" s="267">
        <v>5</v>
      </c>
      <c r="O1506" s="241">
        <f>N1506-G1506</f>
        <v>1</v>
      </c>
      <c r="P1506" s="277">
        <v>4</v>
      </c>
      <c r="Q1506" s="278">
        <v>4</v>
      </c>
      <c r="R1506" s="279"/>
      <c r="S1506" s="279">
        <v>3</v>
      </c>
      <c r="T1506" s="279">
        <v>4</v>
      </c>
      <c r="U1506" s="279">
        <v>2</v>
      </c>
      <c r="V1506" s="279"/>
      <c r="W1506" s="279">
        <f>2+3</f>
        <v>5</v>
      </c>
      <c r="X1506" s="370"/>
      <c r="Y1506" s="370"/>
      <c r="Z1506" s="370"/>
      <c r="AA1506" s="370"/>
      <c r="AB1506" s="370"/>
      <c r="AC1506" s="370"/>
      <c r="AD1506" s="370"/>
      <c r="AE1506" s="370"/>
      <c r="AF1506" s="370"/>
      <c r="AG1506" s="370"/>
      <c r="AH1506" s="370"/>
      <c r="AI1506" s="370"/>
      <c r="AJ1506" s="241">
        <f>N1506-V1506</f>
        <v>5</v>
      </c>
      <c r="AK1506" s="235">
        <f>G1541+AL1506-G1506</f>
        <v>0</v>
      </c>
      <c r="AL1506" s="350"/>
      <c r="AM1506" s="294">
        <v>1.5</v>
      </c>
      <c r="AN1506" s="295">
        <v>4</v>
      </c>
      <c r="AO1506" s="296">
        <f>G1506/(AN1506)</f>
        <v>1</v>
      </c>
      <c r="AP1506" s="297">
        <f>AN1506*6</f>
        <v>24</v>
      </c>
      <c r="AQ1506" s="290">
        <f>G1506+K1506</f>
        <v>7</v>
      </c>
      <c r="AR1506" s="290">
        <f>IF(G1506&lt;G1541,(G1541-G1506+K1541-K1506),K1541-K1506)</f>
        <v>0</v>
      </c>
      <c r="AS1506" s="290">
        <f>21-8</f>
        <v>13</v>
      </c>
    </row>
    <row r="1507" spans="1:45" ht="17.25" thickBot="1" x14ac:dyDescent="0.3">
      <c r="A1507" s="464"/>
      <c r="B1507" s="285">
        <v>273672</v>
      </c>
      <c r="C1507" s="286">
        <v>1135750</v>
      </c>
      <c r="D1507" s="286" t="s">
        <v>9</v>
      </c>
      <c r="E1507" s="287">
        <v>204000000000</v>
      </c>
      <c r="F1507" s="253">
        <f>G1542-AK1507+AL1507</f>
        <v>5</v>
      </c>
      <c r="G1507" s="235">
        <v>5</v>
      </c>
      <c r="H1507" s="394">
        <v>16</v>
      </c>
      <c r="I1507" s="232">
        <v>5</v>
      </c>
      <c r="J1507" s="232"/>
      <c r="K1507" s="232">
        <v>7</v>
      </c>
      <c r="L1507" s="232">
        <f>IF(K1540=K1505,L1542+AK1507,K1507)</f>
        <v>7</v>
      </c>
      <c r="M1507" s="232">
        <f>IF(K1540=K1505,0,L1542+AK1507-K1507)</f>
        <v>0</v>
      </c>
      <c r="N1507" s="267">
        <v>10</v>
      </c>
      <c r="O1507" s="241">
        <f>N1507-G1507</f>
        <v>5</v>
      </c>
      <c r="P1507" s="277">
        <v>13</v>
      </c>
      <c r="Q1507" s="278">
        <v>2</v>
      </c>
      <c r="R1507" s="279">
        <v>6</v>
      </c>
      <c r="S1507" s="279">
        <v>6</v>
      </c>
      <c r="T1507" s="279">
        <v>10</v>
      </c>
      <c r="U1507" s="279">
        <v>4</v>
      </c>
      <c r="V1507" s="279">
        <v>6</v>
      </c>
      <c r="W1507" s="279">
        <v>16</v>
      </c>
      <c r="X1507" s="370"/>
      <c r="Y1507" s="370"/>
      <c r="Z1507" s="370"/>
      <c r="AA1507" s="370"/>
      <c r="AB1507" s="370"/>
      <c r="AC1507" s="370"/>
      <c r="AD1507" s="370"/>
      <c r="AE1507" s="370"/>
      <c r="AF1507" s="370"/>
      <c r="AG1507" s="370"/>
      <c r="AH1507" s="370"/>
      <c r="AI1507" s="370"/>
      <c r="AJ1507" s="241">
        <f>N1507-V1507</f>
        <v>4</v>
      </c>
      <c r="AK1507" s="235">
        <f>G1542+AL1507-G1507</f>
        <v>0</v>
      </c>
      <c r="AL1507" s="236"/>
      <c r="AM1507" s="298">
        <v>4.2</v>
      </c>
      <c r="AN1507" s="295">
        <v>9</v>
      </c>
      <c r="AO1507" s="296">
        <f>G1507/(AN1507)</f>
        <v>0.55555555555555558</v>
      </c>
      <c r="AP1507" s="297">
        <f>AN1507*6</f>
        <v>54</v>
      </c>
      <c r="AQ1507" s="290">
        <f>G1507+K1507</f>
        <v>12</v>
      </c>
      <c r="AR1507" s="290">
        <f>IF(G1507&lt;G1542,(G1542-G1507+K1542-K1507),K1542-K1507)</f>
        <v>0</v>
      </c>
      <c r="AS1507" s="290">
        <f>21-8</f>
        <v>13</v>
      </c>
    </row>
    <row r="1508" spans="1:45" ht="17.25" thickBot="1" x14ac:dyDescent="0.3">
      <c r="A1508" s="464"/>
      <c r="B1508" s="285">
        <v>273702</v>
      </c>
      <c r="C1508" s="286">
        <v>1135753</v>
      </c>
      <c r="D1508" s="286" t="s">
        <v>10</v>
      </c>
      <c r="E1508" s="287">
        <v>301000000000</v>
      </c>
      <c r="F1508" s="253">
        <f>G1543-AK1508+AL1508</f>
        <v>2</v>
      </c>
      <c r="G1508" s="235">
        <v>2</v>
      </c>
      <c r="H1508" s="394">
        <v>1</v>
      </c>
      <c r="I1508" s="232">
        <v>2</v>
      </c>
      <c r="J1508" s="232"/>
      <c r="K1508" s="232">
        <v>1</v>
      </c>
      <c r="L1508" s="232">
        <f>IF(K1540=K1505,L1543+AK1508,K1508)</f>
        <v>1</v>
      </c>
      <c r="M1508" s="232">
        <f>IF(K1540=K1505,0,L1543+AK1508-K1508)</f>
        <v>0</v>
      </c>
      <c r="N1508" s="232">
        <v>2</v>
      </c>
      <c r="O1508" s="241">
        <f>N1508-G1508</f>
        <v>0</v>
      </c>
      <c r="P1508" s="277"/>
      <c r="Q1508" s="278"/>
      <c r="R1508" s="279"/>
      <c r="S1508" s="279"/>
      <c r="T1508" s="279"/>
      <c r="U1508" s="279"/>
      <c r="V1508" s="279"/>
      <c r="W1508" s="279"/>
      <c r="X1508" s="370"/>
      <c r="Y1508" s="370"/>
      <c r="Z1508" s="370"/>
      <c r="AA1508" s="370"/>
      <c r="AB1508" s="370"/>
      <c r="AC1508" s="370"/>
      <c r="AD1508" s="370"/>
      <c r="AE1508" s="370"/>
      <c r="AF1508" s="370"/>
      <c r="AG1508" s="370"/>
      <c r="AH1508" s="370"/>
      <c r="AI1508" s="370"/>
      <c r="AJ1508" s="241">
        <f>N1508-V1508</f>
        <v>2</v>
      </c>
      <c r="AK1508" s="235">
        <f>G1543+AL1508-G1508</f>
        <v>0</v>
      </c>
      <c r="AL1508" s="236"/>
      <c r="AM1508" s="294">
        <f>4/12</f>
        <v>0.33333333333333331</v>
      </c>
      <c r="AN1508" s="295">
        <v>2</v>
      </c>
      <c r="AO1508" s="296">
        <f>G1508/(AN1508)</f>
        <v>1</v>
      </c>
      <c r="AP1508" s="297">
        <f>AN1508*6</f>
        <v>12</v>
      </c>
      <c r="AQ1508" s="290">
        <f>G1508+K1508</f>
        <v>3</v>
      </c>
      <c r="AR1508" s="290">
        <f>IF(G1508&lt;G1543,(G1543-G1508+K1543-K1508),K1543-K1508)</f>
        <v>0</v>
      </c>
      <c r="AS1508" s="290">
        <f>21-8</f>
        <v>13</v>
      </c>
    </row>
    <row r="1509" spans="1:45" ht="17.25" thickBot="1" x14ac:dyDescent="0.3">
      <c r="A1509" s="464"/>
      <c r="B1509" s="285">
        <v>273698</v>
      </c>
      <c r="C1509" s="286">
        <v>1135752</v>
      </c>
      <c r="D1509" s="286" t="s">
        <v>11</v>
      </c>
      <c r="E1509" s="287">
        <v>701000000000</v>
      </c>
      <c r="F1509" s="253">
        <f>G1544-AK1509+AL1509</f>
        <v>2</v>
      </c>
      <c r="G1509" s="235">
        <v>2</v>
      </c>
      <c r="H1509" s="394">
        <v>2</v>
      </c>
      <c r="I1509" s="232">
        <v>3</v>
      </c>
      <c r="J1509" s="232"/>
      <c r="K1509" s="232">
        <v>0</v>
      </c>
      <c r="L1509" s="232">
        <f>IF(K1540=K1505,L1544+AK1509,K1509)</f>
        <v>0</v>
      </c>
      <c r="M1509" s="232">
        <f>IF(K1540=K1505,0,L1544+AK1509-K1509)</f>
        <v>0</v>
      </c>
      <c r="N1509" s="232">
        <v>3</v>
      </c>
      <c r="O1509" s="241">
        <f>N1509-G1509</f>
        <v>1</v>
      </c>
      <c r="P1509" s="277">
        <v>2</v>
      </c>
      <c r="Q1509" s="278"/>
      <c r="R1509" s="279"/>
      <c r="S1509" s="279"/>
      <c r="T1509" s="279"/>
      <c r="U1509" s="279"/>
      <c r="V1509" s="279"/>
      <c r="W1509" s="279">
        <v>1</v>
      </c>
      <c r="X1509" s="370"/>
      <c r="Y1509" s="370"/>
      <c r="Z1509" s="370"/>
      <c r="AA1509" s="370"/>
      <c r="AB1509" s="370"/>
      <c r="AC1509" s="370"/>
      <c r="AD1509" s="370"/>
      <c r="AE1509" s="370"/>
      <c r="AF1509" s="370"/>
      <c r="AG1509" s="370"/>
      <c r="AH1509" s="370"/>
      <c r="AI1509" s="370"/>
      <c r="AJ1509" s="241">
        <f>N1509-V1509</f>
        <v>3</v>
      </c>
      <c r="AK1509" s="235">
        <f>G1544+AL1509-G1509</f>
        <v>0</v>
      </c>
      <c r="AL1509" s="236"/>
      <c r="AM1509" s="294">
        <f>4/12</f>
        <v>0.33333333333333331</v>
      </c>
      <c r="AN1509" s="295">
        <v>2</v>
      </c>
      <c r="AO1509" s="296">
        <f>G1509/(AN1509)</f>
        <v>1</v>
      </c>
      <c r="AP1509" s="297">
        <f>AN1509*6</f>
        <v>12</v>
      </c>
      <c r="AQ1509" s="290">
        <f>G1509+K1509</f>
        <v>2</v>
      </c>
      <c r="AR1509" s="290">
        <f>IF(G1509&lt;G1544,(G1544-G1509+K1544-K1509),K1544-K1509)</f>
        <v>0</v>
      </c>
      <c r="AS1509" s="290">
        <f>21-8</f>
        <v>13</v>
      </c>
    </row>
    <row r="1510" spans="1:45" ht="17.25" thickBot="1" x14ac:dyDescent="0.3">
      <c r="A1510" s="465"/>
      <c r="B1510" s="285">
        <v>273680</v>
      </c>
      <c r="C1510" s="286">
        <v>1135751</v>
      </c>
      <c r="D1510" s="286" t="s">
        <v>12</v>
      </c>
      <c r="E1510" s="286" t="s">
        <v>13</v>
      </c>
      <c r="F1510" s="254">
        <f>G1545-AK1510+AL1510</f>
        <v>5</v>
      </c>
      <c r="G1510" s="237">
        <v>5</v>
      </c>
      <c r="H1510" s="395">
        <v>8</v>
      </c>
      <c r="I1510" s="238">
        <v>5</v>
      </c>
      <c r="J1510" s="238"/>
      <c r="K1510" s="238">
        <v>2</v>
      </c>
      <c r="L1510" s="238">
        <f>IF(K1540=K1505,L1545+AK1510,K1510)</f>
        <v>2</v>
      </c>
      <c r="M1510" s="238">
        <f>IF(K1540=K1505,0,L1545+AK1510-K1510)</f>
        <v>0</v>
      </c>
      <c r="N1510" s="238">
        <v>9</v>
      </c>
      <c r="O1510" s="242">
        <f>N1510-G1510</f>
        <v>4</v>
      </c>
      <c r="P1510" s="280"/>
      <c r="Q1510" s="281"/>
      <c r="R1510" s="282"/>
      <c r="S1510" s="282"/>
      <c r="T1510" s="282">
        <v>11</v>
      </c>
      <c r="U1510" s="282"/>
      <c r="V1510" s="282"/>
      <c r="W1510" s="282">
        <v>9</v>
      </c>
      <c r="X1510" s="371"/>
      <c r="Y1510" s="371"/>
      <c r="Z1510" s="371"/>
      <c r="AA1510" s="371"/>
      <c r="AB1510" s="371"/>
      <c r="AC1510" s="371"/>
      <c r="AD1510" s="371"/>
      <c r="AE1510" s="371"/>
      <c r="AF1510" s="371"/>
      <c r="AG1510" s="371"/>
      <c r="AH1510" s="371"/>
      <c r="AI1510" s="371"/>
      <c r="AJ1510" s="242">
        <f>N1510-V1510</f>
        <v>9</v>
      </c>
      <c r="AK1510" s="235">
        <f>G1545+AL1510-G1510</f>
        <v>0</v>
      </c>
      <c r="AL1510" s="239"/>
      <c r="AM1510" s="299">
        <f>30/12</f>
        <v>2.5</v>
      </c>
      <c r="AN1510" s="300">
        <f>AM1510*2</f>
        <v>5</v>
      </c>
      <c r="AO1510" s="301">
        <f>G1510/(AN1510)</f>
        <v>1</v>
      </c>
      <c r="AP1510" s="302">
        <f>AN1510*6</f>
        <v>30</v>
      </c>
      <c r="AQ1510" s="290">
        <f>G1510+K1510</f>
        <v>7</v>
      </c>
      <c r="AR1510" s="290">
        <f>IF(G1510&lt;G1545,(G1545-G1510+K1545-K1510),K1545-K1510)</f>
        <v>0</v>
      </c>
      <c r="AS1510" s="290">
        <f>21-8</f>
        <v>13</v>
      </c>
    </row>
    <row r="1511" spans="1:45" ht="17.25" thickBot="1" x14ac:dyDescent="0.3">
      <c r="A1511" s="466" t="s">
        <v>417</v>
      </c>
      <c r="B1511" s="355" t="s">
        <v>129</v>
      </c>
      <c r="C1511" s="356"/>
      <c r="D1511" s="356"/>
      <c r="E1511" s="359"/>
      <c r="F1511" s="359"/>
      <c r="G1511" s="356"/>
      <c r="H1511" s="396"/>
      <c r="I1511" s="356"/>
      <c r="J1511" s="356"/>
      <c r="K1511" s="356"/>
      <c r="L1511" s="356"/>
      <c r="M1511" s="356"/>
      <c r="N1511" s="356"/>
      <c r="O1511" s="356"/>
      <c r="P1511" s="356"/>
      <c r="Q1511" s="356"/>
      <c r="R1511" s="356"/>
      <c r="S1511" s="356"/>
      <c r="T1511" s="356"/>
      <c r="U1511" s="356"/>
      <c r="V1511" s="356"/>
      <c r="W1511" s="356"/>
      <c r="X1511" s="356"/>
      <c r="Y1511" s="356"/>
      <c r="Z1511" s="356"/>
      <c r="AA1511" s="356"/>
      <c r="AB1511" s="356"/>
      <c r="AC1511" s="356"/>
      <c r="AD1511" s="356"/>
      <c r="AE1511" s="356"/>
      <c r="AF1511" s="356"/>
      <c r="AG1511" s="356"/>
      <c r="AH1511" s="356"/>
      <c r="AI1511" s="356"/>
      <c r="AJ1511" s="356"/>
      <c r="AK1511" s="356"/>
      <c r="AL1511" s="356"/>
      <c r="AM1511" s="356"/>
      <c r="AN1511" s="356"/>
      <c r="AO1511" s="356"/>
      <c r="AP1511" s="356"/>
      <c r="AQ1511" s="356"/>
      <c r="AR1511" s="356"/>
      <c r="AS1511" s="357"/>
    </row>
    <row r="1512" spans="1:45" ht="17.25" thickBot="1" x14ac:dyDescent="0.3">
      <c r="A1512" s="467"/>
      <c r="B1512" s="354"/>
      <c r="C1512" s="354">
        <v>1140327</v>
      </c>
      <c r="D1512" s="358" t="s">
        <v>394</v>
      </c>
      <c r="E1512" s="360"/>
      <c r="F1512" s="361">
        <f>G1547-AK1512+AL1512</f>
        <v>21</v>
      </c>
      <c r="G1512" s="218">
        <v>21</v>
      </c>
      <c r="H1512" s="397">
        <v>23</v>
      </c>
      <c r="I1512" s="218">
        <v>14</v>
      </c>
      <c r="J1512" s="218"/>
      <c r="K1512" s="218">
        <v>2</v>
      </c>
      <c r="L1512" s="218">
        <f>IF(K1540=K1505,L1547+AK1512,K1512)</f>
        <v>2</v>
      </c>
      <c r="M1512" s="218">
        <f>IF(K1540=K1505,0,L1547+AK1512-K1512)</f>
        <v>2</v>
      </c>
      <c r="N1512" s="218"/>
      <c r="O1512" s="218"/>
      <c r="P1512" s="352"/>
      <c r="Q1512" s="352"/>
      <c r="R1512" s="352"/>
      <c r="S1512" s="352"/>
      <c r="T1512" s="352"/>
      <c r="U1512" s="352"/>
      <c r="V1512" s="218"/>
      <c r="W1512" s="218"/>
      <c r="X1512" s="218">
        <v>7</v>
      </c>
      <c r="Y1512" s="218"/>
      <c r="Z1512" s="218"/>
      <c r="AA1512" s="218"/>
      <c r="AB1512" s="218"/>
      <c r="AC1512" s="218"/>
      <c r="AD1512" s="218"/>
      <c r="AE1512" s="218"/>
      <c r="AF1512" s="218"/>
      <c r="AG1512" s="218"/>
      <c r="AH1512" s="218"/>
      <c r="AI1512" s="218"/>
      <c r="AJ1512" s="218"/>
      <c r="AK1512" s="274">
        <f>G1547+AL1512-G1512</f>
        <v>0</v>
      </c>
      <c r="AL1512" s="218"/>
      <c r="AM1512" s="353"/>
      <c r="AN1512" s="295"/>
      <c r="AO1512" s="296"/>
      <c r="AP1512" s="353"/>
      <c r="AQ1512" s="290"/>
      <c r="AR1512" s="290"/>
      <c r="AS1512" s="290"/>
    </row>
    <row r="1513" spans="1:45" ht="17.25" thickBot="1" x14ac:dyDescent="0.3">
      <c r="A1513" s="467"/>
      <c r="B1513" s="354"/>
      <c r="C1513" s="285">
        <v>1151231</v>
      </c>
      <c r="D1513" s="358" t="s">
        <v>395</v>
      </c>
      <c r="E1513" s="360"/>
      <c r="F1513" s="361">
        <f>G1548-AK1513+AL1513</f>
        <v>7</v>
      </c>
      <c r="G1513" s="369">
        <v>7</v>
      </c>
      <c r="H1513" s="397">
        <v>13</v>
      </c>
      <c r="I1513" s="218">
        <v>1</v>
      </c>
      <c r="J1513" s="218"/>
      <c r="K1513" s="218">
        <v>4</v>
      </c>
      <c r="L1513" s="218">
        <f>IF(K1540=K1505,L1548+AK1513,K1513)</f>
        <v>4</v>
      </c>
      <c r="M1513" s="218">
        <f>IF(K1540=K1505,0,L1548+AK1513-K1513)</f>
        <v>0</v>
      </c>
      <c r="N1513" s="218"/>
      <c r="O1513" s="218"/>
      <c r="P1513" s="352"/>
      <c r="Q1513" s="352"/>
      <c r="R1513" s="352"/>
      <c r="S1513" s="352"/>
      <c r="T1513" s="352"/>
      <c r="U1513" s="352"/>
      <c r="V1513" s="218"/>
      <c r="W1513" s="218"/>
      <c r="X1513" s="218">
        <v>7</v>
      </c>
      <c r="Y1513" s="218"/>
      <c r="Z1513" s="218"/>
      <c r="AA1513" s="218"/>
      <c r="AB1513" s="218"/>
      <c r="AC1513" s="218"/>
      <c r="AD1513" s="218"/>
      <c r="AE1513" s="218"/>
      <c r="AF1513" s="218"/>
      <c r="AG1513" s="218"/>
      <c r="AH1513" s="218"/>
      <c r="AI1513" s="218"/>
      <c r="AJ1513" s="218"/>
      <c r="AK1513" s="274">
        <f>G1548+AL1513-G1513</f>
        <v>0</v>
      </c>
      <c r="AL1513" s="218"/>
      <c r="AM1513" s="353"/>
      <c r="AN1513" s="295"/>
      <c r="AO1513" s="296"/>
      <c r="AP1513" s="353"/>
      <c r="AQ1513" s="290"/>
      <c r="AR1513" s="290"/>
      <c r="AS1513" s="290"/>
    </row>
    <row r="1514" spans="1:45" ht="17.25" thickBot="1" x14ac:dyDescent="0.3">
      <c r="A1514" s="467"/>
      <c r="B1514" s="355" t="s">
        <v>420</v>
      </c>
      <c r="C1514" s="356"/>
      <c r="D1514" s="356"/>
      <c r="E1514" s="359"/>
      <c r="F1514" s="359"/>
      <c r="G1514" s="356"/>
      <c r="H1514" s="396"/>
      <c r="I1514" s="356"/>
      <c r="J1514" s="356"/>
      <c r="K1514" s="356"/>
      <c r="L1514" s="356"/>
      <c r="M1514" s="356"/>
      <c r="N1514" s="356"/>
      <c r="O1514" s="356"/>
      <c r="P1514" s="356"/>
      <c r="Q1514" s="356"/>
      <c r="R1514" s="356"/>
      <c r="S1514" s="356"/>
      <c r="T1514" s="356"/>
      <c r="U1514" s="356"/>
      <c r="V1514" s="356"/>
      <c r="W1514" s="356"/>
      <c r="X1514" s="356"/>
      <c r="Y1514" s="356"/>
      <c r="Z1514" s="356"/>
      <c r="AA1514" s="356"/>
      <c r="AB1514" s="356"/>
      <c r="AC1514" s="356"/>
      <c r="AD1514" s="356"/>
      <c r="AE1514" s="356"/>
      <c r="AF1514" s="356"/>
      <c r="AG1514" s="356"/>
      <c r="AH1514" s="356"/>
      <c r="AI1514" s="356"/>
      <c r="AJ1514" s="356"/>
      <c r="AK1514" s="356"/>
      <c r="AL1514" s="356"/>
      <c r="AM1514" s="356"/>
      <c r="AN1514" s="356"/>
      <c r="AO1514" s="356"/>
      <c r="AP1514" s="356"/>
      <c r="AQ1514" s="356"/>
      <c r="AR1514" s="356"/>
      <c r="AS1514" s="357"/>
    </row>
    <row r="1515" spans="1:45" ht="17.25" thickBot="1" x14ac:dyDescent="0.3">
      <c r="A1515" s="467"/>
      <c r="B1515" s="354"/>
      <c r="C1515" s="285">
        <v>1146032</v>
      </c>
      <c r="D1515" s="358" t="s">
        <v>396</v>
      </c>
      <c r="E1515" s="360"/>
      <c r="F1515" s="361">
        <f>G1550-AK1515+AL1515</f>
        <v>1</v>
      </c>
      <c r="G1515" s="364">
        <v>1</v>
      </c>
      <c r="H1515" s="397">
        <v>1</v>
      </c>
      <c r="I1515" s="218">
        <v>2</v>
      </c>
      <c r="J1515" s="218"/>
      <c r="K1515" s="218">
        <v>1</v>
      </c>
      <c r="L1515" s="218"/>
      <c r="M1515" s="218"/>
      <c r="N1515" s="218"/>
      <c r="O1515" s="218"/>
      <c r="P1515" s="352"/>
      <c r="Q1515" s="352"/>
      <c r="R1515" s="352"/>
      <c r="S1515" s="352"/>
      <c r="T1515" s="352"/>
      <c r="U1515" s="352"/>
      <c r="V1515" s="218"/>
      <c r="W1515" s="218"/>
      <c r="X1515" s="218"/>
      <c r="Y1515" s="218"/>
      <c r="Z1515" s="218"/>
      <c r="AA1515" s="218"/>
      <c r="AB1515" s="218"/>
      <c r="AC1515" s="218"/>
      <c r="AD1515" s="218"/>
      <c r="AE1515" s="218"/>
      <c r="AF1515" s="218"/>
      <c r="AG1515" s="218"/>
      <c r="AH1515" s="218"/>
      <c r="AI1515" s="218"/>
      <c r="AJ1515" s="218"/>
      <c r="AK1515" s="218"/>
      <c r="AL1515" s="218"/>
      <c r="AM1515" s="353"/>
      <c r="AN1515" s="295"/>
      <c r="AO1515" s="296"/>
      <c r="AP1515" s="353"/>
      <c r="AQ1515" s="290"/>
      <c r="AR1515" s="290"/>
      <c r="AS1515" s="290"/>
    </row>
    <row r="1516" spans="1:45" ht="17.25" thickBot="1" x14ac:dyDescent="0.3">
      <c r="A1516" s="467"/>
      <c r="B1516" s="354"/>
      <c r="C1516" s="285">
        <v>1146021</v>
      </c>
      <c r="D1516" s="358" t="s">
        <v>397</v>
      </c>
      <c r="E1516" s="360"/>
      <c r="F1516" s="361">
        <f>G1551-AK1516+AL1516</f>
        <v>2</v>
      </c>
      <c r="G1516" s="364">
        <v>2</v>
      </c>
      <c r="H1516" s="397">
        <v>2</v>
      </c>
      <c r="I1516" s="218">
        <v>2</v>
      </c>
      <c r="J1516" s="218"/>
      <c r="K1516" s="218">
        <v>2</v>
      </c>
      <c r="L1516" s="218"/>
      <c r="M1516" s="218"/>
      <c r="N1516" s="218"/>
      <c r="O1516" s="218"/>
      <c r="P1516" s="352"/>
      <c r="Q1516" s="352"/>
      <c r="R1516" s="352"/>
      <c r="S1516" s="352"/>
      <c r="T1516" s="352"/>
      <c r="U1516" s="352"/>
      <c r="V1516" s="218"/>
      <c r="W1516" s="218"/>
      <c r="X1516" s="218"/>
      <c r="Y1516" s="218"/>
      <c r="Z1516" s="218"/>
      <c r="AA1516" s="218"/>
      <c r="AB1516" s="218"/>
      <c r="AC1516" s="218"/>
      <c r="AD1516" s="218"/>
      <c r="AE1516" s="218"/>
      <c r="AF1516" s="218"/>
      <c r="AG1516" s="218"/>
      <c r="AH1516" s="218"/>
      <c r="AI1516" s="218"/>
      <c r="AJ1516" s="218"/>
      <c r="AK1516" s="218"/>
      <c r="AL1516" s="218"/>
      <c r="AM1516" s="353"/>
      <c r="AN1516" s="295"/>
      <c r="AO1516" s="296"/>
      <c r="AP1516" s="353"/>
      <c r="AQ1516" s="290"/>
      <c r="AR1516" s="290"/>
      <c r="AS1516" s="290"/>
    </row>
    <row r="1517" spans="1:45" ht="17.25" thickBot="1" x14ac:dyDescent="0.3">
      <c r="A1517" s="467"/>
      <c r="B1517" s="354"/>
      <c r="C1517" s="285">
        <v>1146018</v>
      </c>
      <c r="D1517" s="358" t="s">
        <v>398</v>
      </c>
      <c r="E1517" s="360"/>
      <c r="F1517" s="361">
        <f>G1552-AK1517+AL1517</f>
        <v>4</v>
      </c>
      <c r="G1517" s="364">
        <v>4</v>
      </c>
      <c r="H1517" s="397">
        <v>1</v>
      </c>
      <c r="I1517" s="218"/>
      <c r="J1517" s="218"/>
      <c r="K1517" s="218">
        <v>2</v>
      </c>
      <c r="L1517" s="218"/>
      <c r="M1517" s="218"/>
      <c r="N1517" s="218"/>
      <c r="O1517" s="218"/>
      <c r="P1517" s="352"/>
      <c r="Q1517" s="352"/>
      <c r="R1517" s="352"/>
      <c r="S1517" s="352"/>
      <c r="T1517" s="352"/>
      <c r="U1517" s="352"/>
      <c r="V1517" s="218"/>
      <c r="W1517" s="218"/>
      <c r="X1517" s="218"/>
      <c r="Y1517" s="218"/>
      <c r="Z1517" s="218"/>
      <c r="AA1517" s="218"/>
      <c r="AB1517" s="218"/>
      <c r="AC1517" s="218"/>
      <c r="AD1517" s="218"/>
      <c r="AE1517" s="218"/>
      <c r="AF1517" s="218"/>
      <c r="AG1517" s="218"/>
      <c r="AH1517" s="218"/>
      <c r="AI1517" s="218"/>
      <c r="AJ1517" s="218"/>
      <c r="AK1517" s="218"/>
      <c r="AL1517" s="218"/>
      <c r="AM1517" s="353"/>
      <c r="AN1517" s="295"/>
      <c r="AO1517" s="296"/>
      <c r="AP1517" s="353"/>
      <c r="AQ1517" s="290"/>
      <c r="AR1517" s="290"/>
      <c r="AS1517" s="290"/>
    </row>
    <row r="1518" spans="1:45" ht="17.25" thickBot="1" x14ac:dyDescent="0.3">
      <c r="A1518" s="467"/>
      <c r="B1518" s="354"/>
      <c r="C1518" s="285">
        <v>1146024</v>
      </c>
      <c r="D1518" s="358" t="s">
        <v>399</v>
      </c>
      <c r="E1518" s="360"/>
      <c r="F1518" s="361">
        <f>G1553-AK1518+AL1518</f>
        <v>2</v>
      </c>
      <c r="G1518" s="364">
        <v>1</v>
      </c>
      <c r="H1518" s="397">
        <v>2</v>
      </c>
      <c r="I1518" s="218">
        <v>1</v>
      </c>
      <c r="J1518" s="218"/>
      <c r="K1518" s="218"/>
      <c r="L1518" s="218"/>
      <c r="M1518" s="218"/>
      <c r="N1518" s="218"/>
      <c r="O1518" s="218"/>
      <c r="P1518" s="352"/>
      <c r="Q1518" s="352"/>
      <c r="R1518" s="352"/>
      <c r="S1518" s="352"/>
      <c r="T1518" s="352"/>
      <c r="U1518" s="352"/>
      <c r="V1518" s="218"/>
      <c r="W1518" s="218"/>
      <c r="X1518" s="218"/>
      <c r="Y1518" s="218"/>
      <c r="Z1518" s="218"/>
      <c r="AA1518" s="218"/>
      <c r="AB1518" s="218"/>
      <c r="AC1518" s="218"/>
      <c r="AD1518" s="218"/>
      <c r="AE1518" s="218"/>
      <c r="AF1518" s="218"/>
      <c r="AG1518" s="218"/>
      <c r="AH1518" s="218"/>
      <c r="AI1518" s="218"/>
      <c r="AJ1518" s="218"/>
      <c r="AK1518" s="218"/>
      <c r="AL1518" s="218"/>
      <c r="AM1518" s="353"/>
      <c r="AN1518" s="295"/>
      <c r="AO1518" s="296"/>
      <c r="AP1518" s="353"/>
      <c r="AQ1518" s="290"/>
      <c r="AR1518" s="290"/>
      <c r="AS1518" s="290"/>
    </row>
    <row r="1519" spans="1:45" ht="17.25" thickBot="1" x14ac:dyDescent="0.3">
      <c r="A1519" s="467"/>
      <c r="B1519" s="354"/>
      <c r="C1519" s="285">
        <v>1146028</v>
      </c>
      <c r="D1519" s="358" t="s">
        <v>400</v>
      </c>
      <c r="E1519" s="360"/>
      <c r="F1519" s="361">
        <f>G1554-AK1519+AL1519</f>
        <v>3</v>
      </c>
      <c r="G1519" s="364">
        <v>3</v>
      </c>
      <c r="H1519" s="397">
        <v>2</v>
      </c>
      <c r="I1519" s="218">
        <v>3</v>
      </c>
      <c r="J1519" s="218"/>
      <c r="K1519" s="218"/>
      <c r="L1519" s="218"/>
      <c r="M1519" s="218"/>
      <c r="N1519" s="218"/>
      <c r="O1519" s="218"/>
      <c r="P1519" s="352"/>
      <c r="Q1519" s="352"/>
      <c r="R1519" s="352"/>
      <c r="S1519" s="352"/>
      <c r="T1519" s="352"/>
      <c r="U1519" s="352"/>
      <c r="V1519" s="218"/>
      <c r="W1519" s="218"/>
      <c r="X1519" s="218"/>
      <c r="Y1519" s="218"/>
      <c r="Z1519" s="218"/>
      <c r="AA1519" s="218"/>
      <c r="AB1519" s="218"/>
      <c r="AC1519" s="218"/>
      <c r="AD1519" s="218"/>
      <c r="AE1519" s="218"/>
      <c r="AF1519" s="218"/>
      <c r="AG1519" s="218"/>
      <c r="AH1519" s="218"/>
      <c r="AI1519" s="218"/>
      <c r="AJ1519" s="218"/>
      <c r="AK1519" s="218"/>
      <c r="AL1519" s="218"/>
      <c r="AM1519" s="353"/>
      <c r="AN1519" s="295"/>
      <c r="AO1519" s="296"/>
      <c r="AP1519" s="353"/>
      <c r="AQ1519" s="290"/>
      <c r="AR1519" s="290"/>
      <c r="AS1519" s="290"/>
    </row>
    <row r="1520" spans="1:45" ht="17.25" thickBot="1" x14ac:dyDescent="0.3">
      <c r="A1520" s="467"/>
      <c r="B1520" s="355" t="s">
        <v>419</v>
      </c>
      <c r="C1520" s="356"/>
      <c r="D1520" s="356"/>
      <c r="E1520" s="359"/>
      <c r="F1520" s="359"/>
      <c r="G1520" s="356"/>
      <c r="H1520" s="396"/>
      <c r="I1520" s="356"/>
      <c r="J1520" s="356"/>
      <c r="K1520" s="356"/>
      <c r="L1520" s="356"/>
      <c r="M1520" s="356"/>
      <c r="N1520" s="356"/>
      <c r="O1520" s="356"/>
      <c r="P1520" s="356"/>
      <c r="Q1520" s="356"/>
      <c r="R1520" s="356"/>
      <c r="S1520" s="356"/>
      <c r="T1520" s="356"/>
      <c r="U1520" s="356"/>
      <c r="V1520" s="356"/>
      <c r="W1520" s="356"/>
      <c r="X1520" s="356"/>
      <c r="Y1520" s="356"/>
      <c r="Z1520" s="356"/>
      <c r="AA1520" s="356"/>
      <c r="AB1520" s="356"/>
      <c r="AC1520" s="356"/>
      <c r="AD1520" s="356"/>
      <c r="AE1520" s="356"/>
      <c r="AF1520" s="356"/>
      <c r="AG1520" s="356"/>
      <c r="AH1520" s="356"/>
      <c r="AI1520" s="356"/>
      <c r="AJ1520" s="356"/>
      <c r="AK1520" s="356"/>
      <c r="AL1520" s="356"/>
      <c r="AM1520" s="356"/>
      <c r="AN1520" s="356"/>
      <c r="AO1520" s="356"/>
      <c r="AP1520" s="356"/>
      <c r="AQ1520" s="356"/>
      <c r="AR1520" s="356"/>
      <c r="AS1520" s="357"/>
    </row>
    <row r="1521" spans="1:45" ht="17.25" thickBot="1" x14ac:dyDescent="0.3">
      <c r="A1521" s="467"/>
      <c r="B1521" s="354"/>
      <c r="C1521" s="285">
        <v>1146031</v>
      </c>
      <c r="D1521" s="358" t="s">
        <v>401</v>
      </c>
      <c r="E1521" s="360"/>
      <c r="F1521" s="361">
        <f>G1556-AK1521+AL1521</f>
        <v>2</v>
      </c>
      <c r="G1521" s="364">
        <v>2</v>
      </c>
      <c r="H1521" s="397">
        <v>1</v>
      </c>
      <c r="I1521" s="218">
        <v>3</v>
      </c>
      <c r="J1521" s="218"/>
      <c r="K1521" s="218">
        <v>2</v>
      </c>
      <c r="L1521" s="218"/>
      <c r="M1521" s="218"/>
      <c r="N1521" s="218"/>
      <c r="O1521" s="218"/>
      <c r="P1521" s="352"/>
      <c r="Q1521" s="352"/>
      <c r="R1521" s="352"/>
      <c r="S1521" s="352"/>
      <c r="T1521" s="352"/>
      <c r="U1521" s="352"/>
      <c r="V1521" s="218"/>
      <c r="W1521" s="218"/>
      <c r="X1521" s="218"/>
      <c r="Y1521" s="218"/>
      <c r="Z1521" s="218"/>
      <c r="AA1521" s="218"/>
      <c r="AB1521" s="218"/>
      <c r="AC1521" s="218"/>
      <c r="AD1521" s="218"/>
      <c r="AE1521" s="218"/>
      <c r="AF1521" s="218"/>
      <c r="AG1521" s="218"/>
      <c r="AH1521" s="218"/>
      <c r="AI1521" s="218"/>
      <c r="AJ1521" s="218"/>
      <c r="AK1521" s="218"/>
      <c r="AL1521" s="218"/>
      <c r="AM1521" s="353"/>
      <c r="AN1521" s="295"/>
      <c r="AO1521" s="296"/>
      <c r="AP1521" s="353"/>
      <c r="AQ1521" s="290"/>
      <c r="AR1521" s="290"/>
      <c r="AS1521" s="290"/>
    </row>
    <row r="1522" spans="1:45" ht="17.25" thickBot="1" x14ac:dyDescent="0.3">
      <c r="A1522" s="467"/>
      <c r="B1522" s="354"/>
      <c r="C1522" s="285">
        <v>1146020</v>
      </c>
      <c r="D1522" s="358" t="s">
        <v>402</v>
      </c>
      <c r="E1522" s="360"/>
      <c r="F1522" s="361">
        <f>G1557-AK1522+AL1522</f>
        <v>1</v>
      </c>
      <c r="G1522" s="364">
        <v>1</v>
      </c>
      <c r="H1522" s="397">
        <v>1</v>
      </c>
      <c r="I1522" s="218">
        <v>1</v>
      </c>
      <c r="J1522" s="218"/>
      <c r="K1522" s="218">
        <v>2</v>
      </c>
      <c r="L1522" s="218"/>
      <c r="M1522" s="218"/>
      <c r="N1522" s="218"/>
      <c r="O1522" s="218"/>
      <c r="P1522" s="352"/>
      <c r="Q1522" s="352"/>
      <c r="R1522" s="352"/>
      <c r="S1522" s="352"/>
      <c r="T1522" s="352"/>
      <c r="U1522" s="352"/>
      <c r="V1522" s="218"/>
      <c r="W1522" s="218"/>
      <c r="X1522" s="218"/>
      <c r="Y1522" s="218"/>
      <c r="Z1522" s="218"/>
      <c r="AA1522" s="218"/>
      <c r="AB1522" s="218"/>
      <c r="AC1522" s="218"/>
      <c r="AD1522" s="218"/>
      <c r="AE1522" s="218"/>
      <c r="AF1522" s="218"/>
      <c r="AG1522" s="218"/>
      <c r="AH1522" s="218"/>
      <c r="AI1522" s="218"/>
      <c r="AJ1522" s="218"/>
      <c r="AK1522" s="218"/>
      <c r="AL1522" s="218"/>
      <c r="AM1522" s="353"/>
      <c r="AN1522" s="295"/>
      <c r="AO1522" s="296"/>
      <c r="AP1522" s="353"/>
      <c r="AQ1522" s="290"/>
      <c r="AR1522" s="290"/>
      <c r="AS1522" s="290"/>
    </row>
    <row r="1523" spans="1:45" ht="17.25" thickBot="1" x14ac:dyDescent="0.3">
      <c r="A1523" s="467"/>
      <c r="B1523" s="354"/>
      <c r="C1523" s="285">
        <v>1146016</v>
      </c>
      <c r="D1523" s="358" t="s">
        <v>398</v>
      </c>
      <c r="E1523" s="360"/>
      <c r="F1523" s="361">
        <f>G1558-AK1523+AL1523</f>
        <v>6</v>
      </c>
      <c r="G1523" s="364">
        <v>6</v>
      </c>
      <c r="H1523" s="397">
        <v>1</v>
      </c>
      <c r="I1523" s="218"/>
      <c r="J1523" s="218"/>
      <c r="K1523" s="218">
        <v>2</v>
      </c>
      <c r="L1523" s="218"/>
      <c r="M1523" s="218"/>
      <c r="N1523" s="218"/>
      <c r="O1523" s="218"/>
      <c r="P1523" s="352"/>
      <c r="Q1523" s="352"/>
      <c r="R1523" s="352"/>
      <c r="S1523" s="352"/>
      <c r="T1523" s="352"/>
      <c r="U1523" s="352"/>
      <c r="V1523" s="218"/>
      <c r="W1523" s="218"/>
      <c r="X1523" s="218"/>
      <c r="Y1523" s="218"/>
      <c r="Z1523" s="218"/>
      <c r="AA1523" s="218"/>
      <c r="AB1523" s="218"/>
      <c r="AC1523" s="218"/>
      <c r="AD1523" s="218"/>
      <c r="AE1523" s="218"/>
      <c r="AF1523" s="218"/>
      <c r="AG1523" s="218"/>
      <c r="AH1523" s="218"/>
      <c r="AI1523" s="218"/>
      <c r="AJ1523" s="218"/>
      <c r="AK1523" s="218"/>
      <c r="AL1523" s="218"/>
      <c r="AM1523" s="353"/>
      <c r="AN1523" s="295"/>
      <c r="AO1523" s="296"/>
      <c r="AP1523" s="353"/>
      <c r="AQ1523" s="290"/>
      <c r="AR1523" s="290"/>
      <c r="AS1523" s="290"/>
    </row>
    <row r="1524" spans="1:45" ht="17.25" thickBot="1" x14ac:dyDescent="0.3">
      <c r="A1524" s="467"/>
      <c r="B1524" s="354"/>
      <c r="C1524" s="285">
        <v>1146022</v>
      </c>
      <c r="D1524" s="358" t="s">
        <v>403</v>
      </c>
      <c r="E1524" s="360"/>
      <c r="F1524" s="361">
        <f>G1559-AK1524+AL1524</f>
        <v>0</v>
      </c>
      <c r="G1524" s="364">
        <v>0</v>
      </c>
      <c r="H1524" s="397">
        <v>2</v>
      </c>
      <c r="I1524" s="218"/>
      <c r="J1524" s="218"/>
      <c r="K1524" s="218"/>
      <c r="L1524" s="218"/>
      <c r="M1524" s="218"/>
      <c r="N1524" s="218"/>
      <c r="O1524" s="218"/>
      <c r="P1524" s="352"/>
      <c r="Q1524" s="352"/>
      <c r="R1524" s="352"/>
      <c r="S1524" s="352"/>
      <c r="T1524" s="352"/>
      <c r="U1524" s="352"/>
      <c r="V1524" s="218"/>
      <c r="W1524" s="218"/>
      <c r="X1524" s="218"/>
      <c r="Y1524" s="218"/>
      <c r="Z1524" s="218"/>
      <c r="AA1524" s="218"/>
      <c r="AB1524" s="218"/>
      <c r="AC1524" s="218"/>
      <c r="AD1524" s="218"/>
      <c r="AE1524" s="218"/>
      <c r="AF1524" s="218"/>
      <c r="AG1524" s="218"/>
      <c r="AH1524" s="218"/>
      <c r="AI1524" s="218"/>
      <c r="AJ1524" s="218"/>
      <c r="AK1524" s="218"/>
      <c r="AL1524" s="218"/>
      <c r="AM1524" s="353"/>
      <c r="AN1524" s="295"/>
      <c r="AO1524" s="296"/>
      <c r="AP1524" s="353"/>
      <c r="AQ1524" s="290"/>
      <c r="AR1524" s="290"/>
      <c r="AS1524" s="290"/>
    </row>
    <row r="1525" spans="1:45" ht="17.25" thickBot="1" x14ac:dyDescent="0.3">
      <c r="A1525" s="467"/>
      <c r="B1525" s="354"/>
      <c r="C1525" s="285">
        <v>1146027</v>
      </c>
      <c r="D1525" s="358" t="s">
        <v>404</v>
      </c>
      <c r="E1525" s="360"/>
      <c r="F1525" s="361">
        <f>G1560-AK1525+AL1525</f>
        <v>2</v>
      </c>
      <c r="G1525" s="364">
        <v>2</v>
      </c>
      <c r="H1525" s="397">
        <v>2</v>
      </c>
      <c r="I1525" s="218">
        <v>3</v>
      </c>
      <c r="J1525" s="218"/>
      <c r="K1525" s="218">
        <v>1</v>
      </c>
      <c r="L1525" s="218"/>
      <c r="M1525" s="218"/>
      <c r="N1525" s="218"/>
      <c r="O1525" s="218"/>
      <c r="P1525" s="352"/>
      <c r="Q1525" s="352"/>
      <c r="R1525" s="352"/>
      <c r="S1525" s="352"/>
      <c r="T1525" s="352"/>
      <c r="U1525" s="352"/>
      <c r="V1525" s="218"/>
      <c r="W1525" s="218"/>
      <c r="X1525" s="218"/>
      <c r="Y1525" s="218"/>
      <c r="Z1525" s="218"/>
      <c r="AA1525" s="218"/>
      <c r="AB1525" s="218"/>
      <c r="AC1525" s="218"/>
      <c r="AD1525" s="218"/>
      <c r="AE1525" s="218"/>
      <c r="AF1525" s="218"/>
      <c r="AG1525" s="218"/>
      <c r="AH1525" s="218"/>
      <c r="AI1525" s="218"/>
      <c r="AJ1525" s="218"/>
      <c r="AK1525" s="218"/>
      <c r="AL1525" s="218"/>
      <c r="AM1525" s="353"/>
      <c r="AN1525" s="295"/>
      <c r="AO1525" s="296"/>
      <c r="AP1525" s="353"/>
      <c r="AQ1525" s="290"/>
      <c r="AR1525" s="290"/>
      <c r="AS1525" s="290"/>
    </row>
    <row r="1526" spans="1:45" ht="17.25" thickBot="1" x14ac:dyDescent="0.3">
      <c r="A1526" s="467"/>
      <c r="B1526" s="355" t="s">
        <v>418</v>
      </c>
      <c r="C1526" s="356"/>
      <c r="D1526" s="356"/>
      <c r="E1526" s="359"/>
      <c r="F1526" s="359"/>
      <c r="G1526" s="356"/>
      <c r="H1526" s="396"/>
      <c r="I1526" s="356"/>
      <c r="J1526" s="356"/>
      <c r="K1526" s="356"/>
      <c r="L1526" s="356"/>
      <c r="M1526" s="356"/>
      <c r="N1526" s="356"/>
      <c r="O1526" s="356"/>
      <c r="P1526" s="356"/>
      <c r="Q1526" s="356"/>
      <c r="R1526" s="356"/>
      <c r="S1526" s="356"/>
      <c r="T1526" s="356"/>
      <c r="U1526" s="356"/>
      <c r="V1526" s="356"/>
      <c r="W1526" s="356"/>
      <c r="X1526" s="356"/>
      <c r="Y1526" s="356"/>
      <c r="Z1526" s="356"/>
      <c r="AA1526" s="356"/>
      <c r="AB1526" s="356"/>
      <c r="AC1526" s="356"/>
      <c r="AD1526" s="356"/>
      <c r="AE1526" s="356"/>
      <c r="AF1526" s="356"/>
      <c r="AG1526" s="356"/>
      <c r="AH1526" s="356"/>
      <c r="AI1526" s="356"/>
      <c r="AJ1526" s="356"/>
      <c r="AK1526" s="356"/>
      <c r="AL1526" s="356"/>
      <c r="AM1526" s="356"/>
      <c r="AN1526" s="356"/>
      <c r="AO1526" s="356"/>
      <c r="AP1526" s="356"/>
      <c r="AQ1526" s="356"/>
      <c r="AR1526" s="356"/>
      <c r="AS1526" s="357"/>
    </row>
    <row r="1527" spans="1:45" ht="17.25" thickBot="1" x14ac:dyDescent="0.3">
      <c r="A1527" s="467"/>
      <c r="B1527" s="354"/>
      <c r="C1527" s="285">
        <v>1151653</v>
      </c>
      <c r="D1527" s="358" t="s">
        <v>405</v>
      </c>
      <c r="E1527" s="360"/>
      <c r="F1527" s="361">
        <f>G1562-AK1527+AL1527</f>
        <v>0</v>
      </c>
      <c r="G1527" s="364">
        <v>0</v>
      </c>
      <c r="H1527" s="397">
        <v>1</v>
      </c>
      <c r="I1527" s="218">
        <v>1</v>
      </c>
      <c r="J1527" s="218"/>
      <c r="K1527" s="218"/>
      <c r="L1527" s="218"/>
      <c r="M1527" s="218"/>
      <c r="N1527" s="218"/>
      <c r="O1527" s="218"/>
      <c r="P1527" s="352"/>
      <c r="Q1527" s="352"/>
      <c r="R1527" s="352"/>
      <c r="S1527" s="352"/>
      <c r="T1527" s="352"/>
      <c r="U1527" s="352"/>
      <c r="V1527" s="218"/>
      <c r="W1527" s="218"/>
      <c r="X1527" s="218"/>
      <c r="Y1527" s="218"/>
      <c r="Z1527" s="218"/>
      <c r="AA1527" s="218"/>
      <c r="AB1527" s="218"/>
      <c r="AC1527" s="218"/>
      <c r="AD1527" s="218"/>
      <c r="AE1527" s="218"/>
      <c r="AF1527" s="218"/>
      <c r="AG1527" s="218"/>
      <c r="AH1527" s="218"/>
      <c r="AI1527" s="218"/>
      <c r="AJ1527" s="218"/>
      <c r="AK1527" s="218"/>
      <c r="AL1527" s="218"/>
      <c r="AM1527" s="353"/>
      <c r="AN1527" s="295"/>
      <c r="AO1527" s="296"/>
      <c r="AP1527" s="353"/>
      <c r="AQ1527" s="290"/>
      <c r="AR1527" s="290"/>
      <c r="AS1527" s="290"/>
    </row>
    <row r="1528" spans="1:45" ht="17.25" thickBot="1" x14ac:dyDescent="0.3">
      <c r="A1528" s="467"/>
      <c r="B1528" s="354"/>
      <c r="C1528" s="285">
        <v>1151650</v>
      </c>
      <c r="D1528" s="358" t="s">
        <v>406</v>
      </c>
      <c r="E1528" s="360"/>
      <c r="F1528" s="361">
        <f>G1563-AK1528+AL1528</f>
        <v>1</v>
      </c>
      <c r="G1528" s="364">
        <v>1</v>
      </c>
      <c r="H1528" s="397">
        <v>2</v>
      </c>
      <c r="I1528" s="218">
        <v>1</v>
      </c>
      <c r="J1528" s="218"/>
      <c r="K1528" s="218">
        <v>4</v>
      </c>
      <c r="L1528" s="218"/>
      <c r="M1528" s="218"/>
      <c r="N1528" s="218"/>
      <c r="O1528" s="218"/>
      <c r="P1528" s="352"/>
      <c r="Q1528" s="352"/>
      <c r="R1528" s="352"/>
      <c r="S1528" s="352"/>
      <c r="T1528" s="352"/>
      <c r="U1528" s="352"/>
      <c r="V1528" s="218"/>
      <c r="W1528" s="218"/>
      <c r="X1528" s="218"/>
      <c r="Y1528" s="218"/>
      <c r="Z1528" s="218"/>
      <c r="AA1528" s="218"/>
      <c r="AB1528" s="218"/>
      <c r="AC1528" s="218"/>
      <c r="AD1528" s="218"/>
      <c r="AE1528" s="218"/>
      <c r="AF1528" s="218"/>
      <c r="AG1528" s="218"/>
      <c r="AH1528" s="218"/>
      <c r="AI1528" s="218"/>
      <c r="AJ1528" s="218"/>
      <c r="AK1528" s="218"/>
      <c r="AL1528" s="218"/>
      <c r="AM1528" s="353"/>
      <c r="AN1528" s="295"/>
      <c r="AO1528" s="296"/>
      <c r="AP1528" s="353"/>
      <c r="AQ1528" s="290"/>
      <c r="AR1528" s="290"/>
      <c r="AS1528" s="290"/>
    </row>
    <row r="1529" spans="1:45" ht="17.25" thickBot="1" x14ac:dyDescent="0.3">
      <c r="A1529" s="467"/>
      <c r="B1529" s="354"/>
      <c r="C1529" s="285">
        <v>1151649</v>
      </c>
      <c r="D1529" s="358" t="s">
        <v>407</v>
      </c>
      <c r="E1529" s="360"/>
      <c r="F1529" s="361">
        <f>G1564-AK1529+AL1529</f>
        <v>2</v>
      </c>
      <c r="G1529" s="364">
        <v>2</v>
      </c>
      <c r="H1529" s="397">
        <v>4</v>
      </c>
      <c r="I1529" s="218"/>
      <c r="J1529" s="218"/>
      <c r="K1529" s="218">
        <v>2</v>
      </c>
      <c r="L1529" s="218"/>
      <c r="M1529" s="218"/>
      <c r="N1529" s="218"/>
      <c r="O1529" s="218"/>
      <c r="P1529" s="352"/>
      <c r="Q1529" s="352"/>
      <c r="R1529" s="352"/>
      <c r="S1529" s="352"/>
      <c r="T1529" s="352"/>
      <c r="U1529" s="352"/>
      <c r="V1529" s="218"/>
      <c r="W1529" s="218"/>
      <c r="X1529" s="218"/>
      <c r="Y1529" s="218"/>
      <c r="Z1529" s="218"/>
      <c r="AA1529" s="218"/>
      <c r="AB1529" s="218"/>
      <c r="AC1529" s="218"/>
      <c r="AD1529" s="218"/>
      <c r="AE1529" s="218"/>
      <c r="AF1529" s="218"/>
      <c r="AG1529" s="218"/>
      <c r="AH1529" s="218"/>
      <c r="AI1529" s="218"/>
      <c r="AJ1529" s="218"/>
      <c r="AK1529" s="218"/>
      <c r="AL1529" s="218"/>
      <c r="AM1529" s="353"/>
      <c r="AN1529" s="295"/>
      <c r="AO1529" s="296"/>
      <c r="AP1529" s="353"/>
      <c r="AQ1529" s="290"/>
      <c r="AR1529" s="290"/>
      <c r="AS1529" s="290"/>
    </row>
    <row r="1530" spans="1:45" ht="17.25" thickBot="1" x14ac:dyDescent="0.3">
      <c r="A1530" s="467"/>
      <c r="B1530" s="354"/>
      <c r="C1530" s="285">
        <v>1151651</v>
      </c>
      <c r="D1530" s="358" t="s">
        <v>408</v>
      </c>
      <c r="E1530" s="360"/>
      <c r="F1530" s="361">
        <f>G1565-AK1530+AL1530</f>
        <v>0</v>
      </c>
      <c r="G1530" s="364">
        <v>0</v>
      </c>
      <c r="H1530" s="397">
        <v>1</v>
      </c>
      <c r="I1530" s="218"/>
      <c r="J1530" s="218"/>
      <c r="K1530" s="218">
        <v>1</v>
      </c>
      <c r="L1530" s="218"/>
      <c r="M1530" s="218"/>
      <c r="N1530" s="218"/>
      <c r="O1530" s="218"/>
      <c r="P1530" s="352"/>
      <c r="Q1530" s="352"/>
      <c r="R1530" s="352"/>
      <c r="S1530" s="352"/>
      <c r="T1530" s="352"/>
      <c r="U1530" s="352"/>
      <c r="V1530" s="218"/>
      <c r="W1530" s="218"/>
      <c r="X1530" s="218"/>
      <c r="Y1530" s="218"/>
      <c r="Z1530" s="218"/>
      <c r="AA1530" s="218"/>
      <c r="AB1530" s="218"/>
      <c r="AC1530" s="218"/>
      <c r="AD1530" s="218"/>
      <c r="AE1530" s="218"/>
      <c r="AF1530" s="218"/>
      <c r="AG1530" s="218"/>
      <c r="AH1530" s="218"/>
      <c r="AI1530" s="218"/>
      <c r="AJ1530" s="218"/>
      <c r="AK1530" s="218"/>
      <c r="AL1530" s="218"/>
      <c r="AM1530" s="353"/>
      <c r="AN1530" s="295"/>
      <c r="AO1530" s="296"/>
      <c r="AP1530" s="353"/>
      <c r="AQ1530" s="290"/>
      <c r="AR1530" s="290"/>
      <c r="AS1530" s="290"/>
    </row>
    <row r="1531" spans="1:45" ht="17.25" thickBot="1" x14ac:dyDescent="0.3">
      <c r="A1531" s="467"/>
      <c r="B1531" s="354"/>
      <c r="C1531" s="285">
        <v>1146029</v>
      </c>
      <c r="D1531" s="358" t="s">
        <v>409</v>
      </c>
      <c r="E1531" s="360"/>
      <c r="F1531" s="361">
        <f>G1566-AK1531+AL1531</f>
        <v>1</v>
      </c>
      <c r="G1531" s="364">
        <v>1</v>
      </c>
      <c r="H1531" s="397">
        <v>2</v>
      </c>
      <c r="I1531" s="218">
        <v>2</v>
      </c>
      <c r="J1531" s="218"/>
      <c r="K1531" s="218">
        <v>1</v>
      </c>
      <c r="L1531" s="218"/>
      <c r="M1531" s="218"/>
      <c r="N1531" s="218"/>
      <c r="O1531" s="218"/>
      <c r="P1531" s="352"/>
      <c r="Q1531" s="352"/>
      <c r="R1531" s="352"/>
      <c r="S1531" s="352"/>
      <c r="T1531" s="352"/>
      <c r="U1531" s="352"/>
      <c r="V1531" s="218"/>
      <c r="W1531" s="218"/>
      <c r="X1531" s="218"/>
      <c r="Y1531" s="218"/>
      <c r="Z1531" s="218"/>
      <c r="AA1531" s="218"/>
      <c r="AB1531" s="218"/>
      <c r="AC1531" s="218"/>
      <c r="AD1531" s="218"/>
      <c r="AE1531" s="218"/>
      <c r="AF1531" s="218"/>
      <c r="AG1531" s="218"/>
      <c r="AH1531" s="218"/>
      <c r="AI1531" s="218"/>
      <c r="AJ1531" s="218"/>
      <c r="AK1531" s="218"/>
      <c r="AL1531" s="218"/>
      <c r="AM1531" s="353"/>
      <c r="AN1531" s="295"/>
      <c r="AO1531" s="296"/>
      <c r="AP1531" s="353"/>
      <c r="AQ1531" s="290"/>
      <c r="AR1531" s="290"/>
      <c r="AS1531" s="290"/>
    </row>
    <row r="1532" spans="1:45" ht="17.25" thickBot="1" x14ac:dyDescent="0.3">
      <c r="A1532" s="467"/>
      <c r="B1532" s="355" t="s">
        <v>410</v>
      </c>
      <c r="C1532" s="356"/>
      <c r="D1532" s="356"/>
      <c r="E1532" s="359"/>
      <c r="F1532" s="359"/>
      <c r="G1532" s="356"/>
      <c r="H1532" s="396"/>
      <c r="I1532" s="356"/>
      <c r="J1532" s="356"/>
      <c r="K1532" s="356"/>
      <c r="L1532" s="356"/>
      <c r="M1532" s="356"/>
      <c r="N1532" s="356"/>
      <c r="O1532" s="356"/>
      <c r="P1532" s="356"/>
      <c r="Q1532" s="356"/>
      <c r="R1532" s="356"/>
      <c r="S1532" s="356"/>
      <c r="T1532" s="356"/>
      <c r="U1532" s="356"/>
      <c r="V1532" s="356"/>
      <c r="W1532" s="356"/>
      <c r="X1532" s="356"/>
      <c r="Y1532" s="356"/>
      <c r="Z1532" s="356"/>
      <c r="AA1532" s="356"/>
      <c r="AB1532" s="356"/>
      <c r="AC1532" s="356"/>
      <c r="AD1532" s="356"/>
      <c r="AE1532" s="356"/>
      <c r="AF1532" s="356"/>
      <c r="AG1532" s="356"/>
      <c r="AH1532" s="356"/>
      <c r="AI1532" s="356"/>
      <c r="AJ1532" s="356"/>
      <c r="AK1532" s="356"/>
      <c r="AL1532" s="356"/>
      <c r="AM1532" s="356"/>
      <c r="AN1532" s="356"/>
      <c r="AO1532" s="356"/>
      <c r="AP1532" s="356"/>
      <c r="AQ1532" s="356"/>
      <c r="AR1532" s="356"/>
      <c r="AS1532" s="357"/>
    </row>
    <row r="1533" spans="1:45" ht="17.25" thickBot="1" x14ac:dyDescent="0.3">
      <c r="A1533" s="467"/>
      <c r="B1533" s="354"/>
      <c r="C1533" s="285">
        <v>1699118</v>
      </c>
      <c r="D1533" s="358" t="s">
        <v>411</v>
      </c>
      <c r="E1533" s="360"/>
      <c r="F1533" s="361">
        <f>G1568-AK1533+AL1533</f>
        <v>0</v>
      </c>
      <c r="G1533" s="364">
        <v>0</v>
      </c>
      <c r="H1533" s="397">
        <v>1</v>
      </c>
      <c r="I1533" s="218"/>
      <c r="J1533" s="218"/>
      <c r="K1533" s="218"/>
      <c r="L1533" s="218"/>
      <c r="M1533" s="218"/>
      <c r="N1533" s="218"/>
      <c r="O1533" s="218"/>
      <c r="P1533" s="352"/>
      <c r="Q1533" s="352"/>
      <c r="R1533" s="352"/>
      <c r="S1533" s="352"/>
      <c r="T1533" s="352"/>
      <c r="U1533" s="352"/>
      <c r="V1533" s="218"/>
      <c r="W1533" s="218"/>
      <c r="X1533" s="218"/>
      <c r="Y1533" s="218"/>
      <c r="Z1533" s="218"/>
      <c r="AA1533" s="218"/>
      <c r="AB1533" s="218"/>
      <c r="AC1533" s="218"/>
      <c r="AD1533" s="218"/>
      <c r="AE1533" s="218"/>
      <c r="AF1533" s="218"/>
      <c r="AG1533" s="218"/>
      <c r="AH1533" s="218"/>
      <c r="AI1533" s="218"/>
      <c r="AJ1533" s="218"/>
      <c r="AK1533" s="218"/>
      <c r="AL1533" s="218"/>
      <c r="AM1533" s="353"/>
      <c r="AN1533" s="295"/>
      <c r="AO1533" s="296"/>
      <c r="AP1533" s="353"/>
      <c r="AQ1533" s="290"/>
      <c r="AR1533" s="290"/>
      <c r="AS1533" s="290"/>
    </row>
    <row r="1534" spans="1:45" ht="17.25" thickBot="1" x14ac:dyDescent="0.3">
      <c r="A1534" s="467"/>
      <c r="B1534" s="354"/>
      <c r="C1534" s="285">
        <v>1699119</v>
      </c>
      <c r="D1534" s="358" t="s">
        <v>412</v>
      </c>
      <c r="E1534" s="360"/>
      <c r="F1534" s="361">
        <f>G1569-AK1534+AL1534</f>
        <v>0</v>
      </c>
      <c r="G1534" s="364">
        <v>0</v>
      </c>
      <c r="H1534" s="397">
        <v>1</v>
      </c>
      <c r="I1534" s="218"/>
      <c r="J1534" s="218"/>
      <c r="K1534" s="218"/>
      <c r="L1534" s="218"/>
      <c r="M1534" s="218"/>
      <c r="N1534" s="218"/>
      <c r="O1534" s="218"/>
      <c r="P1534" s="352"/>
      <c r="Q1534" s="352"/>
      <c r="R1534" s="352"/>
      <c r="S1534" s="352"/>
      <c r="T1534" s="352"/>
      <c r="U1534" s="352"/>
      <c r="V1534" s="218"/>
      <c r="W1534" s="218"/>
      <c r="X1534" s="218"/>
      <c r="Y1534" s="218"/>
      <c r="Z1534" s="218"/>
      <c r="AA1534" s="218"/>
      <c r="AB1534" s="218"/>
      <c r="AC1534" s="218"/>
      <c r="AD1534" s="218"/>
      <c r="AE1534" s="218"/>
      <c r="AF1534" s="218"/>
      <c r="AG1534" s="218"/>
      <c r="AH1534" s="218"/>
      <c r="AI1534" s="218"/>
      <c r="AJ1534" s="218"/>
      <c r="AK1534" s="218"/>
      <c r="AL1534" s="218"/>
      <c r="AM1534" s="353"/>
      <c r="AN1534" s="295"/>
      <c r="AO1534" s="296"/>
      <c r="AP1534" s="353"/>
      <c r="AQ1534" s="290"/>
      <c r="AR1534" s="290"/>
      <c r="AS1534" s="290"/>
    </row>
    <row r="1535" spans="1:45" ht="17.25" thickBot="1" x14ac:dyDescent="0.3">
      <c r="A1535" s="467"/>
      <c r="B1535" s="354"/>
      <c r="C1535" s="285">
        <v>1699130</v>
      </c>
      <c r="D1535" s="358" t="s">
        <v>413</v>
      </c>
      <c r="E1535" s="360"/>
      <c r="F1535" s="361">
        <f>G1570-AK1535+AL1535</f>
        <v>0</v>
      </c>
      <c r="G1535" s="364">
        <v>0</v>
      </c>
      <c r="H1535" s="397">
        <v>4</v>
      </c>
      <c r="I1535" s="218"/>
      <c r="J1535" s="218"/>
      <c r="K1535" s="218"/>
      <c r="L1535" s="218"/>
      <c r="M1535" s="218"/>
      <c r="N1535" s="218"/>
      <c r="O1535" s="218"/>
      <c r="P1535" s="352"/>
      <c r="Q1535" s="352"/>
      <c r="R1535" s="352"/>
      <c r="S1535" s="352"/>
      <c r="T1535" s="352"/>
      <c r="U1535" s="352"/>
      <c r="V1535" s="218"/>
      <c r="W1535" s="218"/>
      <c r="X1535" s="218"/>
      <c r="Y1535" s="218"/>
      <c r="Z1535" s="218"/>
      <c r="AA1535" s="218"/>
      <c r="AB1535" s="218"/>
      <c r="AC1535" s="218"/>
      <c r="AD1535" s="218"/>
      <c r="AE1535" s="218"/>
      <c r="AF1535" s="218"/>
      <c r="AG1535" s="218"/>
      <c r="AH1535" s="218"/>
      <c r="AI1535" s="218"/>
      <c r="AJ1535" s="218"/>
      <c r="AK1535" s="218"/>
      <c r="AL1535" s="218"/>
      <c r="AM1535" s="353"/>
      <c r="AN1535" s="295"/>
      <c r="AO1535" s="296"/>
      <c r="AP1535" s="353"/>
      <c r="AQ1535" s="290"/>
      <c r="AR1535" s="290"/>
      <c r="AS1535" s="290"/>
    </row>
    <row r="1536" spans="1:45" ht="17.25" thickBot="1" x14ac:dyDescent="0.3">
      <c r="A1536" s="467"/>
      <c r="B1536" s="354"/>
      <c r="C1536" s="285">
        <v>1699131</v>
      </c>
      <c r="D1536" s="358" t="s">
        <v>414</v>
      </c>
      <c r="E1536" s="360"/>
      <c r="F1536" s="361">
        <f>G1571-AK1536+AL1536</f>
        <v>0</v>
      </c>
      <c r="G1536" s="364">
        <v>0</v>
      </c>
      <c r="H1536" s="397">
        <v>3</v>
      </c>
      <c r="I1536" s="218">
        <v>2</v>
      </c>
      <c r="J1536" s="218"/>
      <c r="K1536" s="218"/>
      <c r="L1536" s="218"/>
      <c r="M1536" s="218"/>
      <c r="N1536" s="218"/>
      <c r="O1536" s="218"/>
      <c r="P1536" s="352"/>
      <c r="Q1536" s="352"/>
      <c r="R1536" s="352"/>
      <c r="S1536" s="352"/>
      <c r="T1536" s="352"/>
      <c r="U1536" s="352"/>
      <c r="V1536" s="218"/>
      <c r="W1536" s="218"/>
      <c r="X1536" s="218"/>
      <c r="Y1536" s="218"/>
      <c r="Z1536" s="218"/>
      <c r="AA1536" s="218"/>
      <c r="AB1536" s="218"/>
      <c r="AC1536" s="218"/>
      <c r="AD1536" s="218"/>
      <c r="AE1536" s="218"/>
      <c r="AF1536" s="218"/>
      <c r="AG1536" s="218"/>
      <c r="AH1536" s="218"/>
      <c r="AI1536" s="218"/>
      <c r="AJ1536" s="218"/>
      <c r="AK1536" s="218"/>
      <c r="AL1536" s="218"/>
      <c r="AM1536" s="353"/>
      <c r="AN1536" s="295"/>
      <c r="AO1536" s="296"/>
      <c r="AP1536" s="353"/>
      <c r="AQ1536" s="290"/>
      <c r="AR1536" s="290"/>
      <c r="AS1536" s="290"/>
    </row>
    <row r="1537" spans="1:45" ht="17.25" thickBot="1" x14ac:dyDescent="0.3">
      <c r="A1537" s="468"/>
      <c r="B1537" s="354"/>
      <c r="C1537" s="285">
        <v>1699132</v>
      </c>
      <c r="D1537" s="358" t="s">
        <v>415</v>
      </c>
      <c r="E1537" s="285"/>
      <c r="F1537" s="362">
        <f>G1572-AK1537+AL1537</f>
        <v>0</v>
      </c>
      <c r="G1537" s="364">
        <v>0</v>
      </c>
      <c r="H1537" s="397">
        <v>3</v>
      </c>
      <c r="I1537" s="218"/>
      <c r="J1537" s="218"/>
      <c r="K1537" s="218"/>
      <c r="L1537" s="218"/>
      <c r="M1537" s="218"/>
      <c r="N1537" s="218"/>
      <c r="O1537" s="218"/>
      <c r="P1537" s="352"/>
      <c r="Q1537" s="352"/>
      <c r="R1537" s="352"/>
      <c r="S1537" s="352"/>
      <c r="T1537" s="352"/>
      <c r="U1537" s="352"/>
      <c r="V1537" s="218"/>
      <c r="W1537" s="218"/>
      <c r="X1537" s="218"/>
      <c r="Y1537" s="218"/>
      <c r="Z1537" s="218"/>
      <c r="AA1537" s="218"/>
      <c r="AB1537" s="218"/>
      <c r="AC1537" s="218"/>
      <c r="AD1537" s="218"/>
      <c r="AE1537" s="218"/>
      <c r="AF1537" s="218"/>
      <c r="AG1537" s="218"/>
      <c r="AH1537" s="218"/>
      <c r="AI1537" s="218"/>
      <c r="AJ1537" s="218"/>
      <c r="AK1537" s="218"/>
      <c r="AL1537" s="218"/>
      <c r="AM1537" s="353"/>
      <c r="AN1537" s="295"/>
      <c r="AO1537" s="296"/>
      <c r="AP1537" s="353"/>
      <c r="AQ1537" s="290"/>
      <c r="AR1537" s="290"/>
      <c r="AS1537" s="290"/>
    </row>
    <row r="1538" spans="1:45" x14ac:dyDescent="0.25">
      <c r="AL1538" s="290"/>
      <c r="AM1538" s="290"/>
      <c r="AN1538" s="290"/>
      <c r="AO1538" s="290"/>
      <c r="AP1538" s="290"/>
      <c r="AQ1538" s="290"/>
      <c r="AR1538" s="290"/>
    </row>
    <row r="1539" spans="1:45" ht="14.25" thickBot="1" x14ac:dyDescent="0.3">
      <c r="B1539" s="338" t="s">
        <v>18</v>
      </c>
      <c r="C1539" s="339">
        <v>45544</v>
      </c>
      <c r="AL1539" s="290"/>
      <c r="AM1539" s="290"/>
      <c r="AN1539" s="290"/>
      <c r="AO1539" s="290"/>
      <c r="AP1539" s="290"/>
      <c r="AQ1539" s="290"/>
      <c r="AR1539" s="290"/>
    </row>
    <row r="1540" spans="1:45" ht="41.25" thickBot="1" x14ac:dyDescent="0.3">
      <c r="B1540" s="283" t="s">
        <v>0</v>
      </c>
      <c r="C1540" s="284" t="s">
        <v>1</v>
      </c>
      <c r="D1540" s="284" t="s">
        <v>2</v>
      </c>
      <c r="E1540" s="284" t="s">
        <v>3</v>
      </c>
      <c r="F1540" s="4" t="s">
        <v>318</v>
      </c>
      <c r="G1540" s="351" t="s">
        <v>4</v>
      </c>
      <c r="H1540" s="382" t="s">
        <v>460</v>
      </c>
      <c r="I1540" s="234" t="s">
        <v>392</v>
      </c>
      <c r="J1540" s="234"/>
      <c r="K1540" s="258" t="s">
        <v>446</v>
      </c>
      <c r="L1540" s="258" t="s">
        <v>328</v>
      </c>
      <c r="M1540" s="258" t="s">
        <v>327</v>
      </c>
      <c r="N1540" s="234" t="s">
        <v>389</v>
      </c>
      <c r="O1540" s="240" t="s">
        <v>130</v>
      </c>
      <c r="P1540" s="243" t="s">
        <v>303</v>
      </c>
      <c r="Q1540" s="244" t="s">
        <v>304</v>
      </c>
      <c r="R1540" s="244" t="s">
        <v>314</v>
      </c>
      <c r="S1540" s="245" t="s">
        <v>338</v>
      </c>
      <c r="T1540" s="245" t="s">
        <v>345</v>
      </c>
      <c r="U1540" s="245" t="s">
        <v>361</v>
      </c>
      <c r="V1540" s="245" t="s">
        <v>387</v>
      </c>
      <c r="W1540" s="245" t="s">
        <v>421</v>
      </c>
      <c r="X1540" s="245" t="s">
        <v>451</v>
      </c>
      <c r="Y1540" s="245"/>
      <c r="Z1540" s="245"/>
      <c r="AA1540" s="245"/>
      <c r="AB1540" s="245"/>
      <c r="AC1540" s="245"/>
      <c r="AD1540" s="245"/>
      <c r="AE1540" s="245"/>
      <c r="AF1540" s="245"/>
      <c r="AG1540" s="245"/>
      <c r="AH1540" s="245"/>
      <c r="AI1540" s="245"/>
      <c r="AJ1540" s="245" t="s">
        <v>360</v>
      </c>
      <c r="AK1540" s="246" t="s">
        <v>268</v>
      </c>
      <c r="AL1540" s="247" t="s">
        <v>269</v>
      </c>
      <c r="AM1540" s="291" t="s">
        <v>288</v>
      </c>
      <c r="AN1540" s="292" t="s">
        <v>289</v>
      </c>
      <c r="AO1540" s="292" t="s">
        <v>287</v>
      </c>
      <c r="AP1540" s="293" t="s">
        <v>290</v>
      </c>
      <c r="AQ1540" s="290" t="s">
        <v>306</v>
      </c>
      <c r="AR1540" s="290" t="s">
        <v>310</v>
      </c>
      <c r="AS1540" s="290" t="s">
        <v>311</v>
      </c>
    </row>
    <row r="1541" spans="1:45" ht="17.25" thickBot="1" x14ac:dyDescent="0.3">
      <c r="A1541" s="463" t="s">
        <v>416</v>
      </c>
      <c r="B1541" s="285">
        <v>273664</v>
      </c>
      <c r="C1541" s="286">
        <v>1135749</v>
      </c>
      <c r="D1541" s="286" t="s">
        <v>7</v>
      </c>
      <c r="E1541" s="286">
        <v>6060050026</v>
      </c>
      <c r="F1541" s="253">
        <f>G1576-AK1541+AL1541</f>
        <v>4</v>
      </c>
      <c r="G1541" s="235">
        <v>4</v>
      </c>
      <c r="H1541" s="394">
        <v>5</v>
      </c>
      <c r="I1541" s="232">
        <v>5</v>
      </c>
      <c r="J1541" s="232"/>
      <c r="K1541" s="232">
        <v>3</v>
      </c>
      <c r="L1541" s="232">
        <f>IF(K1575=K1540,L1576+AK1541,K1541)</f>
        <v>3</v>
      </c>
      <c r="M1541" s="232">
        <f>IF(K1575=K1540,0,L1576+AK1541-K1541)</f>
        <v>0</v>
      </c>
      <c r="N1541" s="267">
        <v>5</v>
      </c>
      <c r="O1541" s="241">
        <f>N1541-G1541</f>
        <v>1</v>
      </c>
      <c r="P1541" s="277">
        <v>4</v>
      </c>
      <c r="Q1541" s="278">
        <v>4</v>
      </c>
      <c r="R1541" s="279"/>
      <c r="S1541" s="279">
        <v>3</v>
      </c>
      <c r="T1541" s="279">
        <v>4</v>
      </c>
      <c r="U1541" s="279">
        <v>2</v>
      </c>
      <c r="V1541" s="279"/>
      <c r="W1541" s="279">
        <f>2+3</f>
        <v>5</v>
      </c>
      <c r="X1541" s="241"/>
      <c r="Y1541" s="241"/>
      <c r="Z1541" s="241"/>
      <c r="AA1541" s="241"/>
      <c r="AB1541" s="241"/>
      <c r="AC1541" s="241"/>
      <c r="AD1541" s="241"/>
      <c r="AE1541" s="241"/>
      <c r="AF1541" s="241"/>
      <c r="AG1541" s="241"/>
      <c r="AH1541" s="241"/>
      <c r="AI1541" s="241"/>
      <c r="AJ1541" s="241">
        <f>N1541-V1541</f>
        <v>5</v>
      </c>
      <c r="AK1541" s="235">
        <f>G1576+AL1541-G1541</f>
        <v>0</v>
      </c>
      <c r="AL1541" s="350"/>
      <c r="AM1541" s="294">
        <v>1.5</v>
      </c>
      <c r="AN1541" s="295">
        <v>4</v>
      </c>
      <c r="AO1541" s="296">
        <f>G1541/(AN1541)</f>
        <v>1</v>
      </c>
      <c r="AP1541" s="297">
        <f>AN1541*6</f>
        <v>24</v>
      </c>
      <c r="AQ1541" s="290">
        <f>G1541+K1541</f>
        <v>7</v>
      </c>
      <c r="AR1541" s="290">
        <f>IF(G1541&lt;G1576,(G1576-G1541+K1576-K1541),K1576-K1541)</f>
        <v>0</v>
      </c>
      <c r="AS1541" s="290">
        <f>21-8</f>
        <v>13</v>
      </c>
    </row>
    <row r="1542" spans="1:45" ht="17.25" thickBot="1" x14ac:dyDescent="0.3">
      <c r="A1542" s="464"/>
      <c r="B1542" s="285">
        <v>273672</v>
      </c>
      <c r="C1542" s="286">
        <v>1135750</v>
      </c>
      <c r="D1542" s="286" t="s">
        <v>9</v>
      </c>
      <c r="E1542" s="287">
        <v>204000000000</v>
      </c>
      <c r="F1542" s="253">
        <f>G1577-AK1542+AL1542</f>
        <v>5</v>
      </c>
      <c r="G1542" s="235">
        <v>5</v>
      </c>
      <c r="H1542" s="394">
        <v>16</v>
      </c>
      <c r="I1542" s="232">
        <v>0</v>
      </c>
      <c r="J1542" s="232"/>
      <c r="K1542" s="232">
        <v>7</v>
      </c>
      <c r="L1542" s="232">
        <f>IF(K1575=K1540,L1577+AK1542,K1542)</f>
        <v>7</v>
      </c>
      <c r="M1542" s="232">
        <f>IF(K1575=K1540,0,L1577+AK1542-K1542)</f>
        <v>2</v>
      </c>
      <c r="N1542" s="267">
        <v>10</v>
      </c>
      <c r="O1542" s="241">
        <f>N1542-G1542</f>
        <v>5</v>
      </c>
      <c r="P1542" s="277">
        <v>13</v>
      </c>
      <c r="Q1542" s="278">
        <v>2</v>
      </c>
      <c r="R1542" s="279">
        <v>6</v>
      </c>
      <c r="S1542" s="279">
        <v>6</v>
      </c>
      <c r="T1542" s="279">
        <v>10</v>
      </c>
      <c r="U1542" s="279">
        <v>4</v>
      </c>
      <c r="V1542" s="279">
        <v>6</v>
      </c>
      <c r="W1542" s="279">
        <v>16</v>
      </c>
      <c r="X1542" s="241"/>
      <c r="Y1542" s="241"/>
      <c r="Z1542" s="241"/>
      <c r="AA1542" s="241"/>
      <c r="AB1542" s="241"/>
      <c r="AC1542" s="241"/>
      <c r="AD1542" s="241"/>
      <c r="AE1542" s="241"/>
      <c r="AF1542" s="241"/>
      <c r="AG1542" s="241"/>
      <c r="AH1542" s="241"/>
      <c r="AI1542" s="241"/>
      <c r="AJ1542" s="241">
        <f>N1542-V1542</f>
        <v>4</v>
      </c>
      <c r="AK1542" s="235">
        <f>G1577+AL1542-G1542</f>
        <v>0</v>
      </c>
      <c r="AL1542" s="236"/>
      <c r="AM1542" s="298">
        <v>4.2</v>
      </c>
      <c r="AN1542" s="295">
        <v>9</v>
      </c>
      <c r="AO1542" s="296">
        <f>G1542/(AN1542)</f>
        <v>0.55555555555555558</v>
      </c>
      <c r="AP1542" s="297">
        <f>AN1542*6</f>
        <v>54</v>
      </c>
      <c r="AQ1542" s="290">
        <f>G1542+K1542</f>
        <v>12</v>
      </c>
      <c r="AR1542" s="290">
        <f>IF(G1542&lt;G1577,(G1577-G1542+K1577-K1542),K1577-K1542)</f>
        <v>2</v>
      </c>
      <c r="AS1542" s="290">
        <f>21-8</f>
        <v>13</v>
      </c>
    </row>
    <row r="1543" spans="1:45" ht="17.25" thickBot="1" x14ac:dyDescent="0.3">
      <c r="A1543" s="464"/>
      <c r="B1543" s="285">
        <v>273702</v>
      </c>
      <c r="C1543" s="286">
        <v>1135753</v>
      </c>
      <c r="D1543" s="286" t="s">
        <v>10</v>
      </c>
      <c r="E1543" s="287">
        <v>301000000000</v>
      </c>
      <c r="F1543" s="253">
        <f>G1578-AK1543+AL1543</f>
        <v>2</v>
      </c>
      <c r="G1543" s="235">
        <v>2</v>
      </c>
      <c r="H1543" s="394">
        <v>1</v>
      </c>
      <c r="I1543" s="232">
        <v>2</v>
      </c>
      <c r="J1543" s="232"/>
      <c r="K1543" s="232">
        <v>1</v>
      </c>
      <c r="L1543" s="232">
        <f>IF(K1575=K1540,L1578+AK1543,K1543)</f>
        <v>1</v>
      </c>
      <c r="M1543" s="232">
        <f>IF(K1575=K1540,0,L1578+AK1543-K1543)</f>
        <v>0</v>
      </c>
      <c r="N1543" s="232">
        <v>2</v>
      </c>
      <c r="O1543" s="241">
        <f>N1543-G1543</f>
        <v>0</v>
      </c>
      <c r="P1543" s="277"/>
      <c r="Q1543" s="278"/>
      <c r="R1543" s="279"/>
      <c r="S1543" s="279"/>
      <c r="T1543" s="279"/>
      <c r="U1543" s="279"/>
      <c r="V1543" s="279"/>
      <c r="W1543" s="279"/>
      <c r="X1543" s="241"/>
      <c r="Y1543" s="241"/>
      <c r="Z1543" s="241"/>
      <c r="AA1543" s="241"/>
      <c r="AB1543" s="241"/>
      <c r="AC1543" s="241"/>
      <c r="AD1543" s="241"/>
      <c r="AE1543" s="241"/>
      <c r="AF1543" s="241"/>
      <c r="AG1543" s="241"/>
      <c r="AH1543" s="241"/>
      <c r="AI1543" s="241"/>
      <c r="AJ1543" s="241">
        <f>N1543-V1543</f>
        <v>2</v>
      </c>
      <c r="AK1543" s="235">
        <f>G1578+AL1543-G1543</f>
        <v>0</v>
      </c>
      <c r="AL1543" s="236"/>
      <c r="AM1543" s="294">
        <f>4/12</f>
        <v>0.33333333333333331</v>
      </c>
      <c r="AN1543" s="295">
        <v>2</v>
      </c>
      <c r="AO1543" s="296">
        <f>G1543/(AN1543)</f>
        <v>1</v>
      </c>
      <c r="AP1543" s="297">
        <f>AN1543*6</f>
        <v>12</v>
      </c>
      <c r="AQ1543" s="290">
        <f>G1543+K1543</f>
        <v>3</v>
      </c>
      <c r="AR1543" s="290">
        <f>IF(G1543&lt;G1578,(G1578-G1543+K1578-K1543),K1578-K1543)</f>
        <v>0</v>
      </c>
      <c r="AS1543" s="290">
        <f>21-8</f>
        <v>13</v>
      </c>
    </row>
    <row r="1544" spans="1:45" ht="17.25" thickBot="1" x14ac:dyDescent="0.3">
      <c r="A1544" s="464"/>
      <c r="B1544" s="285">
        <v>273698</v>
      </c>
      <c r="C1544" s="286">
        <v>1135752</v>
      </c>
      <c r="D1544" s="286" t="s">
        <v>11</v>
      </c>
      <c r="E1544" s="287">
        <v>701000000000</v>
      </c>
      <c r="F1544" s="253">
        <f>G1579-AK1544+AL1544</f>
        <v>2</v>
      </c>
      <c r="G1544" s="235">
        <v>2</v>
      </c>
      <c r="H1544" s="394">
        <v>2</v>
      </c>
      <c r="I1544" s="232">
        <v>3</v>
      </c>
      <c r="J1544" s="232"/>
      <c r="K1544" s="232">
        <v>0</v>
      </c>
      <c r="L1544" s="232">
        <f>IF(K1575=K1540,L1579+AK1544,K1544)</f>
        <v>0</v>
      </c>
      <c r="M1544" s="232">
        <f>IF(K1575=K1540,0,L1579+AK1544-K1544)</f>
        <v>1</v>
      </c>
      <c r="N1544" s="232">
        <v>3</v>
      </c>
      <c r="O1544" s="241">
        <f>N1544-G1544</f>
        <v>1</v>
      </c>
      <c r="P1544" s="277">
        <v>2</v>
      </c>
      <c r="Q1544" s="278"/>
      <c r="R1544" s="279"/>
      <c r="S1544" s="279"/>
      <c r="T1544" s="279"/>
      <c r="U1544" s="279"/>
      <c r="V1544" s="279"/>
      <c r="W1544" s="279">
        <v>1</v>
      </c>
      <c r="X1544" s="241"/>
      <c r="Y1544" s="241"/>
      <c r="Z1544" s="241"/>
      <c r="AA1544" s="241"/>
      <c r="AB1544" s="241"/>
      <c r="AC1544" s="241"/>
      <c r="AD1544" s="241"/>
      <c r="AE1544" s="241"/>
      <c r="AF1544" s="241"/>
      <c r="AG1544" s="241"/>
      <c r="AH1544" s="241"/>
      <c r="AI1544" s="241"/>
      <c r="AJ1544" s="241">
        <f>N1544-V1544</f>
        <v>3</v>
      </c>
      <c r="AK1544" s="235">
        <f>G1579+AL1544-G1544</f>
        <v>0</v>
      </c>
      <c r="AL1544" s="236"/>
      <c r="AM1544" s="294">
        <f>4/12</f>
        <v>0.33333333333333331</v>
      </c>
      <c r="AN1544" s="295">
        <v>2</v>
      </c>
      <c r="AO1544" s="296">
        <f>G1544/(AN1544)</f>
        <v>1</v>
      </c>
      <c r="AP1544" s="297">
        <f>AN1544*6</f>
        <v>12</v>
      </c>
      <c r="AQ1544" s="290">
        <f>G1544+K1544</f>
        <v>2</v>
      </c>
      <c r="AR1544" s="290">
        <f>IF(G1544&lt;G1579,(G1579-G1544+K1579-K1544),K1579-K1544)</f>
        <v>1</v>
      </c>
      <c r="AS1544" s="290">
        <f>21-8</f>
        <v>13</v>
      </c>
    </row>
    <row r="1545" spans="1:45" ht="17.25" thickBot="1" x14ac:dyDescent="0.3">
      <c r="A1545" s="465"/>
      <c r="B1545" s="285">
        <v>273680</v>
      </c>
      <c r="C1545" s="286">
        <v>1135751</v>
      </c>
      <c r="D1545" s="286" t="s">
        <v>12</v>
      </c>
      <c r="E1545" s="286" t="s">
        <v>13</v>
      </c>
      <c r="F1545" s="254">
        <f>G1580-AK1545+AL1545</f>
        <v>5</v>
      </c>
      <c r="G1545" s="237">
        <v>5</v>
      </c>
      <c r="H1545" s="395">
        <v>8</v>
      </c>
      <c r="I1545" s="238">
        <v>9</v>
      </c>
      <c r="J1545" s="238"/>
      <c r="K1545" s="238">
        <v>2</v>
      </c>
      <c r="L1545" s="238">
        <f>IF(K1575=K1540,L1580+AK1545,K1545)</f>
        <v>2</v>
      </c>
      <c r="M1545" s="238">
        <f>IF(K1575=K1540,0,L1580+AK1545-K1545)</f>
        <v>12</v>
      </c>
      <c r="N1545" s="238">
        <v>9</v>
      </c>
      <c r="O1545" s="242">
        <f>N1545-G1545</f>
        <v>4</v>
      </c>
      <c r="P1545" s="280"/>
      <c r="Q1545" s="281"/>
      <c r="R1545" s="282"/>
      <c r="S1545" s="282"/>
      <c r="T1545" s="282">
        <v>11</v>
      </c>
      <c r="U1545" s="282"/>
      <c r="V1545" s="282"/>
      <c r="W1545" s="282">
        <v>9</v>
      </c>
      <c r="X1545" s="242"/>
      <c r="Y1545" s="242"/>
      <c r="Z1545" s="242"/>
      <c r="AA1545" s="242"/>
      <c r="AB1545" s="242"/>
      <c r="AC1545" s="242"/>
      <c r="AD1545" s="242"/>
      <c r="AE1545" s="242"/>
      <c r="AF1545" s="242"/>
      <c r="AG1545" s="242"/>
      <c r="AH1545" s="242"/>
      <c r="AI1545" s="242"/>
      <c r="AJ1545" s="242">
        <f>N1545-V1545</f>
        <v>9</v>
      </c>
      <c r="AK1545" s="235">
        <f>G1580+AL1545-G1545</f>
        <v>0</v>
      </c>
      <c r="AL1545" s="239">
        <v>5</v>
      </c>
      <c r="AM1545" s="299">
        <f>30/12</f>
        <v>2.5</v>
      </c>
      <c r="AN1545" s="300">
        <f>AM1545*2</f>
        <v>5</v>
      </c>
      <c r="AO1545" s="301">
        <f>G1545/(AN1545)</f>
        <v>1</v>
      </c>
      <c r="AP1545" s="302">
        <f>AN1545*6</f>
        <v>30</v>
      </c>
      <c r="AQ1545" s="290">
        <f>G1545+K1545</f>
        <v>7</v>
      </c>
      <c r="AR1545" s="290">
        <f>IF(G1545&lt;G1580,(G1580-G1545+K1580-K1545),K1580-K1545)</f>
        <v>12</v>
      </c>
      <c r="AS1545" s="290">
        <f>21-8</f>
        <v>13</v>
      </c>
    </row>
    <row r="1546" spans="1:45" ht="17.25" thickBot="1" x14ac:dyDescent="0.3">
      <c r="A1546" s="466" t="s">
        <v>417</v>
      </c>
      <c r="B1546" s="355" t="s">
        <v>129</v>
      </c>
      <c r="C1546" s="356"/>
      <c r="D1546" s="356"/>
      <c r="E1546" s="359"/>
      <c r="F1546" s="359"/>
      <c r="G1546" s="356"/>
      <c r="H1546" s="396"/>
      <c r="I1546" s="356"/>
      <c r="J1546" s="356"/>
      <c r="K1546" s="356"/>
      <c r="L1546" s="356"/>
      <c r="M1546" s="356"/>
      <c r="N1546" s="356"/>
      <c r="O1546" s="356"/>
      <c r="P1546" s="356"/>
      <c r="Q1546" s="356"/>
      <c r="R1546" s="356"/>
      <c r="S1546" s="356"/>
      <c r="T1546" s="356"/>
      <c r="U1546" s="356"/>
      <c r="V1546" s="356"/>
      <c r="W1546" s="356"/>
      <c r="X1546" s="356"/>
      <c r="Y1546" s="356"/>
      <c r="Z1546" s="356"/>
      <c r="AA1546" s="356"/>
      <c r="AB1546" s="356"/>
      <c r="AC1546" s="356"/>
      <c r="AD1546" s="356"/>
      <c r="AE1546" s="356"/>
      <c r="AF1546" s="356"/>
      <c r="AG1546" s="356"/>
      <c r="AH1546" s="356"/>
      <c r="AI1546" s="356"/>
      <c r="AJ1546" s="356"/>
      <c r="AK1546" s="356"/>
      <c r="AL1546" s="356"/>
      <c r="AM1546" s="356"/>
      <c r="AN1546" s="356"/>
      <c r="AO1546" s="356"/>
      <c r="AP1546" s="356"/>
      <c r="AQ1546" s="356"/>
      <c r="AR1546" s="356"/>
      <c r="AS1546" s="357"/>
    </row>
    <row r="1547" spans="1:45" ht="17.25" thickBot="1" x14ac:dyDescent="0.3">
      <c r="A1547" s="467"/>
      <c r="B1547" s="354"/>
      <c r="C1547" s="354">
        <v>1140327</v>
      </c>
      <c r="D1547" s="358" t="s">
        <v>394</v>
      </c>
      <c r="E1547" s="360"/>
      <c r="F1547" s="361">
        <f>G1582-AK1547+AL1547</f>
        <v>21</v>
      </c>
      <c r="G1547" s="218">
        <v>21</v>
      </c>
      <c r="H1547" s="397">
        <v>23</v>
      </c>
      <c r="I1547" s="218"/>
      <c r="J1547" s="218"/>
      <c r="K1547" s="218">
        <v>4</v>
      </c>
      <c r="L1547" s="218">
        <f>IF(K1575=K1540,L1582+AK1547,K1547)</f>
        <v>4</v>
      </c>
      <c r="M1547" s="218">
        <f>IF(K1575=K1540,0,L1582+AK1547-K1547)</f>
        <v>-2</v>
      </c>
      <c r="N1547" s="218"/>
      <c r="O1547" s="218"/>
      <c r="P1547" s="352"/>
      <c r="Q1547" s="352"/>
      <c r="R1547" s="352"/>
      <c r="S1547" s="352"/>
      <c r="T1547" s="352"/>
      <c r="U1547" s="352"/>
      <c r="V1547" s="218"/>
      <c r="W1547" s="218"/>
      <c r="X1547" s="218"/>
      <c r="Y1547" s="218"/>
      <c r="Z1547" s="218"/>
      <c r="AA1547" s="218"/>
      <c r="AB1547" s="218"/>
      <c r="AC1547" s="218"/>
      <c r="AD1547" s="218"/>
      <c r="AE1547" s="218"/>
      <c r="AF1547" s="218"/>
      <c r="AG1547" s="218"/>
      <c r="AH1547" s="218"/>
      <c r="AI1547" s="218"/>
      <c r="AJ1547" s="218"/>
      <c r="AK1547" s="274">
        <f>G1582+AL1547-G1547</f>
        <v>0</v>
      </c>
      <c r="AL1547" s="218"/>
      <c r="AM1547" s="353"/>
      <c r="AN1547" s="295"/>
      <c r="AO1547" s="296"/>
      <c r="AP1547" s="353"/>
      <c r="AQ1547" s="290"/>
      <c r="AR1547" s="290"/>
      <c r="AS1547" s="290"/>
    </row>
    <row r="1548" spans="1:45" ht="17.25" thickBot="1" x14ac:dyDescent="0.3">
      <c r="A1548" s="467"/>
      <c r="B1548" s="354"/>
      <c r="C1548" s="285">
        <v>1151231</v>
      </c>
      <c r="D1548" s="358" t="s">
        <v>395</v>
      </c>
      <c r="E1548" s="360"/>
      <c r="F1548" s="361">
        <f>G1583-AK1548+AL1548</f>
        <v>7</v>
      </c>
      <c r="G1548" s="369">
        <v>7</v>
      </c>
      <c r="H1548" s="397">
        <v>13</v>
      </c>
      <c r="I1548" s="218"/>
      <c r="J1548" s="218"/>
      <c r="K1548" s="218">
        <v>4</v>
      </c>
      <c r="L1548" s="218">
        <f>IF(K1575=K1540,L1583+AK1548,K1548)</f>
        <v>4</v>
      </c>
      <c r="M1548" s="218">
        <f>IF(K1575=K1540,0,L1583+AK1548-K1548)</f>
        <v>-1</v>
      </c>
      <c r="N1548" s="218"/>
      <c r="O1548" s="218"/>
      <c r="P1548" s="352"/>
      <c r="Q1548" s="352"/>
      <c r="R1548" s="352"/>
      <c r="S1548" s="352"/>
      <c r="T1548" s="352"/>
      <c r="U1548" s="352"/>
      <c r="V1548" s="218"/>
      <c r="W1548" s="218"/>
      <c r="X1548" s="218">
        <v>1</v>
      </c>
      <c r="Y1548" s="218"/>
      <c r="Z1548" s="218"/>
      <c r="AA1548" s="218"/>
      <c r="AB1548" s="218"/>
      <c r="AC1548" s="218"/>
      <c r="AD1548" s="218"/>
      <c r="AE1548" s="218"/>
      <c r="AF1548" s="218"/>
      <c r="AG1548" s="218"/>
      <c r="AH1548" s="218"/>
      <c r="AI1548" s="218"/>
      <c r="AJ1548" s="218"/>
      <c r="AK1548" s="274">
        <f>G1583+AL1548-G1548</f>
        <v>1</v>
      </c>
      <c r="AL1548" s="218"/>
      <c r="AM1548" s="353"/>
      <c r="AN1548" s="295"/>
      <c r="AO1548" s="296"/>
      <c r="AP1548" s="353"/>
      <c r="AQ1548" s="290"/>
      <c r="AR1548" s="290"/>
      <c r="AS1548" s="290"/>
    </row>
    <row r="1549" spans="1:45" ht="17.25" thickBot="1" x14ac:dyDescent="0.3">
      <c r="A1549" s="467"/>
      <c r="B1549" s="355" t="s">
        <v>420</v>
      </c>
      <c r="C1549" s="356"/>
      <c r="D1549" s="356"/>
      <c r="E1549" s="359"/>
      <c r="F1549" s="359"/>
      <c r="G1549" s="356"/>
      <c r="H1549" s="396"/>
      <c r="I1549" s="356"/>
      <c r="J1549" s="356"/>
      <c r="K1549" s="356"/>
      <c r="L1549" s="356"/>
      <c r="M1549" s="356"/>
      <c r="N1549" s="356"/>
      <c r="O1549" s="356"/>
      <c r="P1549" s="356"/>
      <c r="Q1549" s="356"/>
      <c r="R1549" s="356"/>
      <c r="S1549" s="356"/>
      <c r="T1549" s="356"/>
      <c r="U1549" s="356"/>
      <c r="V1549" s="356"/>
      <c r="W1549" s="356"/>
      <c r="X1549" s="356"/>
      <c r="Y1549" s="356"/>
      <c r="Z1549" s="356"/>
      <c r="AA1549" s="356"/>
      <c r="AB1549" s="356"/>
      <c r="AC1549" s="356"/>
      <c r="AD1549" s="356"/>
      <c r="AE1549" s="356"/>
      <c r="AF1549" s="356"/>
      <c r="AG1549" s="356"/>
      <c r="AH1549" s="356"/>
      <c r="AI1549" s="356"/>
      <c r="AJ1549" s="356"/>
      <c r="AK1549" s="356"/>
      <c r="AL1549" s="356"/>
      <c r="AM1549" s="356"/>
      <c r="AN1549" s="356"/>
      <c r="AO1549" s="356"/>
      <c r="AP1549" s="356"/>
      <c r="AQ1549" s="356"/>
      <c r="AR1549" s="356"/>
      <c r="AS1549" s="357"/>
    </row>
    <row r="1550" spans="1:45" ht="17.25" thickBot="1" x14ac:dyDescent="0.3">
      <c r="A1550" s="467"/>
      <c r="B1550" s="354"/>
      <c r="C1550" s="285">
        <v>1146032</v>
      </c>
      <c r="D1550" s="358" t="s">
        <v>396</v>
      </c>
      <c r="E1550" s="360"/>
      <c r="F1550" s="361">
        <f>G1585-AK1550+AL1550</f>
        <v>1</v>
      </c>
      <c r="G1550" s="364">
        <v>1</v>
      </c>
      <c r="H1550" s="397">
        <v>1</v>
      </c>
      <c r="I1550" s="218"/>
      <c r="J1550" s="218"/>
      <c r="K1550" s="218">
        <v>1</v>
      </c>
      <c r="L1550" s="218"/>
      <c r="M1550" s="218"/>
      <c r="N1550" s="218"/>
      <c r="O1550" s="218"/>
      <c r="P1550" s="352"/>
      <c r="Q1550" s="352"/>
      <c r="R1550" s="352"/>
      <c r="S1550" s="352"/>
      <c r="T1550" s="352"/>
      <c r="U1550" s="352"/>
      <c r="V1550" s="218"/>
      <c r="W1550" s="218"/>
      <c r="X1550" s="218"/>
      <c r="Y1550" s="218"/>
      <c r="Z1550" s="218"/>
      <c r="AA1550" s="218"/>
      <c r="AB1550" s="218"/>
      <c r="AC1550" s="218"/>
      <c r="AD1550" s="218"/>
      <c r="AE1550" s="218"/>
      <c r="AF1550" s="218"/>
      <c r="AG1550" s="218"/>
      <c r="AH1550" s="218"/>
      <c r="AI1550" s="218"/>
      <c r="AJ1550" s="218"/>
      <c r="AK1550" s="218"/>
      <c r="AL1550" s="218"/>
      <c r="AM1550" s="353"/>
      <c r="AN1550" s="295"/>
      <c r="AO1550" s="296"/>
      <c r="AP1550" s="353"/>
      <c r="AQ1550" s="290"/>
      <c r="AR1550" s="290"/>
      <c r="AS1550" s="290"/>
    </row>
    <row r="1551" spans="1:45" ht="17.25" thickBot="1" x14ac:dyDescent="0.3">
      <c r="A1551" s="467"/>
      <c r="B1551" s="354"/>
      <c r="C1551" s="285">
        <v>1146021</v>
      </c>
      <c r="D1551" s="358" t="s">
        <v>397</v>
      </c>
      <c r="E1551" s="360"/>
      <c r="F1551" s="361">
        <f>G1586-AK1551+AL1551</f>
        <v>2</v>
      </c>
      <c r="G1551" s="364">
        <v>2</v>
      </c>
      <c r="H1551" s="397">
        <v>2</v>
      </c>
      <c r="I1551" s="218"/>
      <c r="J1551" s="218"/>
      <c r="K1551" s="218">
        <v>2</v>
      </c>
      <c r="L1551" s="218"/>
      <c r="M1551" s="218"/>
      <c r="N1551" s="218"/>
      <c r="O1551" s="218"/>
      <c r="P1551" s="352"/>
      <c r="Q1551" s="352"/>
      <c r="R1551" s="352"/>
      <c r="S1551" s="352"/>
      <c r="T1551" s="352"/>
      <c r="U1551" s="352"/>
      <c r="V1551" s="218"/>
      <c r="W1551" s="218"/>
      <c r="X1551" s="218"/>
      <c r="Y1551" s="218"/>
      <c r="Z1551" s="218"/>
      <c r="AA1551" s="218"/>
      <c r="AB1551" s="218"/>
      <c r="AC1551" s="218"/>
      <c r="AD1551" s="218"/>
      <c r="AE1551" s="218"/>
      <c r="AF1551" s="218"/>
      <c r="AG1551" s="218"/>
      <c r="AH1551" s="218"/>
      <c r="AI1551" s="218"/>
      <c r="AJ1551" s="218"/>
      <c r="AK1551" s="218"/>
      <c r="AL1551" s="218"/>
      <c r="AM1551" s="353"/>
      <c r="AN1551" s="295"/>
      <c r="AO1551" s="296"/>
      <c r="AP1551" s="353"/>
      <c r="AQ1551" s="290"/>
      <c r="AR1551" s="290"/>
      <c r="AS1551" s="290"/>
    </row>
    <row r="1552" spans="1:45" ht="17.25" thickBot="1" x14ac:dyDescent="0.3">
      <c r="A1552" s="467"/>
      <c r="B1552" s="354"/>
      <c r="C1552" s="285">
        <v>1146018</v>
      </c>
      <c r="D1552" s="358" t="s">
        <v>398</v>
      </c>
      <c r="E1552" s="360"/>
      <c r="F1552" s="361">
        <f>G1587-AK1552+AL1552</f>
        <v>4</v>
      </c>
      <c r="G1552" s="364">
        <v>4</v>
      </c>
      <c r="H1552" s="397">
        <v>1</v>
      </c>
      <c r="I1552" s="218"/>
      <c r="J1552" s="218"/>
      <c r="K1552" s="218">
        <v>2</v>
      </c>
      <c r="L1552" s="218"/>
      <c r="M1552" s="218"/>
      <c r="N1552" s="218"/>
      <c r="O1552" s="218"/>
      <c r="P1552" s="352"/>
      <c r="Q1552" s="352"/>
      <c r="R1552" s="352"/>
      <c r="S1552" s="352"/>
      <c r="T1552" s="352"/>
      <c r="U1552" s="352"/>
      <c r="V1552" s="218"/>
      <c r="W1552" s="218"/>
      <c r="X1552" s="218"/>
      <c r="Y1552" s="218"/>
      <c r="Z1552" s="218"/>
      <c r="AA1552" s="218"/>
      <c r="AB1552" s="218"/>
      <c r="AC1552" s="218"/>
      <c r="AD1552" s="218"/>
      <c r="AE1552" s="218"/>
      <c r="AF1552" s="218"/>
      <c r="AG1552" s="218"/>
      <c r="AH1552" s="218"/>
      <c r="AI1552" s="218"/>
      <c r="AJ1552" s="218"/>
      <c r="AK1552" s="218"/>
      <c r="AL1552" s="218"/>
      <c r="AM1552" s="353"/>
      <c r="AN1552" s="295"/>
      <c r="AO1552" s="296"/>
      <c r="AP1552" s="353"/>
      <c r="AQ1552" s="290"/>
      <c r="AR1552" s="290"/>
      <c r="AS1552" s="290"/>
    </row>
    <row r="1553" spans="1:45" ht="17.25" thickBot="1" x14ac:dyDescent="0.3">
      <c r="A1553" s="467"/>
      <c r="B1553" s="354"/>
      <c r="C1553" s="285">
        <v>1146024</v>
      </c>
      <c r="D1553" s="358" t="s">
        <v>399</v>
      </c>
      <c r="E1553" s="360"/>
      <c r="F1553" s="361">
        <f>G1588-AK1553+AL1553</f>
        <v>2</v>
      </c>
      <c r="G1553" s="364">
        <v>2</v>
      </c>
      <c r="H1553" s="397">
        <v>2</v>
      </c>
      <c r="I1553" s="218"/>
      <c r="J1553" s="218"/>
      <c r="K1553" s="218"/>
      <c r="L1553" s="218"/>
      <c r="M1553" s="218"/>
      <c r="N1553" s="218"/>
      <c r="O1553" s="218"/>
      <c r="P1553" s="352"/>
      <c r="Q1553" s="352"/>
      <c r="R1553" s="352"/>
      <c r="S1553" s="352"/>
      <c r="T1553" s="352"/>
      <c r="U1553" s="352"/>
      <c r="V1553" s="218"/>
      <c r="W1553" s="218"/>
      <c r="X1553" s="218"/>
      <c r="Y1553" s="218"/>
      <c r="Z1553" s="218"/>
      <c r="AA1553" s="218"/>
      <c r="AB1553" s="218"/>
      <c r="AC1553" s="218"/>
      <c r="AD1553" s="218"/>
      <c r="AE1553" s="218"/>
      <c r="AF1553" s="218"/>
      <c r="AG1553" s="218"/>
      <c r="AH1553" s="218"/>
      <c r="AI1553" s="218"/>
      <c r="AJ1553" s="218"/>
      <c r="AK1553" s="218"/>
      <c r="AL1553" s="218"/>
      <c r="AM1553" s="353"/>
      <c r="AN1553" s="295"/>
      <c r="AO1553" s="296"/>
      <c r="AP1553" s="353"/>
      <c r="AQ1553" s="290"/>
      <c r="AR1553" s="290"/>
      <c r="AS1553" s="290"/>
    </row>
    <row r="1554" spans="1:45" ht="17.25" thickBot="1" x14ac:dyDescent="0.3">
      <c r="A1554" s="467"/>
      <c r="B1554" s="354"/>
      <c r="C1554" s="285">
        <v>1146028</v>
      </c>
      <c r="D1554" s="358" t="s">
        <v>400</v>
      </c>
      <c r="E1554" s="360"/>
      <c r="F1554" s="361">
        <f>G1589-AK1554+AL1554</f>
        <v>3</v>
      </c>
      <c r="G1554" s="364">
        <v>3</v>
      </c>
      <c r="H1554" s="397">
        <v>2</v>
      </c>
      <c r="I1554" s="218"/>
      <c r="J1554" s="218"/>
      <c r="K1554" s="218"/>
      <c r="L1554" s="218"/>
      <c r="M1554" s="218"/>
      <c r="N1554" s="218"/>
      <c r="O1554" s="218"/>
      <c r="P1554" s="352"/>
      <c r="Q1554" s="352"/>
      <c r="R1554" s="352"/>
      <c r="S1554" s="352"/>
      <c r="T1554" s="352"/>
      <c r="U1554" s="352"/>
      <c r="V1554" s="218"/>
      <c r="W1554" s="218"/>
      <c r="X1554" s="218"/>
      <c r="Y1554" s="218"/>
      <c r="Z1554" s="218"/>
      <c r="AA1554" s="218"/>
      <c r="AB1554" s="218"/>
      <c r="AC1554" s="218"/>
      <c r="AD1554" s="218"/>
      <c r="AE1554" s="218"/>
      <c r="AF1554" s="218"/>
      <c r="AG1554" s="218"/>
      <c r="AH1554" s="218"/>
      <c r="AI1554" s="218"/>
      <c r="AJ1554" s="218"/>
      <c r="AK1554" s="218"/>
      <c r="AL1554" s="218"/>
      <c r="AM1554" s="353"/>
      <c r="AN1554" s="295"/>
      <c r="AO1554" s="296"/>
      <c r="AP1554" s="353"/>
      <c r="AQ1554" s="290"/>
      <c r="AR1554" s="290"/>
      <c r="AS1554" s="290"/>
    </row>
    <row r="1555" spans="1:45" ht="17.25" thickBot="1" x14ac:dyDescent="0.3">
      <c r="A1555" s="467"/>
      <c r="B1555" s="355" t="s">
        <v>419</v>
      </c>
      <c r="C1555" s="356"/>
      <c r="D1555" s="356"/>
      <c r="E1555" s="359"/>
      <c r="F1555" s="359"/>
      <c r="G1555" s="356"/>
      <c r="H1555" s="396"/>
      <c r="I1555" s="356"/>
      <c r="J1555" s="356"/>
      <c r="K1555" s="356"/>
      <c r="L1555" s="356"/>
      <c r="M1555" s="356"/>
      <c r="N1555" s="356"/>
      <c r="O1555" s="356"/>
      <c r="P1555" s="356"/>
      <c r="Q1555" s="356"/>
      <c r="R1555" s="356"/>
      <c r="S1555" s="356"/>
      <c r="T1555" s="356"/>
      <c r="U1555" s="356"/>
      <c r="V1555" s="356"/>
      <c r="W1555" s="356"/>
      <c r="X1555" s="356"/>
      <c r="Y1555" s="356"/>
      <c r="Z1555" s="356"/>
      <c r="AA1555" s="356"/>
      <c r="AB1555" s="356"/>
      <c r="AC1555" s="356"/>
      <c r="AD1555" s="356"/>
      <c r="AE1555" s="356"/>
      <c r="AF1555" s="356"/>
      <c r="AG1555" s="356"/>
      <c r="AH1555" s="356"/>
      <c r="AI1555" s="356"/>
      <c r="AJ1555" s="356"/>
      <c r="AK1555" s="356"/>
      <c r="AL1555" s="356"/>
      <c r="AM1555" s="356"/>
      <c r="AN1555" s="356"/>
      <c r="AO1555" s="356"/>
      <c r="AP1555" s="356"/>
      <c r="AQ1555" s="356"/>
      <c r="AR1555" s="356"/>
      <c r="AS1555" s="357"/>
    </row>
    <row r="1556" spans="1:45" ht="17.25" thickBot="1" x14ac:dyDescent="0.3">
      <c r="A1556" s="467"/>
      <c r="B1556" s="354"/>
      <c r="C1556" s="285">
        <v>1146031</v>
      </c>
      <c r="D1556" s="358" t="s">
        <v>401</v>
      </c>
      <c r="E1556" s="360"/>
      <c r="F1556" s="361">
        <f>G1591-AK1556+AL1556</f>
        <v>2</v>
      </c>
      <c r="G1556" s="364">
        <v>2</v>
      </c>
      <c r="H1556" s="397">
        <v>1</v>
      </c>
      <c r="I1556" s="218"/>
      <c r="J1556" s="218"/>
      <c r="K1556" s="218">
        <v>2</v>
      </c>
      <c r="L1556" s="218"/>
      <c r="M1556" s="218"/>
      <c r="N1556" s="218"/>
      <c r="O1556" s="218"/>
      <c r="P1556" s="352"/>
      <c r="Q1556" s="352"/>
      <c r="R1556" s="352"/>
      <c r="S1556" s="352"/>
      <c r="T1556" s="352"/>
      <c r="U1556" s="352"/>
      <c r="V1556" s="218"/>
      <c r="W1556" s="218"/>
      <c r="X1556" s="218"/>
      <c r="Y1556" s="218"/>
      <c r="Z1556" s="218"/>
      <c r="AA1556" s="218"/>
      <c r="AB1556" s="218"/>
      <c r="AC1556" s="218"/>
      <c r="AD1556" s="218"/>
      <c r="AE1556" s="218"/>
      <c r="AF1556" s="218"/>
      <c r="AG1556" s="218"/>
      <c r="AH1556" s="218"/>
      <c r="AI1556" s="218"/>
      <c r="AJ1556" s="218"/>
      <c r="AK1556" s="218"/>
      <c r="AL1556" s="218"/>
      <c r="AM1556" s="353"/>
      <c r="AN1556" s="295"/>
      <c r="AO1556" s="296"/>
      <c r="AP1556" s="353"/>
      <c r="AQ1556" s="290"/>
      <c r="AR1556" s="290"/>
      <c r="AS1556" s="290"/>
    </row>
    <row r="1557" spans="1:45" ht="17.25" thickBot="1" x14ac:dyDescent="0.3">
      <c r="A1557" s="467"/>
      <c r="B1557" s="354"/>
      <c r="C1557" s="285">
        <v>1146020</v>
      </c>
      <c r="D1557" s="358" t="s">
        <v>402</v>
      </c>
      <c r="E1557" s="360"/>
      <c r="F1557" s="361">
        <f>G1592-AK1557+AL1557</f>
        <v>1</v>
      </c>
      <c r="G1557" s="364">
        <v>1</v>
      </c>
      <c r="H1557" s="397">
        <v>1</v>
      </c>
      <c r="I1557" s="218"/>
      <c r="J1557" s="218"/>
      <c r="K1557" s="218">
        <v>2</v>
      </c>
      <c r="L1557" s="218"/>
      <c r="M1557" s="218"/>
      <c r="N1557" s="218"/>
      <c r="O1557" s="218"/>
      <c r="P1557" s="352"/>
      <c r="Q1557" s="352"/>
      <c r="R1557" s="352"/>
      <c r="S1557" s="352"/>
      <c r="T1557" s="352"/>
      <c r="U1557" s="352"/>
      <c r="V1557" s="218"/>
      <c r="W1557" s="218"/>
      <c r="X1557" s="218"/>
      <c r="Y1557" s="218"/>
      <c r="Z1557" s="218"/>
      <c r="AA1557" s="218"/>
      <c r="AB1557" s="218"/>
      <c r="AC1557" s="218"/>
      <c r="AD1557" s="218"/>
      <c r="AE1557" s="218"/>
      <c r="AF1557" s="218"/>
      <c r="AG1557" s="218"/>
      <c r="AH1557" s="218"/>
      <c r="AI1557" s="218"/>
      <c r="AJ1557" s="218"/>
      <c r="AK1557" s="218"/>
      <c r="AL1557" s="218"/>
      <c r="AM1557" s="353"/>
      <c r="AN1557" s="295"/>
      <c r="AO1557" s="296"/>
      <c r="AP1557" s="353"/>
      <c r="AQ1557" s="290"/>
      <c r="AR1557" s="290"/>
      <c r="AS1557" s="290"/>
    </row>
    <row r="1558" spans="1:45" ht="17.25" thickBot="1" x14ac:dyDescent="0.3">
      <c r="A1558" s="467"/>
      <c r="B1558" s="354"/>
      <c r="C1558" s="285">
        <v>1146016</v>
      </c>
      <c r="D1558" s="358" t="s">
        <v>398</v>
      </c>
      <c r="E1558" s="360"/>
      <c r="F1558" s="361">
        <f>G1593-AK1558+AL1558</f>
        <v>6</v>
      </c>
      <c r="G1558" s="364">
        <v>6</v>
      </c>
      <c r="H1558" s="397">
        <v>1</v>
      </c>
      <c r="I1558" s="218"/>
      <c r="J1558" s="218"/>
      <c r="K1558" s="218">
        <v>2</v>
      </c>
      <c r="L1558" s="218"/>
      <c r="M1558" s="218"/>
      <c r="N1558" s="218"/>
      <c r="O1558" s="218"/>
      <c r="P1558" s="352"/>
      <c r="Q1558" s="352"/>
      <c r="R1558" s="352"/>
      <c r="S1558" s="352"/>
      <c r="T1558" s="352"/>
      <c r="U1558" s="352"/>
      <c r="V1558" s="218"/>
      <c r="W1558" s="218"/>
      <c r="X1558" s="218"/>
      <c r="Y1558" s="218"/>
      <c r="Z1558" s="218"/>
      <c r="AA1558" s="218"/>
      <c r="AB1558" s="218"/>
      <c r="AC1558" s="218"/>
      <c r="AD1558" s="218"/>
      <c r="AE1558" s="218"/>
      <c r="AF1558" s="218"/>
      <c r="AG1558" s="218"/>
      <c r="AH1558" s="218"/>
      <c r="AI1558" s="218"/>
      <c r="AJ1558" s="218"/>
      <c r="AK1558" s="218"/>
      <c r="AL1558" s="218"/>
      <c r="AM1558" s="353"/>
      <c r="AN1558" s="295"/>
      <c r="AO1558" s="296"/>
      <c r="AP1558" s="353"/>
      <c r="AQ1558" s="290"/>
      <c r="AR1558" s="290"/>
      <c r="AS1558" s="290"/>
    </row>
    <row r="1559" spans="1:45" ht="17.25" thickBot="1" x14ac:dyDescent="0.3">
      <c r="A1559" s="467"/>
      <c r="B1559" s="354"/>
      <c r="C1559" s="285">
        <v>1146022</v>
      </c>
      <c r="D1559" s="358" t="s">
        <v>403</v>
      </c>
      <c r="E1559" s="360"/>
      <c r="F1559" s="361">
        <f>G1594-AK1559+AL1559</f>
        <v>0</v>
      </c>
      <c r="G1559" s="364">
        <v>0</v>
      </c>
      <c r="H1559" s="397">
        <v>2</v>
      </c>
      <c r="I1559" s="218"/>
      <c r="J1559" s="218"/>
      <c r="K1559" s="218"/>
      <c r="L1559" s="218"/>
      <c r="M1559" s="218"/>
      <c r="N1559" s="218"/>
      <c r="O1559" s="218"/>
      <c r="P1559" s="352"/>
      <c r="Q1559" s="352"/>
      <c r="R1559" s="352"/>
      <c r="S1559" s="352"/>
      <c r="T1559" s="352"/>
      <c r="U1559" s="352"/>
      <c r="V1559" s="218"/>
      <c r="W1559" s="218"/>
      <c r="X1559" s="218"/>
      <c r="Y1559" s="218"/>
      <c r="Z1559" s="218"/>
      <c r="AA1559" s="218"/>
      <c r="AB1559" s="218"/>
      <c r="AC1559" s="218"/>
      <c r="AD1559" s="218"/>
      <c r="AE1559" s="218"/>
      <c r="AF1559" s="218"/>
      <c r="AG1559" s="218"/>
      <c r="AH1559" s="218"/>
      <c r="AI1559" s="218"/>
      <c r="AJ1559" s="218"/>
      <c r="AK1559" s="218"/>
      <c r="AL1559" s="218"/>
      <c r="AM1559" s="353"/>
      <c r="AN1559" s="295"/>
      <c r="AO1559" s="296"/>
      <c r="AP1559" s="353"/>
      <c r="AQ1559" s="290"/>
      <c r="AR1559" s="290"/>
      <c r="AS1559" s="290"/>
    </row>
    <row r="1560" spans="1:45" ht="17.25" thickBot="1" x14ac:dyDescent="0.3">
      <c r="A1560" s="467"/>
      <c r="B1560" s="354"/>
      <c r="C1560" s="285">
        <v>1146027</v>
      </c>
      <c r="D1560" s="358" t="s">
        <v>404</v>
      </c>
      <c r="E1560" s="360"/>
      <c r="F1560" s="361">
        <f>G1595-AK1560+AL1560</f>
        <v>2</v>
      </c>
      <c r="G1560" s="364">
        <v>2</v>
      </c>
      <c r="H1560" s="397">
        <v>2</v>
      </c>
      <c r="I1560" s="218"/>
      <c r="J1560" s="218"/>
      <c r="K1560" s="218">
        <v>1</v>
      </c>
      <c r="L1560" s="218"/>
      <c r="M1560" s="218"/>
      <c r="N1560" s="218"/>
      <c r="O1560" s="218"/>
      <c r="P1560" s="352"/>
      <c r="Q1560" s="352"/>
      <c r="R1560" s="352"/>
      <c r="S1560" s="352"/>
      <c r="T1560" s="352"/>
      <c r="U1560" s="352"/>
      <c r="V1560" s="218"/>
      <c r="W1560" s="218"/>
      <c r="X1560" s="218"/>
      <c r="Y1560" s="218"/>
      <c r="Z1560" s="218"/>
      <c r="AA1560" s="218"/>
      <c r="AB1560" s="218"/>
      <c r="AC1560" s="218"/>
      <c r="AD1560" s="218"/>
      <c r="AE1560" s="218"/>
      <c r="AF1560" s="218"/>
      <c r="AG1560" s="218"/>
      <c r="AH1560" s="218"/>
      <c r="AI1560" s="218"/>
      <c r="AJ1560" s="218"/>
      <c r="AK1560" s="218"/>
      <c r="AL1560" s="218"/>
      <c r="AM1560" s="353"/>
      <c r="AN1560" s="295"/>
      <c r="AO1560" s="296"/>
      <c r="AP1560" s="353"/>
      <c r="AQ1560" s="290"/>
      <c r="AR1560" s="290"/>
      <c r="AS1560" s="290"/>
    </row>
    <row r="1561" spans="1:45" ht="17.25" thickBot="1" x14ac:dyDescent="0.3">
      <c r="A1561" s="467"/>
      <c r="B1561" s="355" t="s">
        <v>418</v>
      </c>
      <c r="C1561" s="356"/>
      <c r="D1561" s="356"/>
      <c r="E1561" s="359"/>
      <c r="F1561" s="359"/>
      <c r="G1561" s="356"/>
      <c r="H1561" s="396"/>
      <c r="I1561" s="356"/>
      <c r="J1561" s="356"/>
      <c r="K1561" s="356"/>
      <c r="L1561" s="356"/>
      <c r="M1561" s="356"/>
      <c r="N1561" s="356"/>
      <c r="O1561" s="356"/>
      <c r="P1561" s="356"/>
      <c r="Q1561" s="356"/>
      <c r="R1561" s="356"/>
      <c r="S1561" s="356"/>
      <c r="T1561" s="356"/>
      <c r="U1561" s="356"/>
      <c r="V1561" s="356"/>
      <c r="W1561" s="356"/>
      <c r="X1561" s="356"/>
      <c r="Y1561" s="356"/>
      <c r="Z1561" s="356"/>
      <c r="AA1561" s="356"/>
      <c r="AB1561" s="356"/>
      <c r="AC1561" s="356"/>
      <c r="AD1561" s="356"/>
      <c r="AE1561" s="356"/>
      <c r="AF1561" s="356"/>
      <c r="AG1561" s="356"/>
      <c r="AH1561" s="356"/>
      <c r="AI1561" s="356"/>
      <c r="AJ1561" s="356"/>
      <c r="AK1561" s="356"/>
      <c r="AL1561" s="356"/>
      <c r="AM1561" s="356"/>
      <c r="AN1561" s="356"/>
      <c r="AO1561" s="356"/>
      <c r="AP1561" s="356"/>
      <c r="AQ1561" s="356"/>
      <c r="AR1561" s="356"/>
      <c r="AS1561" s="357"/>
    </row>
    <row r="1562" spans="1:45" ht="17.25" thickBot="1" x14ac:dyDescent="0.3">
      <c r="A1562" s="467"/>
      <c r="B1562" s="354"/>
      <c r="C1562" s="285">
        <v>1151653</v>
      </c>
      <c r="D1562" s="358" t="s">
        <v>405</v>
      </c>
      <c r="E1562" s="360"/>
      <c r="F1562" s="361">
        <f>G1597-AK1562+AL1562</f>
        <v>0</v>
      </c>
      <c r="G1562" s="364">
        <v>0</v>
      </c>
      <c r="H1562" s="397">
        <v>1</v>
      </c>
      <c r="I1562" s="218"/>
      <c r="J1562" s="218"/>
      <c r="K1562" s="218"/>
      <c r="L1562" s="218"/>
      <c r="M1562" s="218"/>
      <c r="N1562" s="218"/>
      <c r="O1562" s="218"/>
      <c r="P1562" s="352"/>
      <c r="Q1562" s="352"/>
      <c r="R1562" s="352"/>
      <c r="S1562" s="352"/>
      <c r="T1562" s="352"/>
      <c r="U1562" s="352"/>
      <c r="V1562" s="218"/>
      <c r="W1562" s="218"/>
      <c r="X1562" s="218"/>
      <c r="Y1562" s="218"/>
      <c r="Z1562" s="218"/>
      <c r="AA1562" s="218"/>
      <c r="AB1562" s="218"/>
      <c r="AC1562" s="218"/>
      <c r="AD1562" s="218"/>
      <c r="AE1562" s="218"/>
      <c r="AF1562" s="218"/>
      <c r="AG1562" s="218"/>
      <c r="AH1562" s="218"/>
      <c r="AI1562" s="218"/>
      <c r="AJ1562" s="218"/>
      <c r="AK1562" s="218"/>
      <c r="AL1562" s="218"/>
      <c r="AM1562" s="353"/>
      <c r="AN1562" s="295"/>
      <c r="AO1562" s="296"/>
      <c r="AP1562" s="353"/>
      <c r="AQ1562" s="290"/>
      <c r="AR1562" s="290"/>
      <c r="AS1562" s="290"/>
    </row>
    <row r="1563" spans="1:45" ht="17.25" thickBot="1" x14ac:dyDescent="0.3">
      <c r="A1563" s="467"/>
      <c r="B1563" s="354"/>
      <c r="C1563" s="285">
        <v>1151650</v>
      </c>
      <c r="D1563" s="358" t="s">
        <v>406</v>
      </c>
      <c r="E1563" s="360"/>
      <c r="F1563" s="361">
        <f>G1598-AK1563+AL1563</f>
        <v>1</v>
      </c>
      <c r="G1563" s="364">
        <v>1</v>
      </c>
      <c r="H1563" s="397">
        <v>2</v>
      </c>
      <c r="I1563" s="218"/>
      <c r="J1563" s="218"/>
      <c r="K1563" s="218">
        <v>4</v>
      </c>
      <c r="L1563" s="218"/>
      <c r="M1563" s="218"/>
      <c r="N1563" s="218"/>
      <c r="O1563" s="218"/>
      <c r="P1563" s="352"/>
      <c r="Q1563" s="352"/>
      <c r="R1563" s="352"/>
      <c r="S1563" s="352"/>
      <c r="T1563" s="352"/>
      <c r="U1563" s="352"/>
      <c r="V1563" s="218"/>
      <c r="W1563" s="218"/>
      <c r="X1563" s="218"/>
      <c r="Y1563" s="218"/>
      <c r="Z1563" s="218"/>
      <c r="AA1563" s="218"/>
      <c r="AB1563" s="218"/>
      <c r="AC1563" s="218"/>
      <c r="AD1563" s="218"/>
      <c r="AE1563" s="218"/>
      <c r="AF1563" s="218"/>
      <c r="AG1563" s="218"/>
      <c r="AH1563" s="218"/>
      <c r="AI1563" s="218"/>
      <c r="AJ1563" s="218"/>
      <c r="AK1563" s="218"/>
      <c r="AL1563" s="218"/>
      <c r="AM1563" s="353"/>
      <c r="AN1563" s="295"/>
      <c r="AO1563" s="296"/>
      <c r="AP1563" s="353"/>
      <c r="AQ1563" s="290"/>
      <c r="AR1563" s="290"/>
      <c r="AS1563" s="290"/>
    </row>
    <row r="1564" spans="1:45" ht="17.25" thickBot="1" x14ac:dyDescent="0.3">
      <c r="A1564" s="467"/>
      <c r="B1564" s="354"/>
      <c r="C1564" s="285">
        <v>1151649</v>
      </c>
      <c r="D1564" s="358" t="s">
        <v>407</v>
      </c>
      <c r="E1564" s="360"/>
      <c r="F1564" s="361">
        <f>G1599-AK1564+AL1564</f>
        <v>2</v>
      </c>
      <c r="G1564" s="364">
        <v>2</v>
      </c>
      <c r="H1564" s="397">
        <v>4</v>
      </c>
      <c r="I1564" s="218"/>
      <c r="J1564" s="218"/>
      <c r="K1564" s="218">
        <v>2</v>
      </c>
      <c r="L1564" s="218"/>
      <c r="M1564" s="218"/>
      <c r="N1564" s="218"/>
      <c r="O1564" s="218"/>
      <c r="P1564" s="352"/>
      <c r="Q1564" s="352"/>
      <c r="R1564" s="352"/>
      <c r="S1564" s="352"/>
      <c r="T1564" s="352"/>
      <c r="U1564" s="352"/>
      <c r="V1564" s="218"/>
      <c r="W1564" s="218"/>
      <c r="X1564" s="218"/>
      <c r="Y1564" s="218"/>
      <c r="Z1564" s="218"/>
      <c r="AA1564" s="218"/>
      <c r="AB1564" s="218"/>
      <c r="AC1564" s="218"/>
      <c r="AD1564" s="218"/>
      <c r="AE1564" s="218"/>
      <c r="AF1564" s="218"/>
      <c r="AG1564" s="218"/>
      <c r="AH1564" s="218"/>
      <c r="AI1564" s="218"/>
      <c r="AJ1564" s="218"/>
      <c r="AK1564" s="218"/>
      <c r="AL1564" s="218"/>
      <c r="AM1564" s="353"/>
      <c r="AN1564" s="295"/>
      <c r="AO1564" s="296"/>
      <c r="AP1564" s="353"/>
      <c r="AQ1564" s="290"/>
      <c r="AR1564" s="290"/>
      <c r="AS1564" s="290"/>
    </row>
    <row r="1565" spans="1:45" ht="17.25" thickBot="1" x14ac:dyDescent="0.3">
      <c r="A1565" s="467"/>
      <c r="B1565" s="354"/>
      <c r="C1565" s="285">
        <v>1151651</v>
      </c>
      <c r="D1565" s="358" t="s">
        <v>408</v>
      </c>
      <c r="E1565" s="360"/>
      <c r="F1565" s="361">
        <f>G1600-AK1565+AL1565</f>
        <v>0</v>
      </c>
      <c r="G1565" s="364">
        <v>0</v>
      </c>
      <c r="H1565" s="397">
        <v>1</v>
      </c>
      <c r="I1565" s="218"/>
      <c r="J1565" s="218"/>
      <c r="K1565" s="218">
        <v>1</v>
      </c>
      <c r="L1565" s="218"/>
      <c r="M1565" s="218"/>
      <c r="N1565" s="218"/>
      <c r="O1565" s="218"/>
      <c r="P1565" s="352"/>
      <c r="Q1565" s="352"/>
      <c r="R1565" s="352"/>
      <c r="S1565" s="352"/>
      <c r="T1565" s="352"/>
      <c r="U1565" s="352"/>
      <c r="V1565" s="218"/>
      <c r="W1565" s="218"/>
      <c r="X1565" s="218"/>
      <c r="Y1565" s="218"/>
      <c r="Z1565" s="218"/>
      <c r="AA1565" s="218"/>
      <c r="AB1565" s="218"/>
      <c r="AC1565" s="218"/>
      <c r="AD1565" s="218"/>
      <c r="AE1565" s="218"/>
      <c r="AF1565" s="218"/>
      <c r="AG1565" s="218"/>
      <c r="AH1565" s="218"/>
      <c r="AI1565" s="218"/>
      <c r="AJ1565" s="218"/>
      <c r="AK1565" s="218"/>
      <c r="AL1565" s="218"/>
      <c r="AM1565" s="353"/>
      <c r="AN1565" s="295"/>
      <c r="AO1565" s="296"/>
      <c r="AP1565" s="353"/>
      <c r="AQ1565" s="290"/>
      <c r="AR1565" s="290"/>
      <c r="AS1565" s="290"/>
    </row>
    <row r="1566" spans="1:45" ht="17.25" thickBot="1" x14ac:dyDescent="0.3">
      <c r="A1566" s="467"/>
      <c r="B1566" s="354"/>
      <c r="C1566" s="285">
        <v>1146029</v>
      </c>
      <c r="D1566" s="358" t="s">
        <v>409</v>
      </c>
      <c r="E1566" s="360"/>
      <c r="F1566" s="361">
        <f>G1601-AK1566+AL1566</f>
        <v>1</v>
      </c>
      <c r="G1566" s="364">
        <v>1</v>
      </c>
      <c r="H1566" s="397">
        <v>2</v>
      </c>
      <c r="I1566" s="218"/>
      <c r="J1566" s="218"/>
      <c r="K1566" s="218">
        <v>1</v>
      </c>
      <c r="L1566" s="218"/>
      <c r="M1566" s="218"/>
      <c r="N1566" s="218"/>
      <c r="O1566" s="218"/>
      <c r="P1566" s="352"/>
      <c r="Q1566" s="352"/>
      <c r="R1566" s="352"/>
      <c r="S1566" s="352"/>
      <c r="T1566" s="352"/>
      <c r="U1566" s="352"/>
      <c r="V1566" s="218"/>
      <c r="W1566" s="218"/>
      <c r="X1566" s="218"/>
      <c r="Y1566" s="218"/>
      <c r="Z1566" s="218"/>
      <c r="AA1566" s="218"/>
      <c r="AB1566" s="218"/>
      <c r="AC1566" s="218"/>
      <c r="AD1566" s="218"/>
      <c r="AE1566" s="218"/>
      <c r="AF1566" s="218"/>
      <c r="AG1566" s="218"/>
      <c r="AH1566" s="218"/>
      <c r="AI1566" s="218"/>
      <c r="AJ1566" s="218"/>
      <c r="AK1566" s="218"/>
      <c r="AL1566" s="218"/>
      <c r="AM1566" s="353"/>
      <c r="AN1566" s="295"/>
      <c r="AO1566" s="296"/>
      <c r="AP1566" s="353"/>
      <c r="AQ1566" s="290"/>
      <c r="AR1566" s="290"/>
      <c r="AS1566" s="290"/>
    </row>
    <row r="1567" spans="1:45" ht="17.25" thickBot="1" x14ac:dyDescent="0.3">
      <c r="A1567" s="467"/>
      <c r="B1567" s="355" t="s">
        <v>410</v>
      </c>
      <c r="C1567" s="356"/>
      <c r="D1567" s="356"/>
      <c r="E1567" s="359"/>
      <c r="F1567" s="359"/>
      <c r="G1567" s="356"/>
      <c r="H1567" s="396"/>
      <c r="I1567" s="356"/>
      <c r="J1567" s="356"/>
      <c r="K1567" s="356"/>
      <c r="L1567" s="356"/>
      <c r="M1567" s="356"/>
      <c r="N1567" s="356"/>
      <c r="O1567" s="356"/>
      <c r="P1567" s="356"/>
      <c r="Q1567" s="356"/>
      <c r="R1567" s="356"/>
      <c r="S1567" s="356"/>
      <c r="T1567" s="356"/>
      <c r="U1567" s="356"/>
      <c r="V1567" s="356"/>
      <c r="W1567" s="356"/>
      <c r="X1567" s="356"/>
      <c r="Y1567" s="356"/>
      <c r="Z1567" s="356"/>
      <c r="AA1567" s="356"/>
      <c r="AB1567" s="356"/>
      <c r="AC1567" s="356"/>
      <c r="AD1567" s="356"/>
      <c r="AE1567" s="356"/>
      <c r="AF1567" s="356"/>
      <c r="AG1567" s="356"/>
      <c r="AH1567" s="356"/>
      <c r="AI1567" s="356"/>
      <c r="AJ1567" s="356"/>
      <c r="AK1567" s="356"/>
      <c r="AL1567" s="356"/>
      <c r="AM1567" s="356"/>
      <c r="AN1567" s="356"/>
      <c r="AO1567" s="356"/>
      <c r="AP1567" s="356"/>
      <c r="AQ1567" s="356"/>
      <c r="AR1567" s="356"/>
      <c r="AS1567" s="357"/>
    </row>
    <row r="1568" spans="1:45" ht="17.25" thickBot="1" x14ac:dyDescent="0.3">
      <c r="A1568" s="467"/>
      <c r="B1568" s="354"/>
      <c r="C1568" s="285">
        <v>1699118</v>
      </c>
      <c r="D1568" s="358" t="s">
        <v>411</v>
      </c>
      <c r="E1568" s="360"/>
      <c r="F1568" s="361">
        <f>G1603-AK1568+AL1568</f>
        <v>0</v>
      </c>
      <c r="G1568" s="364">
        <v>0</v>
      </c>
      <c r="H1568" s="397">
        <v>1</v>
      </c>
      <c r="I1568" s="218"/>
      <c r="J1568" s="218"/>
      <c r="K1568" s="218"/>
      <c r="L1568" s="218"/>
      <c r="M1568" s="218"/>
      <c r="N1568" s="218"/>
      <c r="O1568" s="218"/>
      <c r="P1568" s="352"/>
      <c r="Q1568" s="352"/>
      <c r="R1568" s="352"/>
      <c r="S1568" s="352"/>
      <c r="T1568" s="352"/>
      <c r="U1568" s="352"/>
      <c r="V1568" s="218"/>
      <c r="W1568" s="218"/>
      <c r="X1568" s="218"/>
      <c r="Y1568" s="218"/>
      <c r="Z1568" s="218"/>
      <c r="AA1568" s="218"/>
      <c r="AB1568" s="218"/>
      <c r="AC1568" s="218"/>
      <c r="AD1568" s="218"/>
      <c r="AE1568" s="218"/>
      <c r="AF1568" s="218"/>
      <c r="AG1568" s="218"/>
      <c r="AH1568" s="218"/>
      <c r="AI1568" s="218"/>
      <c r="AJ1568" s="218"/>
      <c r="AK1568" s="218"/>
      <c r="AL1568" s="218"/>
      <c r="AM1568" s="353"/>
      <c r="AN1568" s="295"/>
      <c r="AO1568" s="296"/>
      <c r="AP1568" s="353"/>
      <c r="AQ1568" s="290"/>
      <c r="AR1568" s="290"/>
      <c r="AS1568" s="290"/>
    </row>
    <row r="1569" spans="1:45" ht="17.25" thickBot="1" x14ac:dyDescent="0.3">
      <c r="A1569" s="467"/>
      <c r="B1569" s="354"/>
      <c r="C1569" s="285">
        <v>1699119</v>
      </c>
      <c r="D1569" s="358" t="s">
        <v>412</v>
      </c>
      <c r="E1569" s="360"/>
      <c r="F1569" s="361">
        <f>G1604-AK1569+AL1569</f>
        <v>0</v>
      </c>
      <c r="G1569" s="364">
        <v>0</v>
      </c>
      <c r="H1569" s="397">
        <v>1</v>
      </c>
      <c r="I1569" s="218"/>
      <c r="J1569" s="218"/>
      <c r="K1569" s="218"/>
      <c r="L1569" s="218"/>
      <c r="M1569" s="218"/>
      <c r="N1569" s="218"/>
      <c r="O1569" s="218"/>
      <c r="P1569" s="352"/>
      <c r="Q1569" s="352"/>
      <c r="R1569" s="352"/>
      <c r="S1569" s="352"/>
      <c r="T1569" s="352"/>
      <c r="U1569" s="352"/>
      <c r="V1569" s="218"/>
      <c r="W1569" s="218"/>
      <c r="X1569" s="218"/>
      <c r="Y1569" s="218"/>
      <c r="Z1569" s="218"/>
      <c r="AA1569" s="218"/>
      <c r="AB1569" s="218"/>
      <c r="AC1569" s="218"/>
      <c r="AD1569" s="218"/>
      <c r="AE1569" s="218"/>
      <c r="AF1569" s="218"/>
      <c r="AG1569" s="218"/>
      <c r="AH1569" s="218"/>
      <c r="AI1569" s="218"/>
      <c r="AJ1569" s="218"/>
      <c r="AK1569" s="218"/>
      <c r="AL1569" s="218"/>
      <c r="AM1569" s="353"/>
      <c r="AN1569" s="295"/>
      <c r="AO1569" s="296"/>
      <c r="AP1569" s="353"/>
      <c r="AQ1569" s="290"/>
      <c r="AR1569" s="290"/>
      <c r="AS1569" s="290"/>
    </row>
    <row r="1570" spans="1:45" ht="17.25" thickBot="1" x14ac:dyDescent="0.3">
      <c r="A1570" s="467"/>
      <c r="B1570" s="354"/>
      <c r="C1570" s="285">
        <v>1699130</v>
      </c>
      <c r="D1570" s="358" t="s">
        <v>413</v>
      </c>
      <c r="E1570" s="360"/>
      <c r="F1570" s="361">
        <f>G1605-AK1570+AL1570</f>
        <v>0</v>
      </c>
      <c r="G1570" s="364">
        <v>0</v>
      </c>
      <c r="H1570" s="397">
        <v>4</v>
      </c>
      <c r="I1570" s="218"/>
      <c r="J1570" s="218"/>
      <c r="K1570" s="218"/>
      <c r="L1570" s="218"/>
      <c r="M1570" s="218"/>
      <c r="N1570" s="218"/>
      <c r="O1570" s="218"/>
      <c r="P1570" s="352"/>
      <c r="Q1570" s="352"/>
      <c r="R1570" s="352"/>
      <c r="S1570" s="352"/>
      <c r="T1570" s="352"/>
      <c r="U1570" s="352"/>
      <c r="V1570" s="218"/>
      <c r="W1570" s="218"/>
      <c r="X1570" s="218"/>
      <c r="Y1570" s="218"/>
      <c r="Z1570" s="218"/>
      <c r="AA1570" s="218"/>
      <c r="AB1570" s="218"/>
      <c r="AC1570" s="218"/>
      <c r="AD1570" s="218"/>
      <c r="AE1570" s="218"/>
      <c r="AF1570" s="218"/>
      <c r="AG1570" s="218"/>
      <c r="AH1570" s="218"/>
      <c r="AI1570" s="218"/>
      <c r="AJ1570" s="218"/>
      <c r="AK1570" s="218"/>
      <c r="AL1570" s="218"/>
      <c r="AM1570" s="353"/>
      <c r="AN1570" s="295"/>
      <c r="AO1570" s="296"/>
      <c r="AP1570" s="353"/>
      <c r="AQ1570" s="290"/>
      <c r="AR1570" s="290"/>
      <c r="AS1570" s="290"/>
    </row>
    <row r="1571" spans="1:45" ht="17.25" thickBot="1" x14ac:dyDescent="0.3">
      <c r="A1571" s="467"/>
      <c r="B1571" s="354"/>
      <c r="C1571" s="285">
        <v>1699131</v>
      </c>
      <c r="D1571" s="358" t="s">
        <v>414</v>
      </c>
      <c r="E1571" s="360"/>
      <c r="F1571" s="361">
        <f>G1606-AK1571+AL1571</f>
        <v>0</v>
      </c>
      <c r="G1571" s="364">
        <v>0</v>
      </c>
      <c r="H1571" s="397">
        <v>3</v>
      </c>
      <c r="I1571" s="218"/>
      <c r="J1571" s="218"/>
      <c r="K1571" s="218"/>
      <c r="L1571" s="218"/>
      <c r="M1571" s="218"/>
      <c r="N1571" s="218"/>
      <c r="O1571" s="218"/>
      <c r="P1571" s="352"/>
      <c r="Q1571" s="352"/>
      <c r="R1571" s="352"/>
      <c r="S1571" s="352"/>
      <c r="T1571" s="352"/>
      <c r="U1571" s="352"/>
      <c r="V1571" s="218"/>
      <c r="W1571" s="218"/>
      <c r="X1571" s="218"/>
      <c r="Y1571" s="218"/>
      <c r="Z1571" s="218"/>
      <c r="AA1571" s="218"/>
      <c r="AB1571" s="218"/>
      <c r="AC1571" s="218"/>
      <c r="AD1571" s="218"/>
      <c r="AE1571" s="218"/>
      <c r="AF1571" s="218"/>
      <c r="AG1571" s="218"/>
      <c r="AH1571" s="218"/>
      <c r="AI1571" s="218"/>
      <c r="AJ1571" s="218"/>
      <c r="AK1571" s="218"/>
      <c r="AL1571" s="218"/>
      <c r="AM1571" s="353"/>
      <c r="AN1571" s="295"/>
      <c r="AO1571" s="296"/>
      <c r="AP1571" s="353"/>
      <c r="AQ1571" s="290"/>
      <c r="AR1571" s="290"/>
      <c r="AS1571" s="290"/>
    </row>
    <row r="1572" spans="1:45" ht="17.25" thickBot="1" x14ac:dyDescent="0.3">
      <c r="A1572" s="468"/>
      <c r="B1572" s="354"/>
      <c r="C1572" s="285">
        <v>1699132</v>
      </c>
      <c r="D1572" s="358" t="s">
        <v>415</v>
      </c>
      <c r="E1572" s="285"/>
      <c r="F1572" s="362">
        <f>G1607-AK1572+AL1572</f>
        <v>0</v>
      </c>
      <c r="G1572" s="364">
        <v>0</v>
      </c>
      <c r="H1572" s="397">
        <v>3</v>
      </c>
      <c r="I1572" s="218"/>
      <c r="J1572" s="218"/>
      <c r="K1572" s="218"/>
      <c r="L1572" s="218"/>
      <c r="M1572" s="218"/>
      <c r="N1572" s="218"/>
      <c r="O1572" s="218"/>
      <c r="P1572" s="352"/>
      <c r="Q1572" s="352"/>
      <c r="R1572" s="352"/>
      <c r="S1572" s="352"/>
      <c r="T1572" s="352"/>
      <c r="U1572" s="352"/>
      <c r="V1572" s="218"/>
      <c r="W1572" s="218"/>
      <c r="X1572" s="218"/>
      <c r="Y1572" s="218"/>
      <c r="Z1572" s="218"/>
      <c r="AA1572" s="218"/>
      <c r="AB1572" s="218"/>
      <c r="AC1572" s="218"/>
      <c r="AD1572" s="218"/>
      <c r="AE1572" s="218"/>
      <c r="AF1572" s="218"/>
      <c r="AG1572" s="218"/>
      <c r="AH1572" s="218"/>
      <c r="AI1572" s="218"/>
      <c r="AJ1572" s="218"/>
      <c r="AK1572" s="218"/>
      <c r="AL1572" s="218"/>
      <c r="AM1572" s="353"/>
      <c r="AN1572" s="295"/>
      <c r="AO1572" s="296"/>
      <c r="AP1572" s="353"/>
      <c r="AQ1572" s="290"/>
      <c r="AR1572" s="290"/>
      <c r="AS1572" s="290"/>
    </row>
    <row r="1573" spans="1:45" x14ac:dyDescent="0.25">
      <c r="AL1573" s="290"/>
      <c r="AM1573" s="290"/>
      <c r="AN1573" s="290"/>
      <c r="AO1573" s="290"/>
      <c r="AP1573" s="290"/>
      <c r="AQ1573" s="290"/>
      <c r="AR1573" s="290"/>
    </row>
    <row r="1574" spans="1:45" ht="14.25" thickBot="1" x14ac:dyDescent="0.3">
      <c r="B1574" s="338" t="s">
        <v>18</v>
      </c>
      <c r="C1574" s="339">
        <v>45537</v>
      </c>
      <c r="AL1574" s="290"/>
      <c r="AM1574" s="290"/>
      <c r="AN1574" s="290"/>
      <c r="AO1574" s="290"/>
      <c r="AP1574" s="290"/>
      <c r="AQ1574" s="290"/>
      <c r="AR1574" s="290"/>
    </row>
    <row r="1575" spans="1:45" ht="41.25" thickBot="1" x14ac:dyDescent="0.3">
      <c r="B1575" s="283" t="s">
        <v>0</v>
      </c>
      <c r="C1575" s="284" t="s">
        <v>1</v>
      </c>
      <c r="D1575" s="284" t="s">
        <v>2</v>
      </c>
      <c r="E1575" s="284" t="s">
        <v>3</v>
      </c>
      <c r="F1575" s="4" t="s">
        <v>318</v>
      </c>
      <c r="G1575" s="351" t="s">
        <v>4</v>
      </c>
      <c r="H1575" s="382" t="s">
        <v>460</v>
      </c>
      <c r="I1575" s="234" t="s">
        <v>392</v>
      </c>
      <c r="J1575" s="234"/>
      <c r="K1575" s="258" t="s">
        <v>422</v>
      </c>
      <c r="L1575" s="258" t="s">
        <v>328</v>
      </c>
      <c r="M1575" s="258" t="s">
        <v>327</v>
      </c>
      <c r="N1575" s="234" t="s">
        <v>389</v>
      </c>
      <c r="O1575" s="240" t="s">
        <v>130</v>
      </c>
      <c r="P1575" s="243" t="s">
        <v>303</v>
      </c>
      <c r="Q1575" s="244" t="s">
        <v>304</v>
      </c>
      <c r="R1575" s="244" t="s">
        <v>314</v>
      </c>
      <c r="S1575" s="245" t="s">
        <v>338</v>
      </c>
      <c r="T1575" s="245" t="s">
        <v>345</v>
      </c>
      <c r="U1575" s="245" t="s">
        <v>361</v>
      </c>
      <c r="V1575" s="245" t="s">
        <v>387</v>
      </c>
      <c r="W1575" s="245" t="s">
        <v>421</v>
      </c>
      <c r="X1575" s="245" t="s">
        <v>451</v>
      </c>
      <c r="Y1575" s="245"/>
      <c r="Z1575" s="245"/>
      <c r="AA1575" s="245"/>
      <c r="AB1575" s="245"/>
      <c r="AC1575" s="245"/>
      <c r="AD1575" s="245"/>
      <c r="AE1575" s="245"/>
      <c r="AF1575" s="245"/>
      <c r="AG1575" s="245"/>
      <c r="AH1575" s="245"/>
      <c r="AI1575" s="245"/>
      <c r="AJ1575" s="245" t="s">
        <v>360</v>
      </c>
      <c r="AK1575" s="246" t="s">
        <v>268</v>
      </c>
      <c r="AL1575" s="247" t="s">
        <v>269</v>
      </c>
      <c r="AM1575" s="291" t="s">
        <v>288</v>
      </c>
      <c r="AN1575" s="292" t="s">
        <v>289</v>
      </c>
      <c r="AO1575" s="292" t="s">
        <v>287</v>
      </c>
      <c r="AP1575" s="293" t="s">
        <v>290</v>
      </c>
      <c r="AQ1575" s="290" t="s">
        <v>306</v>
      </c>
      <c r="AR1575" s="290" t="s">
        <v>310</v>
      </c>
      <c r="AS1575" s="290" t="s">
        <v>311</v>
      </c>
    </row>
    <row r="1576" spans="1:45" ht="17.25" thickBot="1" x14ac:dyDescent="0.3">
      <c r="A1576" s="463" t="s">
        <v>416</v>
      </c>
      <c r="B1576" s="285">
        <v>273664</v>
      </c>
      <c r="C1576" s="286">
        <v>1135749</v>
      </c>
      <c r="D1576" s="286" t="s">
        <v>7</v>
      </c>
      <c r="E1576" s="286">
        <v>6060050026</v>
      </c>
      <c r="F1576" s="253">
        <f>G1611-AK1576+AL1576</f>
        <v>4</v>
      </c>
      <c r="G1576" s="235">
        <v>4</v>
      </c>
      <c r="H1576" s="394">
        <v>5</v>
      </c>
      <c r="I1576" s="232">
        <v>5</v>
      </c>
      <c r="J1576" s="232"/>
      <c r="K1576" s="232">
        <v>3</v>
      </c>
      <c r="L1576" s="232">
        <f>IF(K1610=K1575,L1611+AK1576,K1576)</f>
        <v>3</v>
      </c>
      <c r="M1576" s="232">
        <f>IF(K1610=K1575,0,L1611+AK1576-K1576)</f>
        <v>3</v>
      </c>
      <c r="N1576" s="267">
        <v>5</v>
      </c>
      <c r="O1576" s="241">
        <f>N1576-G1576</f>
        <v>1</v>
      </c>
      <c r="P1576" s="277">
        <v>4</v>
      </c>
      <c r="Q1576" s="278">
        <v>4</v>
      </c>
      <c r="R1576" s="279"/>
      <c r="S1576" s="279">
        <v>3</v>
      </c>
      <c r="T1576" s="279">
        <v>4</v>
      </c>
      <c r="U1576" s="279">
        <v>2</v>
      </c>
      <c r="V1576" s="279"/>
      <c r="W1576" s="279">
        <f>2+3</f>
        <v>5</v>
      </c>
      <c r="X1576" s="241"/>
      <c r="Y1576" s="241"/>
      <c r="Z1576" s="241"/>
      <c r="AA1576" s="241"/>
      <c r="AB1576" s="241"/>
      <c r="AC1576" s="241"/>
      <c r="AD1576" s="241"/>
      <c r="AE1576" s="241"/>
      <c r="AF1576" s="241"/>
      <c r="AG1576" s="241"/>
      <c r="AH1576" s="241"/>
      <c r="AI1576" s="241"/>
      <c r="AJ1576" s="241">
        <f>N1576-V1576</f>
        <v>5</v>
      </c>
      <c r="AK1576" s="235">
        <f>G1611+AL1576-G1576</f>
        <v>0</v>
      </c>
      <c r="AL1576" s="350">
        <v>4</v>
      </c>
      <c r="AM1576" s="294">
        <v>1.5</v>
      </c>
      <c r="AN1576" s="295">
        <v>4</v>
      </c>
      <c r="AO1576" s="296">
        <f>G1576/(AN1576)</f>
        <v>1</v>
      </c>
      <c r="AP1576" s="297">
        <f>AN1576*6</f>
        <v>24</v>
      </c>
      <c r="AQ1576" s="290">
        <f>G1576+K1576</f>
        <v>7</v>
      </c>
      <c r="AR1576" s="290">
        <f>IF(G1576&lt;G1611,(G1611-G1576+K1611-K1576),K1611-K1576)</f>
        <v>-2</v>
      </c>
      <c r="AS1576" s="290">
        <f>21-8</f>
        <v>13</v>
      </c>
    </row>
    <row r="1577" spans="1:45" ht="17.25" thickBot="1" x14ac:dyDescent="0.3">
      <c r="A1577" s="464"/>
      <c r="B1577" s="285">
        <v>273672</v>
      </c>
      <c r="C1577" s="286">
        <v>1135750</v>
      </c>
      <c r="D1577" s="286" t="s">
        <v>9</v>
      </c>
      <c r="E1577" s="287">
        <v>204000000000</v>
      </c>
      <c r="F1577" s="253">
        <f>G1612-AK1577+AL1577</f>
        <v>5</v>
      </c>
      <c r="G1577" s="235">
        <v>5</v>
      </c>
      <c r="H1577" s="394">
        <v>16</v>
      </c>
      <c r="I1577" s="232">
        <v>0</v>
      </c>
      <c r="J1577" s="232"/>
      <c r="K1577" s="232">
        <v>9</v>
      </c>
      <c r="L1577" s="232">
        <f>IF(K1610=K1575,L1612+AK1577,K1577)</f>
        <v>9</v>
      </c>
      <c r="M1577" s="232">
        <f>IF(K1610=K1575,0,L1612+AK1577-K1577)</f>
        <v>7</v>
      </c>
      <c r="N1577" s="267">
        <v>10</v>
      </c>
      <c r="O1577" s="241">
        <f>N1577-G1577</f>
        <v>5</v>
      </c>
      <c r="P1577" s="277">
        <v>13</v>
      </c>
      <c r="Q1577" s="278">
        <v>2</v>
      </c>
      <c r="R1577" s="279">
        <v>6</v>
      </c>
      <c r="S1577" s="279">
        <v>6</v>
      </c>
      <c r="T1577" s="279">
        <v>10</v>
      </c>
      <c r="U1577" s="279">
        <v>4</v>
      </c>
      <c r="V1577" s="279">
        <v>6</v>
      </c>
      <c r="W1577" s="279">
        <v>16</v>
      </c>
      <c r="X1577" s="241"/>
      <c r="Y1577" s="241"/>
      <c r="Z1577" s="241"/>
      <c r="AA1577" s="241"/>
      <c r="AB1577" s="241"/>
      <c r="AC1577" s="241"/>
      <c r="AD1577" s="241"/>
      <c r="AE1577" s="241"/>
      <c r="AF1577" s="241"/>
      <c r="AG1577" s="241"/>
      <c r="AH1577" s="241"/>
      <c r="AI1577" s="241"/>
      <c r="AJ1577" s="241">
        <f>N1577-V1577</f>
        <v>4</v>
      </c>
      <c r="AK1577" s="235">
        <f>G1612+AL1577-G1577</f>
        <v>8</v>
      </c>
      <c r="AL1577" s="236">
        <v>0</v>
      </c>
      <c r="AM1577" s="298">
        <v>4.2</v>
      </c>
      <c r="AN1577" s="295">
        <v>9</v>
      </c>
      <c r="AO1577" s="296">
        <f>G1577/(AN1577)</f>
        <v>0.55555555555555558</v>
      </c>
      <c r="AP1577" s="297">
        <f>AN1577*6</f>
        <v>54</v>
      </c>
      <c r="AQ1577" s="290">
        <f>G1577+K1577</f>
        <v>14</v>
      </c>
      <c r="AR1577" s="290">
        <f>IF(G1577&lt;G1612,(G1612-G1577+K1612-K1577),K1612-K1577)</f>
        <v>-1</v>
      </c>
      <c r="AS1577" s="290">
        <f>21-8</f>
        <v>13</v>
      </c>
    </row>
    <row r="1578" spans="1:45" ht="17.25" thickBot="1" x14ac:dyDescent="0.3">
      <c r="A1578" s="464"/>
      <c r="B1578" s="285">
        <v>273702</v>
      </c>
      <c r="C1578" s="286">
        <v>1135753</v>
      </c>
      <c r="D1578" s="286" t="s">
        <v>10</v>
      </c>
      <c r="E1578" s="287">
        <v>301000000000</v>
      </c>
      <c r="F1578" s="253">
        <f>G1613-AK1578+AL1578</f>
        <v>2</v>
      </c>
      <c r="G1578" s="235">
        <v>2</v>
      </c>
      <c r="H1578" s="394">
        <v>1</v>
      </c>
      <c r="I1578" s="232">
        <v>2</v>
      </c>
      <c r="J1578" s="232"/>
      <c r="K1578" s="232">
        <v>1</v>
      </c>
      <c r="L1578" s="232">
        <f>IF(K1610=K1575,L1613+AK1578,K1578)</f>
        <v>1</v>
      </c>
      <c r="M1578" s="232">
        <f>IF(K1610=K1575,0,L1613+AK1578-K1578)</f>
        <v>0</v>
      </c>
      <c r="N1578" s="232">
        <v>2</v>
      </c>
      <c r="O1578" s="241">
        <f>N1578-G1578</f>
        <v>0</v>
      </c>
      <c r="P1578" s="277"/>
      <c r="Q1578" s="278"/>
      <c r="R1578" s="279"/>
      <c r="S1578" s="279"/>
      <c r="T1578" s="279"/>
      <c r="U1578" s="279"/>
      <c r="V1578" s="279"/>
      <c r="W1578" s="279"/>
      <c r="X1578" s="241"/>
      <c r="Y1578" s="241"/>
      <c r="Z1578" s="241"/>
      <c r="AA1578" s="241"/>
      <c r="AB1578" s="241"/>
      <c r="AC1578" s="241"/>
      <c r="AD1578" s="241"/>
      <c r="AE1578" s="241"/>
      <c r="AF1578" s="241"/>
      <c r="AG1578" s="241"/>
      <c r="AH1578" s="241"/>
      <c r="AI1578" s="241"/>
      <c r="AJ1578" s="241">
        <f>N1578-V1578</f>
        <v>2</v>
      </c>
      <c r="AK1578" s="235">
        <f>G1613+AL1578-G1578</f>
        <v>0</v>
      </c>
      <c r="AL1578" s="236">
        <v>0</v>
      </c>
      <c r="AM1578" s="294">
        <f>4/12</f>
        <v>0.33333333333333331</v>
      </c>
      <c r="AN1578" s="295">
        <v>2</v>
      </c>
      <c r="AO1578" s="296">
        <f>G1578/(AN1578)</f>
        <v>1</v>
      </c>
      <c r="AP1578" s="297">
        <f>AN1578*6</f>
        <v>12</v>
      </c>
      <c r="AQ1578" s="290">
        <f>G1578+K1578</f>
        <v>3</v>
      </c>
      <c r="AR1578" s="290">
        <f>IF(G1578&lt;G1613,(G1613-G1578+K1613-K1578),K1613-K1578)</f>
        <v>0</v>
      </c>
      <c r="AS1578" s="290">
        <f>21-8</f>
        <v>13</v>
      </c>
    </row>
    <row r="1579" spans="1:45" ht="17.25" thickBot="1" x14ac:dyDescent="0.3">
      <c r="A1579" s="464"/>
      <c r="B1579" s="285">
        <v>273698</v>
      </c>
      <c r="C1579" s="286">
        <v>1135752</v>
      </c>
      <c r="D1579" s="286" t="s">
        <v>11</v>
      </c>
      <c r="E1579" s="287">
        <v>701000000000</v>
      </c>
      <c r="F1579" s="253">
        <f>G1614-AK1579+AL1579</f>
        <v>2</v>
      </c>
      <c r="G1579" s="235">
        <v>2</v>
      </c>
      <c r="H1579" s="394">
        <v>2</v>
      </c>
      <c r="I1579" s="232">
        <v>3</v>
      </c>
      <c r="J1579" s="232"/>
      <c r="K1579" s="232">
        <v>1</v>
      </c>
      <c r="L1579" s="232">
        <f>IF(K1610=K1575,L1614+AK1579,K1579)</f>
        <v>1</v>
      </c>
      <c r="M1579" s="232">
        <f>IF(K1610=K1575,0,L1614+AK1579-K1579)</f>
        <v>2</v>
      </c>
      <c r="N1579" s="232">
        <v>3</v>
      </c>
      <c r="O1579" s="241">
        <f>N1579-G1579</f>
        <v>1</v>
      </c>
      <c r="P1579" s="277">
        <v>2</v>
      </c>
      <c r="Q1579" s="278"/>
      <c r="R1579" s="279"/>
      <c r="S1579" s="279"/>
      <c r="T1579" s="279"/>
      <c r="U1579" s="279"/>
      <c r="V1579" s="279"/>
      <c r="W1579" s="279">
        <v>1</v>
      </c>
      <c r="X1579" s="241"/>
      <c r="Y1579" s="241"/>
      <c r="Z1579" s="241"/>
      <c r="AA1579" s="241"/>
      <c r="AB1579" s="241"/>
      <c r="AC1579" s="241"/>
      <c r="AD1579" s="241"/>
      <c r="AE1579" s="241"/>
      <c r="AF1579" s="241"/>
      <c r="AG1579" s="241"/>
      <c r="AH1579" s="241"/>
      <c r="AI1579" s="241"/>
      <c r="AJ1579" s="241">
        <f>N1579-V1579</f>
        <v>3</v>
      </c>
      <c r="AK1579" s="235">
        <f>G1614+AL1579-G1579</f>
        <v>0</v>
      </c>
      <c r="AL1579" s="236">
        <v>0</v>
      </c>
      <c r="AM1579" s="294">
        <f>4/12</f>
        <v>0.33333333333333331</v>
      </c>
      <c r="AN1579" s="295">
        <v>2</v>
      </c>
      <c r="AO1579" s="296">
        <f>G1579/(AN1579)</f>
        <v>1</v>
      </c>
      <c r="AP1579" s="297">
        <f>AN1579*6</f>
        <v>12</v>
      </c>
      <c r="AQ1579" s="290">
        <f>G1579+K1579</f>
        <v>3</v>
      </c>
      <c r="AR1579" s="290">
        <f>IF(G1579&lt;G1614,(G1614-G1579+K1614-K1579),K1614-K1579)</f>
        <v>1</v>
      </c>
      <c r="AS1579" s="290">
        <f>21-8</f>
        <v>13</v>
      </c>
    </row>
    <row r="1580" spans="1:45" ht="17.25" thickBot="1" x14ac:dyDescent="0.3">
      <c r="A1580" s="465"/>
      <c r="B1580" s="285">
        <v>273680</v>
      </c>
      <c r="C1580" s="286">
        <v>1135751</v>
      </c>
      <c r="D1580" s="286" t="s">
        <v>12</v>
      </c>
      <c r="E1580" s="286" t="s">
        <v>13</v>
      </c>
      <c r="F1580" s="254">
        <f>G1615-AK1580+AL1580</f>
        <v>0</v>
      </c>
      <c r="G1580" s="237">
        <v>0</v>
      </c>
      <c r="H1580" s="395">
        <v>8</v>
      </c>
      <c r="I1580" s="238">
        <v>9</v>
      </c>
      <c r="J1580" s="238"/>
      <c r="K1580" s="238">
        <v>14</v>
      </c>
      <c r="L1580" s="238">
        <f>IF(K1610=K1575,L1615+AK1580,K1580)</f>
        <v>14</v>
      </c>
      <c r="M1580" s="238">
        <f>IF(K1610=K1575,0,L1615+AK1580-K1580)</f>
        <v>0</v>
      </c>
      <c r="N1580" s="238">
        <v>9</v>
      </c>
      <c r="O1580" s="242">
        <f>N1580-G1580</f>
        <v>9</v>
      </c>
      <c r="P1580" s="280"/>
      <c r="Q1580" s="281"/>
      <c r="R1580" s="282"/>
      <c r="S1580" s="282"/>
      <c r="T1580" s="282">
        <v>11</v>
      </c>
      <c r="U1580" s="282"/>
      <c r="V1580" s="282"/>
      <c r="W1580" s="282">
        <v>9</v>
      </c>
      <c r="X1580" s="242"/>
      <c r="Y1580" s="242"/>
      <c r="Z1580" s="242"/>
      <c r="AA1580" s="242"/>
      <c r="AB1580" s="242"/>
      <c r="AC1580" s="242"/>
      <c r="AD1580" s="242"/>
      <c r="AE1580" s="242"/>
      <c r="AF1580" s="242"/>
      <c r="AG1580" s="242"/>
      <c r="AH1580" s="242"/>
      <c r="AI1580" s="242"/>
      <c r="AJ1580" s="242">
        <f>N1580-V1580</f>
        <v>9</v>
      </c>
      <c r="AK1580" s="235">
        <f>G1615+AL1580-G1580</f>
        <v>0</v>
      </c>
      <c r="AL1580" s="239">
        <v>0</v>
      </c>
      <c r="AM1580" s="299">
        <f>30/12</f>
        <v>2.5</v>
      </c>
      <c r="AN1580" s="300">
        <f>AM1580*2</f>
        <v>5</v>
      </c>
      <c r="AO1580" s="301">
        <f>G1580/(AN1580)</f>
        <v>0</v>
      </c>
      <c r="AP1580" s="302">
        <f>AN1580*6</f>
        <v>30</v>
      </c>
      <c r="AQ1580" s="290">
        <f>G1580+K1580</f>
        <v>14</v>
      </c>
      <c r="AR1580" s="290">
        <f>IF(G1580&lt;G1615,(G1615-G1580+K1615-K1580),K1615-K1580)</f>
        <v>-9</v>
      </c>
      <c r="AS1580" s="290">
        <f>21-8</f>
        <v>13</v>
      </c>
    </row>
    <row r="1581" spans="1:45" ht="17.25" thickBot="1" x14ac:dyDescent="0.3">
      <c r="A1581" s="466" t="s">
        <v>417</v>
      </c>
      <c r="B1581" s="355" t="s">
        <v>129</v>
      </c>
      <c r="C1581" s="356"/>
      <c r="D1581" s="356"/>
      <c r="E1581" s="359"/>
      <c r="F1581" s="359"/>
      <c r="G1581" s="356"/>
      <c r="H1581" s="396"/>
      <c r="I1581" s="356"/>
      <c r="J1581" s="356"/>
      <c r="K1581" s="356"/>
      <c r="L1581" s="356"/>
      <c r="M1581" s="356"/>
      <c r="N1581" s="356"/>
      <c r="O1581" s="356"/>
      <c r="P1581" s="356"/>
      <c r="Q1581" s="356"/>
      <c r="R1581" s="356"/>
      <c r="S1581" s="356"/>
      <c r="T1581" s="356"/>
      <c r="U1581" s="356"/>
      <c r="V1581" s="356"/>
      <c r="W1581" s="356"/>
      <c r="X1581" s="356"/>
      <c r="Y1581" s="356"/>
      <c r="Z1581" s="356"/>
      <c r="AA1581" s="356"/>
      <c r="AB1581" s="356"/>
      <c r="AC1581" s="356"/>
      <c r="AD1581" s="356"/>
      <c r="AE1581" s="356"/>
      <c r="AF1581" s="356"/>
      <c r="AG1581" s="356"/>
      <c r="AH1581" s="356"/>
      <c r="AI1581" s="356"/>
      <c r="AJ1581" s="356"/>
      <c r="AK1581" s="356"/>
      <c r="AL1581" s="356"/>
      <c r="AM1581" s="356"/>
      <c r="AN1581" s="356"/>
      <c r="AO1581" s="356"/>
      <c r="AP1581" s="356"/>
      <c r="AQ1581" s="356"/>
      <c r="AR1581" s="356"/>
      <c r="AS1581" s="357"/>
    </row>
    <row r="1582" spans="1:45" ht="17.25" thickBot="1" x14ac:dyDescent="0.3">
      <c r="A1582" s="467"/>
      <c r="B1582" s="354"/>
      <c r="C1582" s="354">
        <v>1140327</v>
      </c>
      <c r="D1582" s="358" t="s">
        <v>394</v>
      </c>
      <c r="E1582" s="360"/>
      <c r="F1582" s="361">
        <f>G1617-AK1582+AL1582</f>
        <v>21</v>
      </c>
      <c r="G1582" s="218">
        <v>21</v>
      </c>
      <c r="H1582" s="397">
        <v>23</v>
      </c>
      <c r="I1582" s="218"/>
      <c r="J1582" s="218"/>
      <c r="K1582" s="218">
        <v>2</v>
      </c>
      <c r="L1582" s="218">
        <f>IF(K1610=K1575,L1617+AK1582,K1582)</f>
        <v>2</v>
      </c>
      <c r="M1582" s="218">
        <f>IF(K1610=K1575,0,L1617+AK1582-K1582)</f>
        <v>-2</v>
      </c>
      <c r="N1582" s="218"/>
      <c r="O1582" s="218"/>
      <c r="P1582" s="352"/>
      <c r="Q1582" s="352"/>
      <c r="R1582" s="352"/>
      <c r="S1582" s="352"/>
      <c r="T1582" s="352"/>
      <c r="U1582" s="352"/>
      <c r="V1582" s="218"/>
      <c r="W1582" s="218"/>
      <c r="X1582" s="218"/>
      <c r="Y1582" s="218"/>
      <c r="Z1582" s="218"/>
      <c r="AA1582" s="218"/>
      <c r="AB1582" s="218"/>
      <c r="AC1582" s="218"/>
      <c r="AD1582" s="218"/>
      <c r="AE1582" s="218"/>
      <c r="AF1582" s="218"/>
      <c r="AG1582" s="218"/>
      <c r="AH1582" s="218"/>
      <c r="AI1582" s="218"/>
      <c r="AJ1582" s="218"/>
      <c r="AK1582" s="274">
        <f>G1617+AL1582-G1582</f>
        <v>0</v>
      </c>
      <c r="AL1582" s="218">
        <v>0</v>
      </c>
      <c r="AM1582" s="353"/>
      <c r="AN1582" s="295"/>
      <c r="AO1582" s="296"/>
      <c r="AP1582" s="353"/>
      <c r="AQ1582" s="290"/>
      <c r="AR1582" s="290"/>
      <c r="AS1582" s="290"/>
    </row>
    <row r="1583" spans="1:45" ht="17.25" thickBot="1" x14ac:dyDescent="0.3">
      <c r="A1583" s="467"/>
      <c r="B1583" s="354"/>
      <c r="C1583" s="285">
        <v>1151231</v>
      </c>
      <c r="D1583" s="358" t="s">
        <v>395</v>
      </c>
      <c r="E1583" s="360"/>
      <c r="F1583" s="361">
        <f>G1618-AK1583+AL1583</f>
        <v>8</v>
      </c>
      <c r="G1583" s="369">
        <v>8</v>
      </c>
      <c r="H1583" s="397">
        <v>13</v>
      </c>
      <c r="I1583" s="218"/>
      <c r="J1583" s="218"/>
      <c r="K1583" s="218">
        <v>2</v>
      </c>
      <c r="L1583" s="218">
        <f>IF(K1610=K1575,L1618+AK1583,K1583)</f>
        <v>2</v>
      </c>
      <c r="M1583" s="218">
        <f>IF(K1610=K1575,0,L1618+AK1583-K1583)</f>
        <v>-2</v>
      </c>
      <c r="N1583" s="218"/>
      <c r="O1583" s="218"/>
      <c r="P1583" s="352"/>
      <c r="Q1583" s="352"/>
      <c r="R1583" s="352"/>
      <c r="S1583" s="352"/>
      <c r="T1583" s="352"/>
      <c r="U1583" s="352"/>
      <c r="V1583" s="218"/>
      <c r="W1583" s="218"/>
      <c r="X1583" s="218"/>
      <c r="Y1583" s="218"/>
      <c r="Z1583" s="218"/>
      <c r="AA1583" s="218"/>
      <c r="AB1583" s="218"/>
      <c r="AC1583" s="218"/>
      <c r="AD1583" s="218"/>
      <c r="AE1583" s="218"/>
      <c r="AF1583" s="218"/>
      <c r="AG1583" s="218"/>
      <c r="AH1583" s="218"/>
      <c r="AI1583" s="218"/>
      <c r="AJ1583" s="218"/>
      <c r="AK1583" s="274">
        <f>G1618+AL1583-G1583</f>
        <v>0</v>
      </c>
      <c r="AL1583" s="218">
        <v>4</v>
      </c>
      <c r="AM1583" s="353"/>
      <c r="AN1583" s="295"/>
      <c r="AO1583" s="296"/>
      <c r="AP1583" s="353"/>
      <c r="AQ1583" s="290"/>
      <c r="AR1583" s="290"/>
      <c r="AS1583" s="290"/>
    </row>
    <row r="1584" spans="1:45" ht="17.25" thickBot="1" x14ac:dyDescent="0.3">
      <c r="A1584" s="467"/>
      <c r="B1584" s="355" t="s">
        <v>420</v>
      </c>
      <c r="C1584" s="356"/>
      <c r="D1584" s="356"/>
      <c r="E1584" s="359"/>
      <c r="F1584" s="359"/>
      <c r="G1584" s="356"/>
      <c r="H1584" s="396"/>
      <c r="I1584" s="356"/>
      <c r="J1584" s="356"/>
      <c r="K1584" s="356"/>
      <c r="L1584" s="356"/>
      <c r="M1584" s="356"/>
      <c r="N1584" s="356"/>
      <c r="O1584" s="356"/>
      <c r="P1584" s="356"/>
      <c r="Q1584" s="356"/>
      <c r="R1584" s="356"/>
      <c r="S1584" s="356"/>
      <c r="T1584" s="356"/>
      <c r="U1584" s="356"/>
      <c r="V1584" s="356"/>
      <c r="W1584" s="356"/>
      <c r="X1584" s="356"/>
      <c r="Y1584" s="356"/>
      <c r="Z1584" s="356"/>
      <c r="AA1584" s="356"/>
      <c r="AB1584" s="356"/>
      <c r="AC1584" s="356"/>
      <c r="AD1584" s="356"/>
      <c r="AE1584" s="356"/>
      <c r="AF1584" s="356"/>
      <c r="AG1584" s="356"/>
      <c r="AH1584" s="356"/>
      <c r="AI1584" s="356"/>
      <c r="AJ1584" s="356"/>
      <c r="AK1584" s="356"/>
      <c r="AL1584" s="356"/>
      <c r="AM1584" s="356"/>
      <c r="AN1584" s="356"/>
      <c r="AO1584" s="356"/>
      <c r="AP1584" s="356"/>
      <c r="AQ1584" s="356"/>
      <c r="AR1584" s="356"/>
      <c r="AS1584" s="357"/>
    </row>
    <row r="1585" spans="1:45" ht="17.25" thickBot="1" x14ac:dyDescent="0.3">
      <c r="A1585" s="467"/>
      <c r="B1585" s="354"/>
      <c r="C1585" s="285">
        <v>1146032</v>
      </c>
      <c r="D1585" s="358" t="s">
        <v>396</v>
      </c>
      <c r="E1585" s="360"/>
      <c r="F1585" s="361">
        <f>G1620-AK1585+AL1585</f>
        <v>1</v>
      </c>
      <c r="G1585" s="364">
        <v>1</v>
      </c>
      <c r="H1585" s="397">
        <v>1</v>
      </c>
      <c r="I1585" s="218"/>
      <c r="J1585" s="218"/>
      <c r="K1585" s="218"/>
      <c r="L1585" s="218"/>
      <c r="M1585" s="218"/>
      <c r="N1585" s="218"/>
      <c r="O1585" s="218"/>
      <c r="P1585" s="352"/>
      <c r="Q1585" s="352"/>
      <c r="R1585" s="352"/>
      <c r="S1585" s="352"/>
      <c r="T1585" s="352"/>
      <c r="U1585" s="352"/>
      <c r="V1585" s="218"/>
      <c r="W1585" s="218"/>
      <c r="X1585" s="218"/>
      <c r="Y1585" s="218"/>
      <c r="Z1585" s="218"/>
      <c r="AA1585" s="218"/>
      <c r="AB1585" s="218"/>
      <c r="AC1585" s="218"/>
      <c r="AD1585" s="218"/>
      <c r="AE1585" s="218"/>
      <c r="AF1585" s="218"/>
      <c r="AG1585" s="218"/>
      <c r="AH1585" s="218"/>
      <c r="AI1585" s="218"/>
      <c r="AJ1585" s="218"/>
      <c r="AK1585" s="218"/>
      <c r="AL1585" s="218"/>
      <c r="AM1585" s="353"/>
      <c r="AN1585" s="295"/>
      <c r="AO1585" s="296"/>
      <c r="AP1585" s="353"/>
      <c r="AQ1585" s="290"/>
      <c r="AR1585" s="290"/>
      <c r="AS1585" s="290"/>
    </row>
    <row r="1586" spans="1:45" ht="17.25" thickBot="1" x14ac:dyDescent="0.3">
      <c r="A1586" s="467"/>
      <c r="B1586" s="354"/>
      <c r="C1586" s="285">
        <v>1146021</v>
      </c>
      <c r="D1586" s="358" t="s">
        <v>397</v>
      </c>
      <c r="E1586" s="360"/>
      <c r="F1586" s="361">
        <f>G1621-AK1586+AL1586</f>
        <v>2</v>
      </c>
      <c r="G1586" s="364">
        <v>2</v>
      </c>
      <c r="H1586" s="397">
        <v>2</v>
      </c>
      <c r="I1586" s="218"/>
      <c r="J1586" s="218"/>
      <c r="K1586" s="218"/>
      <c r="L1586" s="218"/>
      <c r="M1586" s="218"/>
      <c r="N1586" s="218"/>
      <c r="O1586" s="218"/>
      <c r="P1586" s="352"/>
      <c r="Q1586" s="352"/>
      <c r="R1586" s="352"/>
      <c r="S1586" s="352"/>
      <c r="T1586" s="352"/>
      <c r="U1586" s="352"/>
      <c r="V1586" s="218"/>
      <c r="W1586" s="218"/>
      <c r="X1586" s="218"/>
      <c r="Y1586" s="218"/>
      <c r="Z1586" s="218"/>
      <c r="AA1586" s="218"/>
      <c r="AB1586" s="218"/>
      <c r="AC1586" s="218"/>
      <c r="AD1586" s="218"/>
      <c r="AE1586" s="218"/>
      <c r="AF1586" s="218"/>
      <c r="AG1586" s="218"/>
      <c r="AH1586" s="218"/>
      <c r="AI1586" s="218"/>
      <c r="AJ1586" s="218"/>
      <c r="AK1586" s="218"/>
      <c r="AL1586" s="218"/>
      <c r="AM1586" s="353"/>
      <c r="AN1586" s="295"/>
      <c r="AO1586" s="296"/>
      <c r="AP1586" s="353"/>
      <c r="AQ1586" s="290"/>
      <c r="AR1586" s="290"/>
      <c r="AS1586" s="290"/>
    </row>
    <row r="1587" spans="1:45" ht="17.25" thickBot="1" x14ac:dyDescent="0.3">
      <c r="A1587" s="467"/>
      <c r="B1587" s="354"/>
      <c r="C1587" s="285">
        <v>1146018</v>
      </c>
      <c r="D1587" s="358" t="s">
        <v>398</v>
      </c>
      <c r="E1587" s="360"/>
      <c r="F1587" s="361">
        <f>G1622-AK1587+AL1587</f>
        <v>4</v>
      </c>
      <c r="G1587" s="364">
        <v>4</v>
      </c>
      <c r="H1587" s="397">
        <v>1</v>
      </c>
      <c r="I1587" s="218"/>
      <c r="J1587" s="218"/>
      <c r="K1587" s="218"/>
      <c r="L1587" s="218"/>
      <c r="M1587" s="218"/>
      <c r="N1587" s="218"/>
      <c r="O1587" s="218"/>
      <c r="P1587" s="352"/>
      <c r="Q1587" s="352"/>
      <c r="R1587" s="352"/>
      <c r="S1587" s="352"/>
      <c r="T1587" s="352"/>
      <c r="U1587" s="352"/>
      <c r="V1587" s="218"/>
      <c r="W1587" s="218"/>
      <c r="X1587" s="218"/>
      <c r="Y1587" s="218"/>
      <c r="Z1587" s="218"/>
      <c r="AA1587" s="218"/>
      <c r="AB1587" s="218"/>
      <c r="AC1587" s="218"/>
      <c r="AD1587" s="218"/>
      <c r="AE1587" s="218"/>
      <c r="AF1587" s="218"/>
      <c r="AG1587" s="218"/>
      <c r="AH1587" s="218"/>
      <c r="AI1587" s="218"/>
      <c r="AJ1587" s="218"/>
      <c r="AK1587" s="218"/>
      <c r="AL1587" s="218"/>
      <c r="AM1587" s="353"/>
      <c r="AN1587" s="295"/>
      <c r="AO1587" s="296"/>
      <c r="AP1587" s="353"/>
      <c r="AQ1587" s="290"/>
      <c r="AR1587" s="290"/>
      <c r="AS1587" s="290"/>
    </row>
    <row r="1588" spans="1:45" ht="17.25" thickBot="1" x14ac:dyDescent="0.3">
      <c r="A1588" s="467"/>
      <c r="B1588" s="354"/>
      <c r="C1588" s="285">
        <v>1146024</v>
      </c>
      <c r="D1588" s="358" t="s">
        <v>399</v>
      </c>
      <c r="E1588" s="360"/>
      <c r="F1588" s="361">
        <f>G1623-AK1588+AL1588</f>
        <v>2</v>
      </c>
      <c r="G1588" s="364">
        <v>2</v>
      </c>
      <c r="H1588" s="397">
        <v>2</v>
      </c>
      <c r="I1588" s="218"/>
      <c r="J1588" s="218"/>
      <c r="K1588" s="218"/>
      <c r="L1588" s="218"/>
      <c r="M1588" s="218"/>
      <c r="N1588" s="218"/>
      <c r="O1588" s="218"/>
      <c r="P1588" s="352"/>
      <c r="Q1588" s="352"/>
      <c r="R1588" s="352"/>
      <c r="S1588" s="352"/>
      <c r="T1588" s="352"/>
      <c r="U1588" s="352"/>
      <c r="V1588" s="218"/>
      <c r="W1588" s="218"/>
      <c r="X1588" s="218"/>
      <c r="Y1588" s="218"/>
      <c r="Z1588" s="218"/>
      <c r="AA1588" s="218"/>
      <c r="AB1588" s="218"/>
      <c r="AC1588" s="218"/>
      <c r="AD1588" s="218"/>
      <c r="AE1588" s="218"/>
      <c r="AF1588" s="218"/>
      <c r="AG1588" s="218"/>
      <c r="AH1588" s="218"/>
      <c r="AI1588" s="218"/>
      <c r="AJ1588" s="218"/>
      <c r="AK1588" s="218"/>
      <c r="AL1588" s="218"/>
      <c r="AM1588" s="353"/>
      <c r="AN1588" s="295"/>
      <c r="AO1588" s="296"/>
      <c r="AP1588" s="353"/>
      <c r="AQ1588" s="290"/>
      <c r="AR1588" s="290"/>
      <c r="AS1588" s="290"/>
    </row>
    <row r="1589" spans="1:45" ht="17.25" thickBot="1" x14ac:dyDescent="0.3">
      <c r="A1589" s="467"/>
      <c r="B1589" s="354"/>
      <c r="C1589" s="285">
        <v>1146028</v>
      </c>
      <c r="D1589" s="358" t="s">
        <v>400</v>
      </c>
      <c r="E1589" s="360"/>
      <c r="F1589" s="361">
        <f>G1624-AK1589+AL1589</f>
        <v>3</v>
      </c>
      <c r="G1589" s="364">
        <v>3</v>
      </c>
      <c r="H1589" s="397">
        <v>2</v>
      </c>
      <c r="I1589" s="218"/>
      <c r="J1589" s="218"/>
      <c r="K1589" s="218"/>
      <c r="L1589" s="218"/>
      <c r="M1589" s="218"/>
      <c r="N1589" s="218"/>
      <c r="O1589" s="218"/>
      <c r="P1589" s="352"/>
      <c r="Q1589" s="352"/>
      <c r="R1589" s="352"/>
      <c r="S1589" s="352"/>
      <c r="T1589" s="352"/>
      <c r="U1589" s="352"/>
      <c r="V1589" s="218"/>
      <c r="W1589" s="218"/>
      <c r="X1589" s="218"/>
      <c r="Y1589" s="218"/>
      <c r="Z1589" s="218"/>
      <c r="AA1589" s="218"/>
      <c r="AB1589" s="218"/>
      <c r="AC1589" s="218"/>
      <c r="AD1589" s="218"/>
      <c r="AE1589" s="218"/>
      <c r="AF1589" s="218"/>
      <c r="AG1589" s="218"/>
      <c r="AH1589" s="218"/>
      <c r="AI1589" s="218"/>
      <c r="AJ1589" s="218"/>
      <c r="AK1589" s="218"/>
      <c r="AL1589" s="218"/>
      <c r="AM1589" s="353"/>
      <c r="AN1589" s="295"/>
      <c r="AO1589" s="296"/>
      <c r="AP1589" s="353"/>
      <c r="AQ1589" s="290"/>
      <c r="AR1589" s="290"/>
      <c r="AS1589" s="290"/>
    </row>
    <row r="1590" spans="1:45" ht="17.25" thickBot="1" x14ac:dyDescent="0.3">
      <c r="A1590" s="467"/>
      <c r="B1590" s="355" t="s">
        <v>419</v>
      </c>
      <c r="C1590" s="356"/>
      <c r="D1590" s="356"/>
      <c r="E1590" s="359"/>
      <c r="F1590" s="359"/>
      <c r="G1590" s="356"/>
      <c r="H1590" s="396"/>
      <c r="I1590" s="356"/>
      <c r="J1590" s="356"/>
      <c r="K1590" s="356"/>
      <c r="L1590" s="356"/>
      <c r="M1590" s="356"/>
      <c r="N1590" s="356"/>
      <c r="O1590" s="356"/>
      <c r="P1590" s="356"/>
      <c r="Q1590" s="356"/>
      <c r="R1590" s="356"/>
      <c r="S1590" s="356"/>
      <c r="T1590" s="356"/>
      <c r="U1590" s="356"/>
      <c r="V1590" s="356"/>
      <c r="W1590" s="356"/>
      <c r="X1590" s="356"/>
      <c r="Y1590" s="356"/>
      <c r="Z1590" s="356"/>
      <c r="AA1590" s="356"/>
      <c r="AB1590" s="356"/>
      <c r="AC1590" s="356"/>
      <c r="AD1590" s="356"/>
      <c r="AE1590" s="356"/>
      <c r="AF1590" s="356"/>
      <c r="AG1590" s="356"/>
      <c r="AH1590" s="356"/>
      <c r="AI1590" s="356"/>
      <c r="AJ1590" s="356"/>
      <c r="AK1590" s="356"/>
      <c r="AL1590" s="356"/>
      <c r="AM1590" s="356"/>
      <c r="AN1590" s="356"/>
      <c r="AO1590" s="356"/>
      <c r="AP1590" s="356"/>
      <c r="AQ1590" s="356"/>
      <c r="AR1590" s="356"/>
      <c r="AS1590" s="357"/>
    </row>
    <row r="1591" spans="1:45" ht="17.25" thickBot="1" x14ac:dyDescent="0.3">
      <c r="A1591" s="467"/>
      <c r="B1591" s="354"/>
      <c r="C1591" s="285">
        <v>1146031</v>
      </c>
      <c r="D1591" s="358" t="s">
        <v>401</v>
      </c>
      <c r="E1591" s="360"/>
      <c r="F1591" s="361">
        <f>G1626-AK1591+AL1591</f>
        <v>2</v>
      </c>
      <c r="G1591" s="364">
        <v>2</v>
      </c>
      <c r="H1591" s="397">
        <v>1</v>
      </c>
      <c r="I1591" s="218"/>
      <c r="J1591" s="218"/>
      <c r="K1591" s="218"/>
      <c r="L1591" s="218"/>
      <c r="M1591" s="218"/>
      <c r="N1591" s="218"/>
      <c r="O1591" s="218"/>
      <c r="P1591" s="352"/>
      <c r="Q1591" s="352"/>
      <c r="R1591" s="352"/>
      <c r="S1591" s="352"/>
      <c r="T1591" s="352"/>
      <c r="U1591" s="352"/>
      <c r="V1591" s="218"/>
      <c r="W1591" s="218"/>
      <c r="X1591" s="218"/>
      <c r="Y1591" s="218"/>
      <c r="Z1591" s="218"/>
      <c r="AA1591" s="218"/>
      <c r="AB1591" s="218"/>
      <c r="AC1591" s="218"/>
      <c r="AD1591" s="218"/>
      <c r="AE1591" s="218"/>
      <c r="AF1591" s="218"/>
      <c r="AG1591" s="218"/>
      <c r="AH1591" s="218"/>
      <c r="AI1591" s="218"/>
      <c r="AJ1591" s="218"/>
      <c r="AK1591" s="218"/>
      <c r="AL1591" s="218"/>
      <c r="AM1591" s="353"/>
      <c r="AN1591" s="295"/>
      <c r="AO1591" s="296"/>
      <c r="AP1591" s="353"/>
      <c r="AQ1591" s="290"/>
      <c r="AR1591" s="290"/>
      <c r="AS1591" s="290"/>
    </row>
    <row r="1592" spans="1:45" ht="17.25" thickBot="1" x14ac:dyDescent="0.3">
      <c r="A1592" s="467"/>
      <c r="B1592" s="354"/>
      <c r="C1592" s="285">
        <v>1146020</v>
      </c>
      <c r="D1592" s="358" t="s">
        <v>402</v>
      </c>
      <c r="E1592" s="360"/>
      <c r="F1592" s="361">
        <f>G1627-AK1592+AL1592</f>
        <v>1</v>
      </c>
      <c r="G1592" s="364">
        <v>1</v>
      </c>
      <c r="H1592" s="397">
        <v>1</v>
      </c>
      <c r="I1592" s="218"/>
      <c r="J1592" s="218"/>
      <c r="K1592" s="218"/>
      <c r="L1592" s="218"/>
      <c r="M1592" s="218"/>
      <c r="N1592" s="218"/>
      <c r="O1592" s="218"/>
      <c r="P1592" s="352"/>
      <c r="Q1592" s="352"/>
      <c r="R1592" s="352"/>
      <c r="S1592" s="352"/>
      <c r="T1592" s="352"/>
      <c r="U1592" s="352"/>
      <c r="V1592" s="218"/>
      <c r="W1592" s="218"/>
      <c r="X1592" s="218"/>
      <c r="Y1592" s="218"/>
      <c r="Z1592" s="218"/>
      <c r="AA1592" s="218"/>
      <c r="AB1592" s="218"/>
      <c r="AC1592" s="218"/>
      <c r="AD1592" s="218"/>
      <c r="AE1592" s="218"/>
      <c r="AF1592" s="218"/>
      <c r="AG1592" s="218"/>
      <c r="AH1592" s="218"/>
      <c r="AI1592" s="218"/>
      <c r="AJ1592" s="218"/>
      <c r="AK1592" s="218"/>
      <c r="AL1592" s="218"/>
      <c r="AM1592" s="353"/>
      <c r="AN1592" s="295"/>
      <c r="AO1592" s="296"/>
      <c r="AP1592" s="353"/>
      <c r="AQ1592" s="290"/>
      <c r="AR1592" s="290"/>
      <c r="AS1592" s="290"/>
    </row>
    <row r="1593" spans="1:45" ht="17.25" thickBot="1" x14ac:dyDescent="0.3">
      <c r="A1593" s="467"/>
      <c r="B1593" s="354"/>
      <c r="C1593" s="285">
        <v>1146016</v>
      </c>
      <c r="D1593" s="358" t="s">
        <v>398</v>
      </c>
      <c r="E1593" s="360"/>
      <c r="F1593" s="361">
        <f>G1628-AK1593+AL1593</f>
        <v>6</v>
      </c>
      <c r="G1593" s="364">
        <v>6</v>
      </c>
      <c r="H1593" s="397">
        <v>1</v>
      </c>
      <c r="I1593" s="218"/>
      <c r="J1593" s="218"/>
      <c r="K1593" s="218"/>
      <c r="L1593" s="218"/>
      <c r="M1593" s="218"/>
      <c r="N1593" s="218"/>
      <c r="O1593" s="218"/>
      <c r="P1593" s="352"/>
      <c r="Q1593" s="352"/>
      <c r="R1593" s="352"/>
      <c r="S1593" s="352"/>
      <c r="T1593" s="352"/>
      <c r="U1593" s="352"/>
      <c r="V1593" s="218"/>
      <c r="W1593" s="218"/>
      <c r="X1593" s="218"/>
      <c r="Y1593" s="218"/>
      <c r="Z1593" s="218"/>
      <c r="AA1593" s="218"/>
      <c r="AB1593" s="218"/>
      <c r="AC1593" s="218"/>
      <c r="AD1593" s="218"/>
      <c r="AE1593" s="218"/>
      <c r="AF1593" s="218"/>
      <c r="AG1593" s="218"/>
      <c r="AH1593" s="218"/>
      <c r="AI1593" s="218"/>
      <c r="AJ1593" s="218"/>
      <c r="AK1593" s="218"/>
      <c r="AL1593" s="218"/>
      <c r="AM1593" s="353"/>
      <c r="AN1593" s="295"/>
      <c r="AO1593" s="296"/>
      <c r="AP1593" s="353"/>
      <c r="AQ1593" s="290"/>
      <c r="AR1593" s="290"/>
      <c r="AS1593" s="290"/>
    </row>
    <row r="1594" spans="1:45" ht="17.25" thickBot="1" x14ac:dyDescent="0.3">
      <c r="A1594" s="467"/>
      <c r="B1594" s="354"/>
      <c r="C1594" s="285">
        <v>1146022</v>
      </c>
      <c r="D1594" s="358" t="s">
        <v>403</v>
      </c>
      <c r="E1594" s="360"/>
      <c r="F1594" s="361">
        <f>G1629-AK1594+AL1594</f>
        <v>1</v>
      </c>
      <c r="G1594" s="364">
        <v>0</v>
      </c>
      <c r="H1594" s="397">
        <v>2</v>
      </c>
      <c r="I1594" s="218"/>
      <c r="J1594" s="218"/>
      <c r="K1594" s="218"/>
      <c r="L1594" s="218"/>
      <c r="M1594" s="218"/>
      <c r="N1594" s="218"/>
      <c r="O1594" s="218"/>
      <c r="P1594" s="352"/>
      <c r="Q1594" s="352"/>
      <c r="R1594" s="352"/>
      <c r="S1594" s="352"/>
      <c r="T1594" s="352"/>
      <c r="U1594" s="352"/>
      <c r="V1594" s="218"/>
      <c r="W1594" s="218"/>
      <c r="X1594" s="218"/>
      <c r="Y1594" s="218"/>
      <c r="Z1594" s="218"/>
      <c r="AA1594" s="218"/>
      <c r="AB1594" s="218"/>
      <c r="AC1594" s="218"/>
      <c r="AD1594" s="218"/>
      <c r="AE1594" s="218"/>
      <c r="AF1594" s="218"/>
      <c r="AG1594" s="218"/>
      <c r="AH1594" s="218"/>
      <c r="AI1594" s="218"/>
      <c r="AJ1594" s="218"/>
      <c r="AK1594" s="218"/>
      <c r="AL1594" s="218"/>
      <c r="AM1594" s="353"/>
      <c r="AN1594" s="295"/>
      <c r="AO1594" s="296"/>
      <c r="AP1594" s="353"/>
      <c r="AQ1594" s="290"/>
      <c r="AR1594" s="290"/>
      <c r="AS1594" s="290"/>
    </row>
    <row r="1595" spans="1:45" ht="17.25" thickBot="1" x14ac:dyDescent="0.3">
      <c r="A1595" s="467"/>
      <c r="B1595" s="354"/>
      <c r="C1595" s="285">
        <v>1146027</v>
      </c>
      <c r="D1595" s="358" t="s">
        <v>404</v>
      </c>
      <c r="E1595" s="360"/>
      <c r="F1595" s="361">
        <f>G1630-AK1595+AL1595</f>
        <v>2</v>
      </c>
      <c r="G1595" s="364">
        <v>2</v>
      </c>
      <c r="H1595" s="397">
        <v>2</v>
      </c>
      <c r="I1595" s="218"/>
      <c r="J1595" s="218"/>
      <c r="K1595" s="218"/>
      <c r="L1595" s="218"/>
      <c r="M1595" s="218"/>
      <c r="N1595" s="218"/>
      <c r="O1595" s="218"/>
      <c r="P1595" s="352"/>
      <c r="Q1595" s="352"/>
      <c r="R1595" s="352"/>
      <c r="S1595" s="352"/>
      <c r="T1595" s="352"/>
      <c r="U1595" s="352"/>
      <c r="V1595" s="218"/>
      <c r="W1595" s="218"/>
      <c r="X1595" s="218"/>
      <c r="Y1595" s="218"/>
      <c r="Z1595" s="218"/>
      <c r="AA1595" s="218"/>
      <c r="AB1595" s="218"/>
      <c r="AC1595" s="218"/>
      <c r="AD1595" s="218"/>
      <c r="AE1595" s="218"/>
      <c r="AF1595" s="218"/>
      <c r="AG1595" s="218"/>
      <c r="AH1595" s="218"/>
      <c r="AI1595" s="218"/>
      <c r="AJ1595" s="218"/>
      <c r="AK1595" s="218"/>
      <c r="AL1595" s="218"/>
      <c r="AM1595" s="353"/>
      <c r="AN1595" s="295"/>
      <c r="AO1595" s="296"/>
      <c r="AP1595" s="353"/>
      <c r="AQ1595" s="290"/>
      <c r="AR1595" s="290"/>
      <c r="AS1595" s="290"/>
    </row>
    <row r="1596" spans="1:45" ht="17.25" thickBot="1" x14ac:dyDescent="0.3">
      <c r="A1596" s="467"/>
      <c r="B1596" s="355" t="s">
        <v>418</v>
      </c>
      <c r="C1596" s="356"/>
      <c r="D1596" s="356"/>
      <c r="E1596" s="359"/>
      <c r="F1596" s="359"/>
      <c r="G1596" s="356"/>
      <c r="H1596" s="396"/>
      <c r="I1596" s="356"/>
      <c r="J1596" s="356"/>
      <c r="K1596" s="356"/>
      <c r="L1596" s="356"/>
      <c r="M1596" s="356"/>
      <c r="N1596" s="356"/>
      <c r="O1596" s="356"/>
      <c r="P1596" s="356"/>
      <c r="Q1596" s="356"/>
      <c r="R1596" s="356"/>
      <c r="S1596" s="356"/>
      <c r="T1596" s="356"/>
      <c r="U1596" s="356"/>
      <c r="V1596" s="356"/>
      <c r="W1596" s="356"/>
      <c r="X1596" s="356"/>
      <c r="Y1596" s="356"/>
      <c r="Z1596" s="356"/>
      <c r="AA1596" s="356"/>
      <c r="AB1596" s="356"/>
      <c r="AC1596" s="356"/>
      <c r="AD1596" s="356"/>
      <c r="AE1596" s="356"/>
      <c r="AF1596" s="356"/>
      <c r="AG1596" s="356"/>
      <c r="AH1596" s="356"/>
      <c r="AI1596" s="356"/>
      <c r="AJ1596" s="356"/>
      <c r="AK1596" s="356"/>
      <c r="AL1596" s="356"/>
      <c r="AM1596" s="356"/>
      <c r="AN1596" s="356"/>
      <c r="AO1596" s="356"/>
      <c r="AP1596" s="356"/>
      <c r="AQ1596" s="356"/>
      <c r="AR1596" s="356"/>
      <c r="AS1596" s="357"/>
    </row>
    <row r="1597" spans="1:45" ht="17.25" thickBot="1" x14ac:dyDescent="0.3">
      <c r="A1597" s="467"/>
      <c r="B1597" s="354"/>
      <c r="C1597" s="285">
        <v>1151653</v>
      </c>
      <c r="D1597" s="358" t="s">
        <v>405</v>
      </c>
      <c r="E1597" s="360"/>
      <c r="F1597" s="361">
        <f>G1632-AK1597+AL1597</f>
        <v>0</v>
      </c>
      <c r="G1597" s="364">
        <v>0</v>
      </c>
      <c r="H1597" s="397">
        <v>1</v>
      </c>
      <c r="I1597" s="218"/>
      <c r="J1597" s="218"/>
      <c r="K1597" s="218"/>
      <c r="L1597" s="218"/>
      <c r="M1597" s="218"/>
      <c r="N1597" s="218"/>
      <c r="O1597" s="218"/>
      <c r="P1597" s="352"/>
      <c r="Q1597" s="352"/>
      <c r="R1597" s="352"/>
      <c r="S1597" s="352"/>
      <c r="T1597" s="352"/>
      <c r="U1597" s="352"/>
      <c r="V1597" s="218"/>
      <c r="W1597" s="218"/>
      <c r="X1597" s="218"/>
      <c r="Y1597" s="218"/>
      <c r="Z1597" s="218"/>
      <c r="AA1597" s="218"/>
      <c r="AB1597" s="218"/>
      <c r="AC1597" s="218"/>
      <c r="AD1597" s="218"/>
      <c r="AE1597" s="218"/>
      <c r="AF1597" s="218"/>
      <c r="AG1597" s="218"/>
      <c r="AH1597" s="218"/>
      <c r="AI1597" s="218"/>
      <c r="AJ1597" s="218"/>
      <c r="AK1597" s="218"/>
      <c r="AL1597" s="218"/>
      <c r="AM1597" s="353"/>
      <c r="AN1597" s="295"/>
      <c r="AO1597" s="296"/>
      <c r="AP1597" s="353"/>
      <c r="AQ1597" s="290"/>
      <c r="AR1597" s="290"/>
      <c r="AS1597" s="290"/>
    </row>
    <row r="1598" spans="1:45" ht="17.25" thickBot="1" x14ac:dyDescent="0.3">
      <c r="A1598" s="467"/>
      <c r="B1598" s="354"/>
      <c r="C1598" s="285">
        <v>1151650</v>
      </c>
      <c r="D1598" s="358" t="s">
        <v>406</v>
      </c>
      <c r="E1598" s="360"/>
      <c r="F1598" s="361">
        <f>G1633-AK1598+AL1598</f>
        <v>1</v>
      </c>
      <c r="G1598" s="364">
        <v>1</v>
      </c>
      <c r="H1598" s="397">
        <v>2</v>
      </c>
      <c r="I1598" s="218"/>
      <c r="J1598" s="218"/>
      <c r="K1598" s="218"/>
      <c r="L1598" s="218"/>
      <c r="M1598" s="218"/>
      <c r="N1598" s="218"/>
      <c r="O1598" s="218"/>
      <c r="P1598" s="352"/>
      <c r="Q1598" s="352"/>
      <c r="R1598" s="352"/>
      <c r="S1598" s="352"/>
      <c r="T1598" s="352"/>
      <c r="U1598" s="352"/>
      <c r="V1598" s="218"/>
      <c r="W1598" s="218"/>
      <c r="X1598" s="218"/>
      <c r="Y1598" s="218"/>
      <c r="Z1598" s="218"/>
      <c r="AA1598" s="218"/>
      <c r="AB1598" s="218"/>
      <c r="AC1598" s="218"/>
      <c r="AD1598" s="218"/>
      <c r="AE1598" s="218"/>
      <c r="AF1598" s="218"/>
      <c r="AG1598" s="218"/>
      <c r="AH1598" s="218"/>
      <c r="AI1598" s="218"/>
      <c r="AJ1598" s="218"/>
      <c r="AK1598" s="218"/>
      <c r="AL1598" s="218"/>
      <c r="AM1598" s="353"/>
      <c r="AN1598" s="295"/>
      <c r="AO1598" s="296"/>
      <c r="AP1598" s="353"/>
      <c r="AQ1598" s="290"/>
      <c r="AR1598" s="290"/>
      <c r="AS1598" s="290"/>
    </row>
    <row r="1599" spans="1:45" ht="17.25" thickBot="1" x14ac:dyDescent="0.3">
      <c r="A1599" s="467"/>
      <c r="B1599" s="354"/>
      <c r="C1599" s="285">
        <v>1151649</v>
      </c>
      <c r="D1599" s="358" t="s">
        <v>407</v>
      </c>
      <c r="E1599" s="360"/>
      <c r="F1599" s="361">
        <f>G1634-AK1599+AL1599</f>
        <v>2</v>
      </c>
      <c r="G1599" s="364">
        <v>2</v>
      </c>
      <c r="H1599" s="397">
        <v>4</v>
      </c>
      <c r="I1599" s="218"/>
      <c r="J1599" s="218"/>
      <c r="K1599" s="218"/>
      <c r="L1599" s="218"/>
      <c r="M1599" s="218"/>
      <c r="N1599" s="218"/>
      <c r="O1599" s="218"/>
      <c r="P1599" s="352"/>
      <c r="Q1599" s="352"/>
      <c r="R1599" s="352"/>
      <c r="S1599" s="352"/>
      <c r="T1599" s="352"/>
      <c r="U1599" s="352"/>
      <c r="V1599" s="218"/>
      <c r="W1599" s="218"/>
      <c r="X1599" s="218"/>
      <c r="Y1599" s="218"/>
      <c r="Z1599" s="218"/>
      <c r="AA1599" s="218"/>
      <c r="AB1599" s="218"/>
      <c r="AC1599" s="218"/>
      <c r="AD1599" s="218"/>
      <c r="AE1599" s="218"/>
      <c r="AF1599" s="218"/>
      <c r="AG1599" s="218"/>
      <c r="AH1599" s="218"/>
      <c r="AI1599" s="218"/>
      <c r="AJ1599" s="218"/>
      <c r="AK1599" s="218"/>
      <c r="AL1599" s="218"/>
      <c r="AM1599" s="353"/>
      <c r="AN1599" s="295"/>
      <c r="AO1599" s="296"/>
      <c r="AP1599" s="353"/>
      <c r="AQ1599" s="290"/>
      <c r="AR1599" s="290"/>
      <c r="AS1599" s="290"/>
    </row>
    <row r="1600" spans="1:45" ht="17.25" thickBot="1" x14ac:dyDescent="0.3">
      <c r="A1600" s="467"/>
      <c r="B1600" s="354"/>
      <c r="C1600" s="285">
        <v>1151651</v>
      </c>
      <c r="D1600" s="358" t="s">
        <v>408</v>
      </c>
      <c r="E1600" s="360"/>
      <c r="F1600" s="361">
        <f>G1635-AK1600+AL1600</f>
        <v>0</v>
      </c>
      <c r="G1600" s="364">
        <v>0</v>
      </c>
      <c r="H1600" s="397">
        <v>1</v>
      </c>
      <c r="I1600" s="218"/>
      <c r="J1600" s="218"/>
      <c r="K1600" s="218"/>
      <c r="L1600" s="218"/>
      <c r="M1600" s="218"/>
      <c r="N1600" s="218"/>
      <c r="O1600" s="218"/>
      <c r="P1600" s="352"/>
      <c r="Q1600" s="352"/>
      <c r="R1600" s="352"/>
      <c r="S1600" s="352"/>
      <c r="T1600" s="352"/>
      <c r="U1600" s="352"/>
      <c r="V1600" s="218"/>
      <c r="W1600" s="218"/>
      <c r="X1600" s="218"/>
      <c r="Y1600" s="218"/>
      <c r="Z1600" s="218"/>
      <c r="AA1600" s="218"/>
      <c r="AB1600" s="218"/>
      <c r="AC1600" s="218"/>
      <c r="AD1600" s="218"/>
      <c r="AE1600" s="218"/>
      <c r="AF1600" s="218"/>
      <c r="AG1600" s="218"/>
      <c r="AH1600" s="218"/>
      <c r="AI1600" s="218"/>
      <c r="AJ1600" s="218"/>
      <c r="AK1600" s="218"/>
      <c r="AL1600" s="218"/>
      <c r="AM1600" s="353"/>
      <c r="AN1600" s="295"/>
      <c r="AO1600" s="296"/>
      <c r="AP1600" s="353"/>
      <c r="AQ1600" s="290"/>
      <c r="AR1600" s="290"/>
      <c r="AS1600" s="290"/>
    </row>
    <row r="1601" spans="1:45" ht="17.25" thickBot="1" x14ac:dyDescent="0.3">
      <c r="A1601" s="467"/>
      <c r="B1601" s="354"/>
      <c r="C1601" s="285">
        <v>1146029</v>
      </c>
      <c r="D1601" s="358" t="s">
        <v>409</v>
      </c>
      <c r="E1601" s="360"/>
      <c r="F1601" s="361">
        <f>G1636-AK1601+AL1601</f>
        <v>1</v>
      </c>
      <c r="G1601" s="364">
        <v>1</v>
      </c>
      <c r="H1601" s="397">
        <v>2</v>
      </c>
      <c r="I1601" s="218"/>
      <c r="J1601" s="218"/>
      <c r="K1601" s="218"/>
      <c r="L1601" s="218"/>
      <c r="M1601" s="218"/>
      <c r="N1601" s="218"/>
      <c r="O1601" s="218"/>
      <c r="P1601" s="352"/>
      <c r="Q1601" s="352"/>
      <c r="R1601" s="352"/>
      <c r="S1601" s="352"/>
      <c r="T1601" s="352"/>
      <c r="U1601" s="352"/>
      <c r="V1601" s="218"/>
      <c r="W1601" s="218"/>
      <c r="X1601" s="218"/>
      <c r="Y1601" s="218"/>
      <c r="Z1601" s="218"/>
      <c r="AA1601" s="218"/>
      <c r="AB1601" s="218"/>
      <c r="AC1601" s="218"/>
      <c r="AD1601" s="218"/>
      <c r="AE1601" s="218"/>
      <c r="AF1601" s="218"/>
      <c r="AG1601" s="218"/>
      <c r="AH1601" s="218"/>
      <c r="AI1601" s="218"/>
      <c r="AJ1601" s="218"/>
      <c r="AK1601" s="218"/>
      <c r="AL1601" s="218"/>
      <c r="AM1601" s="353"/>
      <c r="AN1601" s="295"/>
      <c r="AO1601" s="296"/>
      <c r="AP1601" s="353"/>
      <c r="AQ1601" s="290"/>
      <c r="AR1601" s="290"/>
      <c r="AS1601" s="290"/>
    </row>
    <row r="1602" spans="1:45" ht="17.25" thickBot="1" x14ac:dyDescent="0.3">
      <c r="A1602" s="467"/>
      <c r="B1602" s="355" t="s">
        <v>410</v>
      </c>
      <c r="C1602" s="356"/>
      <c r="D1602" s="356"/>
      <c r="E1602" s="359"/>
      <c r="F1602" s="359"/>
      <c r="G1602" s="356"/>
      <c r="H1602" s="396"/>
      <c r="I1602" s="356"/>
      <c r="J1602" s="356"/>
      <c r="K1602" s="356"/>
      <c r="L1602" s="356"/>
      <c r="M1602" s="356"/>
      <c r="N1602" s="356"/>
      <c r="O1602" s="356"/>
      <c r="P1602" s="356"/>
      <c r="Q1602" s="356"/>
      <c r="R1602" s="356"/>
      <c r="S1602" s="356"/>
      <c r="T1602" s="356"/>
      <c r="U1602" s="356"/>
      <c r="V1602" s="356"/>
      <c r="W1602" s="356"/>
      <c r="X1602" s="356"/>
      <c r="Y1602" s="356"/>
      <c r="Z1602" s="356"/>
      <c r="AA1602" s="356"/>
      <c r="AB1602" s="356"/>
      <c r="AC1602" s="356"/>
      <c r="AD1602" s="356"/>
      <c r="AE1602" s="356"/>
      <c r="AF1602" s="356"/>
      <c r="AG1602" s="356"/>
      <c r="AH1602" s="356"/>
      <c r="AI1602" s="356"/>
      <c r="AJ1602" s="356"/>
      <c r="AK1602" s="356"/>
      <c r="AL1602" s="356"/>
      <c r="AM1602" s="356"/>
      <c r="AN1602" s="356"/>
      <c r="AO1602" s="356"/>
      <c r="AP1602" s="356"/>
      <c r="AQ1602" s="356"/>
      <c r="AR1602" s="356"/>
      <c r="AS1602" s="357"/>
    </row>
    <row r="1603" spans="1:45" ht="17.25" thickBot="1" x14ac:dyDescent="0.3">
      <c r="A1603" s="467"/>
      <c r="B1603" s="354"/>
      <c r="C1603" s="285">
        <v>1699118</v>
      </c>
      <c r="D1603" s="358" t="s">
        <v>411</v>
      </c>
      <c r="E1603" s="360"/>
      <c r="F1603" s="361">
        <f>G1638-AK1603+AL1603</f>
        <v>0</v>
      </c>
      <c r="G1603" s="364">
        <v>0</v>
      </c>
      <c r="H1603" s="397">
        <v>1</v>
      </c>
      <c r="I1603" s="218"/>
      <c r="J1603" s="218"/>
      <c r="K1603" s="218"/>
      <c r="L1603" s="218"/>
      <c r="M1603" s="218"/>
      <c r="N1603" s="218"/>
      <c r="O1603" s="218"/>
      <c r="P1603" s="352"/>
      <c r="Q1603" s="352"/>
      <c r="R1603" s="352"/>
      <c r="S1603" s="352"/>
      <c r="T1603" s="352"/>
      <c r="U1603" s="352"/>
      <c r="V1603" s="218"/>
      <c r="W1603" s="218"/>
      <c r="X1603" s="218"/>
      <c r="Y1603" s="218"/>
      <c r="Z1603" s="218"/>
      <c r="AA1603" s="218"/>
      <c r="AB1603" s="218"/>
      <c r="AC1603" s="218"/>
      <c r="AD1603" s="218"/>
      <c r="AE1603" s="218"/>
      <c r="AF1603" s="218"/>
      <c r="AG1603" s="218"/>
      <c r="AH1603" s="218"/>
      <c r="AI1603" s="218"/>
      <c r="AJ1603" s="218"/>
      <c r="AK1603" s="218"/>
      <c r="AL1603" s="218"/>
      <c r="AM1603" s="353"/>
      <c r="AN1603" s="295"/>
      <c r="AO1603" s="296"/>
      <c r="AP1603" s="353"/>
      <c r="AQ1603" s="290"/>
      <c r="AR1603" s="290"/>
      <c r="AS1603" s="290"/>
    </row>
    <row r="1604" spans="1:45" ht="17.25" thickBot="1" x14ac:dyDescent="0.3">
      <c r="A1604" s="467"/>
      <c r="B1604" s="354"/>
      <c r="C1604" s="285">
        <v>1699119</v>
      </c>
      <c r="D1604" s="358" t="s">
        <v>412</v>
      </c>
      <c r="E1604" s="360"/>
      <c r="F1604" s="361">
        <f>G1639-AK1604+AL1604</f>
        <v>0</v>
      </c>
      <c r="G1604" s="364">
        <v>0</v>
      </c>
      <c r="H1604" s="397">
        <v>1</v>
      </c>
      <c r="I1604" s="218"/>
      <c r="J1604" s="218"/>
      <c r="K1604" s="218"/>
      <c r="L1604" s="218"/>
      <c r="M1604" s="218"/>
      <c r="N1604" s="218"/>
      <c r="O1604" s="218"/>
      <c r="P1604" s="352"/>
      <c r="Q1604" s="352"/>
      <c r="R1604" s="352"/>
      <c r="S1604" s="352"/>
      <c r="T1604" s="352"/>
      <c r="U1604" s="352"/>
      <c r="V1604" s="218"/>
      <c r="W1604" s="218"/>
      <c r="X1604" s="218"/>
      <c r="Y1604" s="218"/>
      <c r="Z1604" s="218"/>
      <c r="AA1604" s="218"/>
      <c r="AB1604" s="218"/>
      <c r="AC1604" s="218"/>
      <c r="AD1604" s="218"/>
      <c r="AE1604" s="218"/>
      <c r="AF1604" s="218"/>
      <c r="AG1604" s="218"/>
      <c r="AH1604" s="218"/>
      <c r="AI1604" s="218"/>
      <c r="AJ1604" s="218"/>
      <c r="AK1604" s="218"/>
      <c r="AL1604" s="218"/>
      <c r="AM1604" s="353"/>
      <c r="AN1604" s="295"/>
      <c r="AO1604" s="296"/>
      <c r="AP1604" s="353"/>
      <c r="AQ1604" s="290"/>
      <c r="AR1604" s="290"/>
      <c r="AS1604" s="290"/>
    </row>
    <row r="1605" spans="1:45" ht="17.25" thickBot="1" x14ac:dyDescent="0.3">
      <c r="A1605" s="467"/>
      <c r="B1605" s="354"/>
      <c r="C1605" s="285">
        <v>1699130</v>
      </c>
      <c r="D1605" s="358" t="s">
        <v>413</v>
      </c>
      <c r="E1605" s="360"/>
      <c r="F1605" s="361">
        <f>G1640-AK1605+AL1605</f>
        <v>0</v>
      </c>
      <c r="G1605" s="364">
        <v>0</v>
      </c>
      <c r="H1605" s="397">
        <v>4</v>
      </c>
      <c r="I1605" s="218"/>
      <c r="J1605" s="218"/>
      <c r="K1605" s="218"/>
      <c r="L1605" s="218"/>
      <c r="M1605" s="218"/>
      <c r="N1605" s="218"/>
      <c r="O1605" s="218"/>
      <c r="P1605" s="352"/>
      <c r="Q1605" s="352"/>
      <c r="R1605" s="352"/>
      <c r="S1605" s="352"/>
      <c r="T1605" s="352"/>
      <c r="U1605" s="352"/>
      <c r="V1605" s="218"/>
      <c r="W1605" s="218"/>
      <c r="X1605" s="218"/>
      <c r="Y1605" s="218"/>
      <c r="Z1605" s="218"/>
      <c r="AA1605" s="218"/>
      <c r="AB1605" s="218"/>
      <c r="AC1605" s="218"/>
      <c r="AD1605" s="218"/>
      <c r="AE1605" s="218"/>
      <c r="AF1605" s="218"/>
      <c r="AG1605" s="218"/>
      <c r="AH1605" s="218"/>
      <c r="AI1605" s="218"/>
      <c r="AJ1605" s="218"/>
      <c r="AK1605" s="218"/>
      <c r="AL1605" s="218"/>
      <c r="AM1605" s="353"/>
      <c r="AN1605" s="295"/>
      <c r="AO1605" s="296"/>
      <c r="AP1605" s="353"/>
      <c r="AQ1605" s="290"/>
      <c r="AR1605" s="290"/>
      <c r="AS1605" s="290"/>
    </row>
    <row r="1606" spans="1:45" ht="17.25" thickBot="1" x14ac:dyDescent="0.3">
      <c r="A1606" s="467"/>
      <c r="B1606" s="354"/>
      <c r="C1606" s="285">
        <v>1699131</v>
      </c>
      <c r="D1606" s="358" t="s">
        <v>414</v>
      </c>
      <c r="E1606" s="360"/>
      <c r="F1606" s="361">
        <f>G1641-AK1606+AL1606</f>
        <v>0</v>
      </c>
      <c r="G1606" s="364">
        <v>0</v>
      </c>
      <c r="H1606" s="397">
        <v>3</v>
      </c>
      <c r="I1606" s="218"/>
      <c r="J1606" s="218"/>
      <c r="K1606" s="218"/>
      <c r="L1606" s="218"/>
      <c r="M1606" s="218"/>
      <c r="N1606" s="218"/>
      <c r="O1606" s="218"/>
      <c r="P1606" s="352"/>
      <c r="Q1606" s="352"/>
      <c r="R1606" s="352"/>
      <c r="S1606" s="352"/>
      <c r="T1606" s="352"/>
      <c r="U1606" s="352"/>
      <c r="V1606" s="218"/>
      <c r="W1606" s="218"/>
      <c r="X1606" s="218"/>
      <c r="Y1606" s="218"/>
      <c r="Z1606" s="218"/>
      <c r="AA1606" s="218"/>
      <c r="AB1606" s="218"/>
      <c r="AC1606" s="218"/>
      <c r="AD1606" s="218"/>
      <c r="AE1606" s="218"/>
      <c r="AF1606" s="218"/>
      <c r="AG1606" s="218"/>
      <c r="AH1606" s="218"/>
      <c r="AI1606" s="218"/>
      <c r="AJ1606" s="218"/>
      <c r="AK1606" s="218"/>
      <c r="AL1606" s="218"/>
      <c r="AM1606" s="353"/>
      <c r="AN1606" s="295"/>
      <c r="AO1606" s="296"/>
      <c r="AP1606" s="353"/>
      <c r="AQ1606" s="290"/>
      <c r="AR1606" s="290"/>
      <c r="AS1606" s="290"/>
    </row>
    <row r="1607" spans="1:45" ht="17.25" thickBot="1" x14ac:dyDescent="0.3">
      <c r="A1607" s="468"/>
      <c r="B1607" s="354"/>
      <c r="C1607" s="285">
        <v>1699132</v>
      </c>
      <c r="D1607" s="358" t="s">
        <v>415</v>
      </c>
      <c r="E1607" s="285"/>
      <c r="F1607" s="362">
        <f>G1642-AK1607+AL1607</f>
        <v>0</v>
      </c>
      <c r="G1607" s="364">
        <v>0</v>
      </c>
      <c r="H1607" s="397">
        <v>3</v>
      </c>
      <c r="I1607" s="218"/>
      <c r="J1607" s="218"/>
      <c r="K1607" s="218"/>
      <c r="L1607" s="218"/>
      <c r="M1607" s="218"/>
      <c r="N1607" s="218"/>
      <c r="O1607" s="218"/>
      <c r="P1607" s="352"/>
      <c r="Q1607" s="352"/>
      <c r="R1607" s="352"/>
      <c r="S1607" s="352"/>
      <c r="T1607" s="352"/>
      <c r="U1607" s="352"/>
      <c r="V1607" s="218"/>
      <c r="W1607" s="218"/>
      <c r="X1607" s="218"/>
      <c r="Y1607" s="218"/>
      <c r="Z1607" s="218"/>
      <c r="AA1607" s="218"/>
      <c r="AB1607" s="218"/>
      <c r="AC1607" s="218"/>
      <c r="AD1607" s="218"/>
      <c r="AE1607" s="218"/>
      <c r="AF1607" s="218"/>
      <c r="AG1607" s="218"/>
      <c r="AH1607" s="218"/>
      <c r="AI1607" s="218"/>
      <c r="AJ1607" s="218"/>
      <c r="AK1607" s="218"/>
      <c r="AL1607" s="218"/>
      <c r="AM1607" s="353"/>
      <c r="AN1607" s="295"/>
      <c r="AO1607" s="296"/>
      <c r="AP1607" s="353"/>
      <c r="AQ1607" s="290"/>
      <c r="AR1607" s="290"/>
      <c r="AS1607" s="290"/>
    </row>
    <row r="1608" spans="1:45" x14ac:dyDescent="0.25">
      <c r="AL1608" s="290"/>
      <c r="AM1608" s="290"/>
      <c r="AN1608" s="290"/>
      <c r="AO1608" s="290"/>
      <c r="AP1608" s="290"/>
      <c r="AQ1608" s="290"/>
      <c r="AR1608" s="290"/>
    </row>
    <row r="1609" spans="1:45" ht="14.25" thickBot="1" x14ac:dyDescent="0.3">
      <c r="B1609" s="338" t="s">
        <v>18</v>
      </c>
      <c r="C1609" s="339">
        <v>45530</v>
      </c>
      <c r="AL1609" s="290"/>
      <c r="AM1609" s="290"/>
      <c r="AN1609" s="290"/>
      <c r="AO1609" s="290"/>
      <c r="AP1609" s="290"/>
      <c r="AQ1609" s="290"/>
      <c r="AR1609" s="290"/>
    </row>
    <row r="1610" spans="1:45" ht="41.25" thickBot="1" x14ac:dyDescent="0.3">
      <c r="B1610" s="283" t="s">
        <v>0</v>
      </c>
      <c r="C1610" s="284" t="s">
        <v>1</v>
      </c>
      <c r="D1610" s="284" t="s">
        <v>2</v>
      </c>
      <c r="E1610" s="284" t="s">
        <v>3</v>
      </c>
      <c r="F1610" s="4" t="s">
        <v>318</v>
      </c>
      <c r="G1610" s="351" t="s">
        <v>4</v>
      </c>
      <c r="H1610" s="382" t="s">
        <v>460</v>
      </c>
      <c r="I1610" s="234" t="s">
        <v>392</v>
      </c>
      <c r="J1610" s="234"/>
      <c r="K1610" s="258" t="s">
        <v>393</v>
      </c>
      <c r="L1610" s="258" t="s">
        <v>328</v>
      </c>
      <c r="M1610" s="258" t="s">
        <v>327</v>
      </c>
      <c r="N1610" s="234" t="s">
        <v>389</v>
      </c>
      <c r="O1610" s="240" t="s">
        <v>130</v>
      </c>
      <c r="P1610" s="243" t="s">
        <v>303</v>
      </c>
      <c r="Q1610" s="244" t="s">
        <v>304</v>
      </c>
      <c r="R1610" s="244" t="s">
        <v>314</v>
      </c>
      <c r="S1610" s="245" t="s">
        <v>338</v>
      </c>
      <c r="T1610" s="245" t="s">
        <v>345</v>
      </c>
      <c r="U1610" s="245" t="s">
        <v>361</v>
      </c>
      <c r="V1610" s="245" t="s">
        <v>387</v>
      </c>
      <c r="W1610" s="245" t="s">
        <v>421</v>
      </c>
      <c r="X1610" s="245" t="s">
        <v>451</v>
      </c>
      <c r="Y1610" s="245"/>
      <c r="Z1610" s="245"/>
      <c r="AA1610" s="245"/>
      <c r="AB1610" s="245"/>
      <c r="AC1610" s="245"/>
      <c r="AD1610" s="245"/>
      <c r="AE1610" s="245"/>
      <c r="AF1610" s="245"/>
      <c r="AG1610" s="245"/>
      <c r="AH1610" s="245"/>
      <c r="AI1610" s="245"/>
      <c r="AJ1610" s="245" t="s">
        <v>360</v>
      </c>
      <c r="AK1610" s="246" t="s">
        <v>268</v>
      </c>
      <c r="AL1610" s="247" t="s">
        <v>269</v>
      </c>
      <c r="AM1610" s="291" t="s">
        <v>288</v>
      </c>
      <c r="AN1610" s="292" t="s">
        <v>289</v>
      </c>
      <c r="AO1610" s="292" t="s">
        <v>287</v>
      </c>
      <c r="AP1610" s="293" t="s">
        <v>290</v>
      </c>
      <c r="AQ1610" s="290" t="s">
        <v>306</v>
      </c>
      <c r="AR1610" s="290" t="s">
        <v>310</v>
      </c>
      <c r="AS1610" s="290" t="s">
        <v>311</v>
      </c>
    </row>
    <row r="1611" spans="1:45" ht="17.25" thickBot="1" x14ac:dyDescent="0.3">
      <c r="A1611" s="463" t="s">
        <v>416</v>
      </c>
      <c r="B1611" s="285">
        <v>273664</v>
      </c>
      <c r="C1611" s="286">
        <v>1135749</v>
      </c>
      <c r="D1611" s="286" t="s">
        <v>7</v>
      </c>
      <c r="E1611" s="286">
        <v>6060050026</v>
      </c>
      <c r="F1611" s="253">
        <f>G1646-AK1611+AL1611</f>
        <v>0</v>
      </c>
      <c r="G1611" s="235">
        <v>0</v>
      </c>
      <c r="H1611" s="394">
        <v>5</v>
      </c>
      <c r="I1611" s="232">
        <v>5</v>
      </c>
      <c r="J1611" s="232"/>
      <c r="K1611" s="232">
        <v>1</v>
      </c>
      <c r="L1611" s="232">
        <f>IF(K1645=K1610,L1646+AK1611,K1611)</f>
        <v>6</v>
      </c>
      <c r="M1611" s="232">
        <f>IF(K1645=K1610,0,L1646+AK1611-K1611)</f>
        <v>0</v>
      </c>
      <c r="N1611" s="267">
        <v>5</v>
      </c>
      <c r="O1611" s="241">
        <f>N1611-G1611</f>
        <v>5</v>
      </c>
      <c r="P1611" s="277">
        <v>4</v>
      </c>
      <c r="Q1611" s="278">
        <v>4</v>
      </c>
      <c r="R1611" s="279"/>
      <c r="S1611" s="279">
        <v>3</v>
      </c>
      <c r="T1611" s="279">
        <v>4</v>
      </c>
      <c r="U1611" s="279">
        <v>2</v>
      </c>
      <c r="V1611" s="279"/>
      <c r="W1611" s="241">
        <f>2+3</f>
        <v>5</v>
      </c>
      <c r="X1611" s="241"/>
      <c r="Y1611" s="241"/>
      <c r="Z1611" s="241"/>
      <c r="AA1611" s="241"/>
      <c r="AB1611" s="241"/>
      <c r="AC1611" s="241"/>
      <c r="AD1611" s="241"/>
      <c r="AE1611" s="241"/>
      <c r="AF1611" s="241"/>
      <c r="AG1611" s="241"/>
      <c r="AH1611" s="241"/>
      <c r="AI1611" s="241"/>
      <c r="AJ1611" s="241">
        <f>N1611-V1611</f>
        <v>5</v>
      </c>
      <c r="AK1611" s="235">
        <f>G1646+AL1611-G1611</f>
        <v>0</v>
      </c>
      <c r="AL1611" s="350">
        <v>0</v>
      </c>
      <c r="AM1611" s="294">
        <v>1.5</v>
      </c>
      <c r="AN1611" s="295">
        <v>4</v>
      </c>
      <c r="AO1611" s="296">
        <f>G1611/(AN1611)</f>
        <v>0</v>
      </c>
      <c r="AP1611" s="297">
        <f>AN1611*6</f>
        <v>24</v>
      </c>
      <c r="AQ1611" s="290">
        <f>G1611+K1611</f>
        <v>1</v>
      </c>
      <c r="AR1611" s="290">
        <f>IF(G1611&lt;G1646,(G1646-G1611+K1646-K1611),K1646-K1611)</f>
        <v>0</v>
      </c>
      <c r="AS1611" s="290">
        <f>21-8</f>
        <v>13</v>
      </c>
    </row>
    <row r="1612" spans="1:45" ht="17.25" thickBot="1" x14ac:dyDescent="0.3">
      <c r="A1612" s="464"/>
      <c r="B1612" s="285">
        <v>273672</v>
      </c>
      <c r="C1612" s="286">
        <v>1135750</v>
      </c>
      <c r="D1612" s="286" t="s">
        <v>9</v>
      </c>
      <c r="E1612" s="287">
        <v>204000000000</v>
      </c>
      <c r="F1612" s="253">
        <f>G1647-AK1612+AL1612</f>
        <v>13</v>
      </c>
      <c r="G1612" s="235">
        <v>13</v>
      </c>
      <c r="H1612" s="394">
        <v>16</v>
      </c>
      <c r="I1612" s="232">
        <v>0</v>
      </c>
      <c r="J1612" s="232"/>
      <c r="K1612" s="232">
        <v>0</v>
      </c>
      <c r="L1612" s="232">
        <f>IF(K1645=K1610,L1647+AK1612,K1612)</f>
        <v>8</v>
      </c>
      <c r="M1612" s="232">
        <f>IF(K1645=K1610,0,L1647+AK1612-K1612)</f>
        <v>0</v>
      </c>
      <c r="N1612" s="267">
        <v>10</v>
      </c>
      <c r="O1612" s="241">
        <f>N1612-G1612</f>
        <v>-3</v>
      </c>
      <c r="P1612" s="277">
        <v>13</v>
      </c>
      <c r="Q1612" s="278">
        <v>2</v>
      </c>
      <c r="R1612" s="279">
        <v>6</v>
      </c>
      <c r="S1612" s="279">
        <v>6</v>
      </c>
      <c r="T1612" s="279">
        <v>10</v>
      </c>
      <c r="U1612" s="279">
        <v>4</v>
      </c>
      <c r="V1612" s="279">
        <v>6</v>
      </c>
      <c r="W1612" s="241">
        <f>4+4</f>
        <v>8</v>
      </c>
      <c r="X1612" s="241"/>
      <c r="Y1612" s="241"/>
      <c r="Z1612" s="241"/>
      <c r="AA1612" s="241"/>
      <c r="AB1612" s="241"/>
      <c r="AC1612" s="241"/>
      <c r="AD1612" s="241"/>
      <c r="AE1612" s="241"/>
      <c r="AF1612" s="241"/>
      <c r="AG1612" s="241"/>
      <c r="AH1612" s="241"/>
      <c r="AI1612" s="241"/>
      <c r="AJ1612" s="241">
        <f>N1612-V1612</f>
        <v>4</v>
      </c>
      <c r="AK1612" s="235">
        <f>G1647+AL1612-G1612</f>
        <v>0</v>
      </c>
      <c r="AL1612" s="236">
        <v>0</v>
      </c>
      <c r="AM1612" s="298">
        <v>4.2</v>
      </c>
      <c r="AN1612" s="295">
        <v>9</v>
      </c>
      <c r="AO1612" s="296">
        <f>G1612/(AN1612)</f>
        <v>1.4444444444444444</v>
      </c>
      <c r="AP1612" s="297">
        <f>AN1612*6</f>
        <v>54</v>
      </c>
      <c r="AQ1612" s="290">
        <f>G1612+K1612</f>
        <v>13</v>
      </c>
      <c r="AR1612" s="290">
        <f>IF(G1612&lt;G1647,(G1647-G1612+K1647-K1612),K1647-K1612)</f>
        <v>0</v>
      </c>
      <c r="AS1612" s="290">
        <f>21-8</f>
        <v>13</v>
      </c>
    </row>
    <row r="1613" spans="1:45" ht="17.25" thickBot="1" x14ac:dyDescent="0.3">
      <c r="A1613" s="464"/>
      <c r="B1613" s="285">
        <v>273702</v>
      </c>
      <c r="C1613" s="286">
        <v>1135753</v>
      </c>
      <c r="D1613" s="286" t="s">
        <v>10</v>
      </c>
      <c r="E1613" s="287">
        <v>301000000000</v>
      </c>
      <c r="F1613" s="253">
        <f>G1648-AK1613+AL1613</f>
        <v>2</v>
      </c>
      <c r="G1613" s="235">
        <v>2</v>
      </c>
      <c r="H1613" s="394">
        <v>1</v>
      </c>
      <c r="I1613" s="232">
        <v>2</v>
      </c>
      <c r="J1613" s="232"/>
      <c r="K1613" s="232">
        <v>1</v>
      </c>
      <c r="L1613" s="232">
        <f>IF(K1645=K1610,L1648+AK1613,K1613)</f>
        <v>1</v>
      </c>
      <c r="M1613" s="232">
        <f>IF(K1645=K1610,0,L1648+AK1613-K1613)</f>
        <v>0</v>
      </c>
      <c r="N1613" s="232">
        <v>2</v>
      </c>
      <c r="O1613" s="241">
        <f>N1613-G1613</f>
        <v>0</v>
      </c>
      <c r="P1613" s="277"/>
      <c r="Q1613" s="278"/>
      <c r="R1613" s="279"/>
      <c r="S1613" s="279"/>
      <c r="T1613" s="279"/>
      <c r="U1613" s="279"/>
      <c r="V1613" s="279"/>
      <c r="W1613" s="241"/>
      <c r="X1613" s="241"/>
      <c r="Y1613" s="241"/>
      <c r="Z1613" s="241"/>
      <c r="AA1613" s="241"/>
      <c r="AB1613" s="241"/>
      <c r="AC1613" s="241"/>
      <c r="AD1613" s="241"/>
      <c r="AE1613" s="241"/>
      <c r="AF1613" s="241"/>
      <c r="AG1613" s="241"/>
      <c r="AH1613" s="241"/>
      <c r="AI1613" s="241"/>
      <c r="AJ1613" s="241">
        <f>N1613-V1613</f>
        <v>2</v>
      </c>
      <c r="AK1613" s="235">
        <f>G1648+AL1613-G1613</f>
        <v>0</v>
      </c>
      <c r="AL1613" s="236">
        <v>0</v>
      </c>
      <c r="AM1613" s="294">
        <f>4/12</f>
        <v>0.33333333333333331</v>
      </c>
      <c r="AN1613" s="295">
        <v>2</v>
      </c>
      <c r="AO1613" s="296">
        <f>G1613/(AN1613)</f>
        <v>1</v>
      </c>
      <c r="AP1613" s="297">
        <f>AN1613*6</f>
        <v>12</v>
      </c>
      <c r="AQ1613" s="290">
        <f>G1613+K1613</f>
        <v>3</v>
      </c>
      <c r="AR1613" s="290">
        <f>IF(G1613&lt;G1648,(G1648-G1613+K1648-K1613),K1648-K1613)</f>
        <v>0</v>
      </c>
      <c r="AS1613" s="290">
        <f>21-8</f>
        <v>13</v>
      </c>
    </row>
    <row r="1614" spans="1:45" ht="17.25" thickBot="1" x14ac:dyDescent="0.3">
      <c r="A1614" s="464"/>
      <c r="B1614" s="285">
        <v>273698</v>
      </c>
      <c r="C1614" s="286">
        <v>1135752</v>
      </c>
      <c r="D1614" s="286" t="s">
        <v>11</v>
      </c>
      <c r="E1614" s="287">
        <v>701000000000</v>
      </c>
      <c r="F1614" s="253">
        <f>G1649-AK1614+AL1614</f>
        <v>2</v>
      </c>
      <c r="G1614" s="235">
        <v>2</v>
      </c>
      <c r="H1614" s="394">
        <v>2</v>
      </c>
      <c r="I1614" s="232">
        <v>3</v>
      </c>
      <c r="J1614" s="232"/>
      <c r="K1614" s="232">
        <v>2</v>
      </c>
      <c r="L1614" s="232">
        <f>IF(K1645=K1610,L1649+AK1614,K1614)</f>
        <v>3</v>
      </c>
      <c r="M1614" s="232">
        <f>IF(K1645=K1610,0,L1649+AK1614-K1614)</f>
        <v>0</v>
      </c>
      <c r="N1614" s="232">
        <v>3</v>
      </c>
      <c r="O1614" s="241">
        <f>N1614-G1614</f>
        <v>1</v>
      </c>
      <c r="P1614" s="277">
        <v>2</v>
      </c>
      <c r="Q1614" s="278"/>
      <c r="R1614" s="279"/>
      <c r="S1614" s="279"/>
      <c r="T1614" s="279"/>
      <c r="U1614" s="279"/>
      <c r="V1614" s="279"/>
      <c r="W1614" s="241">
        <v>1</v>
      </c>
      <c r="X1614" s="241"/>
      <c r="Y1614" s="241"/>
      <c r="Z1614" s="241"/>
      <c r="AA1614" s="241"/>
      <c r="AB1614" s="241"/>
      <c r="AC1614" s="241"/>
      <c r="AD1614" s="241"/>
      <c r="AE1614" s="241"/>
      <c r="AF1614" s="241"/>
      <c r="AG1614" s="241"/>
      <c r="AH1614" s="241"/>
      <c r="AI1614" s="241"/>
      <c r="AJ1614" s="241">
        <f>N1614-V1614</f>
        <v>3</v>
      </c>
      <c r="AK1614" s="235">
        <f>G1649+AL1614-G1614</f>
        <v>0</v>
      </c>
      <c r="AL1614" s="236">
        <v>0</v>
      </c>
      <c r="AM1614" s="294">
        <f>4/12</f>
        <v>0.33333333333333331</v>
      </c>
      <c r="AN1614" s="295">
        <v>2</v>
      </c>
      <c r="AO1614" s="296">
        <f>G1614/(AN1614)</f>
        <v>1</v>
      </c>
      <c r="AP1614" s="297">
        <f>AN1614*6</f>
        <v>12</v>
      </c>
      <c r="AQ1614" s="290">
        <f>G1614+K1614</f>
        <v>4</v>
      </c>
      <c r="AR1614" s="290">
        <f>IF(G1614&lt;G1649,(G1649-G1614+K1649-K1614),K1649-K1614)</f>
        <v>0</v>
      </c>
      <c r="AS1614" s="290">
        <f>21-8</f>
        <v>13</v>
      </c>
    </row>
    <row r="1615" spans="1:45" ht="17.25" thickBot="1" x14ac:dyDescent="0.3">
      <c r="A1615" s="465"/>
      <c r="B1615" s="285">
        <v>273680</v>
      </c>
      <c r="C1615" s="286">
        <v>1135751</v>
      </c>
      <c r="D1615" s="286" t="s">
        <v>12</v>
      </c>
      <c r="E1615" s="286" t="s">
        <v>13</v>
      </c>
      <c r="F1615" s="254">
        <f>G1650-AK1615+AL1615</f>
        <v>0</v>
      </c>
      <c r="G1615" s="237">
        <v>0</v>
      </c>
      <c r="H1615" s="395">
        <v>8</v>
      </c>
      <c r="I1615" s="238">
        <v>9</v>
      </c>
      <c r="J1615" s="238"/>
      <c r="K1615" s="238">
        <v>5</v>
      </c>
      <c r="L1615" s="238">
        <f>IF(K1645=K1610,L1650+AK1615,K1615)</f>
        <v>14</v>
      </c>
      <c r="M1615" s="238">
        <f>IF(K1645=K1610,0,L1650+AK1615-K1615)</f>
        <v>0</v>
      </c>
      <c r="N1615" s="238">
        <v>9</v>
      </c>
      <c r="O1615" s="242">
        <f>N1615-G1615</f>
        <v>9</v>
      </c>
      <c r="P1615" s="280"/>
      <c r="Q1615" s="281"/>
      <c r="R1615" s="282"/>
      <c r="S1615" s="282"/>
      <c r="T1615" s="282">
        <v>11</v>
      </c>
      <c r="U1615" s="282"/>
      <c r="V1615" s="282"/>
      <c r="W1615" s="242">
        <v>9</v>
      </c>
      <c r="X1615" s="242"/>
      <c r="Y1615" s="242"/>
      <c r="Z1615" s="242"/>
      <c r="AA1615" s="242"/>
      <c r="AB1615" s="242"/>
      <c r="AC1615" s="242"/>
      <c r="AD1615" s="242"/>
      <c r="AE1615" s="242"/>
      <c r="AF1615" s="242"/>
      <c r="AG1615" s="242"/>
      <c r="AH1615" s="242"/>
      <c r="AI1615" s="242"/>
      <c r="AJ1615" s="242">
        <f>N1615-V1615</f>
        <v>9</v>
      </c>
      <c r="AK1615" s="235">
        <f>G1650+AL1615-G1615</f>
        <v>0</v>
      </c>
      <c r="AL1615" s="239">
        <v>0</v>
      </c>
      <c r="AM1615" s="299">
        <f>30/12</f>
        <v>2.5</v>
      </c>
      <c r="AN1615" s="300">
        <f>AM1615*2</f>
        <v>5</v>
      </c>
      <c r="AO1615" s="301">
        <f>G1615/(AN1615)</f>
        <v>0</v>
      </c>
      <c r="AP1615" s="302">
        <f>AN1615*6</f>
        <v>30</v>
      </c>
      <c r="AQ1615" s="290">
        <f>G1615+K1615</f>
        <v>5</v>
      </c>
      <c r="AR1615" s="290">
        <f>IF(G1615&lt;G1650,(G1650-G1615+K1650-K1615),K1650-K1615)</f>
        <v>0</v>
      </c>
      <c r="AS1615" s="290">
        <f>21-8</f>
        <v>13</v>
      </c>
    </row>
    <row r="1616" spans="1:45" ht="17.25" thickBot="1" x14ac:dyDescent="0.3">
      <c r="A1616" s="466" t="s">
        <v>417</v>
      </c>
      <c r="B1616" s="355" t="s">
        <v>129</v>
      </c>
      <c r="C1616" s="356"/>
      <c r="D1616" s="356"/>
      <c r="E1616" s="359"/>
      <c r="F1616" s="359"/>
      <c r="G1616" s="356"/>
      <c r="H1616" s="396"/>
      <c r="I1616" s="356"/>
      <c r="J1616" s="356"/>
      <c r="K1616" s="356"/>
      <c r="L1616" s="356"/>
      <c r="M1616" s="356"/>
      <c r="N1616" s="356"/>
      <c r="O1616" s="356"/>
      <c r="P1616" s="356"/>
      <c r="Q1616" s="356"/>
      <c r="R1616" s="356"/>
      <c r="S1616" s="356"/>
      <c r="T1616" s="356"/>
      <c r="U1616" s="356"/>
      <c r="V1616" s="356"/>
      <c r="W1616" s="356"/>
      <c r="X1616" s="356"/>
      <c r="Y1616" s="356"/>
      <c r="Z1616" s="356"/>
      <c r="AA1616" s="356"/>
      <c r="AB1616" s="356"/>
      <c r="AC1616" s="356"/>
      <c r="AD1616" s="356"/>
      <c r="AE1616" s="356"/>
      <c r="AF1616" s="356"/>
      <c r="AG1616" s="356"/>
      <c r="AH1616" s="356"/>
      <c r="AI1616" s="356"/>
      <c r="AJ1616" s="356"/>
      <c r="AK1616" s="356"/>
      <c r="AL1616" s="356"/>
      <c r="AM1616" s="356"/>
      <c r="AN1616" s="356"/>
      <c r="AO1616" s="356"/>
      <c r="AP1616" s="356"/>
      <c r="AQ1616" s="356"/>
      <c r="AR1616" s="356"/>
      <c r="AS1616" s="357"/>
    </row>
    <row r="1617" spans="1:45" ht="17.25" thickBot="1" x14ac:dyDescent="0.3">
      <c r="A1617" s="467"/>
      <c r="B1617" s="354"/>
      <c r="C1617" s="354">
        <v>1140327</v>
      </c>
      <c r="D1617" s="358" t="s">
        <v>394</v>
      </c>
      <c r="E1617" s="360"/>
      <c r="F1617" s="361">
        <f>G1652-AK1617+AL1617</f>
        <v>21</v>
      </c>
      <c r="G1617" s="218">
        <v>21</v>
      </c>
      <c r="H1617" s="397">
        <v>23</v>
      </c>
      <c r="I1617" s="218"/>
      <c r="J1617" s="218"/>
      <c r="K1617" s="218"/>
      <c r="L1617" s="218"/>
      <c r="M1617" s="218"/>
      <c r="N1617" s="218"/>
      <c r="O1617" s="218"/>
      <c r="P1617" s="352"/>
      <c r="Q1617" s="352"/>
      <c r="R1617" s="352"/>
      <c r="S1617" s="352"/>
      <c r="T1617" s="352"/>
      <c r="U1617" s="352"/>
      <c r="V1617" s="218"/>
      <c r="W1617" s="218"/>
      <c r="X1617" s="218"/>
      <c r="Y1617" s="218"/>
      <c r="Z1617" s="218"/>
      <c r="AA1617" s="218"/>
      <c r="AB1617" s="218"/>
      <c r="AC1617" s="218"/>
      <c r="AD1617" s="218"/>
      <c r="AE1617" s="218"/>
      <c r="AF1617" s="218"/>
      <c r="AG1617" s="218"/>
      <c r="AH1617" s="218"/>
      <c r="AI1617" s="218"/>
      <c r="AJ1617" s="218"/>
      <c r="AK1617" s="366">
        <f>G1652+AL1617-G1617</f>
        <v>0</v>
      </c>
      <c r="AL1617" s="218"/>
      <c r="AM1617" s="353"/>
      <c r="AN1617" s="295"/>
      <c r="AO1617" s="296"/>
      <c r="AP1617" s="353"/>
      <c r="AQ1617" s="290"/>
      <c r="AR1617" s="290"/>
      <c r="AS1617" s="290"/>
    </row>
    <row r="1618" spans="1:45" ht="17.25" thickBot="1" x14ac:dyDescent="0.3">
      <c r="A1618" s="467"/>
      <c r="B1618" s="354"/>
      <c r="C1618" s="285">
        <v>1151231</v>
      </c>
      <c r="D1618" s="358" t="s">
        <v>395</v>
      </c>
      <c r="E1618" s="360"/>
      <c r="F1618" s="361">
        <f>G1653-AK1618+AL1618</f>
        <v>4</v>
      </c>
      <c r="G1618" s="369">
        <v>4</v>
      </c>
      <c r="H1618" s="397">
        <v>13</v>
      </c>
      <c r="I1618" s="218"/>
      <c r="J1618" s="218"/>
      <c r="K1618" s="218"/>
      <c r="L1618" s="218"/>
      <c r="M1618" s="218"/>
      <c r="N1618" s="218"/>
      <c r="O1618" s="218"/>
      <c r="P1618" s="352"/>
      <c r="Q1618" s="352"/>
      <c r="R1618" s="352"/>
      <c r="S1618" s="352"/>
      <c r="T1618" s="352"/>
      <c r="U1618" s="352"/>
      <c r="V1618" s="218"/>
      <c r="W1618" s="218"/>
      <c r="X1618" s="218"/>
      <c r="Y1618" s="218"/>
      <c r="Z1618" s="218"/>
      <c r="AA1618" s="218"/>
      <c r="AB1618" s="218"/>
      <c r="AC1618" s="218"/>
      <c r="AD1618" s="218"/>
      <c r="AE1618" s="218"/>
      <c r="AF1618" s="218"/>
      <c r="AG1618" s="218"/>
      <c r="AH1618" s="218"/>
      <c r="AI1618" s="218"/>
      <c r="AJ1618" s="218"/>
      <c r="AK1618" s="364">
        <f>G1653+AL1618-G1618</f>
        <v>10</v>
      </c>
      <c r="AL1618" s="218">
        <v>4</v>
      </c>
      <c r="AM1618" s="353"/>
      <c r="AN1618" s="295"/>
      <c r="AO1618" s="296"/>
      <c r="AP1618" s="353"/>
      <c r="AQ1618" s="290"/>
      <c r="AR1618" s="290"/>
      <c r="AS1618" s="290"/>
    </row>
    <row r="1619" spans="1:45" ht="17.25" thickBot="1" x14ac:dyDescent="0.3">
      <c r="A1619" s="467"/>
      <c r="B1619" s="355" t="s">
        <v>420</v>
      </c>
      <c r="C1619" s="356"/>
      <c r="D1619" s="356"/>
      <c r="E1619" s="359"/>
      <c r="F1619" s="359"/>
      <c r="G1619" s="356"/>
      <c r="H1619" s="396"/>
      <c r="I1619" s="356"/>
      <c r="J1619" s="356"/>
      <c r="K1619" s="356"/>
      <c r="L1619" s="356"/>
      <c r="M1619" s="356"/>
      <c r="N1619" s="356"/>
      <c r="O1619" s="356"/>
      <c r="P1619" s="356"/>
      <c r="Q1619" s="356"/>
      <c r="R1619" s="356"/>
      <c r="S1619" s="356"/>
      <c r="T1619" s="356"/>
      <c r="U1619" s="356"/>
      <c r="V1619" s="356"/>
      <c r="W1619" s="356"/>
      <c r="X1619" s="356"/>
      <c r="Y1619" s="356"/>
      <c r="Z1619" s="356"/>
      <c r="AA1619" s="356"/>
      <c r="AB1619" s="356"/>
      <c r="AC1619" s="356"/>
      <c r="AD1619" s="356"/>
      <c r="AE1619" s="356"/>
      <c r="AF1619" s="356"/>
      <c r="AG1619" s="356"/>
      <c r="AH1619" s="356"/>
      <c r="AI1619" s="356"/>
      <c r="AJ1619" s="356"/>
      <c r="AK1619" s="356"/>
      <c r="AL1619" s="356"/>
      <c r="AM1619" s="356"/>
      <c r="AN1619" s="356"/>
      <c r="AO1619" s="356"/>
      <c r="AP1619" s="356"/>
      <c r="AQ1619" s="356"/>
      <c r="AR1619" s="356"/>
      <c r="AS1619" s="357"/>
    </row>
    <row r="1620" spans="1:45" ht="17.25" thickBot="1" x14ac:dyDescent="0.3">
      <c r="A1620" s="467"/>
      <c r="B1620" s="354"/>
      <c r="C1620" s="285">
        <v>1146032</v>
      </c>
      <c r="D1620" s="358" t="s">
        <v>396</v>
      </c>
      <c r="E1620" s="360"/>
      <c r="F1620" s="361">
        <f>G1655-AK1620+AL1620</f>
        <v>2</v>
      </c>
      <c r="G1620" s="364">
        <v>1</v>
      </c>
      <c r="H1620" s="397">
        <v>1</v>
      </c>
      <c r="I1620" s="218"/>
      <c r="J1620" s="218"/>
      <c r="K1620" s="218"/>
      <c r="L1620" s="218"/>
      <c r="M1620" s="218"/>
      <c r="N1620" s="218"/>
      <c r="O1620" s="218"/>
      <c r="P1620" s="352"/>
      <c r="Q1620" s="352"/>
      <c r="R1620" s="352"/>
      <c r="S1620" s="352"/>
      <c r="T1620" s="352"/>
      <c r="U1620" s="352"/>
      <c r="V1620" s="218"/>
      <c r="W1620" s="218"/>
      <c r="X1620" s="218"/>
      <c r="Y1620" s="218"/>
      <c r="Z1620" s="218"/>
      <c r="AA1620" s="218"/>
      <c r="AB1620" s="218"/>
      <c r="AC1620" s="218"/>
      <c r="AD1620" s="218"/>
      <c r="AE1620" s="218"/>
      <c r="AF1620" s="218"/>
      <c r="AG1620" s="218"/>
      <c r="AH1620" s="218"/>
      <c r="AI1620" s="218"/>
      <c r="AJ1620" s="218"/>
      <c r="AK1620" s="218"/>
      <c r="AL1620" s="218"/>
      <c r="AM1620" s="353"/>
      <c r="AN1620" s="295"/>
      <c r="AO1620" s="296"/>
      <c r="AP1620" s="353"/>
      <c r="AQ1620" s="290"/>
      <c r="AR1620" s="290"/>
      <c r="AS1620" s="290"/>
    </row>
    <row r="1621" spans="1:45" ht="17.25" thickBot="1" x14ac:dyDescent="0.3">
      <c r="A1621" s="467"/>
      <c r="B1621" s="354"/>
      <c r="C1621" s="285">
        <v>1146021</v>
      </c>
      <c r="D1621" s="358" t="s">
        <v>397</v>
      </c>
      <c r="E1621" s="360"/>
      <c r="F1621" s="361">
        <f>G1656-AK1621+AL1621</f>
        <v>2</v>
      </c>
      <c r="G1621" s="364">
        <v>2</v>
      </c>
      <c r="H1621" s="397">
        <v>2</v>
      </c>
      <c r="I1621" s="218"/>
      <c r="J1621" s="218"/>
      <c r="K1621" s="218"/>
      <c r="L1621" s="218"/>
      <c r="M1621" s="218"/>
      <c r="N1621" s="218"/>
      <c r="O1621" s="218"/>
      <c r="P1621" s="352"/>
      <c r="Q1621" s="352"/>
      <c r="R1621" s="352"/>
      <c r="S1621" s="352"/>
      <c r="T1621" s="352"/>
      <c r="U1621" s="352"/>
      <c r="V1621" s="218"/>
      <c r="W1621" s="218"/>
      <c r="X1621" s="218"/>
      <c r="Y1621" s="218"/>
      <c r="Z1621" s="218"/>
      <c r="AA1621" s="218"/>
      <c r="AB1621" s="218"/>
      <c r="AC1621" s="218"/>
      <c r="AD1621" s="218"/>
      <c r="AE1621" s="218"/>
      <c r="AF1621" s="218"/>
      <c r="AG1621" s="218"/>
      <c r="AH1621" s="218"/>
      <c r="AI1621" s="218"/>
      <c r="AJ1621" s="218"/>
      <c r="AK1621" s="218"/>
      <c r="AL1621" s="218"/>
      <c r="AM1621" s="353"/>
      <c r="AN1621" s="295"/>
      <c r="AO1621" s="296"/>
      <c r="AP1621" s="353"/>
      <c r="AQ1621" s="290"/>
      <c r="AR1621" s="290"/>
      <c r="AS1621" s="290"/>
    </row>
    <row r="1622" spans="1:45" ht="17.25" thickBot="1" x14ac:dyDescent="0.3">
      <c r="A1622" s="467"/>
      <c r="B1622" s="354"/>
      <c r="C1622" s="285">
        <v>1146018</v>
      </c>
      <c r="D1622" s="358" t="s">
        <v>398</v>
      </c>
      <c r="E1622" s="360"/>
      <c r="F1622" s="361">
        <f>G1657-AK1622+AL1622</f>
        <v>4</v>
      </c>
      <c r="G1622" s="364">
        <v>4</v>
      </c>
      <c r="H1622" s="397">
        <v>1</v>
      </c>
      <c r="I1622" s="218"/>
      <c r="J1622" s="218"/>
      <c r="K1622" s="218"/>
      <c r="L1622" s="218"/>
      <c r="M1622" s="218"/>
      <c r="N1622" s="218"/>
      <c r="O1622" s="218"/>
      <c r="P1622" s="352"/>
      <c r="Q1622" s="352"/>
      <c r="R1622" s="352"/>
      <c r="S1622" s="352"/>
      <c r="T1622" s="352"/>
      <c r="U1622" s="352"/>
      <c r="V1622" s="218"/>
      <c r="W1622" s="218"/>
      <c r="X1622" s="218"/>
      <c r="Y1622" s="218"/>
      <c r="Z1622" s="218"/>
      <c r="AA1622" s="218"/>
      <c r="AB1622" s="218"/>
      <c r="AC1622" s="218"/>
      <c r="AD1622" s="218"/>
      <c r="AE1622" s="218"/>
      <c r="AF1622" s="218"/>
      <c r="AG1622" s="218"/>
      <c r="AH1622" s="218"/>
      <c r="AI1622" s="218"/>
      <c r="AJ1622" s="218"/>
      <c r="AK1622" s="218"/>
      <c r="AL1622" s="218"/>
      <c r="AM1622" s="353"/>
      <c r="AN1622" s="295"/>
      <c r="AO1622" s="296"/>
      <c r="AP1622" s="353"/>
      <c r="AQ1622" s="290"/>
      <c r="AR1622" s="290"/>
      <c r="AS1622" s="290"/>
    </row>
    <row r="1623" spans="1:45" ht="17.25" thickBot="1" x14ac:dyDescent="0.3">
      <c r="A1623" s="467"/>
      <c r="B1623" s="354"/>
      <c r="C1623" s="285">
        <v>1146024</v>
      </c>
      <c r="D1623" s="358" t="s">
        <v>399</v>
      </c>
      <c r="E1623" s="360"/>
      <c r="F1623" s="361">
        <f>G1658-AK1623+AL1623</f>
        <v>2</v>
      </c>
      <c r="G1623" s="364">
        <v>2</v>
      </c>
      <c r="H1623" s="397">
        <v>2</v>
      </c>
      <c r="I1623" s="218"/>
      <c r="J1623" s="218"/>
      <c r="K1623" s="218"/>
      <c r="L1623" s="218"/>
      <c r="M1623" s="218"/>
      <c r="N1623" s="218"/>
      <c r="O1623" s="218"/>
      <c r="P1623" s="352"/>
      <c r="Q1623" s="352"/>
      <c r="R1623" s="352"/>
      <c r="S1623" s="352"/>
      <c r="T1623" s="352"/>
      <c r="U1623" s="352"/>
      <c r="V1623" s="218"/>
      <c r="W1623" s="218"/>
      <c r="X1623" s="218"/>
      <c r="Y1623" s="218"/>
      <c r="Z1623" s="218"/>
      <c r="AA1623" s="218"/>
      <c r="AB1623" s="218"/>
      <c r="AC1623" s="218"/>
      <c r="AD1623" s="218"/>
      <c r="AE1623" s="218"/>
      <c r="AF1623" s="218"/>
      <c r="AG1623" s="218"/>
      <c r="AH1623" s="218"/>
      <c r="AI1623" s="218"/>
      <c r="AJ1623" s="218"/>
      <c r="AK1623" s="218"/>
      <c r="AL1623" s="218"/>
      <c r="AM1623" s="353"/>
      <c r="AN1623" s="295"/>
      <c r="AO1623" s="296"/>
      <c r="AP1623" s="353"/>
      <c r="AQ1623" s="290"/>
      <c r="AR1623" s="290"/>
      <c r="AS1623" s="290"/>
    </row>
    <row r="1624" spans="1:45" ht="17.25" thickBot="1" x14ac:dyDescent="0.3">
      <c r="A1624" s="467"/>
      <c r="B1624" s="354"/>
      <c r="C1624" s="285">
        <v>1146028</v>
      </c>
      <c r="D1624" s="358" t="s">
        <v>400</v>
      </c>
      <c r="E1624" s="360"/>
      <c r="F1624" s="361">
        <f>G1659-AK1624+AL1624</f>
        <v>3</v>
      </c>
      <c r="G1624" s="364">
        <v>3</v>
      </c>
      <c r="H1624" s="397">
        <v>2</v>
      </c>
      <c r="I1624" s="218"/>
      <c r="J1624" s="218"/>
      <c r="K1624" s="218"/>
      <c r="L1624" s="218"/>
      <c r="M1624" s="218"/>
      <c r="N1624" s="218"/>
      <c r="O1624" s="218"/>
      <c r="P1624" s="352"/>
      <c r="Q1624" s="352"/>
      <c r="R1624" s="352"/>
      <c r="S1624" s="352"/>
      <c r="T1624" s="352"/>
      <c r="U1624" s="352"/>
      <c r="V1624" s="218"/>
      <c r="W1624" s="218"/>
      <c r="X1624" s="218"/>
      <c r="Y1624" s="218"/>
      <c r="Z1624" s="218"/>
      <c r="AA1624" s="218"/>
      <c r="AB1624" s="218"/>
      <c r="AC1624" s="218"/>
      <c r="AD1624" s="218"/>
      <c r="AE1624" s="218"/>
      <c r="AF1624" s="218"/>
      <c r="AG1624" s="218"/>
      <c r="AH1624" s="218"/>
      <c r="AI1624" s="218"/>
      <c r="AJ1624" s="218"/>
      <c r="AK1624" s="218"/>
      <c r="AL1624" s="218"/>
      <c r="AM1624" s="353"/>
      <c r="AN1624" s="295"/>
      <c r="AO1624" s="296"/>
      <c r="AP1624" s="353"/>
      <c r="AQ1624" s="290"/>
      <c r="AR1624" s="290"/>
      <c r="AS1624" s="290"/>
    </row>
    <row r="1625" spans="1:45" ht="17.25" thickBot="1" x14ac:dyDescent="0.3">
      <c r="A1625" s="467"/>
      <c r="B1625" s="355" t="s">
        <v>419</v>
      </c>
      <c r="C1625" s="356"/>
      <c r="D1625" s="356"/>
      <c r="E1625" s="359"/>
      <c r="F1625" s="359"/>
      <c r="G1625" s="356"/>
      <c r="H1625" s="396"/>
      <c r="I1625" s="356"/>
      <c r="J1625" s="356"/>
      <c r="K1625" s="356"/>
      <c r="L1625" s="356"/>
      <c r="M1625" s="356"/>
      <c r="N1625" s="356"/>
      <c r="O1625" s="356"/>
      <c r="P1625" s="356"/>
      <c r="Q1625" s="356"/>
      <c r="R1625" s="356"/>
      <c r="S1625" s="356"/>
      <c r="T1625" s="356"/>
      <c r="U1625" s="356"/>
      <c r="V1625" s="356"/>
      <c r="W1625" s="356"/>
      <c r="X1625" s="356"/>
      <c r="Y1625" s="356"/>
      <c r="Z1625" s="356"/>
      <c r="AA1625" s="356"/>
      <c r="AB1625" s="356"/>
      <c r="AC1625" s="356"/>
      <c r="AD1625" s="356"/>
      <c r="AE1625" s="356"/>
      <c r="AF1625" s="356"/>
      <c r="AG1625" s="356"/>
      <c r="AH1625" s="356"/>
      <c r="AI1625" s="356"/>
      <c r="AJ1625" s="356"/>
      <c r="AK1625" s="356"/>
      <c r="AL1625" s="356"/>
      <c r="AM1625" s="356"/>
      <c r="AN1625" s="356"/>
      <c r="AO1625" s="356"/>
      <c r="AP1625" s="356"/>
      <c r="AQ1625" s="356"/>
      <c r="AR1625" s="356"/>
      <c r="AS1625" s="357"/>
    </row>
    <row r="1626" spans="1:45" ht="17.25" thickBot="1" x14ac:dyDescent="0.3">
      <c r="A1626" s="467"/>
      <c r="B1626" s="354"/>
      <c r="C1626" s="285">
        <v>1146031</v>
      </c>
      <c r="D1626" s="358" t="s">
        <v>401</v>
      </c>
      <c r="E1626" s="360"/>
      <c r="F1626" s="361">
        <f>G1661-AK1626+AL1626</f>
        <v>3</v>
      </c>
      <c r="G1626" s="364">
        <v>2</v>
      </c>
      <c r="H1626" s="397">
        <v>1</v>
      </c>
      <c r="I1626" s="218"/>
      <c r="J1626" s="218"/>
      <c r="K1626" s="218"/>
      <c r="L1626" s="218"/>
      <c r="M1626" s="218"/>
      <c r="N1626" s="218"/>
      <c r="O1626" s="218"/>
      <c r="P1626" s="352"/>
      <c r="Q1626" s="352"/>
      <c r="R1626" s="352"/>
      <c r="S1626" s="352"/>
      <c r="T1626" s="352"/>
      <c r="U1626" s="352"/>
      <c r="V1626" s="218"/>
      <c r="W1626" s="218"/>
      <c r="X1626" s="218"/>
      <c r="Y1626" s="218"/>
      <c r="Z1626" s="218"/>
      <c r="AA1626" s="218"/>
      <c r="AB1626" s="218"/>
      <c r="AC1626" s="218"/>
      <c r="AD1626" s="218"/>
      <c r="AE1626" s="218"/>
      <c r="AF1626" s="218"/>
      <c r="AG1626" s="218"/>
      <c r="AH1626" s="218"/>
      <c r="AI1626" s="218"/>
      <c r="AJ1626" s="218"/>
      <c r="AK1626" s="218"/>
      <c r="AL1626" s="218"/>
      <c r="AM1626" s="353"/>
      <c r="AN1626" s="295"/>
      <c r="AO1626" s="296"/>
      <c r="AP1626" s="353"/>
      <c r="AQ1626" s="290"/>
      <c r="AR1626" s="290"/>
      <c r="AS1626" s="290"/>
    </row>
    <row r="1627" spans="1:45" ht="17.25" thickBot="1" x14ac:dyDescent="0.3">
      <c r="A1627" s="467"/>
      <c r="B1627" s="354"/>
      <c r="C1627" s="285">
        <v>1146020</v>
      </c>
      <c r="D1627" s="358" t="s">
        <v>402</v>
      </c>
      <c r="E1627" s="360"/>
      <c r="F1627" s="361">
        <f>G1662-AK1627+AL1627</f>
        <v>1</v>
      </c>
      <c r="G1627" s="364">
        <v>1</v>
      </c>
      <c r="H1627" s="397">
        <v>1</v>
      </c>
      <c r="I1627" s="218"/>
      <c r="J1627" s="218"/>
      <c r="K1627" s="218"/>
      <c r="L1627" s="218"/>
      <c r="M1627" s="218"/>
      <c r="N1627" s="218"/>
      <c r="O1627" s="218"/>
      <c r="P1627" s="352"/>
      <c r="Q1627" s="352"/>
      <c r="R1627" s="352"/>
      <c r="S1627" s="352"/>
      <c r="T1627" s="352"/>
      <c r="U1627" s="352"/>
      <c r="V1627" s="218"/>
      <c r="W1627" s="218"/>
      <c r="X1627" s="218"/>
      <c r="Y1627" s="218"/>
      <c r="Z1627" s="218"/>
      <c r="AA1627" s="218"/>
      <c r="AB1627" s="218"/>
      <c r="AC1627" s="218"/>
      <c r="AD1627" s="218"/>
      <c r="AE1627" s="218"/>
      <c r="AF1627" s="218"/>
      <c r="AG1627" s="218"/>
      <c r="AH1627" s="218"/>
      <c r="AI1627" s="218"/>
      <c r="AJ1627" s="218"/>
      <c r="AK1627" s="218"/>
      <c r="AL1627" s="218"/>
      <c r="AM1627" s="353"/>
      <c r="AN1627" s="295"/>
      <c r="AO1627" s="296"/>
      <c r="AP1627" s="353"/>
      <c r="AQ1627" s="290"/>
      <c r="AR1627" s="290"/>
      <c r="AS1627" s="290"/>
    </row>
    <row r="1628" spans="1:45" ht="17.25" thickBot="1" x14ac:dyDescent="0.3">
      <c r="A1628" s="467"/>
      <c r="B1628" s="354"/>
      <c r="C1628" s="285">
        <v>1146016</v>
      </c>
      <c r="D1628" s="358" t="s">
        <v>398</v>
      </c>
      <c r="E1628" s="360"/>
      <c r="F1628" s="361">
        <f>G1663-AK1628+AL1628</f>
        <v>6</v>
      </c>
      <c r="G1628" s="364">
        <v>6</v>
      </c>
      <c r="H1628" s="397">
        <v>1</v>
      </c>
      <c r="I1628" s="218"/>
      <c r="J1628" s="218"/>
      <c r="K1628" s="218"/>
      <c r="L1628" s="218"/>
      <c r="M1628" s="218"/>
      <c r="N1628" s="218"/>
      <c r="O1628" s="218"/>
      <c r="P1628" s="352"/>
      <c r="Q1628" s="352"/>
      <c r="R1628" s="352"/>
      <c r="S1628" s="352"/>
      <c r="T1628" s="352"/>
      <c r="U1628" s="352"/>
      <c r="V1628" s="218"/>
      <c r="W1628" s="218"/>
      <c r="X1628" s="218"/>
      <c r="Y1628" s="218"/>
      <c r="Z1628" s="218"/>
      <c r="AA1628" s="218"/>
      <c r="AB1628" s="218"/>
      <c r="AC1628" s="218"/>
      <c r="AD1628" s="218"/>
      <c r="AE1628" s="218"/>
      <c r="AF1628" s="218"/>
      <c r="AG1628" s="218"/>
      <c r="AH1628" s="218"/>
      <c r="AI1628" s="218"/>
      <c r="AJ1628" s="218"/>
      <c r="AK1628" s="218"/>
      <c r="AL1628" s="218"/>
      <c r="AM1628" s="353"/>
      <c r="AN1628" s="295"/>
      <c r="AO1628" s="296"/>
      <c r="AP1628" s="353"/>
      <c r="AQ1628" s="290"/>
      <c r="AR1628" s="290"/>
      <c r="AS1628" s="290"/>
    </row>
    <row r="1629" spans="1:45" ht="17.25" thickBot="1" x14ac:dyDescent="0.3">
      <c r="A1629" s="467"/>
      <c r="B1629" s="354"/>
      <c r="C1629" s="285">
        <v>1146022</v>
      </c>
      <c r="D1629" s="358" t="s">
        <v>403</v>
      </c>
      <c r="E1629" s="360"/>
      <c r="F1629" s="361">
        <f>G1664-AK1629+AL1629</f>
        <v>1</v>
      </c>
      <c r="G1629" s="364">
        <v>1</v>
      </c>
      <c r="H1629" s="397">
        <v>2</v>
      </c>
      <c r="I1629" s="218"/>
      <c r="J1629" s="218"/>
      <c r="K1629" s="218"/>
      <c r="L1629" s="218"/>
      <c r="M1629" s="218"/>
      <c r="N1629" s="218"/>
      <c r="O1629" s="218"/>
      <c r="P1629" s="352"/>
      <c r="Q1629" s="352"/>
      <c r="R1629" s="352"/>
      <c r="S1629" s="352"/>
      <c r="T1629" s="352"/>
      <c r="U1629" s="352"/>
      <c r="V1629" s="218"/>
      <c r="W1629" s="218"/>
      <c r="X1629" s="218"/>
      <c r="Y1629" s="218"/>
      <c r="Z1629" s="218"/>
      <c r="AA1629" s="218"/>
      <c r="AB1629" s="218"/>
      <c r="AC1629" s="218"/>
      <c r="AD1629" s="218"/>
      <c r="AE1629" s="218"/>
      <c r="AF1629" s="218"/>
      <c r="AG1629" s="218"/>
      <c r="AH1629" s="218"/>
      <c r="AI1629" s="218"/>
      <c r="AJ1629" s="218"/>
      <c r="AK1629" s="218"/>
      <c r="AL1629" s="218"/>
      <c r="AM1629" s="353"/>
      <c r="AN1629" s="295"/>
      <c r="AO1629" s="296"/>
      <c r="AP1629" s="353"/>
      <c r="AQ1629" s="290"/>
      <c r="AR1629" s="290"/>
      <c r="AS1629" s="290"/>
    </row>
    <row r="1630" spans="1:45" ht="17.25" thickBot="1" x14ac:dyDescent="0.3">
      <c r="A1630" s="467"/>
      <c r="B1630" s="354"/>
      <c r="C1630" s="285">
        <v>1146027</v>
      </c>
      <c r="D1630" s="358" t="s">
        <v>404</v>
      </c>
      <c r="E1630" s="360"/>
      <c r="F1630" s="361">
        <f>G1665-AK1630+AL1630</f>
        <v>3</v>
      </c>
      <c r="G1630" s="364">
        <v>2</v>
      </c>
      <c r="H1630" s="397">
        <v>2</v>
      </c>
      <c r="I1630" s="218"/>
      <c r="J1630" s="218"/>
      <c r="K1630" s="218"/>
      <c r="L1630" s="218"/>
      <c r="M1630" s="218"/>
      <c r="N1630" s="218"/>
      <c r="O1630" s="218"/>
      <c r="P1630" s="352"/>
      <c r="Q1630" s="352"/>
      <c r="R1630" s="352"/>
      <c r="S1630" s="352"/>
      <c r="T1630" s="352"/>
      <c r="U1630" s="352"/>
      <c r="V1630" s="218"/>
      <c r="W1630" s="218"/>
      <c r="X1630" s="218"/>
      <c r="Y1630" s="218"/>
      <c r="Z1630" s="218"/>
      <c r="AA1630" s="218"/>
      <c r="AB1630" s="218"/>
      <c r="AC1630" s="218"/>
      <c r="AD1630" s="218"/>
      <c r="AE1630" s="218"/>
      <c r="AF1630" s="218"/>
      <c r="AG1630" s="218"/>
      <c r="AH1630" s="218"/>
      <c r="AI1630" s="218"/>
      <c r="AJ1630" s="218"/>
      <c r="AK1630" s="218"/>
      <c r="AL1630" s="218"/>
      <c r="AM1630" s="353"/>
      <c r="AN1630" s="295"/>
      <c r="AO1630" s="296"/>
      <c r="AP1630" s="353"/>
      <c r="AQ1630" s="290"/>
      <c r="AR1630" s="290"/>
      <c r="AS1630" s="290"/>
    </row>
    <row r="1631" spans="1:45" ht="17.25" thickBot="1" x14ac:dyDescent="0.3">
      <c r="A1631" s="467"/>
      <c r="B1631" s="355" t="s">
        <v>418</v>
      </c>
      <c r="C1631" s="356"/>
      <c r="D1631" s="356"/>
      <c r="E1631" s="359"/>
      <c r="F1631" s="359"/>
      <c r="G1631" s="356"/>
      <c r="H1631" s="396"/>
      <c r="I1631" s="356"/>
      <c r="J1631" s="356"/>
      <c r="K1631" s="356"/>
      <c r="L1631" s="356"/>
      <c r="M1631" s="356"/>
      <c r="N1631" s="356"/>
      <c r="O1631" s="356"/>
      <c r="P1631" s="356"/>
      <c r="Q1631" s="356"/>
      <c r="R1631" s="356"/>
      <c r="S1631" s="356"/>
      <c r="T1631" s="356"/>
      <c r="U1631" s="356"/>
      <c r="V1631" s="356"/>
      <c r="W1631" s="356"/>
      <c r="X1631" s="356"/>
      <c r="Y1631" s="356"/>
      <c r="Z1631" s="356"/>
      <c r="AA1631" s="356"/>
      <c r="AB1631" s="356"/>
      <c r="AC1631" s="356"/>
      <c r="AD1631" s="356"/>
      <c r="AE1631" s="356"/>
      <c r="AF1631" s="356"/>
      <c r="AG1631" s="356"/>
      <c r="AH1631" s="356"/>
      <c r="AI1631" s="356"/>
      <c r="AJ1631" s="356"/>
      <c r="AK1631" s="356"/>
      <c r="AL1631" s="356"/>
      <c r="AM1631" s="356"/>
      <c r="AN1631" s="356"/>
      <c r="AO1631" s="356"/>
      <c r="AP1631" s="356"/>
      <c r="AQ1631" s="356"/>
      <c r="AR1631" s="356"/>
      <c r="AS1631" s="357"/>
    </row>
    <row r="1632" spans="1:45" ht="17.25" thickBot="1" x14ac:dyDescent="0.3">
      <c r="A1632" s="467"/>
      <c r="B1632" s="354"/>
      <c r="C1632" s="285">
        <v>1151653</v>
      </c>
      <c r="D1632" s="358" t="s">
        <v>405</v>
      </c>
      <c r="E1632" s="360"/>
      <c r="F1632" s="361">
        <f>G1667-AK1632+AL1632</f>
        <v>1</v>
      </c>
      <c r="G1632" s="364">
        <v>0</v>
      </c>
      <c r="H1632" s="397">
        <v>1</v>
      </c>
      <c r="I1632" s="218"/>
      <c r="J1632" s="218"/>
      <c r="K1632" s="218"/>
      <c r="L1632" s="218"/>
      <c r="M1632" s="218"/>
      <c r="N1632" s="218"/>
      <c r="O1632" s="218"/>
      <c r="P1632" s="352"/>
      <c r="Q1632" s="352"/>
      <c r="R1632" s="352"/>
      <c r="S1632" s="352"/>
      <c r="T1632" s="352"/>
      <c r="U1632" s="352"/>
      <c r="V1632" s="218"/>
      <c r="W1632" s="218"/>
      <c r="X1632" s="218"/>
      <c r="Y1632" s="218"/>
      <c r="Z1632" s="218"/>
      <c r="AA1632" s="218"/>
      <c r="AB1632" s="218"/>
      <c r="AC1632" s="218"/>
      <c r="AD1632" s="218"/>
      <c r="AE1632" s="218"/>
      <c r="AF1632" s="218"/>
      <c r="AG1632" s="218"/>
      <c r="AH1632" s="218"/>
      <c r="AI1632" s="218"/>
      <c r="AJ1632" s="218"/>
      <c r="AK1632" s="218"/>
      <c r="AL1632" s="218"/>
      <c r="AM1632" s="353"/>
      <c r="AN1632" s="295"/>
      <c r="AO1632" s="296"/>
      <c r="AP1632" s="353"/>
      <c r="AQ1632" s="290"/>
      <c r="AR1632" s="290"/>
      <c r="AS1632" s="290"/>
    </row>
    <row r="1633" spans="1:45" ht="17.25" thickBot="1" x14ac:dyDescent="0.3">
      <c r="A1633" s="467"/>
      <c r="B1633" s="354"/>
      <c r="C1633" s="285">
        <v>1151650</v>
      </c>
      <c r="D1633" s="358" t="s">
        <v>406</v>
      </c>
      <c r="E1633" s="360"/>
      <c r="F1633" s="361">
        <f>G1668-AK1633+AL1633</f>
        <v>1</v>
      </c>
      <c r="G1633" s="364">
        <v>1</v>
      </c>
      <c r="H1633" s="397">
        <v>2</v>
      </c>
      <c r="I1633" s="218"/>
      <c r="J1633" s="218"/>
      <c r="K1633" s="218"/>
      <c r="L1633" s="218"/>
      <c r="M1633" s="218"/>
      <c r="N1633" s="218"/>
      <c r="O1633" s="218"/>
      <c r="P1633" s="352"/>
      <c r="Q1633" s="352"/>
      <c r="R1633" s="352"/>
      <c r="S1633" s="352"/>
      <c r="T1633" s="352"/>
      <c r="U1633" s="352"/>
      <c r="V1633" s="218"/>
      <c r="W1633" s="218"/>
      <c r="X1633" s="218"/>
      <c r="Y1633" s="218"/>
      <c r="Z1633" s="218"/>
      <c r="AA1633" s="218"/>
      <c r="AB1633" s="218"/>
      <c r="AC1633" s="218"/>
      <c r="AD1633" s="218"/>
      <c r="AE1633" s="218"/>
      <c r="AF1633" s="218"/>
      <c r="AG1633" s="218"/>
      <c r="AH1633" s="218"/>
      <c r="AI1633" s="218"/>
      <c r="AJ1633" s="218"/>
      <c r="AK1633" s="218"/>
      <c r="AL1633" s="218"/>
      <c r="AM1633" s="353"/>
      <c r="AN1633" s="295"/>
      <c r="AO1633" s="296"/>
      <c r="AP1633" s="353"/>
      <c r="AQ1633" s="290"/>
      <c r="AR1633" s="290"/>
      <c r="AS1633" s="290"/>
    </row>
    <row r="1634" spans="1:45" ht="17.25" thickBot="1" x14ac:dyDescent="0.3">
      <c r="A1634" s="467"/>
      <c r="B1634" s="354"/>
      <c r="C1634" s="285">
        <v>1151649</v>
      </c>
      <c r="D1634" s="358" t="s">
        <v>407</v>
      </c>
      <c r="E1634" s="360"/>
      <c r="F1634" s="361">
        <f>G1669-AK1634+AL1634</f>
        <v>2</v>
      </c>
      <c r="G1634" s="364">
        <v>2</v>
      </c>
      <c r="H1634" s="397">
        <v>4</v>
      </c>
      <c r="I1634" s="218"/>
      <c r="J1634" s="218"/>
      <c r="K1634" s="218"/>
      <c r="L1634" s="218"/>
      <c r="M1634" s="218"/>
      <c r="N1634" s="218"/>
      <c r="O1634" s="218"/>
      <c r="P1634" s="352"/>
      <c r="Q1634" s="352"/>
      <c r="R1634" s="352"/>
      <c r="S1634" s="352"/>
      <c r="T1634" s="352"/>
      <c r="U1634" s="352"/>
      <c r="V1634" s="218"/>
      <c r="W1634" s="218"/>
      <c r="X1634" s="218"/>
      <c r="Y1634" s="218"/>
      <c r="Z1634" s="218"/>
      <c r="AA1634" s="218"/>
      <c r="AB1634" s="218"/>
      <c r="AC1634" s="218"/>
      <c r="AD1634" s="218"/>
      <c r="AE1634" s="218"/>
      <c r="AF1634" s="218"/>
      <c r="AG1634" s="218"/>
      <c r="AH1634" s="218"/>
      <c r="AI1634" s="218"/>
      <c r="AJ1634" s="218"/>
      <c r="AK1634" s="218"/>
      <c r="AL1634" s="218"/>
      <c r="AM1634" s="353"/>
      <c r="AN1634" s="295"/>
      <c r="AO1634" s="296"/>
      <c r="AP1634" s="353"/>
      <c r="AQ1634" s="290"/>
      <c r="AR1634" s="290"/>
      <c r="AS1634" s="290"/>
    </row>
    <row r="1635" spans="1:45" ht="17.25" thickBot="1" x14ac:dyDescent="0.3">
      <c r="A1635" s="467"/>
      <c r="B1635" s="354"/>
      <c r="C1635" s="285">
        <v>1151651</v>
      </c>
      <c r="D1635" s="358" t="s">
        <v>408</v>
      </c>
      <c r="E1635" s="360"/>
      <c r="F1635" s="361">
        <f>G1670-AK1635+AL1635</f>
        <v>0</v>
      </c>
      <c r="G1635" s="364">
        <v>0</v>
      </c>
      <c r="H1635" s="397">
        <v>1</v>
      </c>
      <c r="I1635" s="218"/>
      <c r="J1635" s="218"/>
      <c r="K1635" s="218"/>
      <c r="L1635" s="218"/>
      <c r="M1635" s="218"/>
      <c r="N1635" s="218"/>
      <c r="O1635" s="218"/>
      <c r="P1635" s="352"/>
      <c r="Q1635" s="352"/>
      <c r="R1635" s="352"/>
      <c r="S1635" s="352"/>
      <c r="T1635" s="352"/>
      <c r="U1635" s="352"/>
      <c r="V1635" s="218"/>
      <c r="W1635" s="218"/>
      <c r="X1635" s="218"/>
      <c r="Y1635" s="218"/>
      <c r="Z1635" s="218"/>
      <c r="AA1635" s="218"/>
      <c r="AB1635" s="218"/>
      <c r="AC1635" s="218"/>
      <c r="AD1635" s="218"/>
      <c r="AE1635" s="218"/>
      <c r="AF1635" s="218"/>
      <c r="AG1635" s="218"/>
      <c r="AH1635" s="218"/>
      <c r="AI1635" s="218"/>
      <c r="AJ1635" s="218"/>
      <c r="AK1635" s="218"/>
      <c r="AL1635" s="218"/>
      <c r="AM1635" s="353"/>
      <c r="AN1635" s="295"/>
      <c r="AO1635" s="296"/>
      <c r="AP1635" s="353"/>
      <c r="AQ1635" s="290"/>
      <c r="AR1635" s="290"/>
      <c r="AS1635" s="290"/>
    </row>
    <row r="1636" spans="1:45" ht="17.25" thickBot="1" x14ac:dyDescent="0.3">
      <c r="A1636" s="467"/>
      <c r="B1636" s="354"/>
      <c r="C1636" s="285">
        <v>1146029</v>
      </c>
      <c r="D1636" s="358" t="s">
        <v>409</v>
      </c>
      <c r="E1636" s="360"/>
      <c r="F1636" s="361">
        <f>G1671-AK1636+AL1636</f>
        <v>2</v>
      </c>
      <c r="G1636" s="364">
        <v>1</v>
      </c>
      <c r="H1636" s="397">
        <v>2</v>
      </c>
      <c r="I1636" s="218"/>
      <c r="J1636" s="218"/>
      <c r="K1636" s="218"/>
      <c r="L1636" s="218"/>
      <c r="M1636" s="218"/>
      <c r="N1636" s="218"/>
      <c r="O1636" s="218"/>
      <c r="P1636" s="352"/>
      <c r="Q1636" s="352"/>
      <c r="R1636" s="352"/>
      <c r="S1636" s="352"/>
      <c r="T1636" s="352"/>
      <c r="U1636" s="352"/>
      <c r="V1636" s="218"/>
      <c r="W1636" s="218"/>
      <c r="X1636" s="218"/>
      <c r="Y1636" s="218"/>
      <c r="Z1636" s="218"/>
      <c r="AA1636" s="218"/>
      <c r="AB1636" s="218"/>
      <c r="AC1636" s="218"/>
      <c r="AD1636" s="218"/>
      <c r="AE1636" s="218"/>
      <c r="AF1636" s="218"/>
      <c r="AG1636" s="218"/>
      <c r="AH1636" s="218"/>
      <c r="AI1636" s="218"/>
      <c r="AJ1636" s="218"/>
      <c r="AK1636" s="218"/>
      <c r="AL1636" s="218"/>
      <c r="AM1636" s="353"/>
      <c r="AN1636" s="295"/>
      <c r="AO1636" s="296"/>
      <c r="AP1636" s="353"/>
      <c r="AQ1636" s="290"/>
      <c r="AR1636" s="290"/>
      <c r="AS1636" s="290"/>
    </row>
    <row r="1637" spans="1:45" ht="17.25" thickBot="1" x14ac:dyDescent="0.3">
      <c r="A1637" s="467"/>
      <c r="B1637" s="355" t="s">
        <v>410</v>
      </c>
      <c r="C1637" s="356"/>
      <c r="D1637" s="356"/>
      <c r="E1637" s="359"/>
      <c r="F1637" s="359"/>
      <c r="G1637" s="356"/>
      <c r="H1637" s="396"/>
      <c r="I1637" s="356"/>
      <c r="J1637" s="356"/>
      <c r="K1637" s="356"/>
      <c r="L1637" s="356"/>
      <c r="M1637" s="356"/>
      <c r="N1637" s="356"/>
      <c r="O1637" s="356"/>
      <c r="P1637" s="356"/>
      <c r="Q1637" s="356"/>
      <c r="R1637" s="356"/>
      <c r="S1637" s="356"/>
      <c r="T1637" s="356"/>
      <c r="U1637" s="356"/>
      <c r="V1637" s="356"/>
      <c r="W1637" s="356"/>
      <c r="X1637" s="356"/>
      <c r="Y1637" s="356"/>
      <c r="Z1637" s="356"/>
      <c r="AA1637" s="356"/>
      <c r="AB1637" s="356"/>
      <c r="AC1637" s="356"/>
      <c r="AD1637" s="356"/>
      <c r="AE1637" s="356"/>
      <c r="AF1637" s="356"/>
      <c r="AG1637" s="356"/>
      <c r="AH1637" s="356"/>
      <c r="AI1637" s="356"/>
      <c r="AJ1637" s="356"/>
      <c r="AK1637" s="356"/>
      <c r="AL1637" s="356"/>
      <c r="AM1637" s="356"/>
      <c r="AN1637" s="356"/>
      <c r="AO1637" s="356"/>
      <c r="AP1637" s="356"/>
      <c r="AQ1637" s="356"/>
      <c r="AR1637" s="356"/>
      <c r="AS1637" s="357"/>
    </row>
    <row r="1638" spans="1:45" ht="17.25" thickBot="1" x14ac:dyDescent="0.3">
      <c r="A1638" s="467"/>
      <c r="B1638" s="354"/>
      <c r="C1638" s="285">
        <v>1699118</v>
      </c>
      <c r="D1638" s="358" t="s">
        <v>411</v>
      </c>
      <c r="E1638" s="360"/>
      <c r="F1638" s="361">
        <f>G1673-AK1638+AL1638</f>
        <v>1</v>
      </c>
      <c r="G1638" s="364">
        <v>0</v>
      </c>
      <c r="H1638" s="397">
        <v>1</v>
      </c>
      <c r="I1638" s="218"/>
      <c r="J1638" s="218"/>
      <c r="K1638" s="218"/>
      <c r="L1638" s="218"/>
      <c r="M1638" s="218"/>
      <c r="N1638" s="218"/>
      <c r="O1638" s="218"/>
      <c r="P1638" s="352"/>
      <c r="Q1638" s="352"/>
      <c r="R1638" s="352"/>
      <c r="S1638" s="352"/>
      <c r="T1638" s="352"/>
      <c r="U1638" s="352"/>
      <c r="V1638" s="218"/>
      <c r="W1638" s="218"/>
      <c r="X1638" s="218"/>
      <c r="Y1638" s="218"/>
      <c r="Z1638" s="218"/>
      <c r="AA1638" s="218"/>
      <c r="AB1638" s="218"/>
      <c r="AC1638" s="218"/>
      <c r="AD1638" s="218"/>
      <c r="AE1638" s="218"/>
      <c r="AF1638" s="218"/>
      <c r="AG1638" s="218"/>
      <c r="AH1638" s="218"/>
      <c r="AI1638" s="218"/>
      <c r="AJ1638" s="218"/>
      <c r="AK1638" s="218"/>
      <c r="AL1638" s="218"/>
      <c r="AM1638" s="353"/>
      <c r="AN1638" s="295"/>
      <c r="AO1638" s="296"/>
      <c r="AP1638" s="353"/>
      <c r="AQ1638" s="290"/>
      <c r="AR1638" s="290"/>
      <c r="AS1638" s="290"/>
    </row>
    <row r="1639" spans="1:45" ht="17.25" thickBot="1" x14ac:dyDescent="0.3">
      <c r="A1639" s="467"/>
      <c r="B1639" s="354"/>
      <c r="C1639" s="285">
        <v>1699119</v>
      </c>
      <c r="D1639" s="358" t="s">
        <v>412</v>
      </c>
      <c r="E1639" s="360"/>
      <c r="F1639" s="361">
        <f>G1674-AK1639+AL1639</f>
        <v>0</v>
      </c>
      <c r="G1639" s="364">
        <v>0</v>
      </c>
      <c r="H1639" s="397">
        <v>1</v>
      </c>
      <c r="I1639" s="218"/>
      <c r="J1639" s="218"/>
      <c r="K1639" s="218"/>
      <c r="L1639" s="218"/>
      <c r="M1639" s="218"/>
      <c r="N1639" s="218"/>
      <c r="O1639" s="218"/>
      <c r="P1639" s="352"/>
      <c r="Q1639" s="352"/>
      <c r="R1639" s="352"/>
      <c r="S1639" s="352"/>
      <c r="T1639" s="352"/>
      <c r="U1639" s="352"/>
      <c r="V1639" s="218"/>
      <c r="W1639" s="218"/>
      <c r="X1639" s="218"/>
      <c r="Y1639" s="218"/>
      <c r="Z1639" s="218"/>
      <c r="AA1639" s="218"/>
      <c r="AB1639" s="218"/>
      <c r="AC1639" s="218"/>
      <c r="AD1639" s="218"/>
      <c r="AE1639" s="218"/>
      <c r="AF1639" s="218"/>
      <c r="AG1639" s="218"/>
      <c r="AH1639" s="218"/>
      <c r="AI1639" s="218"/>
      <c r="AJ1639" s="218"/>
      <c r="AK1639" s="218"/>
      <c r="AL1639" s="218"/>
      <c r="AM1639" s="353"/>
      <c r="AN1639" s="295"/>
      <c r="AO1639" s="296"/>
      <c r="AP1639" s="353"/>
      <c r="AQ1639" s="290"/>
      <c r="AR1639" s="290"/>
      <c r="AS1639" s="290"/>
    </row>
    <row r="1640" spans="1:45" ht="17.25" thickBot="1" x14ac:dyDescent="0.3">
      <c r="A1640" s="467"/>
      <c r="B1640" s="354"/>
      <c r="C1640" s="285">
        <v>1699130</v>
      </c>
      <c r="D1640" s="358" t="s">
        <v>413</v>
      </c>
      <c r="E1640" s="360"/>
      <c r="F1640" s="361">
        <f>G1675-AK1640+AL1640</f>
        <v>0</v>
      </c>
      <c r="G1640" s="364">
        <v>0</v>
      </c>
      <c r="H1640" s="397">
        <v>4</v>
      </c>
      <c r="I1640" s="218"/>
      <c r="J1640" s="218"/>
      <c r="K1640" s="218"/>
      <c r="L1640" s="218"/>
      <c r="M1640" s="218"/>
      <c r="N1640" s="218"/>
      <c r="O1640" s="218"/>
      <c r="P1640" s="352"/>
      <c r="Q1640" s="352"/>
      <c r="R1640" s="352"/>
      <c r="S1640" s="352"/>
      <c r="T1640" s="352"/>
      <c r="U1640" s="352"/>
      <c r="V1640" s="218"/>
      <c r="W1640" s="218"/>
      <c r="X1640" s="218"/>
      <c r="Y1640" s="218"/>
      <c r="Z1640" s="218"/>
      <c r="AA1640" s="218"/>
      <c r="AB1640" s="218"/>
      <c r="AC1640" s="218"/>
      <c r="AD1640" s="218"/>
      <c r="AE1640" s="218"/>
      <c r="AF1640" s="218"/>
      <c r="AG1640" s="218"/>
      <c r="AH1640" s="218"/>
      <c r="AI1640" s="218"/>
      <c r="AJ1640" s="218"/>
      <c r="AK1640" s="218"/>
      <c r="AL1640" s="218"/>
      <c r="AM1640" s="353"/>
      <c r="AN1640" s="295"/>
      <c r="AO1640" s="296"/>
      <c r="AP1640" s="353"/>
      <c r="AQ1640" s="290"/>
      <c r="AR1640" s="290"/>
      <c r="AS1640" s="290"/>
    </row>
    <row r="1641" spans="1:45" ht="17.25" thickBot="1" x14ac:dyDescent="0.3">
      <c r="A1641" s="467"/>
      <c r="B1641" s="354"/>
      <c r="C1641" s="285">
        <v>1699131</v>
      </c>
      <c r="D1641" s="358" t="s">
        <v>414</v>
      </c>
      <c r="E1641" s="360"/>
      <c r="F1641" s="361">
        <f>G1676-AK1641+AL1641</f>
        <v>2</v>
      </c>
      <c r="G1641" s="364">
        <v>0</v>
      </c>
      <c r="H1641" s="397">
        <v>3</v>
      </c>
      <c r="I1641" s="218"/>
      <c r="J1641" s="218"/>
      <c r="K1641" s="218"/>
      <c r="L1641" s="218"/>
      <c r="M1641" s="218"/>
      <c r="N1641" s="218"/>
      <c r="O1641" s="218"/>
      <c r="P1641" s="352"/>
      <c r="Q1641" s="352"/>
      <c r="R1641" s="352"/>
      <c r="S1641" s="352"/>
      <c r="T1641" s="352"/>
      <c r="U1641" s="352"/>
      <c r="V1641" s="218"/>
      <c r="W1641" s="218"/>
      <c r="X1641" s="218"/>
      <c r="Y1641" s="218"/>
      <c r="Z1641" s="218"/>
      <c r="AA1641" s="218"/>
      <c r="AB1641" s="218"/>
      <c r="AC1641" s="218"/>
      <c r="AD1641" s="218"/>
      <c r="AE1641" s="218"/>
      <c r="AF1641" s="218"/>
      <c r="AG1641" s="218"/>
      <c r="AH1641" s="218"/>
      <c r="AI1641" s="218"/>
      <c r="AJ1641" s="218"/>
      <c r="AK1641" s="218"/>
      <c r="AL1641" s="218"/>
      <c r="AM1641" s="353"/>
      <c r="AN1641" s="295"/>
      <c r="AO1641" s="296"/>
      <c r="AP1641" s="353"/>
      <c r="AQ1641" s="290"/>
      <c r="AR1641" s="290"/>
      <c r="AS1641" s="290"/>
    </row>
    <row r="1642" spans="1:45" ht="17.25" thickBot="1" x14ac:dyDescent="0.3">
      <c r="A1642" s="468"/>
      <c r="B1642" s="354"/>
      <c r="C1642" s="285">
        <v>1699132</v>
      </c>
      <c r="D1642" s="358" t="s">
        <v>415</v>
      </c>
      <c r="E1642" s="285"/>
      <c r="F1642" s="362">
        <f>G1677-AK1642+AL1642</f>
        <v>2</v>
      </c>
      <c r="G1642" s="364">
        <v>0</v>
      </c>
      <c r="H1642" s="397">
        <v>3</v>
      </c>
      <c r="I1642" s="218"/>
      <c r="J1642" s="218"/>
      <c r="K1642" s="218"/>
      <c r="L1642" s="218"/>
      <c r="M1642" s="218"/>
      <c r="N1642" s="218"/>
      <c r="O1642" s="218"/>
      <c r="P1642" s="352"/>
      <c r="Q1642" s="352"/>
      <c r="R1642" s="352"/>
      <c r="S1642" s="352"/>
      <c r="T1642" s="352"/>
      <c r="U1642" s="352"/>
      <c r="V1642" s="218"/>
      <c r="W1642" s="218"/>
      <c r="X1642" s="218"/>
      <c r="Y1642" s="218"/>
      <c r="Z1642" s="218"/>
      <c r="AA1642" s="218"/>
      <c r="AB1642" s="218"/>
      <c r="AC1642" s="218"/>
      <c r="AD1642" s="218"/>
      <c r="AE1642" s="218"/>
      <c r="AF1642" s="218"/>
      <c r="AG1642" s="218"/>
      <c r="AH1642" s="218"/>
      <c r="AI1642" s="218"/>
      <c r="AJ1642" s="218"/>
      <c r="AK1642" s="218"/>
      <c r="AL1642" s="218"/>
      <c r="AM1642" s="353"/>
      <c r="AN1642" s="295"/>
      <c r="AO1642" s="296"/>
      <c r="AP1642" s="353"/>
      <c r="AQ1642" s="290"/>
      <c r="AR1642" s="290"/>
      <c r="AS1642" s="290"/>
    </row>
    <row r="1643" spans="1:45" x14ac:dyDescent="0.25">
      <c r="AL1643" s="290"/>
      <c r="AM1643" s="290"/>
      <c r="AN1643" s="290"/>
      <c r="AO1643" s="290"/>
      <c r="AP1643" s="290"/>
      <c r="AQ1643" s="290"/>
      <c r="AR1643" s="290"/>
    </row>
    <row r="1644" spans="1:45" ht="14.25" thickBot="1" x14ac:dyDescent="0.3">
      <c r="B1644" s="338" t="s">
        <v>18</v>
      </c>
      <c r="C1644" s="339">
        <v>45523</v>
      </c>
      <c r="AL1644" s="290"/>
      <c r="AM1644" s="290"/>
      <c r="AN1644" s="290"/>
      <c r="AO1644" s="290"/>
      <c r="AP1644" s="290"/>
      <c r="AQ1644" s="290"/>
      <c r="AR1644" s="290"/>
    </row>
    <row r="1645" spans="1:45" ht="41.25" thickBot="1" x14ac:dyDescent="0.3">
      <c r="B1645" s="283" t="s">
        <v>0</v>
      </c>
      <c r="C1645" s="284" t="s">
        <v>1</v>
      </c>
      <c r="D1645" s="284" t="s">
        <v>2</v>
      </c>
      <c r="E1645" s="284" t="s">
        <v>3</v>
      </c>
      <c r="F1645" s="4" t="s">
        <v>318</v>
      </c>
      <c r="G1645" s="351" t="s">
        <v>4</v>
      </c>
      <c r="H1645" s="382" t="s">
        <v>460</v>
      </c>
      <c r="I1645" s="234" t="s">
        <v>392</v>
      </c>
      <c r="J1645" s="234"/>
      <c r="K1645" s="258" t="s">
        <v>393</v>
      </c>
      <c r="L1645" s="258" t="s">
        <v>328</v>
      </c>
      <c r="M1645" s="258" t="s">
        <v>327</v>
      </c>
      <c r="N1645" s="234" t="s">
        <v>389</v>
      </c>
      <c r="O1645" s="240" t="s">
        <v>130</v>
      </c>
      <c r="P1645" s="243" t="s">
        <v>303</v>
      </c>
      <c r="Q1645" s="244" t="s">
        <v>304</v>
      </c>
      <c r="R1645" s="244" t="s">
        <v>314</v>
      </c>
      <c r="S1645" s="245" t="s">
        <v>338</v>
      </c>
      <c r="T1645" s="245" t="s">
        <v>345</v>
      </c>
      <c r="U1645" s="245" t="s">
        <v>361</v>
      </c>
      <c r="V1645" s="245" t="s">
        <v>387</v>
      </c>
      <c r="W1645" s="245" t="s">
        <v>421</v>
      </c>
      <c r="X1645" s="245" t="s">
        <v>451</v>
      </c>
      <c r="Y1645" s="245"/>
      <c r="Z1645" s="245"/>
      <c r="AA1645" s="245"/>
      <c r="AB1645" s="245"/>
      <c r="AC1645" s="245"/>
      <c r="AD1645" s="245"/>
      <c r="AE1645" s="245"/>
      <c r="AF1645" s="245"/>
      <c r="AG1645" s="245"/>
      <c r="AH1645" s="245"/>
      <c r="AI1645" s="245"/>
      <c r="AJ1645" s="245" t="s">
        <v>360</v>
      </c>
      <c r="AK1645" s="246" t="s">
        <v>268</v>
      </c>
      <c r="AL1645" s="247" t="s">
        <v>269</v>
      </c>
      <c r="AM1645" s="291" t="s">
        <v>288</v>
      </c>
      <c r="AN1645" s="292" t="s">
        <v>289</v>
      </c>
      <c r="AO1645" s="292" t="s">
        <v>287</v>
      </c>
      <c r="AP1645" s="293" t="s">
        <v>290</v>
      </c>
      <c r="AQ1645" s="290" t="s">
        <v>306</v>
      </c>
      <c r="AR1645" s="290" t="s">
        <v>310</v>
      </c>
      <c r="AS1645" s="290" t="s">
        <v>311</v>
      </c>
    </row>
    <row r="1646" spans="1:45" ht="17.25" thickBot="1" x14ac:dyDescent="0.3">
      <c r="A1646" s="463" t="s">
        <v>416</v>
      </c>
      <c r="B1646" s="285">
        <v>273664</v>
      </c>
      <c r="C1646" s="286">
        <v>1135749</v>
      </c>
      <c r="D1646" s="286" t="s">
        <v>7</v>
      </c>
      <c r="E1646" s="286">
        <v>6060050026</v>
      </c>
      <c r="F1646" s="253">
        <f>G1681-AK1646+AL1646</f>
        <v>0</v>
      </c>
      <c r="G1646" s="235">
        <v>0</v>
      </c>
      <c r="H1646" s="394">
        <v>5</v>
      </c>
      <c r="I1646" s="232">
        <v>5</v>
      </c>
      <c r="J1646" s="232"/>
      <c r="K1646" s="232">
        <v>1</v>
      </c>
      <c r="L1646" s="232">
        <f>IF(K1680=K1645,L1681+AK1646,K1646)</f>
        <v>6</v>
      </c>
      <c r="M1646" s="232">
        <f>IF(K1680=K1645,0,L1681+AK1646-K1646)</f>
        <v>0</v>
      </c>
      <c r="N1646" s="267">
        <v>5</v>
      </c>
      <c r="O1646" s="241">
        <f>N1646-G1646</f>
        <v>5</v>
      </c>
      <c r="P1646" s="277">
        <v>4</v>
      </c>
      <c r="Q1646" s="278">
        <v>4</v>
      </c>
      <c r="R1646" s="279"/>
      <c r="S1646" s="279">
        <v>3</v>
      </c>
      <c r="T1646" s="279">
        <v>4</v>
      </c>
      <c r="U1646" s="279">
        <v>2</v>
      </c>
      <c r="V1646" s="279"/>
      <c r="W1646" s="241">
        <f>2+3</f>
        <v>5</v>
      </c>
      <c r="X1646" s="241"/>
      <c r="Y1646" s="241"/>
      <c r="Z1646" s="241"/>
      <c r="AA1646" s="241"/>
      <c r="AB1646" s="241"/>
      <c r="AC1646" s="241"/>
      <c r="AD1646" s="241"/>
      <c r="AE1646" s="241"/>
      <c r="AF1646" s="241"/>
      <c r="AG1646" s="241"/>
      <c r="AH1646" s="241"/>
      <c r="AI1646" s="241"/>
      <c r="AJ1646" s="241">
        <f>N1646-V1646</f>
        <v>5</v>
      </c>
      <c r="AK1646" s="235">
        <f>G1681+AL1646-G1646</f>
        <v>3</v>
      </c>
      <c r="AL1646" s="350">
        <v>0</v>
      </c>
      <c r="AM1646" s="294">
        <v>1.5</v>
      </c>
      <c r="AN1646" s="295">
        <v>4</v>
      </c>
      <c r="AO1646" s="296">
        <f>G1646/(AN1646)</f>
        <v>0</v>
      </c>
      <c r="AP1646" s="297">
        <f>AN1646*6</f>
        <v>24</v>
      </c>
      <c r="AQ1646" s="290">
        <f>G1646+K1646</f>
        <v>1</v>
      </c>
      <c r="AR1646" s="290">
        <f>IF(G1646&lt;G1681,(G1681-G1646+K1681-K1646),K1681-K1646)</f>
        <v>3</v>
      </c>
      <c r="AS1646" s="290">
        <f>21-8</f>
        <v>13</v>
      </c>
    </row>
    <row r="1647" spans="1:45" ht="17.25" thickBot="1" x14ac:dyDescent="0.3">
      <c r="A1647" s="464"/>
      <c r="B1647" s="285">
        <v>273672</v>
      </c>
      <c r="C1647" s="286">
        <v>1135750</v>
      </c>
      <c r="D1647" s="286" t="s">
        <v>9</v>
      </c>
      <c r="E1647" s="287">
        <v>204000000000</v>
      </c>
      <c r="F1647" s="253">
        <f>G1682-AK1647+AL1647</f>
        <v>13</v>
      </c>
      <c r="G1647" s="235">
        <v>13</v>
      </c>
      <c r="H1647" s="394">
        <v>16</v>
      </c>
      <c r="I1647" s="232">
        <v>0</v>
      </c>
      <c r="J1647" s="232"/>
      <c r="K1647" s="232">
        <v>0</v>
      </c>
      <c r="L1647" s="232">
        <f>IF(K1680=K1645,L1682+AK1647,K1647)</f>
        <v>8</v>
      </c>
      <c r="M1647" s="232">
        <f>IF(K1680=K1645,0,L1682+AK1647-K1647)</f>
        <v>0</v>
      </c>
      <c r="N1647" s="267">
        <v>10</v>
      </c>
      <c r="O1647" s="241">
        <f>N1647-G1647</f>
        <v>-3</v>
      </c>
      <c r="P1647" s="277">
        <v>13</v>
      </c>
      <c r="Q1647" s="278">
        <v>2</v>
      </c>
      <c r="R1647" s="279">
        <v>6</v>
      </c>
      <c r="S1647" s="279">
        <v>6</v>
      </c>
      <c r="T1647" s="279">
        <v>10</v>
      </c>
      <c r="U1647" s="279">
        <v>4</v>
      </c>
      <c r="V1647" s="279">
        <v>6</v>
      </c>
      <c r="W1647" s="241">
        <f>4+4</f>
        <v>8</v>
      </c>
      <c r="X1647" s="241"/>
      <c r="Y1647" s="241"/>
      <c r="Z1647" s="241"/>
      <c r="AA1647" s="241"/>
      <c r="AB1647" s="241"/>
      <c r="AC1647" s="241"/>
      <c r="AD1647" s="241"/>
      <c r="AE1647" s="241"/>
      <c r="AF1647" s="241"/>
      <c r="AG1647" s="241"/>
      <c r="AH1647" s="241"/>
      <c r="AI1647" s="241"/>
      <c r="AJ1647" s="241">
        <f>N1647-V1647</f>
        <v>4</v>
      </c>
      <c r="AK1647" s="235">
        <f>G1682+AL1647-G1647</f>
        <v>4</v>
      </c>
      <c r="AL1647" s="236">
        <v>17</v>
      </c>
      <c r="AM1647" s="298">
        <v>4.2</v>
      </c>
      <c r="AN1647" s="295">
        <v>9</v>
      </c>
      <c r="AO1647" s="296">
        <f>G1647/(AN1647)</f>
        <v>1.4444444444444444</v>
      </c>
      <c r="AP1647" s="297">
        <f>AN1647*6</f>
        <v>54</v>
      </c>
      <c r="AQ1647" s="290">
        <f>G1647+K1647</f>
        <v>13</v>
      </c>
      <c r="AR1647" s="290">
        <f>IF(G1647&lt;G1682,(G1682-G1647+K1682-K1647),K1682-K1647)</f>
        <v>0</v>
      </c>
      <c r="AS1647" s="290">
        <f>21-8</f>
        <v>13</v>
      </c>
    </row>
    <row r="1648" spans="1:45" ht="17.25" thickBot="1" x14ac:dyDescent="0.3">
      <c r="A1648" s="464"/>
      <c r="B1648" s="285">
        <v>273702</v>
      </c>
      <c r="C1648" s="286">
        <v>1135753</v>
      </c>
      <c r="D1648" s="286" t="s">
        <v>10</v>
      </c>
      <c r="E1648" s="287">
        <v>301000000000</v>
      </c>
      <c r="F1648" s="253">
        <f>G1683-AK1648+AL1648</f>
        <v>2</v>
      </c>
      <c r="G1648" s="235">
        <v>2</v>
      </c>
      <c r="H1648" s="394">
        <v>1</v>
      </c>
      <c r="I1648" s="232">
        <v>2</v>
      </c>
      <c r="J1648" s="232"/>
      <c r="K1648" s="232">
        <v>1</v>
      </c>
      <c r="L1648" s="232">
        <f>IF(K1680=K1645,L1683+AK1648,K1648)</f>
        <v>1</v>
      </c>
      <c r="M1648" s="232">
        <f>IF(K1680=K1645,0,L1683+AK1648-K1648)</f>
        <v>0</v>
      </c>
      <c r="N1648" s="232">
        <v>2</v>
      </c>
      <c r="O1648" s="241">
        <f>N1648-G1648</f>
        <v>0</v>
      </c>
      <c r="P1648" s="277"/>
      <c r="Q1648" s="278"/>
      <c r="R1648" s="279"/>
      <c r="S1648" s="279"/>
      <c r="T1648" s="279"/>
      <c r="U1648" s="279"/>
      <c r="V1648" s="279"/>
      <c r="W1648" s="241"/>
      <c r="X1648" s="241"/>
      <c r="Y1648" s="241"/>
      <c r="Z1648" s="241"/>
      <c r="AA1648" s="241"/>
      <c r="AB1648" s="241"/>
      <c r="AC1648" s="241"/>
      <c r="AD1648" s="241"/>
      <c r="AE1648" s="241"/>
      <c r="AF1648" s="241"/>
      <c r="AG1648" s="241"/>
      <c r="AH1648" s="241"/>
      <c r="AI1648" s="241"/>
      <c r="AJ1648" s="241">
        <f>N1648-V1648</f>
        <v>2</v>
      </c>
      <c r="AK1648" s="235">
        <f>G1683+AL1648-G1648</f>
        <v>0</v>
      </c>
      <c r="AL1648" s="236">
        <v>0</v>
      </c>
      <c r="AM1648" s="294">
        <f>4/12</f>
        <v>0.33333333333333331</v>
      </c>
      <c r="AN1648" s="295">
        <v>2</v>
      </c>
      <c r="AO1648" s="296">
        <f>G1648/(AN1648)</f>
        <v>1</v>
      </c>
      <c r="AP1648" s="297">
        <f>AN1648*6</f>
        <v>12</v>
      </c>
      <c r="AQ1648" s="290">
        <f>G1648+K1648</f>
        <v>3</v>
      </c>
      <c r="AR1648" s="290">
        <f>IF(G1648&lt;G1683,(G1683-G1648+K1683-K1648),K1683-K1648)</f>
        <v>0</v>
      </c>
      <c r="AS1648" s="290">
        <f>21-8</f>
        <v>13</v>
      </c>
    </row>
    <row r="1649" spans="1:45" ht="17.25" thickBot="1" x14ac:dyDescent="0.3">
      <c r="A1649" s="464"/>
      <c r="B1649" s="285">
        <v>273698</v>
      </c>
      <c r="C1649" s="286">
        <v>1135752</v>
      </c>
      <c r="D1649" s="286" t="s">
        <v>11</v>
      </c>
      <c r="E1649" s="287">
        <v>701000000000</v>
      </c>
      <c r="F1649" s="253">
        <f>G1684-AK1649+AL1649</f>
        <v>2</v>
      </c>
      <c r="G1649" s="235">
        <v>2</v>
      </c>
      <c r="H1649" s="394">
        <v>2</v>
      </c>
      <c r="I1649" s="232">
        <v>3</v>
      </c>
      <c r="J1649" s="232"/>
      <c r="K1649" s="232">
        <v>2</v>
      </c>
      <c r="L1649" s="232">
        <f>IF(K1680=K1645,L1684+AK1649,K1649)</f>
        <v>3</v>
      </c>
      <c r="M1649" s="232">
        <f>IF(K1680=K1645,0,L1684+AK1649-K1649)</f>
        <v>0</v>
      </c>
      <c r="N1649" s="232">
        <v>3</v>
      </c>
      <c r="O1649" s="241">
        <f>N1649-G1649</f>
        <v>1</v>
      </c>
      <c r="P1649" s="277">
        <v>2</v>
      </c>
      <c r="Q1649" s="278"/>
      <c r="R1649" s="279"/>
      <c r="S1649" s="279"/>
      <c r="T1649" s="279"/>
      <c r="U1649" s="279"/>
      <c r="V1649" s="279"/>
      <c r="W1649" s="241">
        <v>1</v>
      </c>
      <c r="X1649" s="241"/>
      <c r="Y1649" s="241"/>
      <c r="Z1649" s="241"/>
      <c r="AA1649" s="241"/>
      <c r="AB1649" s="241"/>
      <c r="AC1649" s="241"/>
      <c r="AD1649" s="241"/>
      <c r="AE1649" s="241"/>
      <c r="AF1649" s="241"/>
      <c r="AG1649" s="241"/>
      <c r="AH1649" s="241"/>
      <c r="AI1649" s="241"/>
      <c r="AJ1649" s="241">
        <f>N1649-V1649</f>
        <v>3</v>
      </c>
      <c r="AK1649" s="235">
        <f>G1684+AL1649-G1649</f>
        <v>1</v>
      </c>
      <c r="AL1649" s="236">
        <v>0</v>
      </c>
      <c r="AM1649" s="294">
        <f>4/12</f>
        <v>0.33333333333333331</v>
      </c>
      <c r="AN1649" s="295">
        <v>2</v>
      </c>
      <c r="AO1649" s="296">
        <f>G1649/(AN1649)</f>
        <v>1</v>
      </c>
      <c r="AP1649" s="297">
        <f>AN1649*6</f>
        <v>12</v>
      </c>
      <c r="AQ1649" s="290">
        <f>G1649+K1649</f>
        <v>4</v>
      </c>
      <c r="AR1649" s="290">
        <f>IF(G1649&lt;G1684,(G1684-G1649+K1684-K1649),K1684-K1649)</f>
        <v>1</v>
      </c>
      <c r="AS1649" s="290">
        <f>21-8</f>
        <v>13</v>
      </c>
    </row>
    <row r="1650" spans="1:45" ht="17.25" thickBot="1" x14ac:dyDescent="0.3">
      <c r="A1650" s="465"/>
      <c r="B1650" s="285">
        <v>273680</v>
      </c>
      <c r="C1650" s="286">
        <v>1135751</v>
      </c>
      <c r="D1650" s="286" t="s">
        <v>12</v>
      </c>
      <c r="E1650" s="286" t="s">
        <v>13</v>
      </c>
      <c r="F1650" s="254">
        <f>G1685-AK1650+AL1650</f>
        <v>0</v>
      </c>
      <c r="G1650" s="237">
        <v>0</v>
      </c>
      <c r="H1650" s="395">
        <v>8</v>
      </c>
      <c r="I1650" s="238">
        <v>9</v>
      </c>
      <c r="J1650" s="238"/>
      <c r="K1650" s="238">
        <v>5</v>
      </c>
      <c r="L1650" s="238">
        <f>IF(K1680=K1645,L1685+AK1650,K1650)</f>
        <v>14</v>
      </c>
      <c r="M1650" s="238">
        <f>IF(K1680=K1645,0,L1685+AK1650-K1650)</f>
        <v>0</v>
      </c>
      <c r="N1650" s="238">
        <v>9</v>
      </c>
      <c r="O1650" s="242">
        <f>N1650-G1650</f>
        <v>9</v>
      </c>
      <c r="P1650" s="280"/>
      <c r="Q1650" s="281"/>
      <c r="R1650" s="282"/>
      <c r="S1650" s="282"/>
      <c r="T1650" s="282">
        <v>11</v>
      </c>
      <c r="U1650" s="282"/>
      <c r="V1650" s="282"/>
      <c r="W1650" s="242">
        <v>9</v>
      </c>
      <c r="X1650" s="242"/>
      <c r="Y1650" s="242"/>
      <c r="Z1650" s="242"/>
      <c r="AA1650" s="242"/>
      <c r="AB1650" s="242"/>
      <c r="AC1650" s="242"/>
      <c r="AD1650" s="242"/>
      <c r="AE1650" s="242"/>
      <c r="AF1650" s="242"/>
      <c r="AG1650" s="242"/>
      <c r="AH1650" s="242"/>
      <c r="AI1650" s="242"/>
      <c r="AJ1650" s="242">
        <f>N1650-V1650</f>
        <v>9</v>
      </c>
      <c r="AK1650" s="235">
        <f>G1685+AL1650-G1650</f>
        <v>9</v>
      </c>
      <c r="AL1650" s="239">
        <v>0</v>
      </c>
      <c r="AM1650" s="299">
        <f>30/12</f>
        <v>2.5</v>
      </c>
      <c r="AN1650" s="300">
        <f>AM1650*2</f>
        <v>5</v>
      </c>
      <c r="AO1650" s="301">
        <f>G1650/(AN1650)</f>
        <v>0</v>
      </c>
      <c r="AP1650" s="302">
        <f>AN1650*6</f>
        <v>30</v>
      </c>
      <c r="AQ1650" s="290">
        <f>G1650+K1650</f>
        <v>5</v>
      </c>
      <c r="AR1650" s="290">
        <f>IF(G1650&lt;G1685,(G1685-G1650+K1685-K1650),K1685-K1650)</f>
        <v>9</v>
      </c>
      <c r="AS1650" s="290">
        <f>21-8</f>
        <v>13</v>
      </c>
    </row>
    <row r="1651" spans="1:45" ht="17.25" thickBot="1" x14ac:dyDescent="0.3">
      <c r="A1651" s="466" t="s">
        <v>417</v>
      </c>
      <c r="B1651" s="355" t="s">
        <v>129</v>
      </c>
      <c r="C1651" s="356"/>
      <c r="D1651" s="356"/>
      <c r="E1651" s="359"/>
      <c r="F1651" s="359"/>
      <c r="G1651" s="356"/>
      <c r="H1651" s="396"/>
      <c r="I1651" s="356"/>
      <c r="J1651" s="356"/>
      <c r="K1651" s="356"/>
      <c r="L1651" s="356"/>
      <c r="M1651" s="356"/>
      <c r="N1651" s="356"/>
      <c r="O1651" s="356"/>
      <c r="P1651" s="356"/>
      <c r="Q1651" s="356"/>
      <c r="R1651" s="356"/>
      <c r="S1651" s="356"/>
      <c r="T1651" s="356"/>
      <c r="U1651" s="356"/>
      <c r="V1651" s="356"/>
      <c r="W1651" s="356"/>
      <c r="X1651" s="356"/>
      <c r="Y1651" s="356"/>
      <c r="Z1651" s="356"/>
      <c r="AA1651" s="356"/>
      <c r="AB1651" s="356"/>
      <c r="AC1651" s="356"/>
      <c r="AD1651" s="356"/>
      <c r="AE1651" s="356"/>
      <c r="AF1651" s="356"/>
      <c r="AG1651" s="356"/>
      <c r="AH1651" s="356"/>
      <c r="AI1651" s="356"/>
      <c r="AJ1651" s="356"/>
      <c r="AK1651" s="356"/>
      <c r="AL1651" s="356"/>
      <c r="AM1651" s="356"/>
      <c r="AN1651" s="356"/>
      <c r="AO1651" s="356"/>
      <c r="AP1651" s="356"/>
      <c r="AQ1651" s="356"/>
      <c r="AR1651" s="356"/>
      <c r="AS1651" s="357"/>
    </row>
    <row r="1652" spans="1:45" ht="17.25" thickBot="1" x14ac:dyDescent="0.3">
      <c r="A1652" s="467"/>
      <c r="B1652" s="354"/>
      <c r="C1652" s="354">
        <v>1140327</v>
      </c>
      <c r="D1652" s="358" t="s">
        <v>394</v>
      </c>
      <c r="E1652" s="360"/>
      <c r="F1652" s="361">
        <f>G1687-AK1652+AL1652</f>
        <v>21</v>
      </c>
      <c r="G1652" s="218">
        <v>21</v>
      </c>
      <c r="H1652" s="397">
        <v>23</v>
      </c>
      <c r="I1652" s="218"/>
      <c r="J1652" s="218"/>
      <c r="K1652" s="218"/>
      <c r="L1652" s="218"/>
      <c r="M1652" s="218"/>
      <c r="N1652" s="218"/>
      <c r="O1652" s="218"/>
      <c r="P1652" s="352"/>
      <c r="Q1652" s="352"/>
      <c r="R1652" s="352"/>
      <c r="S1652" s="352"/>
      <c r="T1652" s="352"/>
      <c r="U1652" s="352"/>
      <c r="V1652" s="218"/>
      <c r="W1652" s="218"/>
      <c r="X1652" s="218"/>
      <c r="Y1652" s="218"/>
      <c r="Z1652" s="218"/>
      <c r="AA1652" s="218"/>
      <c r="AB1652" s="218"/>
      <c r="AC1652" s="218"/>
      <c r="AD1652" s="218"/>
      <c r="AE1652" s="218"/>
      <c r="AF1652" s="218"/>
      <c r="AG1652" s="218"/>
      <c r="AH1652" s="218"/>
      <c r="AI1652" s="218"/>
      <c r="AJ1652" s="218"/>
      <c r="AK1652" s="366">
        <f>G1687+AL1652-G1652</f>
        <v>0</v>
      </c>
      <c r="AL1652" s="218">
        <v>21</v>
      </c>
      <c r="AM1652" s="353"/>
      <c r="AN1652" s="295"/>
      <c r="AO1652" s="296"/>
      <c r="AP1652" s="353"/>
      <c r="AQ1652" s="290"/>
      <c r="AR1652" s="290"/>
      <c r="AS1652" s="290"/>
    </row>
    <row r="1653" spans="1:45" ht="17.25" thickBot="1" x14ac:dyDescent="0.3">
      <c r="A1653" s="467"/>
      <c r="B1653" s="354"/>
      <c r="C1653" s="285">
        <v>1151231</v>
      </c>
      <c r="D1653" s="358" t="s">
        <v>395</v>
      </c>
      <c r="E1653" s="360"/>
      <c r="F1653" s="361">
        <f>G1688-AK1653+AL1653</f>
        <v>10</v>
      </c>
      <c r="G1653" s="364">
        <v>10</v>
      </c>
      <c r="H1653" s="397">
        <v>13</v>
      </c>
      <c r="I1653" s="218"/>
      <c r="J1653" s="218"/>
      <c r="K1653" s="218"/>
      <c r="L1653" s="218"/>
      <c r="M1653" s="218"/>
      <c r="N1653" s="218"/>
      <c r="O1653" s="218"/>
      <c r="P1653" s="352"/>
      <c r="Q1653" s="352"/>
      <c r="R1653" s="352"/>
      <c r="S1653" s="352"/>
      <c r="T1653" s="352"/>
      <c r="U1653" s="352"/>
      <c r="V1653" s="218"/>
      <c r="W1653" s="218"/>
      <c r="X1653" s="218"/>
      <c r="Y1653" s="218"/>
      <c r="Z1653" s="218"/>
      <c r="AA1653" s="218"/>
      <c r="AB1653" s="218"/>
      <c r="AC1653" s="218"/>
      <c r="AD1653" s="218"/>
      <c r="AE1653" s="218"/>
      <c r="AF1653" s="218"/>
      <c r="AG1653" s="218"/>
      <c r="AH1653" s="218"/>
      <c r="AI1653" s="218"/>
      <c r="AJ1653" s="218"/>
      <c r="AK1653" s="366">
        <f>G1688+AL1653-G1653</f>
        <v>-10</v>
      </c>
      <c r="AL1653" s="218"/>
      <c r="AM1653" s="353"/>
      <c r="AN1653" s="295"/>
      <c r="AO1653" s="296"/>
      <c r="AP1653" s="353"/>
      <c r="AQ1653" s="290"/>
      <c r="AR1653" s="290"/>
      <c r="AS1653" s="290"/>
    </row>
    <row r="1654" spans="1:45" ht="17.25" thickBot="1" x14ac:dyDescent="0.3">
      <c r="A1654" s="467"/>
      <c r="B1654" s="355" t="s">
        <v>420</v>
      </c>
      <c r="C1654" s="356"/>
      <c r="D1654" s="356"/>
      <c r="E1654" s="359"/>
      <c r="F1654" s="359"/>
      <c r="G1654" s="356"/>
      <c r="H1654" s="396"/>
      <c r="I1654" s="356"/>
      <c r="J1654" s="356"/>
      <c r="K1654" s="356"/>
      <c r="L1654" s="356"/>
      <c r="M1654" s="356"/>
      <c r="N1654" s="356"/>
      <c r="O1654" s="356"/>
      <c r="P1654" s="356"/>
      <c r="Q1654" s="356"/>
      <c r="R1654" s="356"/>
      <c r="S1654" s="356"/>
      <c r="T1654" s="356"/>
      <c r="U1654" s="356"/>
      <c r="V1654" s="356"/>
      <c r="W1654" s="356"/>
      <c r="X1654" s="356"/>
      <c r="Y1654" s="356"/>
      <c r="Z1654" s="356"/>
      <c r="AA1654" s="356"/>
      <c r="AB1654" s="356"/>
      <c r="AC1654" s="356"/>
      <c r="AD1654" s="356"/>
      <c r="AE1654" s="356"/>
      <c r="AF1654" s="356"/>
      <c r="AG1654" s="356"/>
      <c r="AH1654" s="356"/>
      <c r="AI1654" s="356"/>
      <c r="AJ1654" s="356"/>
      <c r="AK1654" s="356"/>
      <c r="AL1654" s="356"/>
      <c r="AM1654" s="356"/>
      <c r="AN1654" s="356"/>
      <c r="AO1654" s="356"/>
      <c r="AP1654" s="356"/>
      <c r="AQ1654" s="356"/>
      <c r="AR1654" s="356"/>
      <c r="AS1654" s="357"/>
    </row>
    <row r="1655" spans="1:45" ht="17.25" thickBot="1" x14ac:dyDescent="0.3">
      <c r="A1655" s="467"/>
      <c r="B1655" s="354"/>
      <c r="C1655" s="285">
        <v>1146032</v>
      </c>
      <c r="D1655" s="358" t="s">
        <v>396</v>
      </c>
      <c r="E1655" s="360"/>
      <c r="F1655" s="361">
        <f>G1690-AK1655+AL1655</f>
        <v>1</v>
      </c>
      <c r="G1655" s="364">
        <v>2</v>
      </c>
      <c r="H1655" s="397">
        <v>1</v>
      </c>
      <c r="I1655" s="218"/>
      <c r="J1655" s="218"/>
      <c r="K1655" s="218"/>
      <c r="L1655" s="218"/>
      <c r="M1655" s="218"/>
      <c r="N1655" s="218"/>
      <c r="O1655" s="218"/>
      <c r="P1655" s="352"/>
      <c r="Q1655" s="352"/>
      <c r="R1655" s="352"/>
      <c r="S1655" s="352"/>
      <c r="T1655" s="352"/>
      <c r="U1655" s="352"/>
      <c r="V1655" s="218"/>
      <c r="W1655" s="218"/>
      <c r="X1655" s="218"/>
      <c r="Y1655" s="218"/>
      <c r="Z1655" s="218"/>
      <c r="AA1655" s="218"/>
      <c r="AB1655" s="218"/>
      <c r="AC1655" s="218"/>
      <c r="AD1655" s="218"/>
      <c r="AE1655" s="218"/>
      <c r="AF1655" s="218"/>
      <c r="AG1655" s="218"/>
      <c r="AH1655" s="218"/>
      <c r="AI1655" s="218"/>
      <c r="AJ1655" s="218"/>
      <c r="AK1655" s="218"/>
      <c r="AL1655" s="218"/>
      <c r="AM1655" s="353"/>
      <c r="AN1655" s="295"/>
      <c r="AO1655" s="296"/>
      <c r="AP1655" s="353"/>
      <c r="AQ1655" s="290"/>
      <c r="AR1655" s="290"/>
      <c r="AS1655" s="290"/>
    </row>
    <row r="1656" spans="1:45" ht="17.25" thickBot="1" x14ac:dyDescent="0.3">
      <c r="A1656" s="467"/>
      <c r="B1656" s="354"/>
      <c r="C1656" s="285">
        <v>1146021</v>
      </c>
      <c r="D1656" s="358" t="s">
        <v>397</v>
      </c>
      <c r="E1656" s="360"/>
      <c r="F1656" s="361">
        <f>G1691-AK1656+AL1656</f>
        <v>2</v>
      </c>
      <c r="G1656" s="364">
        <v>2</v>
      </c>
      <c r="H1656" s="397">
        <v>2</v>
      </c>
      <c r="I1656" s="218"/>
      <c r="J1656" s="218"/>
      <c r="K1656" s="218"/>
      <c r="L1656" s="218"/>
      <c r="M1656" s="218"/>
      <c r="N1656" s="218"/>
      <c r="O1656" s="218"/>
      <c r="P1656" s="352"/>
      <c r="Q1656" s="352"/>
      <c r="R1656" s="352"/>
      <c r="S1656" s="352"/>
      <c r="T1656" s="352"/>
      <c r="U1656" s="352"/>
      <c r="V1656" s="218"/>
      <c r="W1656" s="218"/>
      <c r="X1656" s="218"/>
      <c r="Y1656" s="218"/>
      <c r="Z1656" s="218"/>
      <c r="AA1656" s="218"/>
      <c r="AB1656" s="218"/>
      <c r="AC1656" s="218"/>
      <c r="AD1656" s="218"/>
      <c r="AE1656" s="218"/>
      <c r="AF1656" s="218"/>
      <c r="AG1656" s="218"/>
      <c r="AH1656" s="218"/>
      <c r="AI1656" s="218"/>
      <c r="AJ1656" s="218"/>
      <c r="AK1656" s="218"/>
      <c r="AL1656" s="218"/>
      <c r="AM1656" s="353"/>
      <c r="AN1656" s="295"/>
      <c r="AO1656" s="296"/>
      <c r="AP1656" s="353"/>
      <c r="AQ1656" s="290"/>
      <c r="AR1656" s="290"/>
      <c r="AS1656" s="290"/>
    </row>
    <row r="1657" spans="1:45" ht="17.25" thickBot="1" x14ac:dyDescent="0.3">
      <c r="A1657" s="467"/>
      <c r="B1657" s="354"/>
      <c r="C1657" s="285">
        <v>1146018</v>
      </c>
      <c r="D1657" s="358" t="s">
        <v>398</v>
      </c>
      <c r="E1657" s="360"/>
      <c r="F1657" s="361">
        <f>G1692-AK1657+AL1657</f>
        <v>6</v>
      </c>
      <c r="G1657" s="364">
        <v>4</v>
      </c>
      <c r="H1657" s="397">
        <v>1</v>
      </c>
      <c r="I1657" s="218"/>
      <c r="J1657" s="218"/>
      <c r="K1657" s="218"/>
      <c r="L1657" s="218"/>
      <c r="M1657" s="218"/>
      <c r="N1657" s="218"/>
      <c r="O1657" s="218"/>
      <c r="P1657" s="352"/>
      <c r="Q1657" s="352"/>
      <c r="R1657" s="352"/>
      <c r="S1657" s="352"/>
      <c r="T1657" s="352"/>
      <c r="U1657" s="352"/>
      <c r="V1657" s="218"/>
      <c r="W1657" s="218"/>
      <c r="X1657" s="218"/>
      <c r="Y1657" s="218"/>
      <c r="Z1657" s="218"/>
      <c r="AA1657" s="218"/>
      <c r="AB1657" s="218"/>
      <c r="AC1657" s="218"/>
      <c r="AD1657" s="218"/>
      <c r="AE1657" s="218"/>
      <c r="AF1657" s="218"/>
      <c r="AG1657" s="218"/>
      <c r="AH1657" s="218"/>
      <c r="AI1657" s="218"/>
      <c r="AJ1657" s="218"/>
      <c r="AK1657" s="218"/>
      <c r="AL1657" s="218"/>
      <c r="AM1657" s="353"/>
      <c r="AN1657" s="295"/>
      <c r="AO1657" s="296"/>
      <c r="AP1657" s="353"/>
      <c r="AQ1657" s="290"/>
      <c r="AR1657" s="290"/>
      <c r="AS1657" s="290"/>
    </row>
    <row r="1658" spans="1:45" ht="17.25" thickBot="1" x14ac:dyDescent="0.3">
      <c r="A1658" s="467"/>
      <c r="B1658" s="354"/>
      <c r="C1658" s="285">
        <v>1146024</v>
      </c>
      <c r="D1658" s="358" t="s">
        <v>399</v>
      </c>
      <c r="E1658" s="360"/>
      <c r="F1658" s="361">
        <f>G1693-AK1658+AL1658</f>
        <v>2</v>
      </c>
      <c r="G1658" s="364">
        <v>2</v>
      </c>
      <c r="H1658" s="397">
        <v>2</v>
      </c>
      <c r="I1658" s="218"/>
      <c r="J1658" s="218"/>
      <c r="K1658" s="218"/>
      <c r="L1658" s="218"/>
      <c r="M1658" s="218"/>
      <c r="N1658" s="218"/>
      <c r="O1658" s="218"/>
      <c r="P1658" s="352"/>
      <c r="Q1658" s="352"/>
      <c r="R1658" s="352"/>
      <c r="S1658" s="352"/>
      <c r="T1658" s="352"/>
      <c r="U1658" s="352"/>
      <c r="V1658" s="218"/>
      <c r="W1658" s="218"/>
      <c r="X1658" s="218"/>
      <c r="Y1658" s="218"/>
      <c r="Z1658" s="218"/>
      <c r="AA1658" s="218"/>
      <c r="AB1658" s="218"/>
      <c r="AC1658" s="218"/>
      <c r="AD1658" s="218"/>
      <c r="AE1658" s="218"/>
      <c r="AF1658" s="218"/>
      <c r="AG1658" s="218"/>
      <c r="AH1658" s="218"/>
      <c r="AI1658" s="218"/>
      <c r="AJ1658" s="218"/>
      <c r="AK1658" s="218"/>
      <c r="AL1658" s="218"/>
      <c r="AM1658" s="353"/>
      <c r="AN1658" s="295"/>
      <c r="AO1658" s="296"/>
      <c r="AP1658" s="353"/>
      <c r="AQ1658" s="290"/>
      <c r="AR1658" s="290"/>
      <c r="AS1658" s="290"/>
    </row>
    <row r="1659" spans="1:45" ht="17.25" thickBot="1" x14ac:dyDescent="0.3">
      <c r="A1659" s="467"/>
      <c r="B1659" s="354"/>
      <c r="C1659" s="285">
        <v>1146028</v>
      </c>
      <c r="D1659" s="358" t="s">
        <v>400</v>
      </c>
      <c r="E1659" s="360"/>
      <c r="F1659" s="361">
        <f>G1694-AK1659+AL1659</f>
        <v>3</v>
      </c>
      <c r="G1659" s="364">
        <v>3</v>
      </c>
      <c r="H1659" s="397">
        <v>2</v>
      </c>
      <c r="I1659" s="218"/>
      <c r="J1659" s="218"/>
      <c r="K1659" s="218"/>
      <c r="L1659" s="218"/>
      <c r="M1659" s="218"/>
      <c r="N1659" s="218"/>
      <c r="O1659" s="218"/>
      <c r="P1659" s="352"/>
      <c r="Q1659" s="352"/>
      <c r="R1659" s="352"/>
      <c r="S1659" s="352"/>
      <c r="T1659" s="352"/>
      <c r="U1659" s="352"/>
      <c r="V1659" s="218"/>
      <c r="W1659" s="218"/>
      <c r="X1659" s="218"/>
      <c r="Y1659" s="218"/>
      <c r="Z1659" s="218"/>
      <c r="AA1659" s="218"/>
      <c r="AB1659" s="218"/>
      <c r="AC1659" s="218"/>
      <c r="AD1659" s="218"/>
      <c r="AE1659" s="218"/>
      <c r="AF1659" s="218"/>
      <c r="AG1659" s="218"/>
      <c r="AH1659" s="218"/>
      <c r="AI1659" s="218"/>
      <c r="AJ1659" s="218"/>
      <c r="AK1659" s="218"/>
      <c r="AL1659" s="218"/>
      <c r="AM1659" s="353"/>
      <c r="AN1659" s="295"/>
      <c r="AO1659" s="296"/>
      <c r="AP1659" s="353"/>
      <c r="AQ1659" s="290"/>
      <c r="AR1659" s="290"/>
      <c r="AS1659" s="290"/>
    </row>
    <row r="1660" spans="1:45" ht="17.25" thickBot="1" x14ac:dyDescent="0.3">
      <c r="A1660" s="467"/>
      <c r="B1660" s="355" t="s">
        <v>419</v>
      </c>
      <c r="C1660" s="356"/>
      <c r="D1660" s="356"/>
      <c r="E1660" s="359"/>
      <c r="F1660" s="359"/>
      <c r="G1660" s="356"/>
      <c r="H1660" s="396"/>
      <c r="I1660" s="356"/>
      <c r="J1660" s="356"/>
      <c r="K1660" s="356"/>
      <c r="L1660" s="356"/>
      <c r="M1660" s="356"/>
      <c r="N1660" s="356"/>
      <c r="O1660" s="356"/>
      <c r="P1660" s="356"/>
      <c r="Q1660" s="356"/>
      <c r="R1660" s="356"/>
      <c r="S1660" s="356"/>
      <c r="T1660" s="356"/>
      <c r="U1660" s="356"/>
      <c r="V1660" s="356"/>
      <c r="W1660" s="356"/>
      <c r="X1660" s="356"/>
      <c r="Y1660" s="356"/>
      <c r="Z1660" s="356"/>
      <c r="AA1660" s="356"/>
      <c r="AB1660" s="356"/>
      <c r="AC1660" s="356"/>
      <c r="AD1660" s="356"/>
      <c r="AE1660" s="356"/>
      <c r="AF1660" s="356"/>
      <c r="AG1660" s="356"/>
      <c r="AH1660" s="356"/>
      <c r="AI1660" s="356"/>
      <c r="AJ1660" s="356"/>
      <c r="AK1660" s="356"/>
      <c r="AL1660" s="356"/>
      <c r="AM1660" s="356"/>
      <c r="AN1660" s="356"/>
      <c r="AO1660" s="356"/>
      <c r="AP1660" s="356"/>
      <c r="AQ1660" s="356"/>
      <c r="AR1660" s="356"/>
      <c r="AS1660" s="357"/>
    </row>
    <row r="1661" spans="1:45" ht="17.25" thickBot="1" x14ac:dyDescent="0.3">
      <c r="A1661" s="467"/>
      <c r="B1661" s="354"/>
      <c r="C1661" s="285">
        <v>1146031</v>
      </c>
      <c r="D1661" s="358" t="s">
        <v>401</v>
      </c>
      <c r="E1661" s="360"/>
      <c r="F1661" s="361">
        <f>G1696-AK1661+AL1661</f>
        <v>2</v>
      </c>
      <c r="G1661" s="364">
        <v>3</v>
      </c>
      <c r="H1661" s="397">
        <v>1</v>
      </c>
      <c r="I1661" s="218"/>
      <c r="J1661" s="218"/>
      <c r="K1661" s="218"/>
      <c r="L1661" s="218"/>
      <c r="M1661" s="218"/>
      <c r="N1661" s="218"/>
      <c r="O1661" s="218"/>
      <c r="P1661" s="352"/>
      <c r="Q1661" s="352"/>
      <c r="R1661" s="352"/>
      <c r="S1661" s="352"/>
      <c r="T1661" s="352"/>
      <c r="U1661" s="352"/>
      <c r="V1661" s="218"/>
      <c r="W1661" s="218"/>
      <c r="X1661" s="218"/>
      <c r="Y1661" s="218"/>
      <c r="Z1661" s="218"/>
      <c r="AA1661" s="218"/>
      <c r="AB1661" s="218"/>
      <c r="AC1661" s="218"/>
      <c r="AD1661" s="218"/>
      <c r="AE1661" s="218"/>
      <c r="AF1661" s="218"/>
      <c r="AG1661" s="218"/>
      <c r="AH1661" s="218"/>
      <c r="AI1661" s="218"/>
      <c r="AJ1661" s="218"/>
      <c r="AK1661" s="218"/>
      <c r="AL1661" s="218"/>
      <c r="AM1661" s="353"/>
      <c r="AN1661" s="295"/>
      <c r="AO1661" s="296"/>
      <c r="AP1661" s="353"/>
      <c r="AQ1661" s="290"/>
      <c r="AR1661" s="290"/>
      <c r="AS1661" s="290"/>
    </row>
    <row r="1662" spans="1:45" ht="17.25" thickBot="1" x14ac:dyDescent="0.3">
      <c r="A1662" s="467"/>
      <c r="B1662" s="354"/>
      <c r="C1662" s="285">
        <v>1146020</v>
      </c>
      <c r="D1662" s="358" t="s">
        <v>402</v>
      </c>
      <c r="E1662" s="360"/>
      <c r="F1662" s="361">
        <f>G1697-AK1662+AL1662</f>
        <v>1</v>
      </c>
      <c r="G1662" s="364">
        <v>1</v>
      </c>
      <c r="H1662" s="397">
        <v>1</v>
      </c>
      <c r="I1662" s="218"/>
      <c r="J1662" s="218"/>
      <c r="K1662" s="218"/>
      <c r="L1662" s="218"/>
      <c r="M1662" s="218"/>
      <c r="N1662" s="218"/>
      <c r="O1662" s="218"/>
      <c r="P1662" s="352"/>
      <c r="Q1662" s="352"/>
      <c r="R1662" s="352"/>
      <c r="S1662" s="352"/>
      <c r="T1662" s="352"/>
      <c r="U1662" s="352"/>
      <c r="V1662" s="218"/>
      <c r="W1662" s="218"/>
      <c r="X1662" s="218"/>
      <c r="Y1662" s="218"/>
      <c r="Z1662" s="218"/>
      <c r="AA1662" s="218"/>
      <c r="AB1662" s="218"/>
      <c r="AC1662" s="218"/>
      <c r="AD1662" s="218"/>
      <c r="AE1662" s="218"/>
      <c r="AF1662" s="218"/>
      <c r="AG1662" s="218"/>
      <c r="AH1662" s="218"/>
      <c r="AI1662" s="218"/>
      <c r="AJ1662" s="218"/>
      <c r="AK1662" s="218"/>
      <c r="AL1662" s="218"/>
      <c r="AM1662" s="353"/>
      <c r="AN1662" s="295"/>
      <c r="AO1662" s="296"/>
      <c r="AP1662" s="353"/>
      <c r="AQ1662" s="290"/>
      <c r="AR1662" s="290"/>
      <c r="AS1662" s="290"/>
    </row>
    <row r="1663" spans="1:45" ht="17.25" thickBot="1" x14ac:dyDescent="0.3">
      <c r="A1663" s="467"/>
      <c r="B1663" s="354"/>
      <c r="C1663" s="285">
        <v>1146016</v>
      </c>
      <c r="D1663" s="358" t="s">
        <v>398</v>
      </c>
      <c r="E1663" s="360"/>
      <c r="F1663" s="361">
        <f>G1698-AK1663+AL1663</f>
        <v>6</v>
      </c>
      <c r="G1663" s="364">
        <v>6</v>
      </c>
      <c r="H1663" s="397">
        <v>1</v>
      </c>
      <c r="I1663" s="218"/>
      <c r="J1663" s="218"/>
      <c r="K1663" s="218"/>
      <c r="L1663" s="218"/>
      <c r="M1663" s="218"/>
      <c r="N1663" s="218"/>
      <c r="O1663" s="218"/>
      <c r="P1663" s="352"/>
      <c r="Q1663" s="352"/>
      <c r="R1663" s="352"/>
      <c r="S1663" s="352"/>
      <c r="T1663" s="352"/>
      <c r="U1663" s="352"/>
      <c r="V1663" s="218"/>
      <c r="W1663" s="218"/>
      <c r="X1663" s="218"/>
      <c r="Y1663" s="218"/>
      <c r="Z1663" s="218"/>
      <c r="AA1663" s="218"/>
      <c r="AB1663" s="218"/>
      <c r="AC1663" s="218"/>
      <c r="AD1663" s="218"/>
      <c r="AE1663" s="218"/>
      <c r="AF1663" s="218"/>
      <c r="AG1663" s="218"/>
      <c r="AH1663" s="218"/>
      <c r="AI1663" s="218"/>
      <c r="AJ1663" s="218"/>
      <c r="AK1663" s="218"/>
      <c r="AL1663" s="218"/>
      <c r="AM1663" s="353"/>
      <c r="AN1663" s="295"/>
      <c r="AO1663" s="296"/>
      <c r="AP1663" s="353"/>
      <c r="AQ1663" s="290"/>
      <c r="AR1663" s="290"/>
      <c r="AS1663" s="290"/>
    </row>
    <row r="1664" spans="1:45" ht="17.25" thickBot="1" x14ac:dyDescent="0.3">
      <c r="A1664" s="467"/>
      <c r="B1664" s="354"/>
      <c r="C1664" s="285">
        <v>1146022</v>
      </c>
      <c r="D1664" s="358" t="s">
        <v>403</v>
      </c>
      <c r="E1664" s="360"/>
      <c r="F1664" s="361">
        <f>G1699-AK1664+AL1664</f>
        <v>1</v>
      </c>
      <c r="G1664" s="364">
        <v>1</v>
      </c>
      <c r="H1664" s="397">
        <v>2</v>
      </c>
      <c r="I1664" s="218"/>
      <c r="J1664" s="218"/>
      <c r="K1664" s="218"/>
      <c r="L1664" s="218"/>
      <c r="M1664" s="218"/>
      <c r="N1664" s="218"/>
      <c r="O1664" s="218"/>
      <c r="P1664" s="352"/>
      <c r="Q1664" s="352"/>
      <c r="R1664" s="352"/>
      <c r="S1664" s="352"/>
      <c r="T1664" s="352"/>
      <c r="U1664" s="352"/>
      <c r="V1664" s="218"/>
      <c r="W1664" s="218"/>
      <c r="X1664" s="218"/>
      <c r="Y1664" s="218"/>
      <c r="Z1664" s="218"/>
      <c r="AA1664" s="218"/>
      <c r="AB1664" s="218"/>
      <c r="AC1664" s="218"/>
      <c r="AD1664" s="218"/>
      <c r="AE1664" s="218"/>
      <c r="AF1664" s="218"/>
      <c r="AG1664" s="218"/>
      <c r="AH1664" s="218"/>
      <c r="AI1664" s="218"/>
      <c r="AJ1664" s="218"/>
      <c r="AK1664" s="218"/>
      <c r="AL1664" s="218"/>
      <c r="AM1664" s="353"/>
      <c r="AN1664" s="295"/>
      <c r="AO1664" s="296"/>
      <c r="AP1664" s="353"/>
      <c r="AQ1664" s="290"/>
      <c r="AR1664" s="290"/>
      <c r="AS1664" s="290"/>
    </row>
    <row r="1665" spans="1:45" ht="17.25" thickBot="1" x14ac:dyDescent="0.3">
      <c r="A1665" s="467"/>
      <c r="B1665" s="354"/>
      <c r="C1665" s="285">
        <v>1146027</v>
      </c>
      <c r="D1665" s="358" t="s">
        <v>404</v>
      </c>
      <c r="E1665" s="360"/>
      <c r="F1665" s="361">
        <f>G1700-AK1665+AL1665</f>
        <v>2</v>
      </c>
      <c r="G1665" s="364">
        <v>3</v>
      </c>
      <c r="H1665" s="397">
        <v>2</v>
      </c>
      <c r="I1665" s="218"/>
      <c r="J1665" s="218"/>
      <c r="K1665" s="218"/>
      <c r="L1665" s="218"/>
      <c r="M1665" s="218"/>
      <c r="N1665" s="218"/>
      <c r="O1665" s="218"/>
      <c r="P1665" s="352"/>
      <c r="Q1665" s="352"/>
      <c r="R1665" s="352"/>
      <c r="S1665" s="352"/>
      <c r="T1665" s="352"/>
      <c r="U1665" s="352"/>
      <c r="V1665" s="218"/>
      <c r="W1665" s="218"/>
      <c r="X1665" s="218"/>
      <c r="Y1665" s="218"/>
      <c r="Z1665" s="218"/>
      <c r="AA1665" s="218"/>
      <c r="AB1665" s="218"/>
      <c r="AC1665" s="218"/>
      <c r="AD1665" s="218"/>
      <c r="AE1665" s="218"/>
      <c r="AF1665" s="218"/>
      <c r="AG1665" s="218"/>
      <c r="AH1665" s="218"/>
      <c r="AI1665" s="218"/>
      <c r="AJ1665" s="218"/>
      <c r="AK1665" s="218"/>
      <c r="AL1665" s="218"/>
      <c r="AM1665" s="353"/>
      <c r="AN1665" s="295"/>
      <c r="AO1665" s="296"/>
      <c r="AP1665" s="353"/>
      <c r="AQ1665" s="290"/>
      <c r="AR1665" s="290"/>
      <c r="AS1665" s="290"/>
    </row>
    <row r="1666" spans="1:45" ht="17.25" thickBot="1" x14ac:dyDescent="0.3">
      <c r="A1666" s="467"/>
      <c r="B1666" s="355" t="s">
        <v>418</v>
      </c>
      <c r="C1666" s="356"/>
      <c r="D1666" s="356"/>
      <c r="E1666" s="359"/>
      <c r="F1666" s="359"/>
      <c r="G1666" s="356"/>
      <c r="H1666" s="396"/>
      <c r="I1666" s="356"/>
      <c r="J1666" s="356"/>
      <c r="K1666" s="356"/>
      <c r="L1666" s="356"/>
      <c r="M1666" s="356"/>
      <c r="N1666" s="356"/>
      <c r="O1666" s="356"/>
      <c r="P1666" s="356"/>
      <c r="Q1666" s="356"/>
      <c r="R1666" s="356"/>
      <c r="S1666" s="356"/>
      <c r="T1666" s="356"/>
      <c r="U1666" s="356"/>
      <c r="V1666" s="356"/>
      <c r="W1666" s="356"/>
      <c r="X1666" s="356"/>
      <c r="Y1666" s="356"/>
      <c r="Z1666" s="356"/>
      <c r="AA1666" s="356"/>
      <c r="AB1666" s="356"/>
      <c r="AC1666" s="356"/>
      <c r="AD1666" s="356"/>
      <c r="AE1666" s="356"/>
      <c r="AF1666" s="356"/>
      <c r="AG1666" s="356"/>
      <c r="AH1666" s="356"/>
      <c r="AI1666" s="356"/>
      <c r="AJ1666" s="356"/>
      <c r="AK1666" s="356"/>
      <c r="AL1666" s="356"/>
      <c r="AM1666" s="356"/>
      <c r="AN1666" s="356"/>
      <c r="AO1666" s="356"/>
      <c r="AP1666" s="356"/>
      <c r="AQ1666" s="356"/>
      <c r="AR1666" s="356"/>
      <c r="AS1666" s="357"/>
    </row>
    <row r="1667" spans="1:45" ht="17.25" thickBot="1" x14ac:dyDescent="0.3">
      <c r="A1667" s="467"/>
      <c r="B1667" s="354"/>
      <c r="C1667" s="285">
        <v>1151653</v>
      </c>
      <c r="D1667" s="358" t="s">
        <v>405</v>
      </c>
      <c r="E1667" s="360"/>
      <c r="F1667" s="361">
        <f>G1702-AK1667+AL1667</f>
        <v>0</v>
      </c>
      <c r="G1667" s="364">
        <v>1</v>
      </c>
      <c r="H1667" s="397">
        <v>1</v>
      </c>
      <c r="I1667" s="218"/>
      <c r="J1667" s="218"/>
      <c r="K1667" s="218"/>
      <c r="L1667" s="218"/>
      <c r="M1667" s="218"/>
      <c r="N1667" s="218"/>
      <c r="O1667" s="218"/>
      <c r="P1667" s="352"/>
      <c r="Q1667" s="352"/>
      <c r="R1667" s="352"/>
      <c r="S1667" s="352"/>
      <c r="T1667" s="352"/>
      <c r="U1667" s="352"/>
      <c r="V1667" s="218"/>
      <c r="W1667" s="218"/>
      <c r="X1667" s="218"/>
      <c r="Y1667" s="218"/>
      <c r="Z1667" s="218"/>
      <c r="AA1667" s="218"/>
      <c r="AB1667" s="218"/>
      <c r="AC1667" s="218"/>
      <c r="AD1667" s="218"/>
      <c r="AE1667" s="218"/>
      <c r="AF1667" s="218"/>
      <c r="AG1667" s="218"/>
      <c r="AH1667" s="218"/>
      <c r="AI1667" s="218"/>
      <c r="AJ1667" s="218"/>
      <c r="AK1667" s="218"/>
      <c r="AL1667" s="218"/>
      <c r="AM1667" s="353"/>
      <c r="AN1667" s="295"/>
      <c r="AO1667" s="296"/>
      <c r="AP1667" s="353"/>
      <c r="AQ1667" s="290"/>
      <c r="AR1667" s="290"/>
      <c r="AS1667" s="290"/>
    </row>
    <row r="1668" spans="1:45" ht="17.25" thickBot="1" x14ac:dyDescent="0.3">
      <c r="A1668" s="467"/>
      <c r="B1668" s="354"/>
      <c r="C1668" s="285">
        <v>1151650</v>
      </c>
      <c r="D1668" s="358" t="s">
        <v>406</v>
      </c>
      <c r="E1668" s="360"/>
      <c r="F1668" s="361">
        <f>G1703-AK1668+AL1668</f>
        <v>1</v>
      </c>
      <c r="G1668" s="364">
        <v>1</v>
      </c>
      <c r="H1668" s="397">
        <v>2</v>
      </c>
      <c r="I1668" s="218"/>
      <c r="J1668" s="218"/>
      <c r="K1668" s="218"/>
      <c r="L1668" s="218"/>
      <c r="M1668" s="218"/>
      <c r="N1668" s="218"/>
      <c r="O1668" s="218"/>
      <c r="P1668" s="352"/>
      <c r="Q1668" s="352"/>
      <c r="R1668" s="352"/>
      <c r="S1668" s="352"/>
      <c r="T1668" s="352"/>
      <c r="U1668" s="352"/>
      <c r="V1668" s="218"/>
      <c r="W1668" s="218"/>
      <c r="X1668" s="218"/>
      <c r="Y1668" s="218"/>
      <c r="Z1668" s="218"/>
      <c r="AA1668" s="218"/>
      <c r="AB1668" s="218"/>
      <c r="AC1668" s="218"/>
      <c r="AD1668" s="218"/>
      <c r="AE1668" s="218"/>
      <c r="AF1668" s="218"/>
      <c r="AG1668" s="218"/>
      <c r="AH1668" s="218"/>
      <c r="AI1668" s="218"/>
      <c r="AJ1668" s="218"/>
      <c r="AK1668" s="218"/>
      <c r="AL1668" s="218"/>
      <c r="AM1668" s="353"/>
      <c r="AN1668" s="295"/>
      <c r="AO1668" s="296"/>
      <c r="AP1668" s="353"/>
      <c r="AQ1668" s="290"/>
      <c r="AR1668" s="290"/>
      <c r="AS1668" s="290"/>
    </row>
    <row r="1669" spans="1:45" ht="17.25" thickBot="1" x14ac:dyDescent="0.3">
      <c r="A1669" s="467"/>
      <c r="B1669" s="354"/>
      <c r="C1669" s="285">
        <v>1151649</v>
      </c>
      <c r="D1669" s="358" t="s">
        <v>407</v>
      </c>
      <c r="E1669" s="360"/>
      <c r="F1669" s="361">
        <f>G1704-AK1669+AL1669</f>
        <v>2</v>
      </c>
      <c r="G1669" s="364">
        <v>2</v>
      </c>
      <c r="H1669" s="397">
        <v>4</v>
      </c>
      <c r="I1669" s="218"/>
      <c r="J1669" s="218"/>
      <c r="K1669" s="218"/>
      <c r="L1669" s="218"/>
      <c r="M1669" s="218"/>
      <c r="N1669" s="218"/>
      <c r="O1669" s="218"/>
      <c r="P1669" s="352"/>
      <c r="Q1669" s="352"/>
      <c r="R1669" s="352"/>
      <c r="S1669" s="352"/>
      <c r="T1669" s="352"/>
      <c r="U1669" s="352"/>
      <c r="V1669" s="218"/>
      <c r="W1669" s="218"/>
      <c r="X1669" s="218"/>
      <c r="Y1669" s="218"/>
      <c r="Z1669" s="218"/>
      <c r="AA1669" s="218"/>
      <c r="AB1669" s="218"/>
      <c r="AC1669" s="218"/>
      <c r="AD1669" s="218"/>
      <c r="AE1669" s="218"/>
      <c r="AF1669" s="218"/>
      <c r="AG1669" s="218"/>
      <c r="AH1669" s="218"/>
      <c r="AI1669" s="218"/>
      <c r="AJ1669" s="218"/>
      <c r="AK1669" s="218"/>
      <c r="AL1669" s="218"/>
      <c r="AM1669" s="353"/>
      <c r="AN1669" s="295"/>
      <c r="AO1669" s="296"/>
      <c r="AP1669" s="353"/>
      <c r="AQ1669" s="290"/>
      <c r="AR1669" s="290"/>
      <c r="AS1669" s="290"/>
    </row>
    <row r="1670" spans="1:45" ht="17.25" thickBot="1" x14ac:dyDescent="0.3">
      <c r="A1670" s="467"/>
      <c r="B1670" s="354"/>
      <c r="C1670" s="285">
        <v>1151651</v>
      </c>
      <c r="D1670" s="358" t="s">
        <v>408</v>
      </c>
      <c r="E1670" s="360"/>
      <c r="F1670" s="361">
        <f>G1705-AK1670+AL1670</f>
        <v>0</v>
      </c>
      <c r="G1670" s="364">
        <v>0</v>
      </c>
      <c r="H1670" s="397">
        <v>1</v>
      </c>
      <c r="I1670" s="218"/>
      <c r="J1670" s="218"/>
      <c r="K1670" s="218"/>
      <c r="L1670" s="218"/>
      <c r="M1670" s="218"/>
      <c r="N1670" s="218"/>
      <c r="O1670" s="218"/>
      <c r="P1670" s="352"/>
      <c r="Q1670" s="352"/>
      <c r="R1670" s="352"/>
      <c r="S1670" s="352"/>
      <c r="T1670" s="352"/>
      <c r="U1670" s="352"/>
      <c r="V1670" s="218"/>
      <c r="W1670" s="218"/>
      <c r="X1670" s="218"/>
      <c r="Y1670" s="218"/>
      <c r="Z1670" s="218"/>
      <c r="AA1670" s="218"/>
      <c r="AB1670" s="218"/>
      <c r="AC1670" s="218"/>
      <c r="AD1670" s="218"/>
      <c r="AE1670" s="218"/>
      <c r="AF1670" s="218"/>
      <c r="AG1670" s="218"/>
      <c r="AH1670" s="218"/>
      <c r="AI1670" s="218"/>
      <c r="AJ1670" s="218"/>
      <c r="AK1670" s="218"/>
      <c r="AL1670" s="218"/>
      <c r="AM1670" s="353"/>
      <c r="AN1670" s="295"/>
      <c r="AO1670" s="296"/>
      <c r="AP1670" s="353"/>
      <c r="AQ1670" s="290"/>
      <c r="AR1670" s="290"/>
      <c r="AS1670" s="290"/>
    </row>
    <row r="1671" spans="1:45" ht="17.25" thickBot="1" x14ac:dyDescent="0.3">
      <c r="A1671" s="467"/>
      <c r="B1671" s="354"/>
      <c r="C1671" s="285">
        <v>1146029</v>
      </c>
      <c r="D1671" s="358" t="s">
        <v>409</v>
      </c>
      <c r="E1671" s="360"/>
      <c r="F1671" s="361">
        <f>G1706-AK1671+AL1671</f>
        <v>1</v>
      </c>
      <c r="G1671" s="364">
        <v>2</v>
      </c>
      <c r="H1671" s="397">
        <v>2</v>
      </c>
      <c r="I1671" s="218"/>
      <c r="J1671" s="218"/>
      <c r="K1671" s="218"/>
      <c r="L1671" s="218"/>
      <c r="M1671" s="218"/>
      <c r="N1671" s="218"/>
      <c r="O1671" s="218"/>
      <c r="P1671" s="352"/>
      <c r="Q1671" s="352"/>
      <c r="R1671" s="352"/>
      <c r="S1671" s="352"/>
      <c r="T1671" s="352"/>
      <c r="U1671" s="352"/>
      <c r="V1671" s="218"/>
      <c r="W1671" s="218"/>
      <c r="X1671" s="218"/>
      <c r="Y1671" s="218"/>
      <c r="Z1671" s="218"/>
      <c r="AA1671" s="218"/>
      <c r="AB1671" s="218"/>
      <c r="AC1671" s="218"/>
      <c r="AD1671" s="218"/>
      <c r="AE1671" s="218"/>
      <c r="AF1671" s="218"/>
      <c r="AG1671" s="218"/>
      <c r="AH1671" s="218"/>
      <c r="AI1671" s="218"/>
      <c r="AJ1671" s="218"/>
      <c r="AK1671" s="218"/>
      <c r="AL1671" s="218"/>
      <c r="AM1671" s="353"/>
      <c r="AN1671" s="295"/>
      <c r="AO1671" s="296"/>
      <c r="AP1671" s="353"/>
      <c r="AQ1671" s="290"/>
      <c r="AR1671" s="290"/>
      <c r="AS1671" s="290"/>
    </row>
    <row r="1672" spans="1:45" ht="17.25" thickBot="1" x14ac:dyDescent="0.3">
      <c r="A1672" s="467"/>
      <c r="B1672" s="355" t="s">
        <v>410</v>
      </c>
      <c r="C1672" s="356"/>
      <c r="D1672" s="356"/>
      <c r="E1672" s="359"/>
      <c r="F1672" s="359"/>
      <c r="G1672" s="356"/>
      <c r="H1672" s="396"/>
      <c r="I1672" s="356"/>
      <c r="J1672" s="356"/>
      <c r="K1672" s="356"/>
      <c r="L1672" s="356"/>
      <c r="M1672" s="356"/>
      <c r="N1672" s="356"/>
      <c r="O1672" s="356"/>
      <c r="P1672" s="356"/>
      <c r="Q1672" s="356"/>
      <c r="R1672" s="356"/>
      <c r="S1672" s="356"/>
      <c r="T1672" s="356"/>
      <c r="U1672" s="356"/>
      <c r="V1672" s="356"/>
      <c r="W1672" s="356"/>
      <c r="X1672" s="356"/>
      <c r="Y1672" s="356"/>
      <c r="Z1672" s="356"/>
      <c r="AA1672" s="356"/>
      <c r="AB1672" s="356"/>
      <c r="AC1672" s="356"/>
      <c r="AD1672" s="356"/>
      <c r="AE1672" s="356"/>
      <c r="AF1672" s="356"/>
      <c r="AG1672" s="356"/>
      <c r="AH1672" s="356"/>
      <c r="AI1672" s="356"/>
      <c r="AJ1672" s="356"/>
      <c r="AK1672" s="356"/>
      <c r="AL1672" s="356"/>
      <c r="AM1672" s="356"/>
      <c r="AN1672" s="356"/>
      <c r="AO1672" s="356"/>
      <c r="AP1672" s="356"/>
      <c r="AQ1672" s="356"/>
      <c r="AR1672" s="356"/>
      <c r="AS1672" s="357"/>
    </row>
    <row r="1673" spans="1:45" ht="17.25" thickBot="1" x14ac:dyDescent="0.3">
      <c r="A1673" s="467"/>
      <c r="B1673" s="354"/>
      <c r="C1673" s="285">
        <v>1699118</v>
      </c>
      <c r="D1673" s="358" t="s">
        <v>411</v>
      </c>
      <c r="E1673" s="360"/>
      <c r="F1673" s="361">
        <f>G1708-AK1673+AL1673</f>
        <v>0</v>
      </c>
      <c r="G1673" s="364">
        <v>1</v>
      </c>
      <c r="H1673" s="397">
        <v>1</v>
      </c>
      <c r="I1673" s="218"/>
      <c r="J1673" s="218"/>
      <c r="K1673" s="218"/>
      <c r="L1673" s="218"/>
      <c r="M1673" s="218"/>
      <c r="N1673" s="218"/>
      <c r="O1673" s="218"/>
      <c r="P1673" s="352"/>
      <c r="Q1673" s="352"/>
      <c r="R1673" s="352"/>
      <c r="S1673" s="352"/>
      <c r="T1673" s="352"/>
      <c r="U1673" s="352"/>
      <c r="V1673" s="218"/>
      <c r="W1673" s="218"/>
      <c r="X1673" s="218"/>
      <c r="Y1673" s="218"/>
      <c r="Z1673" s="218"/>
      <c r="AA1673" s="218"/>
      <c r="AB1673" s="218"/>
      <c r="AC1673" s="218"/>
      <c r="AD1673" s="218"/>
      <c r="AE1673" s="218"/>
      <c r="AF1673" s="218"/>
      <c r="AG1673" s="218"/>
      <c r="AH1673" s="218"/>
      <c r="AI1673" s="218"/>
      <c r="AJ1673" s="218"/>
      <c r="AK1673" s="218"/>
      <c r="AL1673" s="218"/>
      <c r="AM1673" s="353"/>
      <c r="AN1673" s="295"/>
      <c r="AO1673" s="296"/>
      <c r="AP1673" s="353"/>
      <c r="AQ1673" s="290"/>
      <c r="AR1673" s="290"/>
      <c r="AS1673" s="290"/>
    </row>
    <row r="1674" spans="1:45" ht="17.25" thickBot="1" x14ac:dyDescent="0.3">
      <c r="A1674" s="467"/>
      <c r="B1674" s="354"/>
      <c r="C1674" s="285">
        <v>1699119</v>
      </c>
      <c r="D1674" s="358" t="s">
        <v>412</v>
      </c>
      <c r="E1674" s="360"/>
      <c r="F1674" s="361">
        <f>G1709-AK1674+AL1674</f>
        <v>0</v>
      </c>
      <c r="G1674" s="364">
        <v>0</v>
      </c>
      <c r="H1674" s="397">
        <v>1</v>
      </c>
      <c r="I1674" s="218"/>
      <c r="J1674" s="218"/>
      <c r="K1674" s="218"/>
      <c r="L1674" s="218"/>
      <c r="M1674" s="218"/>
      <c r="N1674" s="218"/>
      <c r="O1674" s="218"/>
      <c r="P1674" s="352"/>
      <c r="Q1674" s="352"/>
      <c r="R1674" s="352"/>
      <c r="S1674" s="352"/>
      <c r="T1674" s="352"/>
      <c r="U1674" s="352"/>
      <c r="V1674" s="218"/>
      <c r="W1674" s="218"/>
      <c r="X1674" s="218"/>
      <c r="Y1674" s="218"/>
      <c r="Z1674" s="218"/>
      <c r="AA1674" s="218"/>
      <c r="AB1674" s="218"/>
      <c r="AC1674" s="218"/>
      <c r="AD1674" s="218"/>
      <c r="AE1674" s="218"/>
      <c r="AF1674" s="218"/>
      <c r="AG1674" s="218"/>
      <c r="AH1674" s="218"/>
      <c r="AI1674" s="218"/>
      <c r="AJ1674" s="218"/>
      <c r="AK1674" s="218"/>
      <c r="AL1674" s="218"/>
      <c r="AM1674" s="353"/>
      <c r="AN1674" s="295"/>
      <c r="AO1674" s="296"/>
      <c r="AP1674" s="353"/>
      <c r="AQ1674" s="290"/>
      <c r="AR1674" s="290"/>
      <c r="AS1674" s="290"/>
    </row>
    <row r="1675" spans="1:45" ht="17.25" thickBot="1" x14ac:dyDescent="0.3">
      <c r="A1675" s="467"/>
      <c r="B1675" s="354"/>
      <c r="C1675" s="285">
        <v>1699130</v>
      </c>
      <c r="D1675" s="358" t="s">
        <v>413</v>
      </c>
      <c r="E1675" s="360"/>
      <c r="F1675" s="361">
        <f>G1710-AK1675+AL1675</f>
        <v>0</v>
      </c>
      <c r="G1675" s="364">
        <v>0</v>
      </c>
      <c r="H1675" s="397">
        <v>4</v>
      </c>
      <c r="I1675" s="218"/>
      <c r="J1675" s="218"/>
      <c r="K1675" s="218"/>
      <c r="L1675" s="218"/>
      <c r="M1675" s="218"/>
      <c r="N1675" s="218"/>
      <c r="O1675" s="218"/>
      <c r="P1675" s="352"/>
      <c r="Q1675" s="352"/>
      <c r="R1675" s="352"/>
      <c r="S1675" s="352"/>
      <c r="T1675" s="352"/>
      <c r="U1675" s="352"/>
      <c r="V1675" s="218"/>
      <c r="W1675" s="218"/>
      <c r="X1675" s="218"/>
      <c r="Y1675" s="218"/>
      <c r="Z1675" s="218"/>
      <c r="AA1675" s="218"/>
      <c r="AB1675" s="218"/>
      <c r="AC1675" s="218"/>
      <c r="AD1675" s="218"/>
      <c r="AE1675" s="218"/>
      <c r="AF1675" s="218"/>
      <c r="AG1675" s="218"/>
      <c r="AH1675" s="218"/>
      <c r="AI1675" s="218"/>
      <c r="AJ1675" s="218"/>
      <c r="AK1675" s="218"/>
      <c r="AL1675" s="218"/>
      <c r="AM1675" s="353"/>
      <c r="AN1675" s="295"/>
      <c r="AO1675" s="296"/>
      <c r="AP1675" s="353"/>
      <c r="AQ1675" s="290"/>
      <c r="AR1675" s="290"/>
      <c r="AS1675" s="290"/>
    </row>
    <row r="1676" spans="1:45" ht="17.25" thickBot="1" x14ac:dyDescent="0.3">
      <c r="A1676" s="467"/>
      <c r="B1676" s="354"/>
      <c r="C1676" s="285">
        <v>1699131</v>
      </c>
      <c r="D1676" s="358" t="s">
        <v>414</v>
      </c>
      <c r="E1676" s="360"/>
      <c r="F1676" s="361">
        <f>G1711-AK1676+AL1676</f>
        <v>0</v>
      </c>
      <c r="G1676" s="364">
        <v>2</v>
      </c>
      <c r="H1676" s="397">
        <v>3</v>
      </c>
      <c r="I1676" s="218"/>
      <c r="J1676" s="218"/>
      <c r="K1676" s="218"/>
      <c r="L1676" s="218"/>
      <c r="M1676" s="218"/>
      <c r="N1676" s="218"/>
      <c r="O1676" s="218"/>
      <c r="P1676" s="352"/>
      <c r="Q1676" s="352"/>
      <c r="R1676" s="352"/>
      <c r="S1676" s="352"/>
      <c r="T1676" s="352"/>
      <c r="U1676" s="352"/>
      <c r="V1676" s="218"/>
      <c r="W1676" s="218"/>
      <c r="X1676" s="218"/>
      <c r="Y1676" s="218"/>
      <c r="Z1676" s="218"/>
      <c r="AA1676" s="218"/>
      <c r="AB1676" s="218"/>
      <c r="AC1676" s="218"/>
      <c r="AD1676" s="218"/>
      <c r="AE1676" s="218"/>
      <c r="AF1676" s="218"/>
      <c r="AG1676" s="218"/>
      <c r="AH1676" s="218"/>
      <c r="AI1676" s="218"/>
      <c r="AJ1676" s="218"/>
      <c r="AK1676" s="218"/>
      <c r="AL1676" s="218"/>
      <c r="AM1676" s="353"/>
      <c r="AN1676" s="295"/>
      <c r="AO1676" s="296"/>
      <c r="AP1676" s="353"/>
      <c r="AQ1676" s="290"/>
      <c r="AR1676" s="290"/>
      <c r="AS1676" s="290"/>
    </row>
    <row r="1677" spans="1:45" ht="17.25" thickBot="1" x14ac:dyDescent="0.3">
      <c r="A1677" s="468"/>
      <c r="B1677" s="354"/>
      <c r="C1677" s="285">
        <v>1699132</v>
      </c>
      <c r="D1677" s="358" t="s">
        <v>415</v>
      </c>
      <c r="E1677" s="285"/>
      <c r="F1677" s="362">
        <f>G1712-AK1677+AL1677</f>
        <v>0</v>
      </c>
      <c r="G1677" s="364">
        <v>2</v>
      </c>
      <c r="H1677" s="397">
        <v>3</v>
      </c>
      <c r="I1677" s="218"/>
      <c r="J1677" s="218"/>
      <c r="K1677" s="218"/>
      <c r="L1677" s="218"/>
      <c r="M1677" s="218"/>
      <c r="N1677" s="218"/>
      <c r="O1677" s="218"/>
      <c r="P1677" s="352"/>
      <c r="Q1677" s="352"/>
      <c r="R1677" s="352"/>
      <c r="S1677" s="352"/>
      <c r="T1677" s="352"/>
      <c r="U1677" s="352"/>
      <c r="V1677" s="218"/>
      <c r="W1677" s="218"/>
      <c r="X1677" s="218"/>
      <c r="Y1677" s="218"/>
      <c r="Z1677" s="218"/>
      <c r="AA1677" s="218"/>
      <c r="AB1677" s="218"/>
      <c r="AC1677" s="218"/>
      <c r="AD1677" s="218"/>
      <c r="AE1677" s="218"/>
      <c r="AF1677" s="218"/>
      <c r="AG1677" s="218"/>
      <c r="AH1677" s="218"/>
      <c r="AI1677" s="218"/>
      <c r="AJ1677" s="218"/>
      <c r="AK1677" s="218"/>
      <c r="AL1677" s="218"/>
      <c r="AM1677" s="353"/>
      <c r="AN1677" s="295"/>
      <c r="AO1677" s="296"/>
      <c r="AP1677" s="353"/>
      <c r="AQ1677" s="290"/>
      <c r="AR1677" s="290"/>
      <c r="AS1677" s="290"/>
    </row>
    <row r="1678" spans="1:45" x14ac:dyDescent="0.25">
      <c r="AL1678" s="290"/>
      <c r="AM1678" s="290"/>
      <c r="AN1678" s="290"/>
      <c r="AO1678" s="290"/>
      <c r="AP1678" s="290"/>
      <c r="AQ1678" s="290"/>
      <c r="AR1678" s="290"/>
    </row>
    <row r="1679" spans="1:45" ht="14.25" thickBot="1" x14ac:dyDescent="0.3">
      <c r="B1679" s="338" t="s">
        <v>18</v>
      </c>
      <c r="C1679" s="339">
        <v>45516</v>
      </c>
      <c r="AL1679" s="290"/>
      <c r="AM1679" s="290"/>
      <c r="AN1679" s="290"/>
      <c r="AO1679" s="290"/>
      <c r="AP1679" s="290"/>
      <c r="AQ1679" s="290"/>
      <c r="AR1679" s="290"/>
    </row>
    <row r="1680" spans="1:45" ht="41.25" thickBot="1" x14ac:dyDescent="0.3">
      <c r="B1680" s="283" t="s">
        <v>0</v>
      </c>
      <c r="C1680" s="284" t="s">
        <v>1</v>
      </c>
      <c r="D1680" s="284" t="s">
        <v>2</v>
      </c>
      <c r="E1680" s="284" t="s">
        <v>3</v>
      </c>
      <c r="F1680" s="4" t="s">
        <v>318</v>
      </c>
      <c r="G1680" s="351" t="s">
        <v>4</v>
      </c>
      <c r="H1680" s="382" t="s">
        <v>460</v>
      </c>
      <c r="I1680" s="234" t="s">
        <v>392</v>
      </c>
      <c r="J1680" s="234"/>
      <c r="K1680" s="258" t="s">
        <v>393</v>
      </c>
      <c r="L1680" s="258" t="s">
        <v>328</v>
      </c>
      <c r="M1680" s="258" t="s">
        <v>327</v>
      </c>
      <c r="N1680" s="234" t="s">
        <v>389</v>
      </c>
      <c r="O1680" s="240" t="s">
        <v>130</v>
      </c>
      <c r="P1680" s="243" t="s">
        <v>303</v>
      </c>
      <c r="Q1680" s="244" t="s">
        <v>304</v>
      </c>
      <c r="R1680" s="244" t="s">
        <v>314</v>
      </c>
      <c r="S1680" s="245" t="s">
        <v>338</v>
      </c>
      <c r="T1680" s="245" t="s">
        <v>345</v>
      </c>
      <c r="U1680" s="245" t="s">
        <v>361</v>
      </c>
      <c r="V1680" s="245" t="s">
        <v>387</v>
      </c>
      <c r="W1680" s="245" t="s">
        <v>421</v>
      </c>
      <c r="X1680" s="245" t="s">
        <v>451</v>
      </c>
      <c r="Y1680" s="245"/>
      <c r="Z1680" s="245"/>
      <c r="AA1680" s="245"/>
      <c r="AB1680" s="245"/>
      <c r="AC1680" s="245"/>
      <c r="AD1680" s="245"/>
      <c r="AE1680" s="245"/>
      <c r="AF1680" s="245"/>
      <c r="AG1680" s="245"/>
      <c r="AH1680" s="245"/>
      <c r="AI1680" s="245"/>
      <c r="AJ1680" s="245" t="s">
        <v>360</v>
      </c>
      <c r="AK1680" s="246" t="s">
        <v>268</v>
      </c>
      <c r="AL1680" s="247" t="s">
        <v>269</v>
      </c>
      <c r="AM1680" s="291" t="s">
        <v>288</v>
      </c>
      <c r="AN1680" s="292" t="s">
        <v>289</v>
      </c>
      <c r="AO1680" s="292" t="s">
        <v>287</v>
      </c>
      <c r="AP1680" s="293" t="s">
        <v>290</v>
      </c>
      <c r="AQ1680" s="290" t="s">
        <v>306</v>
      </c>
      <c r="AR1680" s="290" t="s">
        <v>310</v>
      </c>
      <c r="AS1680" s="290" t="s">
        <v>311</v>
      </c>
    </row>
    <row r="1681" spans="1:45" ht="17.25" thickBot="1" x14ac:dyDescent="0.3">
      <c r="A1681" s="463" t="s">
        <v>416</v>
      </c>
      <c r="B1681" s="285">
        <v>273664</v>
      </c>
      <c r="C1681" s="286">
        <v>1135749</v>
      </c>
      <c r="D1681" s="286" t="s">
        <v>7</v>
      </c>
      <c r="E1681" s="286">
        <v>6060050026</v>
      </c>
      <c r="F1681" s="253">
        <f>G1716-AK1681+AL1681</f>
        <v>3</v>
      </c>
      <c r="G1681" s="235">
        <v>3</v>
      </c>
      <c r="H1681" s="394">
        <v>5</v>
      </c>
      <c r="I1681" s="232">
        <v>5</v>
      </c>
      <c r="J1681" s="232"/>
      <c r="K1681" s="232">
        <v>1</v>
      </c>
      <c r="L1681" s="232">
        <f>IF(K1715=K1680,L1716+AK1681,K1681)</f>
        <v>3</v>
      </c>
      <c r="M1681" s="232">
        <f>IF(K1715=K1680,0,L1716+AK1681-K1681)</f>
        <v>0</v>
      </c>
      <c r="N1681" s="267">
        <v>5</v>
      </c>
      <c r="O1681" s="241">
        <f>N1681-G1681</f>
        <v>2</v>
      </c>
      <c r="P1681" s="277">
        <v>4</v>
      </c>
      <c r="Q1681" s="278">
        <v>4</v>
      </c>
      <c r="R1681" s="279"/>
      <c r="S1681" s="279">
        <v>3</v>
      </c>
      <c r="T1681" s="279">
        <v>4</v>
      </c>
      <c r="U1681" s="279">
        <v>2</v>
      </c>
      <c r="V1681" s="279"/>
      <c r="W1681" s="241">
        <v>2</v>
      </c>
      <c r="X1681" s="241"/>
      <c r="Y1681" s="241"/>
      <c r="Z1681" s="241"/>
      <c r="AA1681" s="241"/>
      <c r="AB1681" s="241"/>
      <c r="AC1681" s="241"/>
      <c r="AD1681" s="241"/>
      <c r="AE1681" s="241"/>
      <c r="AF1681" s="241"/>
      <c r="AG1681" s="241"/>
      <c r="AH1681" s="241"/>
      <c r="AI1681" s="241"/>
      <c r="AJ1681" s="241">
        <f>N1681-V1681</f>
        <v>5</v>
      </c>
      <c r="AK1681" s="235">
        <f>G1716+AL1681-G1681</f>
        <v>0</v>
      </c>
      <c r="AL1681" s="350">
        <v>0</v>
      </c>
      <c r="AM1681" s="294">
        <v>1.5</v>
      </c>
      <c r="AN1681" s="295">
        <v>4</v>
      </c>
      <c r="AO1681" s="296">
        <f>G1681/(AN1681)</f>
        <v>0.75</v>
      </c>
      <c r="AP1681" s="297">
        <f>AN1681*6</f>
        <v>24</v>
      </c>
      <c r="AQ1681" s="290">
        <f>G1681+K1681</f>
        <v>4</v>
      </c>
      <c r="AR1681" s="290">
        <f>IF(G1681&lt;G1716,(G1716-G1681+K1716-K1681),K1716-K1681)</f>
        <v>0</v>
      </c>
      <c r="AS1681" s="290">
        <f>21-8</f>
        <v>13</v>
      </c>
    </row>
    <row r="1682" spans="1:45" ht="17.25" thickBot="1" x14ac:dyDescent="0.3">
      <c r="A1682" s="464"/>
      <c r="B1682" s="285">
        <v>273672</v>
      </c>
      <c r="C1682" s="286">
        <v>1135750</v>
      </c>
      <c r="D1682" s="286" t="s">
        <v>9</v>
      </c>
      <c r="E1682" s="287">
        <v>204000000000</v>
      </c>
      <c r="F1682" s="253">
        <f>G1717-AK1682+AL1682</f>
        <v>0</v>
      </c>
      <c r="G1682" s="235">
        <v>0</v>
      </c>
      <c r="H1682" s="394">
        <v>16</v>
      </c>
      <c r="I1682" s="232">
        <v>0</v>
      </c>
      <c r="J1682" s="232"/>
      <c r="K1682" s="232">
        <v>0</v>
      </c>
      <c r="L1682" s="232">
        <f>IF(K1715=K1680,L1717+AK1682,K1682)</f>
        <v>4</v>
      </c>
      <c r="M1682" s="232">
        <f>IF(K1715=K1680,0,L1717+AK1682-K1682)</f>
        <v>0</v>
      </c>
      <c r="N1682" s="267">
        <v>10</v>
      </c>
      <c r="O1682" s="241">
        <f>N1682-G1682</f>
        <v>10</v>
      </c>
      <c r="P1682" s="277">
        <v>13</v>
      </c>
      <c r="Q1682" s="278">
        <v>2</v>
      </c>
      <c r="R1682" s="279">
        <v>6</v>
      </c>
      <c r="S1682" s="279">
        <v>6</v>
      </c>
      <c r="T1682" s="279">
        <v>10</v>
      </c>
      <c r="U1682" s="279">
        <v>4</v>
      </c>
      <c r="V1682" s="279">
        <v>6</v>
      </c>
      <c r="W1682" s="241">
        <v>4</v>
      </c>
      <c r="X1682" s="241"/>
      <c r="Y1682" s="241"/>
      <c r="Z1682" s="241"/>
      <c r="AA1682" s="241"/>
      <c r="AB1682" s="241"/>
      <c r="AC1682" s="241"/>
      <c r="AD1682" s="241"/>
      <c r="AE1682" s="241"/>
      <c r="AF1682" s="241"/>
      <c r="AG1682" s="241"/>
      <c r="AH1682" s="241"/>
      <c r="AI1682" s="241"/>
      <c r="AJ1682" s="241">
        <f>N1682-V1682</f>
        <v>4</v>
      </c>
      <c r="AK1682" s="235">
        <f>G1717+AL1682-G1682</f>
        <v>0</v>
      </c>
      <c r="AL1682" s="236">
        <v>0</v>
      </c>
      <c r="AM1682" s="298">
        <v>4.2</v>
      </c>
      <c r="AN1682" s="295">
        <v>9</v>
      </c>
      <c r="AO1682" s="296">
        <f>G1682/(AN1682)</f>
        <v>0</v>
      </c>
      <c r="AP1682" s="297">
        <f>AN1682*6</f>
        <v>54</v>
      </c>
      <c r="AQ1682" s="290">
        <f>G1682+K1682</f>
        <v>0</v>
      </c>
      <c r="AR1682" s="290">
        <f>IF(G1682&lt;G1717,(G1717-G1682+K1717-K1682),K1717-K1682)</f>
        <v>0</v>
      </c>
      <c r="AS1682" s="290">
        <f>21-8</f>
        <v>13</v>
      </c>
    </row>
    <row r="1683" spans="1:45" ht="17.25" thickBot="1" x14ac:dyDescent="0.3">
      <c r="A1683" s="464"/>
      <c r="B1683" s="285">
        <v>273702</v>
      </c>
      <c r="C1683" s="286">
        <v>1135753</v>
      </c>
      <c r="D1683" s="286" t="s">
        <v>10</v>
      </c>
      <c r="E1683" s="287">
        <v>301000000000</v>
      </c>
      <c r="F1683" s="253">
        <f>G1718-AK1683+AL1683</f>
        <v>2</v>
      </c>
      <c r="G1683" s="235">
        <v>2</v>
      </c>
      <c r="H1683" s="394">
        <v>1</v>
      </c>
      <c r="I1683" s="232">
        <v>2</v>
      </c>
      <c r="J1683" s="232"/>
      <c r="K1683" s="232">
        <v>1</v>
      </c>
      <c r="L1683" s="232">
        <f>IF(K1715=K1680,L1718+AK1683,K1683)</f>
        <v>1</v>
      </c>
      <c r="M1683" s="232">
        <f>IF(K1715=K1680,0,L1718+AK1683-K1683)</f>
        <v>0</v>
      </c>
      <c r="N1683" s="232">
        <v>2</v>
      </c>
      <c r="O1683" s="241">
        <f>N1683-G1683</f>
        <v>0</v>
      </c>
      <c r="P1683" s="277"/>
      <c r="Q1683" s="278"/>
      <c r="R1683" s="279"/>
      <c r="S1683" s="279"/>
      <c r="T1683" s="279"/>
      <c r="U1683" s="279"/>
      <c r="V1683" s="279"/>
      <c r="W1683" s="241"/>
      <c r="X1683" s="241"/>
      <c r="Y1683" s="241"/>
      <c r="Z1683" s="241"/>
      <c r="AA1683" s="241"/>
      <c r="AB1683" s="241"/>
      <c r="AC1683" s="241"/>
      <c r="AD1683" s="241"/>
      <c r="AE1683" s="241"/>
      <c r="AF1683" s="241"/>
      <c r="AG1683" s="241"/>
      <c r="AH1683" s="241"/>
      <c r="AI1683" s="241"/>
      <c r="AJ1683" s="241">
        <f>N1683-V1683</f>
        <v>2</v>
      </c>
      <c r="AK1683" s="235">
        <f>G1718+AL1683-G1683</f>
        <v>0</v>
      </c>
      <c r="AL1683" s="236">
        <v>0</v>
      </c>
      <c r="AM1683" s="294">
        <f>4/12</f>
        <v>0.33333333333333331</v>
      </c>
      <c r="AN1683" s="295">
        <v>2</v>
      </c>
      <c r="AO1683" s="296">
        <f>G1683/(AN1683)</f>
        <v>1</v>
      </c>
      <c r="AP1683" s="297">
        <f>AN1683*6</f>
        <v>12</v>
      </c>
      <c r="AQ1683" s="290">
        <f>G1683+K1683</f>
        <v>3</v>
      </c>
      <c r="AR1683" s="290">
        <f>IF(G1683&lt;G1718,(G1718-G1683+K1718-K1683),K1718-K1683)</f>
        <v>0</v>
      </c>
      <c r="AS1683" s="290">
        <f>21-8</f>
        <v>13</v>
      </c>
    </row>
    <row r="1684" spans="1:45" ht="17.25" thickBot="1" x14ac:dyDescent="0.3">
      <c r="A1684" s="464"/>
      <c r="B1684" s="285">
        <v>273698</v>
      </c>
      <c r="C1684" s="286">
        <v>1135752</v>
      </c>
      <c r="D1684" s="286" t="s">
        <v>11</v>
      </c>
      <c r="E1684" s="287">
        <v>701000000000</v>
      </c>
      <c r="F1684" s="253">
        <f>G1719-AK1684+AL1684</f>
        <v>3</v>
      </c>
      <c r="G1684" s="235">
        <v>3</v>
      </c>
      <c r="H1684" s="394">
        <v>2</v>
      </c>
      <c r="I1684" s="232">
        <v>3</v>
      </c>
      <c r="J1684" s="232"/>
      <c r="K1684" s="232">
        <v>2</v>
      </c>
      <c r="L1684" s="232">
        <f>IF(K1715=K1680,L1719+AK1684,K1684)</f>
        <v>2</v>
      </c>
      <c r="M1684" s="232">
        <f>IF(K1715=K1680,0,L1719+AK1684-K1684)</f>
        <v>0</v>
      </c>
      <c r="N1684" s="232">
        <v>3</v>
      </c>
      <c r="O1684" s="241">
        <f>N1684-G1684</f>
        <v>0</v>
      </c>
      <c r="P1684" s="277">
        <v>2</v>
      </c>
      <c r="Q1684" s="278"/>
      <c r="R1684" s="279"/>
      <c r="S1684" s="279"/>
      <c r="T1684" s="279"/>
      <c r="U1684" s="279"/>
      <c r="V1684" s="279"/>
      <c r="W1684" s="241"/>
      <c r="X1684" s="241"/>
      <c r="Y1684" s="241"/>
      <c r="Z1684" s="241"/>
      <c r="AA1684" s="241"/>
      <c r="AB1684" s="241"/>
      <c r="AC1684" s="241"/>
      <c r="AD1684" s="241"/>
      <c r="AE1684" s="241"/>
      <c r="AF1684" s="241"/>
      <c r="AG1684" s="241"/>
      <c r="AH1684" s="241"/>
      <c r="AI1684" s="241"/>
      <c r="AJ1684" s="241">
        <f>N1684-V1684</f>
        <v>3</v>
      </c>
      <c r="AK1684" s="235">
        <f>G1719+AL1684-G1684</f>
        <v>0</v>
      </c>
      <c r="AL1684" s="236">
        <v>0</v>
      </c>
      <c r="AM1684" s="294">
        <f>4/12</f>
        <v>0.33333333333333331</v>
      </c>
      <c r="AN1684" s="295">
        <v>2</v>
      </c>
      <c r="AO1684" s="296">
        <f>G1684/(AN1684)</f>
        <v>1.5</v>
      </c>
      <c r="AP1684" s="297">
        <f>AN1684*6</f>
        <v>12</v>
      </c>
      <c r="AQ1684" s="290">
        <f>G1684+K1684</f>
        <v>5</v>
      </c>
      <c r="AR1684" s="290">
        <f>IF(G1684&lt;G1719,(G1719-G1684+K1719-K1684),K1719-K1684)</f>
        <v>0</v>
      </c>
      <c r="AS1684" s="290">
        <f>21-8</f>
        <v>13</v>
      </c>
    </row>
    <row r="1685" spans="1:45" ht="17.25" thickBot="1" x14ac:dyDescent="0.3">
      <c r="A1685" s="465"/>
      <c r="B1685" s="285">
        <v>273680</v>
      </c>
      <c r="C1685" s="286">
        <v>1135751</v>
      </c>
      <c r="D1685" s="286" t="s">
        <v>12</v>
      </c>
      <c r="E1685" s="286" t="s">
        <v>13</v>
      </c>
      <c r="F1685" s="254">
        <f>G1720-AK1685+AL1685</f>
        <v>9</v>
      </c>
      <c r="G1685" s="237">
        <v>9</v>
      </c>
      <c r="H1685" s="395">
        <v>8</v>
      </c>
      <c r="I1685" s="238">
        <v>9</v>
      </c>
      <c r="J1685" s="238"/>
      <c r="K1685" s="238">
        <v>5</v>
      </c>
      <c r="L1685" s="238">
        <f>IF(K1715=K1680,L1720+AK1685,K1685)</f>
        <v>5</v>
      </c>
      <c r="M1685" s="238">
        <f>IF(K1715=K1680,0,L1720+AK1685-K1685)</f>
        <v>0</v>
      </c>
      <c r="N1685" s="238">
        <v>9</v>
      </c>
      <c r="O1685" s="242">
        <f>N1685-G1685</f>
        <v>0</v>
      </c>
      <c r="P1685" s="280"/>
      <c r="Q1685" s="281"/>
      <c r="R1685" s="282"/>
      <c r="S1685" s="282"/>
      <c r="T1685" s="282">
        <v>11</v>
      </c>
      <c r="U1685" s="282"/>
      <c r="V1685" s="282"/>
      <c r="W1685" s="242"/>
      <c r="X1685" s="242"/>
      <c r="Y1685" s="242"/>
      <c r="Z1685" s="242"/>
      <c r="AA1685" s="242"/>
      <c r="AB1685" s="242"/>
      <c r="AC1685" s="242"/>
      <c r="AD1685" s="242"/>
      <c r="AE1685" s="242"/>
      <c r="AF1685" s="242"/>
      <c r="AG1685" s="242"/>
      <c r="AH1685" s="242"/>
      <c r="AI1685" s="242"/>
      <c r="AJ1685" s="242">
        <f>N1685-V1685</f>
        <v>9</v>
      </c>
      <c r="AK1685" s="235">
        <f>G1720+AL1685-G1685</f>
        <v>0</v>
      </c>
      <c r="AL1685" s="239">
        <v>0</v>
      </c>
      <c r="AM1685" s="299">
        <f>30/12</f>
        <v>2.5</v>
      </c>
      <c r="AN1685" s="300">
        <f>AM1685*2</f>
        <v>5</v>
      </c>
      <c r="AO1685" s="301">
        <f>G1685/(AN1685)</f>
        <v>1.8</v>
      </c>
      <c r="AP1685" s="302">
        <f>AN1685*6</f>
        <v>30</v>
      </c>
      <c r="AQ1685" s="290">
        <f>G1685+K1685</f>
        <v>14</v>
      </c>
      <c r="AR1685" s="290">
        <f>IF(G1685&lt;G1720,(G1720-G1685+K1720-K1685),K1720-K1685)</f>
        <v>0</v>
      </c>
      <c r="AS1685" s="290">
        <f>21-8</f>
        <v>13</v>
      </c>
    </row>
    <row r="1686" spans="1:45" ht="17.25" thickBot="1" x14ac:dyDescent="0.3">
      <c r="A1686" s="466" t="s">
        <v>417</v>
      </c>
      <c r="B1686" s="355" t="s">
        <v>129</v>
      </c>
      <c r="C1686" s="356"/>
      <c r="D1686" s="356"/>
      <c r="E1686" s="359"/>
      <c r="F1686" s="359"/>
      <c r="G1686" s="356"/>
      <c r="H1686" s="396"/>
      <c r="I1686" s="356"/>
      <c r="J1686" s="356"/>
      <c r="K1686" s="356"/>
      <c r="L1686" s="356"/>
      <c r="M1686" s="356"/>
      <c r="N1686" s="356"/>
      <c r="O1686" s="356"/>
      <c r="P1686" s="356"/>
      <c r="Q1686" s="356"/>
      <c r="R1686" s="356"/>
      <c r="S1686" s="356"/>
      <c r="T1686" s="356"/>
      <c r="U1686" s="356"/>
      <c r="V1686" s="356"/>
      <c r="W1686" s="356"/>
      <c r="X1686" s="356"/>
      <c r="Y1686" s="356"/>
      <c r="Z1686" s="356"/>
      <c r="AA1686" s="356"/>
      <c r="AB1686" s="356"/>
      <c r="AC1686" s="356"/>
      <c r="AD1686" s="356"/>
      <c r="AE1686" s="356"/>
      <c r="AF1686" s="356"/>
      <c r="AG1686" s="356"/>
      <c r="AH1686" s="356"/>
      <c r="AI1686" s="356"/>
      <c r="AJ1686" s="356"/>
      <c r="AK1686" s="356"/>
      <c r="AL1686" s="356"/>
      <c r="AM1686" s="356"/>
      <c r="AN1686" s="356"/>
      <c r="AO1686" s="356"/>
      <c r="AP1686" s="356"/>
      <c r="AQ1686" s="356"/>
      <c r="AR1686" s="356"/>
      <c r="AS1686" s="357"/>
    </row>
    <row r="1687" spans="1:45" ht="17.25" thickBot="1" x14ac:dyDescent="0.3">
      <c r="A1687" s="467"/>
      <c r="B1687" s="354"/>
      <c r="C1687" s="354">
        <v>1140327</v>
      </c>
      <c r="D1687" s="358" t="s">
        <v>394</v>
      </c>
      <c r="E1687" s="360"/>
      <c r="F1687" s="361"/>
      <c r="G1687" s="364"/>
      <c r="H1687" s="397">
        <v>23</v>
      </c>
      <c r="I1687" s="218"/>
      <c r="J1687" s="218"/>
      <c r="K1687" s="218"/>
      <c r="L1687" s="218"/>
      <c r="M1687" s="218"/>
      <c r="N1687" s="218"/>
      <c r="O1687" s="218"/>
      <c r="P1687" s="352"/>
      <c r="Q1687" s="352"/>
      <c r="R1687" s="352"/>
      <c r="S1687" s="352"/>
      <c r="T1687" s="352"/>
      <c r="U1687" s="352"/>
      <c r="V1687" s="218"/>
      <c r="W1687" s="218"/>
      <c r="X1687" s="218"/>
      <c r="Y1687" s="218"/>
      <c r="Z1687" s="218"/>
      <c r="AA1687" s="218"/>
      <c r="AB1687" s="218"/>
      <c r="AC1687" s="218"/>
      <c r="AD1687" s="218"/>
      <c r="AE1687" s="218"/>
      <c r="AF1687" s="218"/>
      <c r="AG1687" s="218"/>
      <c r="AH1687" s="218"/>
      <c r="AI1687" s="218"/>
      <c r="AJ1687" s="218"/>
      <c r="AK1687" s="218"/>
      <c r="AL1687" s="218"/>
      <c r="AM1687" s="353"/>
      <c r="AN1687" s="295"/>
      <c r="AO1687" s="296"/>
      <c r="AP1687" s="353"/>
      <c r="AQ1687" s="290"/>
      <c r="AR1687" s="290"/>
      <c r="AS1687" s="290"/>
    </row>
    <row r="1688" spans="1:45" ht="17.25" thickBot="1" x14ac:dyDescent="0.3">
      <c r="A1688" s="467"/>
      <c r="B1688" s="354"/>
      <c r="C1688" s="285">
        <v>1151231</v>
      </c>
      <c r="D1688" s="358" t="s">
        <v>395</v>
      </c>
      <c r="E1688" s="360"/>
      <c r="F1688" s="361"/>
      <c r="G1688" s="364">
        <v>0</v>
      </c>
      <c r="H1688" s="397">
        <v>13</v>
      </c>
      <c r="I1688" s="218"/>
      <c r="J1688" s="218"/>
      <c r="K1688" s="218"/>
      <c r="L1688" s="218"/>
      <c r="M1688" s="218"/>
      <c r="N1688" s="218"/>
      <c r="O1688" s="218"/>
      <c r="P1688" s="352"/>
      <c r="Q1688" s="352"/>
      <c r="R1688" s="352"/>
      <c r="S1688" s="352"/>
      <c r="T1688" s="352"/>
      <c r="U1688" s="352"/>
      <c r="V1688" s="218"/>
      <c r="W1688" s="218"/>
      <c r="X1688" s="218"/>
      <c r="Y1688" s="218"/>
      <c r="Z1688" s="218"/>
      <c r="AA1688" s="218"/>
      <c r="AB1688" s="218"/>
      <c r="AC1688" s="218"/>
      <c r="AD1688" s="218"/>
      <c r="AE1688" s="218"/>
      <c r="AF1688" s="218"/>
      <c r="AG1688" s="218"/>
      <c r="AH1688" s="218"/>
      <c r="AI1688" s="218"/>
      <c r="AJ1688" s="218"/>
      <c r="AK1688" s="218"/>
      <c r="AL1688" s="218"/>
      <c r="AM1688" s="353"/>
      <c r="AN1688" s="295"/>
      <c r="AO1688" s="296"/>
      <c r="AP1688" s="353"/>
      <c r="AQ1688" s="290"/>
      <c r="AR1688" s="290"/>
      <c r="AS1688" s="290"/>
    </row>
    <row r="1689" spans="1:45" ht="17.25" thickBot="1" x14ac:dyDescent="0.3">
      <c r="A1689" s="467"/>
      <c r="B1689" s="355" t="s">
        <v>420</v>
      </c>
      <c r="C1689" s="356"/>
      <c r="D1689" s="356"/>
      <c r="E1689" s="359"/>
      <c r="F1689" s="359"/>
      <c r="G1689" s="365"/>
      <c r="H1689" s="396"/>
      <c r="I1689" s="356"/>
      <c r="J1689" s="356"/>
      <c r="K1689" s="356"/>
      <c r="L1689" s="356"/>
      <c r="M1689" s="356"/>
      <c r="N1689" s="356"/>
      <c r="O1689" s="356"/>
      <c r="P1689" s="356"/>
      <c r="Q1689" s="356"/>
      <c r="R1689" s="356"/>
      <c r="S1689" s="356"/>
      <c r="T1689" s="356"/>
      <c r="U1689" s="356"/>
      <c r="V1689" s="356"/>
      <c r="W1689" s="356"/>
      <c r="X1689" s="356"/>
      <c r="Y1689" s="356"/>
      <c r="Z1689" s="356"/>
      <c r="AA1689" s="356"/>
      <c r="AB1689" s="356"/>
      <c r="AC1689" s="356"/>
      <c r="AD1689" s="356"/>
      <c r="AE1689" s="356"/>
      <c r="AF1689" s="356"/>
      <c r="AG1689" s="356"/>
      <c r="AH1689" s="356"/>
      <c r="AI1689" s="356"/>
      <c r="AJ1689" s="356"/>
      <c r="AK1689" s="356"/>
      <c r="AL1689" s="356"/>
      <c r="AM1689" s="356"/>
      <c r="AN1689" s="356"/>
      <c r="AO1689" s="356"/>
      <c r="AP1689" s="356"/>
      <c r="AQ1689" s="356"/>
      <c r="AR1689" s="356"/>
      <c r="AS1689" s="357"/>
    </row>
    <row r="1690" spans="1:45" ht="17.25" thickBot="1" x14ac:dyDescent="0.3">
      <c r="A1690" s="467"/>
      <c r="B1690" s="354"/>
      <c r="C1690" s="285">
        <v>1146032</v>
      </c>
      <c r="D1690" s="358" t="s">
        <v>396</v>
      </c>
      <c r="E1690" s="360"/>
      <c r="F1690" s="361"/>
      <c r="G1690" s="364">
        <v>1</v>
      </c>
      <c r="H1690" s="397">
        <v>1</v>
      </c>
      <c r="I1690" s="218"/>
      <c r="J1690" s="218"/>
      <c r="K1690" s="218"/>
      <c r="L1690" s="218"/>
      <c r="M1690" s="218"/>
      <c r="N1690" s="218"/>
      <c r="O1690" s="218"/>
      <c r="P1690" s="352"/>
      <c r="Q1690" s="352"/>
      <c r="R1690" s="352"/>
      <c r="S1690" s="352"/>
      <c r="T1690" s="352"/>
      <c r="U1690" s="352"/>
      <c r="V1690" s="218"/>
      <c r="W1690" s="218"/>
      <c r="X1690" s="218"/>
      <c r="Y1690" s="218"/>
      <c r="Z1690" s="218"/>
      <c r="AA1690" s="218"/>
      <c r="AB1690" s="218"/>
      <c r="AC1690" s="218"/>
      <c r="AD1690" s="218"/>
      <c r="AE1690" s="218"/>
      <c r="AF1690" s="218"/>
      <c r="AG1690" s="218"/>
      <c r="AH1690" s="218"/>
      <c r="AI1690" s="218"/>
      <c r="AJ1690" s="218"/>
      <c r="AK1690" s="218"/>
      <c r="AL1690" s="218"/>
      <c r="AM1690" s="353"/>
      <c r="AN1690" s="295"/>
      <c r="AO1690" s="296"/>
      <c r="AP1690" s="353"/>
      <c r="AQ1690" s="290"/>
      <c r="AR1690" s="290"/>
      <c r="AS1690" s="290"/>
    </row>
    <row r="1691" spans="1:45" ht="17.25" thickBot="1" x14ac:dyDescent="0.3">
      <c r="A1691" s="467"/>
      <c r="B1691" s="354"/>
      <c r="C1691" s="285">
        <v>1146021</v>
      </c>
      <c r="D1691" s="358" t="s">
        <v>397</v>
      </c>
      <c r="E1691" s="360"/>
      <c r="F1691" s="361"/>
      <c r="G1691" s="364">
        <v>2</v>
      </c>
      <c r="H1691" s="397">
        <v>2</v>
      </c>
      <c r="I1691" s="218"/>
      <c r="J1691" s="218"/>
      <c r="K1691" s="218"/>
      <c r="L1691" s="218"/>
      <c r="M1691" s="218"/>
      <c r="N1691" s="218"/>
      <c r="O1691" s="218"/>
      <c r="P1691" s="352"/>
      <c r="Q1691" s="352"/>
      <c r="R1691" s="352"/>
      <c r="S1691" s="352"/>
      <c r="T1691" s="352"/>
      <c r="U1691" s="352"/>
      <c r="V1691" s="218"/>
      <c r="W1691" s="218"/>
      <c r="X1691" s="218"/>
      <c r="Y1691" s="218"/>
      <c r="Z1691" s="218"/>
      <c r="AA1691" s="218"/>
      <c r="AB1691" s="218"/>
      <c r="AC1691" s="218"/>
      <c r="AD1691" s="218"/>
      <c r="AE1691" s="218"/>
      <c r="AF1691" s="218"/>
      <c r="AG1691" s="218"/>
      <c r="AH1691" s="218"/>
      <c r="AI1691" s="218"/>
      <c r="AJ1691" s="218"/>
      <c r="AK1691" s="218"/>
      <c r="AL1691" s="218"/>
      <c r="AM1691" s="353"/>
      <c r="AN1691" s="295"/>
      <c r="AO1691" s="296"/>
      <c r="AP1691" s="353"/>
      <c r="AQ1691" s="290"/>
      <c r="AR1691" s="290"/>
      <c r="AS1691" s="290"/>
    </row>
    <row r="1692" spans="1:45" ht="17.25" thickBot="1" x14ac:dyDescent="0.3">
      <c r="A1692" s="467"/>
      <c r="B1692" s="354"/>
      <c r="C1692" s="285">
        <v>1146018</v>
      </c>
      <c r="D1692" s="358" t="s">
        <v>398</v>
      </c>
      <c r="E1692" s="360"/>
      <c r="F1692" s="361"/>
      <c r="G1692" s="364">
        <v>6</v>
      </c>
      <c r="H1692" s="397">
        <v>1</v>
      </c>
      <c r="I1692" s="218"/>
      <c r="J1692" s="218"/>
      <c r="K1692" s="218"/>
      <c r="L1692" s="218"/>
      <c r="M1692" s="218"/>
      <c r="N1692" s="218"/>
      <c r="O1692" s="218"/>
      <c r="P1692" s="352"/>
      <c r="Q1692" s="352"/>
      <c r="R1692" s="352"/>
      <c r="S1692" s="352"/>
      <c r="T1692" s="352"/>
      <c r="U1692" s="352"/>
      <c r="V1692" s="218"/>
      <c r="W1692" s="218"/>
      <c r="X1692" s="218"/>
      <c r="Y1692" s="218"/>
      <c r="Z1692" s="218"/>
      <c r="AA1692" s="218"/>
      <c r="AB1692" s="218"/>
      <c r="AC1692" s="218"/>
      <c r="AD1692" s="218"/>
      <c r="AE1692" s="218"/>
      <c r="AF1692" s="218"/>
      <c r="AG1692" s="218"/>
      <c r="AH1692" s="218"/>
      <c r="AI1692" s="218"/>
      <c r="AJ1692" s="218"/>
      <c r="AK1692" s="218"/>
      <c r="AL1692" s="218"/>
      <c r="AM1692" s="353"/>
      <c r="AN1692" s="295"/>
      <c r="AO1692" s="296"/>
      <c r="AP1692" s="353"/>
      <c r="AQ1692" s="290"/>
      <c r="AR1692" s="290"/>
      <c r="AS1692" s="290"/>
    </row>
    <row r="1693" spans="1:45" ht="17.25" thickBot="1" x14ac:dyDescent="0.3">
      <c r="A1693" s="467"/>
      <c r="B1693" s="354"/>
      <c r="C1693" s="285">
        <v>1146024</v>
      </c>
      <c r="D1693" s="358" t="s">
        <v>399</v>
      </c>
      <c r="E1693" s="360"/>
      <c r="F1693" s="361"/>
      <c r="G1693" s="364">
        <v>2</v>
      </c>
      <c r="H1693" s="397">
        <v>2</v>
      </c>
      <c r="I1693" s="218"/>
      <c r="J1693" s="218"/>
      <c r="K1693" s="218"/>
      <c r="L1693" s="218"/>
      <c r="M1693" s="218"/>
      <c r="N1693" s="218"/>
      <c r="O1693" s="218"/>
      <c r="P1693" s="352"/>
      <c r="Q1693" s="352"/>
      <c r="R1693" s="352"/>
      <c r="S1693" s="352"/>
      <c r="T1693" s="352"/>
      <c r="U1693" s="352"/>
      <c r="V1693" s="218"/>
      <c r="W1693" s="218"/>
      <c r="X1693" s="218"/>
      <c r="Y1693" s="218"/>
      <c r="Z1693" s="218"/>
      <c r="AA1693" s="218"/>
      <c r="AB1693" s="218"/>
      <c r="AC1693" s="218"/>
      <c r="AD1693" s="218"/>
      <c r="AE1693" s="218"/>
      <c r="AF1693" s="218"/>
      <c r="AG1693" s="218"/>
      <c r="AH1693" s="218"/>
      <c r="AI1693" s="218"/>
      <c r="AJ1693" s="218"/>
      <c r="AK1693" s="218"/>
      <c r="AL1693" s="218"/>
      <c r="AM1693" s="353"/>
      <c r="AN1693" s="295"/>
      <c r="AO1693" s="296"/>
      <c r="AP1693" s="353"/>
      <c r="AQ1693" s="290"/>
      <c r="AR1693" s="290"/>
      <c r="AS1693" s="290"/>
    </row>
    <row r="1694" spans="1:45" ht="17.25" thickBot="1" x14ac:dyDescent="0.3">
      <c r="A1694" s="467"/>
      <c r="B1694" s="354"/>
      <c r="C1694" s="285">
        <v>1146028</v>
      </c>
      <c r="D1694" s="358" t="s">
        <v>400</v>
      </c>
      <c r="E1694" s="360"/>
      <c r="F1694" s="361"/>
      <c r="G1694" s="364">
        <v>3</v>
      </c>
      <c r="H1694" s="397">
        <v>2</v>
      </c>
      <c r="I1694" s="218"/>
      <c r="J1694" s="218"/>
      <c r="K1694" s="218"/>
      <c r="L1694" s="218"/>
      <c r="M1694" s="218"/>
      <c r="N1694" s="218"/>
      <c r="O1694" s="218"/>
      <c r="P1694" s="352"/>
      <c r="Q1694" s="352"/>
      <c r="R1694" s="352"/>
      <c r="S1694" s="352"/>
      <c r="T1694" s="352"/>
      <c r="U1694" s="352"/>
      <c r="V1694" s="218"/>
      <c r="W1694" s="218"/>
      <c r="X1694" s="218"/>
      <c r="Y1694" s="218"/>
      <c r="Z1694" s="218"/>
      <c r="AA1694" s="218"/>
      <c r="AB1694" s="218"/>
      <c r="AC1694" s="218"/>
      <c r="AD1694" s="218"/>
      <c r="AE1694" s="218"/>
      <c r="AF1694" s="218"/>
      <c r="AG1694" s="218"/>
      <c r="AH1694" s="218"/>
      <c r="AI1694" s="218"/>
      <c r="AJ1694" s="218"/>
      <c r="AK1694" s="218"/>
      <c r="AL1694" s="218"/>
      <c r="AM1694" s="353"/>
      <c r="AN1694" s="295"/>
      <c r="AO1694" s="296"/>
      <c r="AP1694" s="353"/>
      <c r="AQ1694" s="290"/>
      <c r="AR1694" s="290"/>
      <c r="AS1694" s="290"/>
    </row>
    <row r="1695" spans="1:45" ht="17.25" thickBot="1" x14ac:dyDescent="0.3">
      <c r="A1695" s="467"/>
      <c r="B1695" s="355" t="s">
        <v>419</v>
      </c>
      <c r="C1695" s="356"/>
      <c r="D1695" s="356"/>
      <c r="E1695" s="359"/>
      <c r="F1695" s="359"/>
      <c r="G1695" s="365"/>
      <c r="H1695" s="396"/>
      <c r="I1695" s="356"/>
      <c r="J1695" s="356"/>
      <c r="K1695" s="356"/>
      <c r="L1695" s="356"/>
      <c r="M1695" s="356"/>
      <c r="N1695" s="356"/>
      <c r="O1695" s="356"/>
      <c r="P1695" s="356"/>
      <c r="Q1695" s="356"/>
      <c r="R1695" s="356"/>
      <c r="S1695" s="356"/>
      <c r="T1695" s="356"/>
      <c r="U1695" s="356"/>
      <c r="V1695" s="356"/>
      <c r="W1695" s="356"/>
      <c r="X1695" s="356"/>
      <c r="Y1695" s="356"/>
      <c r="Z1695" s="356"/>
      <c r="AA1695" s="356"/>
      <c r="AB1695" s="356"/>
      <c r="AC1695" s="356"/>
      <c r="AD1695" s="356"/>
      <c r="AE1695" s="356"/>
      <c r="AF1695" s="356"/>
      <c r="AG1695" s="356"/>
      <c r="AH1695" s="356"/>
      <c r="AI1695" s="356"/>
      <c r="AJ1695" s="356"/>
      <c r="AK1695" s="356"/>
      <c r="AL1695" s="356"/>
      <c r="AM1695" s="356"/>
      <c r="AN1695" s="356"/>
      <c r="AO1695" s="356"/>
      <c r="AP1695" s="356"/>
      <c r="AQ1695" s="356"/>
      <c r="AR1695" s="356"/>
      <c r="AS1695" s="357"/>
    </row>
    <row r="1696" spans="1:45" ht="17.25" thickBot="1" x14ac:dyDescent="0.3">
      <c r="A1696" s="467"/>
      <c r="B1696" s="354"/>
      <c r="C1696" s="285">
        <v>1146031</v>
      </c>
      <c r="D1696" s="358" t="s">
        <v>401</v>
      </c>
      <c r="E1696" s="360"/>
      <c r="F1696" s="361"/>
      <c r="G1696" s="364">
        <v>2</v>
      </c>
      <c r="H1696" s="397">
        <v>1</v>
      </c>
      <c r="I1696" s="218"/>
      <c r="J1696" s="218"/>
      <c r="K1696" s="218"/>
      <c r="L1696" s="218"/>
      <c r="M1696" s="218"/>
      <c r="N1696" s="218"/>
      <c r="O1696" s="218"/>
      <c r="P1696" s="352"/>
      <c r="Q1696" s="352"/>
      <c r="R1696" s="352"/>
      <c r="S1696" s="352"/>
      <c r="T1696" s="352"/>
      <c r="U1696" s="352"/>
      <c r="V1696" s="218"/>
      <c r="W1696" s="218"/>
      <c r="X1696" s="218"/>
      <c r="Y1696" s="218"/>
      <c r="Z1696" s="218"/>
      <c r="AA1696" s="218"/>
      <c r="AB1696" s="218"/>
      <c r="AC1696" s="218"/>
      <c r="AD1696" s="218"/>
      <c r="AE1696" s="218"/>
      <c r="AF1696" s="218"/>
      <c r="AG1696" s="218"/>
      <c r="AH1696" s="218"/>
      <c r="AI1696" s="218"/>
      <c r="AJ1696" s="218"/>
      <c r="AK1696" s="218"/>
      <c r="AL1696" s="218"/>
      <c r="AM1696" s="353"/>
      <c r="AN1696" s="295"/>
      <c r="AO1696" s="296"/>
      <c r="AP1696" s="353"/>
      <c r="AQ1696" s="290"/>
      <c r="AR1696" s="290"/>
      <c r="AS1696" s="290"/>
    </row>
    <row r="1697" spans="1:45" ht="17.25" thickBot="1" x14ac:dyDescent="0.3">
      <c r="A1697" s="467"/>
      <c r="B1697" s="354"/>
      <c r="C1697" s="285">
        <v>1146020</v>
      </c>
      <c r="D1697" s="358" t="s">
        <v>402</v>
      </c>
      <c r="E1697" s="360"/>
      <c r="F1697" s="361"/>
      <c r="G1697" s="364">
        <v>1</v>
      </c>
      <c r="H1697" s="397">
        <v>1</v>
      </c>
      <c r="I1697" s="218"/>
      <c r="J1697" s="218"/>
      <c r="K1697" s="218"/>
      <c r="L1697" s="218"/>
      <c r="M1697" s="218"/>
      <c r="N1697" s="218"/>
      <c r="O1697" s="218"/>
      <c r="P1697" s="352"/>
      <c r="Q1697" s="352"/>
      <c r="R1697" s="352"/>
      <c r="S1697" s="352"/>
      <c r="T1697" s="352"/>
      <c r="U1697" s="352"/>
      <c r="V1697" s="218"/>
      <c r="W1697" s="218"/>
      <c r="X1697" s="218"/>
      <c r="Y1697" s="218"/>
      <c r="Z1697" s="218"/>
      <c r="AA1697" s="218"/>
      <c r="AB1697" s="218"/>
      <c r="AC1697" s="218"/>
      <c r="AD1697" s="218"/>
      <c r="AE1697" s="218"/>
      <c r="AF1697" s="218"/>
      <c r="AG1697" s="218"/>
      <c r="AH1697" s="218"/>
      <c r="AI1697" s="218"/>
      <c r="AJ1697" s="218"/>
      <c r="AK1697" s="218"/>
      <c r="AL1697" s="218"/>
      <c r="AM1697" s="353"/>
      <c r="AN1697" s="295"/>
      <c r="AO1697" s="296"/>
      <c r="AP1697" s="353"/>
      <c r="AQ1697" s="290"/>
      <c r="AR1697" s="290"/>
      <c r="AS1697" s="290"/>
    </row>
    <row r="1698" spans="1:45" ht="17.25" thickBot="1" x14ac:dyDescent="0.3">
      <c r="A1698" s="467"/>
      <c r="B1698" s="354"/>
      <c r="C1698" s="285">
        <v>1146016</v>
      </c>
      <c r="D1698" s="358" t="s">
        <v>398</v>
      </c>
      <c r="E1698" s="360"/>
      <c r="F1698" s="361"/>
      <c r="G1698" s="364">
        <v>6</v>
      </c>
      <c r="H1698" s="397">
        <v>1</v>
      </c>
      <c r="I1698" s="218"/>
      <c r="J1698" s="218"/>
      <c r="K1698" s="218"/>
      <c r="L1698" s="218"/>
      <c r="M1698" s="218"/>
      <c r="N1698" s="218"/>
      <c r="O1698" s="218"/>
      <c r="P1698" s="352"/>
      <c r="Q1698" s="352"/>
      <c r="R1698" s="352"/>
      <c r="S1698" s="352"/>
      <c r="T1698" s="352"/>
      <c r="U1698" s="352"/>
      <c r="V1698" s="218"/>
      <c r="W1698" s="218"/>
      <c r="X1698" s="218"/>
      <c r="Y1698" s="218"/>
      <c r="Z1698" s="218"/>
      <c r="AA1698" s="218"/>
      <c r="AB1698" s="218"/>
      <c r="AC1698" s="218"/>
      <c r="AD1698" s="218"/>
      <c r="AE1698" s="218"/>
      <c r="AF1698" s="218"/>
      <c r="AG1698" s="218"/>
      <c r="AH1698" s="218"/>
      <c r="AI1698" s="218"/>
      <c r="AJ1698" s="218"/>
      <c r="AK1698" s="218"/>
      <c r="AL1698" s="218"/>
      <c r="AM1698" s="353"/>
      <c r="AN1698" s="295"/>
      <c r="AO1698" s="296"/>
      <c r="AP1698" s="353"/>
      <c r="AQ1698" s="290"/>
      <c r="AR1698" s="290"/>
      <c r="AS1698" s="290"/>
    </row>
    <row r="1699" spans="1:45" ht="17.25" thickBot="1" x14ac:dyDescent="0.3">
      <c r="A1699" s="467"/>
      <c r="B1699" s="354"/>
      <c r="C1699" s="285">
        <v>1146022</v>
      </c>
      <c r="D1699" s="358" t="s">
        <v>403</v>
      </c>
      <c r="E1699" s="360"/>
      <c r="F1699" s="361"/>
      <c r="G1699" s="364">
        <v>1</v>
      </c>
      <c r="H1699" s="397">
        <v>2</v>
      </c>
      <c r="I1699" s="218"/>
      <c r="J1699" s="218"/>
      <c r="K1699" s="218"/>
      <c r="L1699" s="218"/>
      <c r="M1699" s="218"/>
      <c r="N1699" s="218"/>
      <c r="O1699" s="218"/>
      <c r="P1699" s="352"/>
      <c r="Q1699" s="352"/>
      <c r="R1699" s="352"/>
      <c r="S1699" s="352"/>
      <c r="T1699" s="352"/>
      <c r="U1699" s="352"/>
      <c r="V1699" s="218"/>
      <c r="W1699" s="218"/>
      <c r="X1699" s="218"/>
      <c r="Y1699" s="218"/>
      <c r="Z1699" s="218"/>
      <c r="AA1699" s="218"/>
      <c r="AB1699" s="218"/>
      <c r="AC1699" s="218"/>
      <c r="AD1699" s="218"/>
      <c r="AE1699" s="218"/>
      <c r="AF1699" s="218"/>
      <c r="AG1699" s="218"/>
      <c r="AH1699" s="218"/>
      <c r="AI1699" s="218"/>
      <c r="AJ1699" s="218"/>
      <c r="AK1699" s="218"/>
      <c r="AL1699" s="218"/>
      <c r="AM1699" s="353"/>
      <c r="AN1699" s="295"/>
      <c r="AO1699" s="296"/>
      <c r="AP1699" s="353"/>
      <c r="AQ1699" s="290"/>
      <c r="AR1699" s="290"/>
      <c r="AS1699" s="290"/>
    </row>
    <row r="1700" spans="1:45" ht="17.25" thickBot="1" x14ac:dyDescent="0.3">
      <c r="A1700" s="467"/>
      <c r="B1700" s="354"/>
      <c r="C1700" s="285">
        <v>1146027</v>
      </c>
      <c r="D1700" s="358" t="s">
        <v>404</v>
      </c>
      <c r="E1700" s="360"/>
      <c r="F1700" s="361"/>
      <c r="G1700" s="364">
        <v>2</v>
      </c>
      <c r="H1700" s="397">
        <v>2</v>
      </c>
      <c r="I1700" s="218"/>
      <c r="J1700" s="218"/>
      <c r="K1700" s="218"/>
      <c r="L1700" s="218"/>
      <c r="M1700" s="218"/>
      <c r="N1700" s="218"/>
      <c r="O1700" s="218"/>
      <c r="P1700" s="352"/>
      <c r="Q1700" s="352"/>
      <c r="R1700" s="352"/>
      <c r="S1700" s="352"/>
      <c r="T1700" s="352"/>
      <c r="U1700" s="352"/>
      <c r="V1700" s="218"/>
      <c r="W1700" s="218"/>
      <c r="X1700" s="218"/>
      <c r="Y1700" s="218"/>
      <c r="Z1700" s="218"/>
      <c r="AA1700" s="218"/>
      <c r="AB1700" s="218"/>
      <c r="AC1700" s="218"/>
      <c r="AD1700" s="218"/>
      <c r="AE1700" s="218"/>
      <c r="AF1700" s="218"/>
      <c r="AG1700" s="218"/>
      <c r="AH1700" s="218"/>
      <c r="AI1700" s="218"/>
      <c r="AJ1700" s="218"/>
      <c r="AK1700" s="218"/>
      <c r="AL1700" s="218"/>
      <c r="AM1700" s="353"/>
      <c r="AN1700" s="295"/>
      <c r="AO1700" s="296"/>
      <c r="AP1700" s="353"/>
      <c r="AQ1700" s="290"/>
      <c r="AR1700" s="290"/>
      <c r="AS1700" s="290"/>
    </row>
    <row r="1701" spans="1:45" ht="17.25" thickBot="1" x14ac:dyDescent="0.3">
      <c r="A1701" s="467"/>
      <c r="B1701" s="355" t="s">
        <v>418</v>
      </c>
      <c r="C1701" s="356"/>
      <c r="D1701" s="356"/>
      <c r="E1701" s="359"/>
      <c r="F1701" s="359"/>
      <c r="G1701" s="365"/>
      <c r="H1701" s="396"/>
      <c r="I1701" s="356"/>
      <c r="J1701" s="356"/>
      <c r="K1701" s="356"/>
      <c r="L1701" s="356"/>
      <c r="M1701" s="356"/>
      <c r="N1701" s="356"/>
      <c r="O1701" s="356"/>
      <c r="P1701" s="356"/>
      <c r="Q1701" s="356"/>
      <c r="R1701" s="356"/>
      <c r="S1701" s="356"/>
      <c r="T1701" s="356"/>
      <c r="U1701" s="356"/>
      <c r="V1701" s="356"/>
      <c r="W1701" s="356"/>
      <c r="X1701" s="356"/>
      <c r="Y1701" s="356"/>
      <c r="Z1701" s="356"/>
      <c r="AA1701" s="356"/>
      <c r="AB1701" s="356"/>
      <c r="AC1701" s="356"/>
      <c r="AD1701" s="356"/>
      <c r="AE1701" s="356"/>
      <c r="AF1701" s="356"/>
      <c r="AG1701" s="356"/>
      <c r="AH1701" s="356"/>
      <c r="AI1701" s="356"/>
      <c r="AJ1701" s="356"/>
      <c r="AK1701" s="356"/>
      <c r="AL1701" s="356"/>
      <c r="AM1701" s="356"/>
      <c r="AN1701" s="356"/>
      <c r="AO1701" s="356"/>
      <c r="AP1701" s="356"/>
      <c r="AQ1701" s="356"/>
      <c r="AR1701" s="356"/>
      <c r="AS1701" s="357"/>
    </row>
    <row r="1702" spans="1:45" ht="17.25" thickBot="1" x14ac:dyDescent="0.3">
      <c r="A1702" s="467"/>
      <c r="B1702" s="354"/>
      <c r="C1702" s="285">
        <v>1151653</v>
      </c>
      <c r="D1702" s="358" t="s">
        <v>405</v>
      </c>
      <c r="E1702" s="360"/>
      <c r="F1702" s="361"/>
      <c r="G1702" s="364">
        <v>0</v>
      </c>
      <c r="H1702" s="397">
        <v>1</v>
      </c>
      <c r="I1702" s="218"/>
      <c r="J1702" s="218"/>
      <c r="K1702" s="218"/>
      <c r="L1702" s="218"/>
      <c r="M1702" s="218"/>
      <c r="N1702" s="218"/>
      <c r="O1702" s="218"/>
      <c r="P1702" s="352"/>
      <c r="Q1702" s="352"/>
      <c r="R1702" s="352"/>
      <c r="S1702" s="352"/>
      <c r="T1702" s="352"/>
      <c r="U1702" s="352"/>
      <c r="V1702" s="218"/>
      <c r="W1702" s="218"/>
      <c r="X1702" s="218"/>
      <c r="Y1702" s="218"/>
      <c r="Z1702" s="218"/>
      <c r="AA1702" s="218"/>
      <c r="AB1702" s="218"/>
      <c r="AC1702" s="218"/>
      <c r="AD1702" s="218"/>
      <c r="AE1702" s="218"/>
      <c r="AF1702" s="218"/>
      <c r="AG1702" s="218"/>
      <c r="AH1702" s="218"/>
      <c r="AI1702" s="218"/>
      <c r="AJ1702" s="218"/>
      <c r="AK1702" s="218"/>
      <c r="AL1702" s="218"/>
      <c r="AM1702" s="353"/>
      <c r="AN1702" s="295"/>
      <c r="AO1702" s="296"/>
      <c r="AP1702" s="353"/>
      <c r="AQ1702" s="290"/>
      <c r="AR1702" s="290"/>
      <c r="AS1702" s="290"/>
    </row>
    <row r="1703" spans="1:45" ht="17.25" thickBot="1" x14ac:dyDescent="0.3">
      <c r="A1703" s="467"/>
      <c r="B1703" s="354"/>
      <c r="C1703" s="285">
        <v>1151650</v>
      </c>
      <c r="D1703" s="358" t="s">
        <v>406</v>
      </c>
      <c r="E1703" s="360"/>
      <c r="F1703" s="361"/>
      <c r="G1703" s="364">
        <v>1</v>
      </c>
      <c r="H1703" s="397">
        <v>2</v>
      </c>
      <c r="I1703" s="218"/>
      <c r="J1703" s="218"/>
      <c r="K1703" s="218"/>
      <c r="L1703" s="218"/>
      <c r="M1703" s="218"/>
      <c r="N1703" s="218"/>
      <c r="O1703" s="218"/>
      <c r="P1703" s="352"/>
      <c r="Q1703" s="352"/>
      <c r="R1703" s="352"/>
      <c r="S1703" s="352"/>
      <c r="T1703" s="352"/>
      <c r="U1703" s="352"/>
      <c r="V1703" s="218"/>
      <c r="W1703" s="218"/>
      <c r="X1703" s="218"/>
      <c r="Y1703" s="218"/>
      <c r="Z1703" s="218"/>
      <c r="AA1703" s="218"/>
      <c r="AB1703" s="218"/>
      <c r="AC1703" s="218"/>
      <c r="AD1703" s="218"/>
      <c r="AE1703" s="218"/>
      <c r="AF1703" s="218"/>
      <c r="AG1703" s="218"/>
      <c r="AH1703" s="218"/>
      <c r="AI1703" s="218"/>
      <c r="AJ1703" s="218"/>
      <c r="AK1703" s="218"/>
      <c r="AL1703" s="218"/>
      <c r="AM1703" s="353"/>
      <c r="AN1703" s="295"/>
      <c r="AO1703" s="296"/>
      <c r="AP1703" s="353"/>
      <c r="AQ1703" s="290"/>
      <c r="AR1703" s="290"/>
      <c r="AS1703" s="290"/>
    </row>
    <row r="1704" spans="1:45" ht="17.25" thickBot="1" x14ac:dyDescent="0.3">
      <c r="A1704" s="467"/>
      <c r="B1704" s="354"/>
      <c r="C1704" s="285">
        <v>1151649</v>
      </c>
      <c r="D1704" s="358" t="s">
        <v>407</v>
      </c>
      <c r="E1704" s="360"/>
      <c r="F1704" s="361"/>
      <c r="G1704" s="364">
        <v>2</v>
      </c>
      <c r="H1704" s="397">
        <v>4</v>
      </c>
      <c r="I1704" s="218"/>
      <c r="J1704" s="218"/>
      <c r="K1704" s="218"/>
      <c r="L1704" s="218"/>
      <c r="M1704" s="218"/>
      <c r="N1704" s="218"/>
      <c r="O1704" s="218"/>
      <c r="P1704" s="352"/>
      <c r="Q1704" s="352"/>
      <c r="R1704" s="352"/>
      <c r="S1704" s="352"/>
      <c r="T1704" s="352"/>
      <c r="U1704" s="352"/>
      <c r="V1704" s="218"/>
      <c r="W1704" s="218"/>
      <c r="X1704" s="218"/>
      <c r="Y1704" s="218"/>
      <c r="Z1704" s="218"/>
      <c r="AA1704" s="218"/>
      <c r="AB1704" s="218"/>
      <c r="AC1704" s="218"/>
      <c r="AD1704" s="218"/>
      <c r="AE1704" s="218"/>
      <c r="AF1704" s="218"/>
      <c r="AG1704" s="218"/>
      <c r="AH1704" s="218"/>
      <c r="AI1704" s="218"/>
      <c r="AJ1704" s="218"/>
      <c r="AK1704" s="218"/>
      <c r="AL1704" s="218"/>
      <c r="AM1704" s="353"/>
      <c r="AN1704" s="295"/>
      <c r="AO1704" s="296"/>
      <c r="AP1704" s="353"/>
      <c r="AQ1704" s="290"/>
      <c r="AR1704" s="290"/>
      <c r="AS1704" s="290"/>
    </row>
    <row r="1705" spans="1:45" ht="17.25" thickBot="1" x14ac:dyDescent="0.3">
      <c r="A1705" s="467"/>
      <c r="B1705" s="354"/>
      <c r="C1705" s="285">
        <v>1151651</v>
      </c>
      <c r="D1705" s="358" t="s">
        <v>408</v>
      </c>
      <c r="E1705" s="360"/>
      <c r="F1705" s="361"/>
      <c r="G1705" s="364">
        <v>0</v>
      </c>
      <c r="H1705" s="397">
        <v>1</v>
      </c>
      <c r="I1705" s="218"/>
      <c r="J1705" s="218"/>
      <c r="K1705" s="218"/>
      <c r="L1705" s="218"/>
      <c r="M1705" s="218"/>
      <c r="N1705" s="218"/>
      <c r="O1705" s="218"/>
      <c r="P1705" s="352"/>
      <c r="Q1705" s="352"/>
      <c r="R1705" s="352"/>
      <c r="S1705" s="352"/>
      <c r="T1705" s="352"/>
      <c r="U1705" s="352"/>
      <c r="V1705" s="218"/>
      <c r="W1705" s="218"/>
      <c r="X1705" s="218"/>
      <c r="Y1705" s="218"/>
      <c r="Z1705" s="218"/>
      <c r="AA1705" s="218"/>
      <c r="AB1705" s="218"/>
      <c r="AC1705" s="218"/>
      <c r="AD1705" s="218"/>
      <c r="AE1705" s="218"/>
      <c r="AF1705" s="218"/>
      <c r="AG1705" s="218"/>
      <c r="AH1705" s="218"/>
      <c r="AI1705" s="218"/>
      <c r="AJ1705" s="218"/>
      <c r="AK1705" s="218"/>
      <c r="AL1705" s="218"/>
      <c r="AM1705" s="353"/>
      <c r="AN1705" s="295"/>
      <c r="AO1705" s="296"/>
      <c r="AP1705" s="353"/>
      <c r="AQ1705" s="290"/>
      <c r="AR1705" s="290"/>
      <c r="AS1705" s="290"/>
    </row>
    <row r="1706" spans="1:45" ht="17.25" thickBot="1" x14ac:dyDescent="0.3">
      <c r="A1706" s="467"/>
      <c r="B1706" s="354"/>
      <c r="C1706" s="285">
        <v>1146029</v>
      </c>
      <c r="D1706" s="358" t="s">
        <v>409</v>
      </c>
      <c r="E1706" s="360"/>
      <c r="F1706" s="361"/>
      <c r="G1706" s="364">
        <v>1</v>
      </c>
      <c r="H1706" s="397">
        <v>2</v>
      </c>
      <c r="I1706" s="218"/>
      <c r="J1706" s="218"/>
      <c r="K1706" s="218"/>
      <c r="L1706" s="218"/>
      <c r="M1706" s="218"/>
      <c r="N1706" s="218"/>
      <c r="O1706" s="218"/>
      <c r="P1706" s="352"/>
      <c r="Q1706" s="352"/>
      <c r="R1706" s="352"/>
      <c r="S1706" s="352"/>
      <c r="T1706" s="352"/>
      <c r="U1706" s="352"/>
      <c r="V1706" s="218"/>
      <c r="W1706" s="218"/>
      <c r="X1706" s="218"/>
      <c r="Y1706" s="218"/>
      <c r="Z1706" s="218"/>
      <c r="AA1706" s="218"/>
      <c r="AB1706" s="218"/>
      <c r="AC1706" s="218"/>
      <c r="AD1706" s="218"/>
      <c r="AE1706" s="218"/>
      <c r="AF1706" s="218"/>
      <c r="AG1706" s="218"/>
      <c r="AH1706" s="218"/>
      <c r="AI1706" s="218"/>
      <c r="AJ1706" s="218"/>
      <c r="AK1706" s="218"/>
      <c r="AL1706" s="218"/>
      <c r="AM1706" s="353"/>
      <c r="AN1706" s="295"/>
      <c r="AO1706" s="296"/>
      <c r="AP1706" s="353"/>
      <c r="AQ1706" s="290"/>
      <c r="AR1706" s="290"/>
      <c r="AS1706" s="290"/>
    </row>
    <row r="1707" spans="1:45" ht="17.25" thickBot="1" x14ac:dyDescent="0.3">
      <c r="A1707" s="467"/>
      <c r="B1707" s="355" t="s">
        <v>410</v>
      </c>
      <c r="C1707" s="356"/>
      <c r="D1707" s="356"/>
      <c r="E1707" s="359"/>
      <c r="F1707" s="359"/>
      <c r="G1707" s="365"/>
      <c r="H1707" s="396"/>
      <c r="I1707" s="356"/>
      <c r="J1707" s="356"/>
      <c r="K1707" s="356"/>
      <c r="L1707" s="356"/>
      <c r="M1707" s="356"/>
      <c r="N1707" s="356"/>
      <c r="O1707" s="356"/>
      <c r="P1707" s="356"/>
      <c r="Q1707" s="356"/>
      <c r="R1707" s="356"/>
      <c r="S1707" s="356"/>
      <c r="T1707" s="356"/>
      <c r="U1707" s="356"/>
      <c r="V1707" s="356"/>
      <c r="W1707" s="356"/>
      <c r="X1707" s="356"/>
      <c r="Y1707" s="356"/>
      <c r="Z1707" s="356"/>
      <c r="AA1707" s="356"/>
      <c r="AB1707" s="356"/>
      <c r="AC1707" s="356"/>
      <c r="AD1707" s="356"/>
      <c r="AE1707" s="356"/>
      <c r="AF1707" s="356"/>
      <c r="AG1707" s="356"/>
      <c r="AH1707" s="356"/>
      <c r="AI1707" s="356"/>
      <c r="AJ1707" s="356"/>
      <c r="AK1707" s="356"/>
      <c r="AL1707" s="356"/>
      <c r="AM1707" s="356"/>
      <c r="AN1707" s="356"/>
      <c r="AO1707" s="356"/>
      <c r="AP1707" s="356"/>
      <c r="AQ1707" s="356"/>
      <c r="AR1707" s="356"/>
      <c r="AS1707" s="357"/>
    </row>
    <row r="1708" spans="1:45" ht="17.25" thickBot="1" x14ac:dyDescent="0.3">
      <c r="A1708" s="467"/>
      <c r="B1708" s="354"/>
      <c r="C1708" s="285">
        <v>1699118</v>
      </c>
      <c r="D1708" s="358" t="s">
        <v>411</v>
      </c>
      <c r="E1708" s="360"/>
      <c r="F1708" s="361"/>
      <c r="G1708" s="364">
        <v>0</v>
      </c>
      <c r="H1708" s="397">
        <v>1</v>
      </c>
      <c r="I1708" s="218"/>
      <c r="J1708" s="218"/>
      <c r="K1708" s="218"/>
      <c r="L1708" s="218"/>
      <c r="M1708" s="218"/>
      <c r="N1708" s="218"/>
      <c r="O1708" s="218"/>
      <c r="P1708" s="352"/>
      <c r="Q1708" s="352"/>
      <c r="R1708" s="352"/>
      <c r="S1708" s="352"/>
      <c r="T1708" s="352"/>
      <c r="U1708" s="352"/>
      <c r="V1708" s="218"/>
      <c r="W1708" s="218"/>
      <c r="X1708" s="218"/>
      <c r="Y1708" s="218"/>
      <c r="Z1708" s="218"/>
      <c r="AA1708" s="218"/>
      <c r="AB1708" s="218"/>
      <c r="AC1708" s="218"/>
      <c r="AD1708" s="218"/>
      <c r="AE1708" s="218"/>
      <c r="AF1708" s="218"/>
      <c r="AG1708" s="218"/>
      <c r="AH1708" s="218"/>
      <c r="AI1708" s="218"/>
      <c r="AJ1708" s="218"/>
      <c r="AK1708" s="218"/>
      <c r="AL1708" s="218"/>
      <c r="AM1708" s="353"/>
      <c r="AN1708" s="295"/>
      <c r="AO1708" s="296"/>
      <c r="AP1708" s="353"/>
      <c r="AQ1708" s="290"/>
      <c r="AR1708" s="290"/>
      <c r="AS1708" s="290"/>
    </row>
    <row r="1709" spans="1:45" ht="17.25" thickBot="1" x14ac:dyDescent="0.3">
      <c r="A1709" s="467"/>
      <c r="B1709" s="354"/>
      <c r="C1709" s="285">
        <v>1699119</v>
      </c>
      <c r="D1709" s="358" t="s">
        <v>412</v>
      </c>
      <c r="E1709" s="360"/>
      <c r="F1709" s="361"/>
      <c r="G1709" s="364">
        <v>0</v>
      </c>
      <c r="H1709" s="397">
        <v>1</v>
      </c>
      <c r="I1709" s="218"/>
      <c r="J1709" s="218"/>
      <c r="K1709" s="218"/>
      <c r="L1709" s="218"/>
      <c r="M1709" s="218"/>
      <c r="N1709" s="218"/>
      <c r="O1709" s="218"/>
      <c r="P1709" s="352"/>
      <c r="Q1709" s="352"/>
      <c r="R1709" s="352"/>
      <c r="S1709" s="352"/>
      <c r="T1709" s="352"/>
      <c r="U1709" s="352"/>
      <c r="V1709" s="218"/>
      <c r="W1709" s="218"/>
      <c r="X1709" s="218"/>
      <c r="Y1709" s="218"/>
      <c r="Z1709" s="218"/>
      <c r="AA1709" s="218"/>
      <c r="AB1709" s="218"/>
      <c r="AC1709" s="218"/>
      <c r="AD1709" s="218"/>
      <c r="AE1709" s="218"/>
      <c r="AF1709" s="218"/>
      <c r="AG1709" s="218"/>
      <c r="AH1709" s="218"/>
      <c r="AI1709" s="218"/>
      <c r="AJ1709" s="218"/>
      <c r="AK1709" s="218"/>
      <c r="AL1709" s="218"/>
      <c r="AM1709" s="353"/>
      <c r="AN1709" s="295"/>
      <c r="AO1709" s="296"/>
      <c r="AP1709" s="353"/>
      <c r="AQ1709" s="290"/>
      <c r="AR1709" s="290"/>
      <c r="AS1709" s="290"/>
    </row>
    <row r="1710" spans="1:45" ht="17.25" thickBot="1" x14ac:dyDescent="0.3">
      <c r="A1710" s="467"/>
      <c r="B1710" s="354"/>
      <c r="C1710" s="285">
        <v>1699130</v>
      </c>
      <c r="D1710" s="358" t="s">
        <v>413</v>
      </c>
      <c r="E1710" s="360"/>
      <c r="F1710" s="361"/>
      <c r="G1710" s="364">
        <v>0</v>
      </c>
      <c r="H1710" s="397">
        <v>4</v>
      </c>
      <c r="I1710" s="218"/>
      <c r="J1710" s="218"/>
      <c r="K1710" s="218"/>
      <c r="L1710" s="218"/>
      <c r="M1710" s="218"/>
      <c r="N1710" s="218"/>
      <c r="O1710" s="218"/>
      <c r="P1710" s="352"/>
      <c r="Q1710" s="352"/>
      <c r="R1710" s="352"/>
      <c r="S1710" s="352"/>
      <c r="T1710" s="352"/>
      <c r="U1710" s="352"/>
      <c r="V1710" s="218"/>
      <c r="W1710" s="218"/>
      <c r="X1710" s="218"/>
      <c r="Y1710" s="218"/>
      <c r="Z1710" s="218"/>
      <c r="AA1710" s="218"/>
      <c r="AB1710" s="218"/>
      <c r="AC1710" s="218"/>
      <c r="AD1710" s="218"/>
      <c r="AE1710" s="218"/>
      <c r="AF1710" s="218"/>
      <c r="AG1710" s="218"/>
      <c r="AH1710" s="218"/>
      <c r="AI1710" s="218"/>
      <c r="AJ1710" s="218"/>
      <c r="AK1710" s="218"/>
      <c r="AL1710" s="218"/>
      <c r="AM1710" s="353"/>
      <c r="AN1710" s="295"/>
      <c r="AO1710" s="296"/>
      <c r="AP1710" s="353"/>
      <c r="AQ1710" s="290"/>
      <c r="AR1710" s="290"/>
      <c r="AS1710" s="290"/>
    </row>
    <row r="1711" spans="1:45" ht="17.25" thickBot="1" x14ac:dyDescent="0.3">
      <c r="A1711" s="467"/>
      <c r="B1711" s="354"/>
      <c r="C1711" s="285">
        <v>1699131</v>
      </c>
      <c r="D1711" s="358" t="s">
        <v>414</v>
      </c>
      <c r="E1711" s="360"/>
      <c r="F1711" s="361"/>
      <c r="G1711" s="364">
        <v>0</v>
      </c>
      <c r="H1711" s="397">
        <v>3</v>
      </c>
      <c r="I1711" s="218"/>
      <c r="J1711" s="218"/>
      <c r="K1711" s="218"/>
      <c r="L1711" s="218"/>
      <c r="M1711" s="218"/>
      <c r="N1711" s="218"/>
      <c r="O1711" s="218"/>
      <c r="P1711" s="352"/>
      <c r="Q1711" s="352"/>
      <c r="R1711" s="352"/>
      <c r="S1711" s="352"/>
      <c r="T1711" s="352"/>
      <c r="U1711" s="352"/>
      <c r="V1711" s="218"/>
      <c r="W1711" s="218"/>
      <c r="X1711" s="218"/>
      <c r="Y1711" s="218"/>
      <c r="Z1711" s="218"/>
      <c r="AA1711" s="218"/>
      <c r="AB1711" s="218"/>
      <c r="AC1711" s="218"/>
      <c r="AD1711" s="218"/>
      <c r="AE1711" s="218"/>
      <c r="AF1711" s="218"/>
      <c r="AG1711" s="218"/>
      <c r="AH1711" s="218"/>
      <c r="AI1711" s="218"/>
      <c r="AJ1711" s="218"/>
      <c r="AK1711" s="218"/>
      <c r="AL1711" s="218"/>
      <c r="AM1711" s="353"/>
      <c r="AN1711" s="295"/>
      <c r="AO1711" s="296"/>
      <c r="AP1711" s="353"/>
      <c r="AQ1711" s="290"/>
      <c r="AR1711" s="290"/>
      <c r="AS1711" s="290"/>
    </row>
    <row r="1712" spans="1:45" ht="17.25" thickBot="1" x14ac:dyDescent="0.3">
      <c r="A1712" s="468"/>
      <c r="B1712" s="354"/>
      <c r="C1712" s="285">
        <v>1699132</v>
      </c>
      <c r="D1712" s="358" t="s">
        <v>415</v>
      </c>
      <c r="E1712" s="285"/>
      <c r="F1712" s="362"/>
      <c r="G1712" s="364">
        <v>0</v>
      </c>
      <c r="H1712" s="397">
        <v>3</v>
      </c>
      <c r="I1712" s="218"/>
      <c r="J1712" s="218"/>
      <c r="K1712" s="218"/>
      <c r="L1712" s="218"/>
      <c r="M1712" s="218"/>
      <c r="N1712" s="218"/>
      <c r="O1712" s="218"/>
      <c r="P1712" s="352"/>
      <c r="Q1712" s="352"/>
      <c r="R1712" s="352"/>
      <c r="S1712" s="352"/>
      <c r="T1712" s="352"/>
      <c r="U1712" s="352"/>
      <c r="V1712" s="218"/>
      <c r="W1712" s="218"/>
      <c r="X1712" s="218"/>
      <c r="Y1712" s="218"/>
      <c r="Z1712" s="218"/>
      <c r="AA1712" s="218"/>
      <c r="AB1712" s="218"/>
      <c r="AC1712" s="218"/>
      <c r="AD1712" s="218"/>
      <c r="AE1712" s="218"/>
      <c r="AF1712" s="218"/>
      <c r="AG1712" s="218"/>
      <c r="AH1712" s="218"/>
      <c r="AI1712" s="218"/>
      <c r="AJ1712" s="218"/>
      <c r="AK1712" s="218"/>
      <c r="AL1712" s="218"/>
      <c r="AM1712" s="353"/>
      <c r="AN1712" s="295"/>
      <c r="AO1712" s="296"/>
      <c r="AP1712" s="353"/>
      <c r="AQ1712" s="290"/>
      <c r="AR1712" s="290"/>
      <c r="AS1712" s="290"/>
    </row>
    <row r="1713" spans="1:45" x14ac:dyDescent="0.25">
      <c r="AL1713" s="290"/>
      <c r="AM1713" s="290"/>
      <c r="AN1713" s="290"/>
      <c r="AO1713" s="290"/>
      <c r="AP1713" s="290"/>
      <c r="AQ1713" s="290"/>
      <c r="AR1713" s="290"/>
    </row>
    <row r="1714" spans="1:45" ht="14.25" thickBot="1" x14ac:dyDescent="0.3">
      <c r="B1714" s="338" t="s">
        <v>18</v>
      </c>
      <c r="C1714" s="339">
        <v>45509</v>
      </c>
      <c r="AL1714" s="290"/>
      <c r="AM1714" s="290"/>
      <c r="AN1714" s="290"/>
      <c r="AO1714" s="290"/>
      <c r="AP1714" s="290"/>
      <c r="AQ1714" s="290"/>
      <c r="AR1714" s="290"/>
    </row>
    <row r="1715" spans="1:45" ht="41.25" thickBot="1" x14ac:dyDescent="0.3">
      <c r="B1715" s="283" t="s">
        <v>0</v>
      </c>
      <c r="C1715" s="284" t="s">
        <v>1</v>
      </c>
      <c r="D1715" s="284" t="s">
        <v>2</v>
      </c>
      <c r="E1715" s="284" t="s">
        <v>3</v>
      </c>
      <c r="F1715" s="4" t="s">
        <v>318</v>
      </c>
      <c r="G1715" s="351" t="s">
        <v>4</v>
      </c>
      <c r="H1715" s="382" t="s">
        <v>460</v>
      </c>
      <c r="I1715" s="234" t="s">
        <v>392</v>
      </c>
      <c r="J1715" s="234"/>
      <c r="K1715" s="258" t="s">
        <v>393</v>
      </c>
      <c r="L1715" s="258" t="s">
        <v>328</v>
      </c>
      <c r="M1715" s="258" t="s">
        <v>327</v>
      </c>
      <c r="N1715" s="234" t="s">
        <v>389</v>
      </c>
      <c r="O1715" s="240" t="s">
        <v>130</v>
      </c>
      <c r="P1715" s="243" t="s">
        <v>303</v>
      </c>
      <c r="Q1715" s="244" t="s">
        <v>304</v>
      </c>
      <c r="R1715" s="244" t="s">
        <v>314</v>
      </c>
      <c r="S1715" s="245" t="s">
        <v>338</v>
      </c>
      <c r="T1715" s="245" t="s">
        <v>345</v>
      </c>
      <c r="U1715" s="245" t="s">
        <v>361</v>
      </c>
      <c r="V1715" s="245" t="s">
        <v>387</v>
      </c>
      <c r="W1715" s="245" t="s">
        <v>421</v>
      </c>
      <c r="X1715" s="245" t="s">
        <v>451</v>
      </c>
      <c r="Y1715" s="245"/>
      <c r="Z1715" s="245"/>
      <c r="AA1715" s="245"/>
      <c r="AB1715" s="245"/>
      <c r="AC1715" s="245"/>
      <c r="AD1715" s="245"/>
      <c r="AE1715" s="245"/>
      <c r="AF1715" s="245"/>
      <c r="AG1715" s="245"/>
      <c r="AH1715" s="245"/>
      <c r="AI1715" s="245"/>
      <c r="AJ1715" s="245" t="s">
        <v>360</v>
      </c>
      <c r="AK1715" s="246" t="s">
        <v>268</v>
      </c>
      <c r="AL1715" s="247" t="s">
        <v>269</v>
      </c>
      <c r="AM1715" s="291" t="s">
        <v>288</v>
      </c>
      <c r="AN1715" s="292" t="s">
        <v>289</v>
      </c>
      <c r="AO1715" s="292" t="s">
        <v>287</v>
      </c>
      <c r="AP1715" s="293" t="s">
        <v>290</v>
      </c>
      <c r="AQ1715" s="290" t="s">
        <v>306</v>
      </c>
      <c r="AR1715" s="290" t="s">
        <v>310</v>
      </c>
      <c r="AS1715" s="290" t="s">
        <v>311</v>
      </c>
    </row>
    <row r="1716" spans="1:45" ht="17.25" thickBot="1" x14ac:dyDescent="0.3">
      <c r="A1716" s="463" t="s">
        <v>416</v>
      </c>
      <c r="B1716" s="285">
        <v>273664</v>
      </c>
      <c r="C1716" s="286">
        <v>1135749</v>
      </c>
      <c r="D1716" s="286" t="s">
        <v>7</v>
      </c>
      <c r="E1716" s="286">
        <v>6060050026</v>
      </c>
      <c r="F1716" s="253">
        <f>G1751-AK1716+AL1716</f>
        <v>3</v>
      </c>
      <c r="G1716" s="235">
        <v>3</v>
      </c>
      <c r="H1716" s="394">
        <v>5</v>
      </c>
      <c r="I1716" s="232">
        <v>5</v>
      </c>
      <c r="J1716" s="232"/>
      <c r="K1716" s="232">
        <v>1</v>
      </c>
      <c r="L1716" s="232">
        <f>IF(K1750=K1715,L1751+AK1716,K1716)</f>
        <v>3</v>
      </c>
      <c r="M1716" s="232">
        <f>IF(K1750=K1715,0,L1751+AK1716-K1716)</f>
        <v>0</v>
      </c>
      <c r="N1716" s="267">
        <v>5</v>
      </c>
      <c r="O1716" s="241">
        <f>N1716-G1716</f>
        <v>2</v>
      </c>
      <c r="P1716" s="277">
        <v>4</v>
      </c>
      <c r="Q1716" s="278">
        <v>4</v>
      </c>
      <c r="R1716" s="279"/>
      <c r="S1716" s="279">
        <v>3</v>
      </c>
      <c r="T1716" s="279">
        <v>4</v>
      </c>
      <c r="U1716" s="279">
        <v>2</v>
      </c>
      <c r="V1716" s="241"/>
      <c r="W1716" s="241">
        <v>2</v>
      </c>
      <c r="X1716" s="241"/>
      <c r="Y1716" s="241"/>
      <c r="Z1716" s="241"/>
      <c r="AA1716" s="241"/>
      <c r="AB1716" s="241"/>
      <c r="AC1716" s="241"/>
      <c r="AD1716" s="241"/>
      <c r="AE1716" s="241"/>
      <c r="AF1716" s="241"/>
      <c r="AG1716" s="241"/>
      <c r="AH1716" s="241"/>
      <c r="AI1716" s="241"/>
      <c r="AJ1716" s="241">
        <f>N1716-V1716</f>
        <v>5</v>
      </c>
      <c r="AK1716" s="235">
        <f>G1751+AL1716-G1716</f>
        <v>2</v>
      </c>
      <c r="AL1716" s="350">
        <v>0</v>
      </c>
      <c r="AM1716" s="294">
        <v>1.5</v>
      </c>
      <c r="AN1716" s="295">
        <v>4</v>
      </c>
      <c r="AO1716" s="296">
        <f>G1716/(AN1716)</f>
        <v>0.75</v>
      </c>
      <c r="AP1716" s="297">
        <f>AN1716*6</f>
        <v>24</v>
      </c>
      <c r="AQ1716" s="290">
        <f>G1716+K1716</f>
        <v>4</v>
      </c>
      <c r="AR1716" s="290">
        <f>IF(G1716&lt;G1751,(G1751-G1716+K1751-K1716),K1751-K1716)</f>
        <v>2</v>
      </c>
      <c r="AS1716" s="290">
        <f>21-8</f>
        <v>13</v>
      </c>
    </row>
    <row r="1717" spans="1:45" ht="17.25" thickBot="1" x14ac:dyDescent="0.3">
      <c r="A1717" s="464"/>
      <c r="B1717" s="285">
        <v>273672</v>
      </c>
      <c r="C1717" s="286">
        <v>1135750</v>
      </c>
      <c r="D1717" s="286" t="s">
        <v>9</v>
      </c>
      <c r="E1717" s="287">
        <v>204000000000</v>
      </c>
      <c r="F1717" s="253">
        <f>G1752-AK1717+AL1717</f>
        <v>0</v>
      </c>
      <c r="G1717" s="235">
        <v>0</v>
      </c>
      <c r="H1717" s="394">
        <v>16</v>
      </c>
      <c r="I1717" s="232">
        <v>0</v>
      </c>
      <c r="J1717" s="232"/>
      <c r="K1717" s="232">
        <v>0</v>
      </c>
      <c r="L1717" s="232">
        <f>IF(K1750=K1715,L1752+AK1717,K1717)</f>
        <v>4</v>
      </c>
      <c r="M1717" s="232">
        <f>IF(K1750=K1715,0,L1752+AK1717-K1717)</f>
        <v>0</v>
      </c>
      <c r="N1717" s="267">
        <v>10</v>
      </c>
      <c r="O1717" s="241">
        <f>N1717-G1717</f>
        <v>10</v>
      </c>
      <c r="P1717" s="277">
        <v>13</v>
      </c>
      <c r="Q1717" s="278">
        <v>2</v>
      </c>
      <c r="R1717" s="279">
        <v>6</v>
      </c>
      <c r="S1717" s="279">
        <v>6</v>
      </c>
      <c r="T1717" s="279">
        <v>10</v>
      </c>
      <c r="U1717" s="279">
        <v>4</v>
      </c>
      <c r="V1717" s="241">
        <v>6</v>
      </c>
      <c r="W1717" s="241">
        <v>4</v>
      </c>
      <c r="X1717" s="241"/>
      <c r="Y1717" s="241"/>
      <c r="Z1717" s="241"/>
      <c r="AA1717" s="241"/>
      <c r="AB1717" s="241"/>
      <c r="AC1717" s="241"/>
      <c r="AD1717" s="241"/>
      <c r="AE1717" s="241"/>
      <c r="AF1717" s="241"/>
      <c r="AG1717" s="241"/>
      <c r="AH1717" s="241"/>
      <c r="AI1717" s="241"/>
      <c r="AJ1717" s="241">
        <f>N1717-V1717</f>
        <v>4</v>
      </c>
      <c r="AK1717" s="235">
        <f>G1752+AL1717-G1717</f>
        <v>4</v>
      </c>
      <c r="AL1717" s="236">
        <v>0</v>
      </c>
      <c r="AM1717" s="298">
        <v>4.2</v>
      </c>
      <c r="AN1717" s="295">
        <v>9</v>
      </c>
      <c r="AO1717" s="296">
        <f>G1717/(AN1717)</f>
        <v>0</v>
      </c>
      <c r="AP1717" s="297">
        <f>AN1717*6</f>
        <v>54</v>
      </c>
      <c r="AQ1717" s="290">
        <f>G1717+K1717</f>
        <v>0</v>
      </c>
      <c r="AR1717" s="290">
        <f>IF(G1717&lt;G1752,(G1752-G1717+K1752-K1717),K1752-K1717)</f>
        <v>4</v>
      </c>
      <c r="AS1717" s="290">
        <f>21-8</f>
        <v>13</v>
      </c>
    </row>
    <row r="1718" spans="1:45" ht="17.25" thickBot="1" x14ac:dyDescent="0.3">
      <c r="A1718" s="464"/>
      <c r="B1718" s="285">
        <v>273702</v>
      </c>
      <c r="C1718" s="286">
        <v>1135753</v>
      </c>
      <c r="D1718" s="286" t="s">
        <v>10</v>
      </c>
      <c r="E1718" s="287">
        <v>301000000000</v>
      </c>
      <c r="F1718" s="253">
        <f>G1753-AK1718+AL1718</f>
        <v>2</v>
      </c>
      <c r="G1718" s="235">
        <v>2</v>
      </c>
      <c r="H1718" s="394">
        <v>1</v>
      </c>
      <c r="I1718" s="232">
        <v>2</v>
      </c>
      <c r="J1718" s="232"/>
      <c r="K1718" s="232">
        <v>1</v>
      </c>
      <c r="L1718" s="232">
        <f>IF(K1750=K1715,L1753+AK1718,K1718)</f>
        <v>1</v>
      </c>
      <c r="M1718" s="232">
        <f>IF(K1750=K1715,0,L1753+AK1718-K1718)</f>
        <v>0</v>
      </c>
      <c r="N1718" s="232">
        <v>2</v>
      </c>
      <c r="O1718" s="241">
        <f>N1718-G1718</f>
        <v>0</v>
      </c>
      <c r="P1718" s="277"/>
      <c r="Q1718" s="278"/>
      <c r="R1718" s="279"/>
      <c r="S1718" s="279"/>
      <c r="T1718" s="279"/>
      <c r="U1718" s="279"/>
      <c r="V1718" s="241"/>
      <c r="W1718" s="241"/>
      <c r="X1718" s="241"/>
      <c r="Y1718" s="241"/>
      <c r="Z1718" s="241"/>
      <c r="AA1718" s="241"/>
      <c r="AB1718" s="241"/>
      <c r="AC1718" s="241"/>
      <c r="AD1718" s="241"/>
      <c r="AE1718" s="241"/>
      <c r="AF1718" s="241"/>
      <c r="AG1718" s="241"/>
      <c r="AH1718" s="241"/>
      <c r="AI1718" s="241"/>
      <c r="AJ1718" s="241">
        <f>N1718-V1718</f>
        <v>2</v>
      </c>
      <c r="AK1718" s="235">
        <f>G1753+AL1718-G1718</f>
        <v>0</v>
      </c>
      <c r="AL1718" s="236">
        <v>0</v>
      </c>
      <c r="AM1718" s="294">
        <f>4/12</f>
        <v>0.33333333333333331</v>
      </c>
      <c r="AN1718" s="295">
        <v>2</v>
      </c>
      <c r="AO1718" s="296">
        <f>G1718/(AN1718)</f>
        <v>1</v>
      </c>
      <c r="AP1718" s="297">
        <f>AN1718*6</f>
        <v>12</v>
      </c>
      <c r="AQ1718" s="290">
        <f>G1718+K1718</f>
        <v>3</v>
      </c>
      <c r="AR1718" s="290">
        <f>IF(G1718&lt;G1753,(G1753-G1718+K1753-K1718),K1753-K1718)</f>
        <v>0</v>
      </c>
      <c r="AS1718" s="290">
        <f>21-8</f>
        <v>13</v>
      </c>
    </row>
    <row r="1719" spans="1:45" ht="17.25" thickBot="1" x14ac:dyDescent="0.3">
      <c r="A1719" s="464"/>
      <c r="B1719" s="285">
        <v>273698</v>
      </c>
      <c r="C1719" s="286">
        <v>1135752</v>
      </c>
      <c r="D1719" s="286" t="s">
        <v>11</v>
      </c>
      <c r="E1719" s="287">
        <v>701000000000</v>
      </c>
      <c r="F1719" s="253">
        <f>G1754-AK1719+AL1719</f>
        <v>3</v>
      </c>
      <c r="G1719" s="235">
        <v>3</v>
      </c>
      <c r="H1719" s="394">
        <v>2</v>
      </c>
      <c r="I1719" s="232">
        <v>3</v>
      </c>
      <c r="J1719" s="232"/>
      <c r="K1719" s="232">
        <v>2</v>
      </c>
      <c r="L1719" s="232">
        <f>IF(K1750=K1715,L1754+AK1719,K1719)</f>
        <v>2</v>
      </c>
      <c r="M1719" s="232">
        <f>IF(K1750=K1715,0,L1754+AK1719-K1719)</f>
        <v>0</v>
      </c>
      <c r="N1719" s="232">
        <v>3</v>
      </c>
      <c r="O1719" s="241">
        <f>N1719-G1719</f>
        <v>0</v>
      </c>
      <c r="P1719" s="277">
        <v>2</v>
      </c>
      <c r="Q1719" s="278"/>
      <c r="R1719" s="279"/>
      <c r="S1719" s="279"/>
      <c r="T1719" s="279"/>
      <c r="U1719" s="279"/>
      <c r="V1719" s="241"/>
      <c r="W1719" s="241"/>
      <c r="X1719" s="241"/>
      <c r="Y1719" s="241"/>
      <c r="Z1719" s="241"/>
      <c r="AA1719" s="241"/>
      <c r="AB1719" s="241"/>
      <c r="AC1719" s="241"/>
      <c r="AD1719" s="241"/>
      <c r="AE1719" s="241"/>
      <c r="AF1719" s="241"/>
      <c r="AG1719" s="241"/>
      <c r="AH1719" s="241"/>
      <c r="AI1719" s="241"/>
      <c r="AJ1719" s="241">
        <f>N1719-V1719</f>
        <v>3</v>
      </c>
      <c r="AK1719" s="235">
        <f>G1754+AL1719-G1719</f>
        <v>0</v>
      </c>
      <c r="AL1719" s="236">
        <v>0</v>
      </c>
      <c r="AM1719" s="294">
        <f>4/12</f>
        <v>0.33333333333333331</v>
      </c>
      <c r="AN1719" s="295">
        <v>2</v>
      </c>
      <c r="AO1719" s="296">
        <f>G1719/(AN1719)</f>
        <v>1.5</v>
      </c>
      <c r="AP1719" s="297">
        <f>AN1719*6</f>
        <v>12</v>
      </c>
      <c r="AQ1719" s="290">
        <f>G1719+K1719</f>
        <v>5</v>
      </c>
      <c r="AR1719" s="290">
        <f>IF(G1719&lt;G1754,(G1754-G1719+K1754-K1719),K1754-K1719)</f>
        <v>0</v>
      </c>
      <c r="AS1719" s="290">
        <f>21-8</f>
        <v>13</v>
      </c>
    </row>
    <row r="1720" spans="1:45" ht="17.25" thickBot="1" x14ac:dyDescent="0.3">
      <c r="A1720" s="465"/>
      <c r="B1720" s="285">
        <v>273680</v>
      </c>
      <c r="C1720" s="286">
        <v>1135751</v>
      </c>
      <c r="D1720" s="286" t="s">
        <v>12</v>
      </c>
      <c r="E1720" s="286" t="s">
        <v>13</v>
      </c>
      <c r="F1720" s="254">
        <f>G1755-AK1720+AL1720</f>
        <v>9</v>
      </c>
      <c r="G1720" s="237">
        <v>9</v>
      </c>
      <c r="H1720" s="395">
        <v>8</v>
      </c>
      <c r="I1720" s="238">
        <v>9</v>
      </c>
      <c r="J1720" s="238"/>
      <c r="K1720" s="238">
        <v>5</v>
      </c>
      <c r="L1720" s="238">
        <f>IF(K1750=K1715,L1755+AK1720,K1720)</f>
        <v>5</v>
      </c>
      <c r="M1720" s="238">
        <f>IF(K1750=K1715,0,L1755+AK1720-K1720)</f>
        <v>0</v>
      </c>
      <c r="N1720" s="238">
        <v>9</v>
      </c>
      <c r="O1720" s="242">
        <f>N1720-G1720</f>
        <v>0</v>
      </c>
      <c r="P1720" s="280"/>
      <c r="Q1720" s="281"/>
      <c r="R1720" s="282"/>
      <c r="S1720" s="282"/>
      <c r="T1720" s="282">
        <v>11</v>
      </c>
      <c r="U1720" s="282"/>
      <c r="V1720" s="242"/>
      <c r="W1720" s="242"/>
      <c r="X1720" s="242"/>
      <c r="Y1720" s="242"/>
      <c r="Z1720" s="242"/>
      <c r="AA1720" s="242"/>
      <c r="AB1720" s="242"/>
      <c r="AC1720" s="242"/>
      <c r="AD1720" s="242"/>
      <c r="AE1720" s="242"/>
      <c r="AF1720" s="242"/>
      <c r="AG1720" s="242"/>
      <c r="AH1720" s="242"/>
      <c r="AI1720" s="242"/>
      <c r="AJ1720" s="242">
        <f>N1720-V1720</f>
        <v>9</v>
      </c>
      <c r="AK1720" s="235">
        <f>G1755+AL1720-G1720</f>
        <v>0</v>
      </c>
      <c r="AL1720" s="239">
        <v>0</v>
      </c>
      <c r="AM1720" s="299">
        <f>30/12</f>
        <v>2.5</v>
      </c>
      <c r="AN1720" s="300">
        <f>AM1720*2</f>
        <v>5</v>
      </c>
      <c r="AO1720" s="301">
        <f>G1720/(AN1720)</f>
        <v>1.8</v>
      </c>
      <c r="AP1720" s="302">
        <f>AN1720*6</f>
        <v>30</v>
      </c>
      <c r="AQ1720" s="290">
        <f>G1720+K1720</f>
        <v>14</v>
      </c>
      <c r="AR1720" s="290">
        <f>IF(G1720&lt;G1755,(G1755-G1720+K1755-K1720),K1755-K1720)</f>
        <v>0</v>
      </c>
      <c r="AS1720" s="290">
        <f>21-8</f>
        <v>13</v>
      </c>
    </row>
    <row r="1721" spans="1:45" ht="15" customHeight="1" thickBot="1" x14ac:dyDescent="0.3">
      <c r="A1721" s="466" t="s">
        <v>417</v>
      </c>
      <c r="B1721" s="355" t="s">
        <v>129</v>
      </c>
      <c r="C1721" s="356"/>
      <c r="D1721" s="356"/>
      <c r="E1721" s="359"/>
      <c r="F1721" s="359"/>
      <c r="G1721" s="356"/>
      <c r="H1721" s="396"/>
      <c r="I1721" s="356"/>
      <c r="J1721" s="356"/>
      <c r="K1721" s="356"/>
      <c r="L1721" s="356"/>
      <c r="M1721" s="356"/>
      <c r="N1721" s="356"/>
      <c r="O1721" s="356"/>
      <c r="P1721" s="356"/>
      <c r="Q1721" s="356"/>
      <c r="R1721" s="356"/>
      <c r="S1721" s="356"/>
      <c r="T1721" s="356"/>
      <c r="U1721" s="356"/>
      <c r="V1721" s="356"/>
      <c r="W1721" s="356"/>
      <c r="X1721" s="356"/>
      <c r="Y1721" s="356"/>
      <c r="Z1721" s="356"/>
      <c r="AA1721" s="356"/>
      <c r="AB1721" s="356"/>
      <c r="AC1721" s="356"/>
      <c r="AD1721" s="356"/>
      <c r="AE1721" s="356"/>
      <c r="AF1721" s="356"/>
      <c r="AG1721" s="356"/>
      <c r="AH1721" s="356"/>
      <c r="AI1721" s="356"/>
      <c r="AJ1721" s="356"/>
      <c r="AK1721" s="356"/>
      <c r="AL1721" s="356"/>
      <c r="AM1721" s="356"/>
      <c r="AN1721" s="356"/>
      <c r="AO1721" s="356"/>
      <c r="AP1721" s="356"/>
      <c r="AQ1721" s="356"/>
      <c r="AR1721" s="356"/>
      <c r="AS1721" s="357"/>
    </row>
    <row r="1722" spans="1:45" ht="15" customHeight="1" thickBot="1" x14ac:dyDescent="0.3">
      <c r="A1722" s="467"/>
      <c r="B1722" s="354"/>
      <c r="C1722" s="354">
        <v>1140327</v>
      </c>
      <c r="D1722" s="358" t="s">
        <v>394</v>
      </c>
      <c r="E1722" s="360"/>
      <c r="F1722" s="361"/>
      <c r="G1722" s="218"/>
      <c r="H1722" s="397">
        <v>23</v>
      </c>
      <c r="I1722" s="218"/>
      <c r="J1722" s="218"/>
      <c r="K1722" s="218"/>
      <c r="L1722" s="218"/>
      <c r="M1722" s="218"/>
      <c r="N1722" s="218"/>
      <c r="O1722" s="218"/>
      <c r="P1722" s="352"/>
      <c r="Q1722" s="352"/>
      <c r="R1722" s="352"/>
      <c r="S1722" s="352"/>
      <c r="T1722" s="352"/>
      <c r="U1722" s="352"/>
      <c r="V1722" s="218"/>
      <c r="W1722" s="218"/>
      <c r="X1722" s="218"/>
      <c r="Y1722" s="218"/>
      <c r="Z1722" s="218"/>
      <c r="AA1722" s="218"/>
      <c r="AB1722" s="218"/>
      <c r="AC1722" s="218"/>
      <c r="AD1722" s="218"/>
      <c r="AE1722" s="218"/>
      <c r="AF1722" s="218"/>
      <c r="AG1722" s="218"/>
      <c r="AH1722" s="218"/>
      <c r="AI1722" s="218"/>
      <c r="AJ1722" s="218"/>
      <c r="AK1722" s="218"/>
      <c r="AL1722" s="218"/>
      <c r="AM1722" s="353"/>
      <c r="AN1722" s="295"/>
      <c r="AO1722" s="296"/>
      <c r="AP1722" s="353"/>
      <c r="AQ1722" s="290"/>
      <c r="AR1722" s="290"/>
      <c r="AS1722" s="290"/>
    </row>
    <row r="1723" spans="1:45" ht="15" customHeight="1" thickBot="1" x14ac:dyDescent="0.3">
      <c r="A1723" s="467"/>
      <c r="B1723" s="354"/>
      <c r="C1723" s="285">
        <v>1151231</v>
      </c>
      <c r="D1723" s="358" t="s">
        <v>395</v>
      </c>
      <c r="E1723" s="360"/>
      <c r="F1723" s="361"/>
      <c r="G1723" s="218"/>
      <c r="H1723" s="397">
        <v>13</v>
      </c>
      <c r="I1723" s="218"/>
      <c r="J1723" s="218"/>
      <c r="K1723" s="218"/>
      <c r="L1723" s="218"/>
      <c r="M1723" s="218"/>
      <c r="N1723" s="218"/>
      <c r="O1723" s="218"/>
      <c r="P1723" s="352"/>
      <c r="Q1723" s="352"/>
      <c r="R1723" s="352"/>
      <c r="S1723" s="352"/>
      <c r="T1723" s="352"/>
      <c r="U1723" s="352"/>
      <c r="V1723" s="218"/>
      <c r="W1723" s="218"/>
      <c r="X1723" s="218"/>
      <c r="Y1723" s="218"/>
      <c r="Z1723" s="218"/>
      <c r="AA1723" s="218"/>
      <c r="AB1723" s="218"/>
      <c r="AC1723" s="218"/>
      <c r="AD1723" s="218"/>
      <c r="AE1723" s="218"/>
      <c r="AF1723" s="218"/>
      <c r="AG1723" s="218"/>
      <c r="AH1723" s="218"/>
      <c r="AI1723" s="218"/>
      <c r="AJ1723" s="218"/>
      <c r="AK1723" s="218"/>
      <c r="AL1723" s="218"/>
      <c r="AM1723" s="353"/>
      <c r="AN1723" s="295"/>
      <c r="AO1723" s="296"/>
      <c r="AP1723" s="353"/>
      <c r="AQ1723" s="290"/>
      <c r="AR1723" s="290"/>
      <c r="AS1723" s="290"/>
    </row>
    <row r="1724" spans="1:45" ht="15" customHeight="1" thickBot="1" x14ac:dyDescent="0.3">
      <c r="A1724" s="467"/>
      <c r="B1724" s="355" t="s">
        <v>420</v>
      </c>
      <c r="C1724" s="356"/>
      <c r="D1724" s="356"/>
      <c r="E1724" s="359"/>
      <c r="F1724" s="359"/>
      <c r="G1724" s="356"/>
      <c r="H1724" s="396"/>
      <c r="I1724" s="356"/>
      <c r="J1724" s="356"/>
      <c r="K1724" s="356"/>
      <c r="L1724" s="356"/>
      <c r="M1724" s="356"/>
      <c r="N1724" s="356"/>
      <c r="O1724" s="356"/>
      <c r="P1724" s="356"/>
      <c r="Q1724" s="356"/>
      <c r="R1724" s="356"/>
      <c r="S1724" s="356"/>
      <c r="T1724" s="356"/>
      <c r="U1724" s="356"/>
      <c r="V1724" s="356"/>
      <c r="W1724" s="356"/>
      <c r="X1724" s="356"/>
      <c r="Y1724" s="356"/>
      <c r="Z1724" s="356"/>
      <c r="AA1724" s="356"/>
      <c r="AB1724" s="356"/>
      <c r="AC1724" s="356"/>
      <c r="AD1724" s="356"/>
      <c r="AE1724" s="356"/>
      <c r="AF1724" s="356"/>
      <c r="AG1724" s="356"/>
      <c r="AH1724" s="356"/>
      <c r="AI1724" s="356"/>
      <c r="AJ1724" s="356"/>
      <c r="AK1724" s="356"/>
      <c r="AL1724" s="356"/>
      <c r="AM1724" s="356"/>
      <c r="AN1724" s="356"/>
      <c r="AO1724" s="356"/>
      <c r="AP1724" s="356"/>
      <c r="AQ1724" s="356"/>
      <c r="AR1724" s="356"/>
      <c r="AS1724" s="357"/>
    </row>
    <row r="1725" spans="1:45" ht="15" customHeight="1" thickBot="1" x14ac:dyDescent="0.3">
      <c r="A1725" s="467"/>
      <c r="B1725" s="354"/>
      <c r="C1725" s="285">
        <v>1146032</v>
      </c>
      <c r="D1725" s="358" t="s">
        <v>396</v>
      </c>
      <c r="E1725" s="360"/>
      <c r="F1725" s="361"/>
      <c r="G1725" s="218"/>
      <c r="H1725" s="397">
        <v>1</v>
      </c>
      <c r="I1725" s="218"/>
      <c r="J1725" s="218"/>
      <c r="K1725" s="218"/>
      <c r="L1725" s="218"/>
      <c r="M1725" s="218"/>
      <c r="N1725" s="218"/>
      <c r="O1725" s="218"/>
      <c r="P1725" s="352"/>
      <c r="Q1725" s="352"/>
      <c r="R1725" s="352"/>
      <c r="S1725" s="352"/>
      <c r="T1725" s="352"/>
      <c r="U1725" s="352"/>
      <c r="V1725" s="218"/>
      <c r="W1725" s="218"/>
      <c r="X1725" s="218"/>
      <c r="Y1725" s="218"/>
      <c r="Z1725" s="218"/>
      <c r="AA1725" s="218"/>
      <c r="AB1725" s="218"/>
      <c r="AC1725" s="218"/>
      <c r="AD1725" s="218"/>
      <c r="AE1725" s="218"/>
      <c r="AF1725" s="218"/>
      <c r="AG1725" s="218"/>
      <c r="AH1725" s="218"/>
      <c r="AI1725" s="218"/>
      <c r="AJ1725" s="218"/>
      <c r="AK1725" s="218"/>
      <c r="AL1725" s="218"/>
      <c r="AM1725" s="353"/>
      <c r="AN1725" s="295"/>
      <c r="AO1725" s="296"/>
      <c r="AP1725" s="353"/>
      <c r="AQ1725" s="290"/>
      <c r="AR1725" s="290"/>
      <c r="AS1725" s="290"/>
    </row>
    <row r="1726" spans="1:45" ht="15" customHeight="1" thickBot="1" x14ac:dyDescent="0.3">
      <c r="A1726" s="467"/>
      <c r="B1726" s="354"/>
      <c r="C1726" s="285">
        <v>1146021</v>
      </c>
      <c r="D1726" s="358" t="s">
        <v>397</v>
      </c>
      <c r="E1726" s="360"/>
      <c r="F1726" s="361"/>
      <c r="G1726" s="218"/>
      <c r="H1726" s="397">
        <v>2</v>
      </c>
      <c r="I1726" s="218"/>
      <c r="J1726" s="218"/>
      <c r="K1726" s="218"/>
      <c r="L1726" s="218"/>
      <c r="M1726" s="218"/>
      <c r="N1726" s="218"/>
      <c r="O1726" s="218"/>
      <c r="P1726" s="352"/>
      <c r="Q1726" s="352"/>
      <c r="R1726" s="352"/>
      <c r="S1726" s="352"/>
      <c r="T1726" s="352"/>
      <c r="U1726" s="352"/>
      <c r="V1726" s="218"/>
      <c r="W1726" s="218"/>
      <c r="X1726" s="218"/>
      <c r="Y1726" s="218"/>
      <c r="Z1726" s="218"/>
      <c r="AA1726" s="218"/>
      <c r="AB1726" s="218"/>
      <c r="AC1726" s="218"/>
      <c r="AD1726" s="218"/>
      <c r="AE1726" s="218"/>
      <c r="AF1726" s="218"/>
      <c r="AG1726" s="218"/>
      <c r="AH1726" s="218"/>
      <c r="AI1726" s="218"/>
      <c r="AJ1726" s="218"/>
      <c r="AK1726" s="218"/>
      <c r="AL1726" s="218"/>
      <c r="AM1726" s="353"/>
      <c r="AN1726" s="295"/>
      <c r="AO1726" s="296"/>
      <c r="AP1726" s="353"/>
      <c r="AQ1726" s="290"/>
      <c r="AR1726" s="290"/>
      <c r="AS1726" s="290"/>
    </row>
    <row r="1727" spans="1:45" ht="15" customHeight="1" thickBot="1" x14ac:dyDescent="0.3">
      <c r="A1727" s="467"/>
      <c r="B1727" s="354"/>
      <c r="C1727" s="285">
        <v>1146018</v>
      </c>
      <c r="D1727" s="358" t="s">
        <v>398</v>
      </c>
      <c r="E1727" s="360"/>
      <c r="F1727" s="361"/>
      <c r="G1727" s="218"/>
      <c r="H1727" s="397">
        <v>1</v>
      </c>
      <c r="I1727" s="218"/>
      <c r="J1727" s="218"/>
      <c r="K1727" s="218"/>
      <c r="L1727" s="218"/>
      <c r="M1727" s="218"/>
      <c r="N1727" s="218"/>
      <c r="O1727" s="218"/>
      <c r="P1727" s="352"/>
      <c r="Q1727" s="352"/>
      <c r="R1727" s="352"/>
      <c r="S1727" s="352"/>
      <c r="T1727" s="352"/>
      <c r="U1727" s="352"/>
      <c r="V1727" s="218"/>
      <c r="W1727" s="218"/>
      <c r="X1727" s="218"/>
      <c r="Y1727" s="218"/>
      <c r="Z1727" s="218"/>
      <c r="AA1727" s="218"/>
      <c r="AB1727" s="218"/>
      <c r="AC1727" s="218"/>
      <c r="AD1727" s="218"/>
      <c r="AE1727" s="218"/>
      <c r="AF1727" s="218"/>
      <c r="AG1727" s="218"/>
      <c r="AH1727" s="218"/>
      <c r="AI1727" s="218"/>
      <c r="AJ1727" s="218"/>
      <c r="AK1727" s="218"/>
      <c r="AL1727" s="218"/>
      <c r="AM1727" s="353"/>
      <c r="AN1727" s="295"/>
      <c r="AO1727" s="296"/>
      <c r="AP1727" s="353"/>
      <c r="AQ1727" s="290"/>
      <c r="AR1727" s="290"/>
      <c r="AS1727" s="290"/>
    </row>
    <row r="1728" spans="1:45" ht="15" customHeight="1" thickBot="1" x14ac:dyDescent="0.3">
      <c r="A1728" s="467"/>
      <c r="B1728" s="354"/>
      <c r="C1728" s="285">
        <v>1146024</v>
      </c>
      <c r="D1728" s="358" t="s">
        <v>399</v>
      </c>
      <c r="E1728" s="360"/>
      <c r="F1728" s="361"/>
      <c r="G1728" s="218"/>
      <c r="H1728" s="397">
        <v>2</v>
      </c>
      <c r="I1728" s="218"/>
      <c r="J1728" s="218"/>
      <c r="K1728" s="218"/>
      <c r="L1728" s="218"/>
      <c r="M1728" s="218"/>
      <c r="N1728" s="218"/>
      <c r="O1728" s="218"/>
      <c r="P1728" s="352"/>
      <c r="Q1728" s="352"/>
      <c r="R1728" s="352"/>
      <c r="S1728" s="352"/>
      <c r="T1728" s="352"/>
      <c r="U1728" s="352"/>
      <c r="V1728" s="218"/>
      <c r="W1728" s="218"/>
      <c r="X1728" s="218"/>
      <c r="Y1728" s="218"/>
      <c r="Z1728" s="218"/>
      <c r="AA1728" s="218"/>
      <c r="AB1728" s="218"/>
      <c r="AC1728" s="218"/>
      <c r="AD1728" s="218"/>
      <c r="AE1728" s="218"/>
      <c r="AF1728" s="218"/>
      <c r="AG1728" s="218"/>
      <c r="AH1728" s="218"/>
      <c r="AI1728" s="218"/>
      <c r="AJ1728" s="218"/>
      <c r="AK1728" s="218"/>
      <c r="AL1728" s="218"/>
      <c r="AM1728" s="353"/>
      <c r="AN1728" s="295"/>
      <c r="AO1728" s="296"/>
      <c r="AP1728" s="353"/>
      <c r="AQ1728" s="290"/>
      <c r="AR1728" s="290"/>
      <c r="AS1728" s="290"/>
    </row>
    <row r="1729" spans="1:45" ht="15" customHeight="1" thickBot="1" x14ac:dyDescent="0.3">
      <c r="A1729" s="467"/>
      <c r="B1729" s="354"/>
      <c r="C1729" s="285">
        <v>1146028</v>
      </c>
      <c r="D1729" s="358" t="s">
        <v>400</v>
      </c>
      <c r="E1729" s="360"/>
      <c r="F1729" s="361"/>
      <c r="G1729" s="218"/>
      <c r="H1729" s="397">
        <v>2</v>
      </c>
      <c r="I1729" s="218"/>
      <c r="J1729" s="218"/>
      <c r="K1729" s="218"/>
      <c r="L1729" s="218"/>
      <c r="M1729" s="218"/>
      <c r="N1729" s="218"/>
      <c r="O1729" s="218"/>
      <c r="P1729" s="352"/>
      <c r="Q1729" s="352"/>
      <c r="R1729" s="352"/>
      <c r="S1729" s="352"/>
      <c r="T1729" s="352"/>
      <c r="U1729" s="352"/>
      <c r="V1729" s="218"/>
      <c r="W1729" s="218"/>
      <c r="X1729" s="218"/>
      <c r="Y1729" s="218"/>
      <c r="Z1729" s="218"/>
      <c r="AA1729" s="218"/>
      <c r="AB1729" s="218"/>
      <c r="AC1729" s="218"/>
      <c r="AD1729" s="218"/>
      <c r="AE1729" s="218"/>
      <c r="AF1729" s="218"/>
      <c r="AG1729" s="218"/>
      <c r="AH1729" s="218"/>
      <c r="AI1729" s="218"/>
      <c r="AJ1729" s="218"/>
      <c r="AK1729" s="218"/>
      <c r="AL1729" s="218"/>
      <c r="AM1729" s="353"/>
      <c r="AN1729" s="295"/>
      <c r="AO1729" s="296"/>
      <c r="AP1729" s="353"/>
      <c r="AQ1729" s="290"/>
      <c r="AR1729" s="290"/>
      <c r="AS1729" s="290"/>
    </row>
    <row r="1730" spans="1:45" ht="15" customHeight="1" thickBot="1" x14ac:dyDescent="0.3">
      <c r="A1730" s="467"/>
      <c r="B1730" s="355" t="s">
        <v>419</v>
      </c>
      <c r="C1730" s="356"/>
      <c r="D1730" s="356"/>
      <c r="E1730" s="359"/>
      <c r="F1730" s="359"/>
      <c r="G1730" s="356"/>
      <c r="H1730" s="396"/>
      <c r="I1730" s="356"/>
      <c r="J1730" s="356"/>
      <c r="K1730" s="356"/>
      <c r="L1730" s="356"/>
      <c r="M1730" s="356"/>
      <c r="N1730" s="356"/>
      <c r="O1730" s="356"/>
      <c r="P1730" s="356"/>
      <c r="Q1730" s="356"/>
      <c r="R1730" s="356"/>
      <c r="S1730" s="356"/>
      <c r="T1730" s="356"/>
      <c r="U1730" s="356"/>
      <c r="V1730" s="356"/>
      <c r="W1730" s="356"/>
      <c r="X1730" s="356"/>
      <c r="Y1730" s="356"/>
      <c r="Z1730" s="356"/>
      <c r="AA1730" s="356"/>
      <c r="AB1730" s="356"/>
      <c r="AC1730" s="356"/>
      <c r="AD1730" s="356"/>
      <c r="AE1730" s="356"/>
      <c r="AF1730" s="356"/>
      <c r="AG1730" s="356"/>
      <c r="AH1730" s="356"/>
      <c r="AI1730" s="356"/>
      <c r="AJ1730" s="356"/>
      <c r="AK1730" s="356"/>
      <c r="AL1730" s="356"/>
      <c r="AM1730" s="356"/>
      <c r="AN1730" s="356"/>
      <c r="AO1730" s="356"/>
      <c r="AP1730" s="356"/>
      <c r="AQ1730" s="356"/>
      <c r="AR1730" s="356"/>
      <c r="AS1730" s="357"/>
    </row>
    <row r="1731" spans="1:45" ht="15" customHeight="1" thickBot="1" x14ac:dyDescent="0.3">
      <c r="A1731" s="467"/>
      <c r="B1731" s="354"/>
      <c r="C1731" s="285">
        <v>1146031</v>
      </c>
      <c r="D1731" s="358" t="s">
        <v>401</v>
      </c>
      <c r="E1731" s="360"/>
      <c r="F1731" s="361"/>
      <c r="G1731" s="218"/>
      <c r="H1731" s="397">
        <v>1</v>
      </c>
      <c r="I1731" s="218"/>
      <c r="J1731" s="218"/>
      <c r="K1731" s="218"/>
      <c r="L1731" s="218"/>
      <c r="M1731" s="218"/>
      <c r="N1731" s="218"/>
      <c r="O1731" s="218"/>
      <c r="P1731" s="352"/>
      <c r="Q1731" s="352"/>
      <c r="R1731" s="352"/>
      <c r="S1731" s="352"/>
      <c r="T1731" s="352"/>
      <c r="U1731" s="352"/>
      <c r="V1731" s="218"/>
      <c r="W1731" s="218"/>
      <c r="X1731" s="218"/>
      <c r="Y1731" s="218"/>
      <c r="Z1731" s="218"/>
      <c r="AA1731" s="218"/>
      <c r="AB1731" s="218"/>
      <c r="AC1731" s="218"/>
      <c r="AD1731" s="218"/>
      <c r="AE1731" s="218"/>
      <c r="AF1731" s="218"/>
      <c r="AG1731" s="218"/>
      <c r="AH1731" s="218"/>
      <c r="AI1731" s="218"/>
      <c r="AJ1731" s="218"/>
      <c r="AK1731" s="218"/>
      <c r="AL1731" s="218"/>
      <c r="AM1731" s="353"/>
      <c r="AN1731" s="295"/>
      <c r="AO1731" s="296"/>
      <c r="AP1731" s="353"/>
      <c r="AQ1731" s="290"/>
      <c r="AR1731" s="290"/>
      <c r="AS1731" s="290"/>
    </row>
    <row r="1732" spans="1:45" ht="15" customHeight="1" thickBot="1" x14ac:dyDescent="0.3">
      <c r="A1732" s="467"/>
      <c r="B1732" s="354"/>
      <c r="C1732" s="285">
        <v>1146020</v>
      </c>
      <c r="D1732" s="358" t="s">
        <v>402</v>
      </c>
      <c r="E1732" s="360"/>
      <c r="F1732" s="361"/>
      <c r="G1732" s="218"/>
      <c r="H1732" s="397">
        <v>1</v>
      </c>
      <c r="I1732" s="218"/>
      <c r="J1732" s="218"/>
      <c r="K1732" s="218"/>
      <c r="L1732" s="218"/>
      <c r="M1732" s="218"/>
      <c r="N1732" s="218"/>
      <c r="O1732" s="218"/>
      <c r="P1732" s="352"/>
      <c r="Q1732" s="352"/>
      <c r="R1732" s="352"/>
      <c r="S1732" s="352"/>
      <c r="T1732" s="352"/>
      <c r="U1732" s="352"/>
      <c r="V1732" s="218"/>
      <c r="W1732" s="218"/>
      <c r="X1732" s="218"/>
      <c r="Y1732" s="218"/>
      <c r="Z1732" s="218"/>
      <c r="AA1732" s="218"/>
      <c r="AB1732" s="218"/>
      <c r="AC1732" s="218"/>
      <c r="AD1732" s="218"/>
      <c r="AE1732" s="218"/>
      <c r="AF1732" s="218"/>
      <c r="AG1732" s="218"/>
      <c r="AH1732" s="218"/>
      <c r="AI1732" s="218"/>
      <c r="AJ1732" s="218"/>
      <c r="AK1732" s="218"/>
      <c r="AL1732" s="218"/>
      <c r="AM1732" s="353"/>
      <c r="AN1732" s="295"/>
      <c r="AO1732" s="296"/>
      <c r="AP1732" s="353"/>
      <c r="AQ1732" s="290"/>
      <c r="AR1732" s="290"/>
      <c r="AS1732" s="290"/>
    </row>
    <row r="1733" spans="1:45" ht="15" customHeight="1" thickBot="1" x14ac:dyDescent="0.3">
      <c r="A1733" s="467"/>
      <c r="B1733" s="354"/>
      <c r="C1733" s="285">
        <v>1146016</v>
      </c>
      <c r="D1733" s="358" t="s">
        <v>398</v>
      </c>
      <c r="E1733" s="360"/>
      <c r="F1733" s="361"/>
      <c r="G1733" s="218"/>
      <c r="H1733" s="397">
        <v>1</v>
      </c>
      <c r="I1733" s="218"/>
      <c r="J1733" s="218"/>
      <c r="K1733" s="218"/>
      <c r="L1733" s="218"/>
      <c r="M1733" s="218"/>
      <c r="N1733" s="218"/>
      <c r="O1733" s="218"/>
      <c r="P1733" s="352"/>
      <c r="Q1733" s="352"/>
      <c r="R1733" s="352"/>
      <c r="S1733" s="352"/>
      <c r="T1733" s="352"/>
      <c r="U1733" s="352"/>
      <c r="V1733" s="218"/>
      <c r="W1733" s="218"/>
      <c r="X1733" s="218"/>
      <c r="Y1733" s="218"/>
      <c r="Z1733" s="218"/>
      <c r="AA1733" s="218"/>
      <c r="AB1733" s="218"/>
      <c r="AC1733" s="218"/>
      <c r="AD1733" s="218"/>
      <c r="AE1733" s="218"/>
      <c r="AF1733" s="218"/>
      <c r="AG1733" s="218"/>
      <c r="AH1733" s="218"/>
      <c r="AI1733" s="218"/>
      <c r="AJ1733" s="218"/>
      <c r="AK1733" s="218"/>
      <c r="AL1733" s="218"/>
      <c r="AM1733" s="353"/>
      <c r="AN1733" s="295"/>
      <c r="AO1733" s="296"/>
      <c r="AP1733" s="353"/>
      <c r="AQ1733" s="290"/>
      <c r="AR1733" s="290"/>
      <c r="AS1733" s="290"/>
    </row>
    <row r="1734" spans="1:45" ht="15" customHeight="1" thickBot="1" x14ac:dyDescent="0.3">
      <c r="A1734" s="467"/>
      <c r="B1734" s="354"/>
      <c r="C1734" s="285">
        <v>1146022</v>
      </c>
      <c r="D1734" s="358" t="s">
        <v>403</v>
      </c>
      <c r="E1734" s="360"/>
      <c r="F1734" s="361"/>
      <c r="G1734" s="218"/>
      <c r="H1734" s="397">
        <v>2</v>
      </c>
      <c r="I1734" s="218"/>
      <c r="J1734" s="218"/>
      <c r="K1734" s="218"/>
      <c r="L1734" s="218"/>
      <c r="M1734" s="218"/>
      <c r="N1734" s="218"/>
      <c r="O1734" s="218"/>
      <c r="P1734" s="352"/>
      <c r="Q1734" s="352"/>
      <c r="R1734" s="352"/>
      <c r="S1734" s="352"/>
      <c r="T1734" s="352"/>
      <c r="U1734" s="352"/>
      <c r="V1734" s="218"/>
      <c r="W1734" s="218"/>
      <c r="X1734" s="218"/>
      <c r="Y1734" s="218"/>
      <c r="Z1734" s="218"/>
      <c r="AA1734" s="218"/>
      <c r="AB1734" s="218"/>
      <c r="AC1734" s="218"/>
      <c r="AD1734" s="218"/>
      <c r="AE1734" s="218"/>
      <c r="AF1734" s="218"/>
      <c r="AG1734" s="218"/>
      <c r="AH1734" s="218"/>
      <c r="AI1734" s="218"/>
      <c r="AJ1734" s="218"/>
      <c r="AK1734" s="218"/>
      <c r="AL1734" s="218"/>
      <c r="AM1734" s="353"/>
      <c r="AN1734" s="295"/>
      <c r="AO1734" s="296"/>
      <c r="AP1734" s="353"/>
      <c r="AQ1734" s="290"/>
      <c r="AR1734" s="290"/>
      <c r="AS1734" s="290"/>
    </row>
    <row r="1735" spans="1:45" ht="15" customHeight="1" thickBot="1" x14ac:dyDescent="0.3">
      <c r="A1735" s="467"/>
      <c r="B1735" s="354"/>
      <c r="C1735" s="285">
        <v>1146027</v>
      </c>
      <c r="D1735" s="358" t="s">
        <v>404</v>
      </c>
      <c r="E1735" s="360"/>
      <c r="F1735" s="361"/>
      <c r="G1735" s="218"/>
      <c r="H1735" s="397">
        <v>2</v>
      </c>
      <c r="I1735" s="218"/>
      <c r="J1735" s="218"/>
      <c r="K1735" s="218"/>
      <c r="L1735" s="218"/>
      <c r="M1735" s="218"/>
      <c r="N1735" s="218"/>
      <c r="O1735" s="218"/>
      <c r="P1735" s="352"/>
      <c r="Q1735" s="352"/>
      <c r="R1735" s="352"/>
      <c r="S1735" s="352"/>
      <c r="T1735" s="352"/>
      <c r="U1735" s="352"/>
      <c r="V1735" s="218"/>
      <c r="W1735" s="218"/>
      <c r="X1735" s="218"/>
      <c r="Y1735" s="218"/>
      <c r="Z1735" s="218"/>
      <c r="AA1735" s="218"/>
      <c r="AB1735" s="218"/>
      <c r="AC1735" s="218"/>
      <c r="AD1735" s="218"/>
      <c r="AE1735" s="218"/>
      <c r="AF1735" s="218"/>
      <c r="AG1735" s="218"/>
      <c r="AH1735" s="218"/>
      <c r="AI1735" s="218"/>
      <c r="AJ1735" s="218"/>
      <c r="AK1735" s="218"/>
      <c r="AL1735" s="218"/>
      <c r="AM1735" s="353"/>
      <c r="AN1735" s="295"/>
      <c r="AO1735" s="296"/>
      <c r="AP1735" s="353"/>
      <c r="AQ1735" s="290"/>
      <c r="AR1735" s="290"/>
      <c r="AS1735" s="290"/>
    </row>
    <row r="1736" spans="1:45" ht="15" customHeight="1" thickBot="1" x14ac:dyDescent="0.3">
      <c r="A1736" s="467"/>
      <c r="B1736" s="355" t="s">
        <v>418</v>
      </c>
      <c r="C1736" s="356"/>
      <c r="D1736" s="356"/>
      <c r="E1736" s="359"/>
      <c r="F1736" s="359"/>
      <c r="G1736" s="356"/>
      <c r="H1736" s="396"/>
      <c r="I1736" s="356"/>
      <c r="J1736" s="356"/>
      <c r="K1736" s="356"/>
      <c r="L1736" s="356"/>
      <c r="M1736" s="356"/>
      <c r="N1736" s="356"/>
      <c r="O1736" s="356"/>
      <c r="P1736" s="356"/>
      <c r="Q1736" s="356"/>
      <c r="R1736" s="356"/>
      <c r="S1736" s="356"/>
      <c r="T1736" s="356"/>
      <c r="U1736" s="356"/>
      <c r="V1736" s="356"/>
      <c r="W1736" s="356"/>
      <c r="X1736" s="356"/>
      <c r="Y1736" s="356"/>
      <c r="Z1736" s="356"/>
      <c r="AA1736" s="356"/>
      <c r="AB1736" s="356"/>
      <c r="AC1736" s="356"/>
      <c r="AD1736" s="356"/>
      <c r="AE1736" s="356"/>
      <c r="AF1736" s="356"/>
      <c r="AG1736" s="356"/>
      <c r="AH1736" s="356"/>
      <c r="AI1736" s="356"/>
      <c r="AJ1736" s="356"/>
      <c r="AK1736" s="356"/>
      <c r="AL1736" s="356"/>
      <c r="AM1736" s="356"/>
      <c r="AN1736" s="356"/>
      <c r="AO1736" s="356"/>
      <c r="AP1736" s="356"/>
      <c r="AQ1736" s="356"/>
      <c r="AR1736" s="356"/>
      <c r="AS1736" s="357"/>
    </row>
    <row r="1737" spans="1:45" ht="15" customHeight="1" thickBot="1" x14ac:dyDescent="0.3">
      <c r="A1737" s="467"/>
      <c r="B1737" s="354"/>
      <c r="C1737" s="285">
        <v>1151653</v>
      </c>
      <c r="D1737" s="358" t="s">
        <v>405</v>
      </c>
      <c r="E1737" s="360"/>
      <c r="F1737" s="361"/>
      <c r="G1737" s="218"/>
      <c r="H1737" s="397">
        <v>1</v>
      </c>
      <c r="I1737" s="218"/>
      <c r="J1737" s="218"/>
      <c r="K1737" s="218"/>
      <c r="L1737" s="218"/>
      <c r="M1737" s="218"/>
      <c r="N1737" s="218"/>
      <c r="O1737" s="218"/>
      <c r="P1737" s="352"/>
      <c r="Q1737" s="352"/>
      <c r="R1737" s="352"/>
      <c r="S1737" s="352"/>
      <c r="T1737" s="352"/>
      <c r="U1737" s="352"/>
      <c r="V1737" s="218"/>
      <c r="W1737" s="218"/>
      <c r="X1737" s="218"/>
      <c r="Y1737" s="218"/>
      <c r="Z1737" s="218"/>
      <c r="AA1737" s="218"/>
      <c r="AB1737" s="218"/>
      <c r="AC1737" s="218"/>
      <c r="AD1737" s="218"/>
      <c r="AE1737" s="218"/>
      <c r="AF1737" s="218"/>
      <c r="AG1737" s="218"/>
      <c r="AH1737" s="218"/>
      <c r="AI1737" s="218"/>
      <c r="AJ1737" s="218"/>
      <c r="AK1737" s="218"/>
      <c r="AL1737" s="218"/>
      <c r="AM1737" s="353"/>
      <c r="AN1737" s="295"/>
      <c r="AO1737" s="296"/>
      <c r="AP1737" s="353"/>
      <c r="AQ1737" s="290"/>
      <c r="AR1737" s="290"/>
      <c r="AS1737" s="290"/>
    </row>
    <row r="1738" spans="1:45" ht="15" customHeight="1" thickBot="1" x14ac:dyDescent="0.3">
      <c r="A1738" s="467"/>
      <c r="B1738" s="354"/>
      <c r="C1738" s="285">
        <v>1151650</v>
      </c>
      <c r="D1738" s="358" t="s">
        <v>406</v>
      </c>
      <c r="E1738" s="360"/>
      <c r="F1738" s="361"/>
      <c r="G1738" s="218"/>
      <c r="H1738" s="397">
        <v>2</v>
      </c>
      <c r="I1738" s="218"/>
      <c r="J1738" s="218"/>
      <c r="K1738" s="218"/>
      <c r="L1738" s="218"/>
      <c r="M1738" s="218"/>
      <c r="N1738" s="218"/>
      <c r="O1738" s="218"/>
      <c r="P1738" s="352"/>
      <c r="Q1738" s="352"/>
      <c r="R1738" s="352"/>
      <c r="S1738" s="352"/>
      <c r="T1738" s="352"/>
      <c r="U1738" s="352"/>
      <c r="V1738" s="218"/>
      <c r="W1738" s="218"/>
      <c r="X1738" s="218"/>
      <c r="Y1738" s="218"/>
      <c r="Z1738" s="218"/>
      <c r="AA1738" s="218"/>
      <c r="AB1738" s="218"/>
      <c r="AC1738" s="218"/>
      <c r="AD1738" s="218"/>
      <c r="AE1738" s="218"/>
      <c r="AF1738" s="218"/>
      <c r="AG1738" s="218"/>
      <c r="AH1738" s="218"/>
      <c r="AI1738" s="218"/>
      <c r="AJ1738" s="218"/>
      <c r="AK1738" s="218"/>
      <c r="AL1738" s="218"/>
      <c r="AM1738" s="353"/>
      <c r="AN1738" s="295"/>
      <c r="AO1738" s="296"/>
      <c r="AP1738" s="353"/>
      <c r="AQ1738" s="290"/>
      <c r="AR1738" s="290"/>
      <c r="AS1738" s="290"/>
    </row>
    <row r="1739" spans="1:45" ht="15" customHeight="1" thickBot="1" x14ac:dyDescent="0.3">
      <c r="A1739" s="467"/>
      <c r="B1739" s="354"/>
      <c r="C1739" s="285">
        <v>1151649</v>
      </c>
      <c r="D1739" s="358" t="s">
        <v>407</v>
      </c>
      <c r="E1739" s="360"/>
      <c r="F1739" s="361"/>
      <c r="G1739" s="218"/>
      <c r="H1739" s="397">
        <v>4</v>
      </c>
      <c r="I1739" s="218"/>
      <c r="J1739" s="218"/>
      <c r="K1739" s="218"/>
      <c r="L1739" s="218"/>
      <c r="M1739" s="218"/>
      <c r="N1739" s="218"/>
      <c r="O1739" s="218"/>
      <c r="P1739" s="352"/>
      <c r="Q1739" s="352"/>
      <c r="R1739" s="352"/>
      <c r="S1739" s="352"/>
      <c r="T1739" s="352"/>
      <c r="U1739" s="352"/>
      <c r="V1739" s="218"/>
      <c r="W1739" s="218"/>
      <c r="X1739" s="218"/>
      <c r="Y1739" s="218"/>
      <c r="Z1739" s="218"/>
      <c r="AA1739" s="218"/>
      <c r="AB1739" s="218"/>
      <c r="AC1739" s="218"/>
      <c r="AD1739" s="218"/>
      <c r="AE1739" s="218"/>
      <c r="AF1739" s="218"/>
      <c r="AG1739" s="218"/>
      <c r="AH1739" s="218"/>
      <c r="AI1739" s="218"/>
      <c r="AJ1739" s="218"/>
      <c r="AK1739" s="218"/>
      <c r="AL1739" s="218"/>
      <c r="AM1739" s="353"/>
      <c r="AN1739" s="295"/>
      <c r="AO1739" s="296"/>
      <c r="AP1739" s="353"/>
      <c r="AQ1739" s="290"/>
      <c r="AR1739" s="290"/>
      <c r="AS1739" s="290"/>
    </row>
    <row r="1740" spans="1:45" ht="15" customHeight="1" thickBot="1" x14ac:dyDescent="0.3">
      <c r="A1740" s="467"/>
      <c r="B1740" s="354"/>
      <c r="C1740" s="285">
        <v>1151651</v>
      </c>
      <c r="D1740" s="358" t="s">
        <v>408</v>
      </c>
      <c r="E1740" s="360"/>
      <c r="F1740" s="361"/>
      <c r="G1740" s="218"/>
      <c r="H1740" s="397">
        <v>1</v>
      </c>
      <c r="I1740" s="218"/>
      <c r="J1740" s="218"/>
      <c r="K1740" s="218"/>
      <c r="L1740" s="218"/>
      <c r="M1740" s="218"/>
      <c r="N1740" s="218"/>
      <c r="O1740" s="218"/>
      <c r="P1740" s="352"/>
      <c r="Q1740" s="352"/>
      <c r="R1740" s="352"/>
      <c r="S1740" s="352"/>
      <c r="T1740" s="352"/>
      <c r="U1740" s="352"/>
      <c r="V1740" s="218"/>
      <c r="W1740" s="218"/>
      <c r="X1740" s="218"/>
      <c r="Y1740" s="218"/>
      <c r="Z1740" s="218"/>
      <c r="AA1740" s="218"/>
      <c r="AB1740" s="218"/>
      <c r="AC1740" s="218"/>
      <c r="AD1740" s="218"/>
      <c r="AE1740" s="218"/>
      <c r="AF1740" s="218"/>
      <c r="AG1740" s="218"/>
      <c r="AH1740" s="218"/>
      <c r="AI1740" s="218"/>
      <c r="AJ1740" s="218"/>
      <c r="AK1740" s="218"/>
      <c r="AL1740" s="218"/>
      <c r="AM1740" s="353"/>
      <c r="AN1740" s="295"/>
      <c r="AO1740" s="296"/>
      <c r="AP1740" s="353"/>
      <c r="AQ1740" s="290"/>
      <c r="AR1740" s="290"/>
      <c r="AS1740" s="290"/>
    </row>
    <row r="1741" spans="1:45" ht="15" customHeight="1" thickBot="1" x14ac:dyDescent="0.3">
      <c r="A1741" s="467"/>
      <c r="B1741" s="354"/>
      <c r="C1741" s="285">
        <v>1146029</v>
      </c>
      <c r="D1741" s="358" t="s">
        <v>409</v>
      </c>
      <c r="E1741" s="360"/>
      <c r="F1741" s="361"/>
      <c r="G1741" s="218"/>
      <c r="H1741" s="397">
        <v>2</v>
      </c>
      <c r="I1741" s="218"/>
      <c r="J1741" s="218"/>
      <c r="K1741" s="218"/>
      <c r="L1741" s="218"/>
      <c r="M1741" s="218"/>
      <c r="N1741" s="218"/>
      <c r="O1741" s="218"/>
      <c r="P1741" s="352"/>
      <c r="Q1741" s="352"/>
      <c r="R1741" s="352"/>
      <c r="S1741" s="352"/>
      <c r="T1741" s="352"/>
      <c r="U1741" s="352"/>
      <c r="V1741" s="218"/>
      <c r="W1741" s="218"/>
      <c r="X1741" s="218"/>
      <c r="Y1741" s="218"/>
      <c r="Z1741" s="218"/>
      <c r="AA1741" s="218"/>
      <c r="AB1741" s="218"/>
      <c r="AC1741" s="218"/>
      <c r="AD1741" s="218"/>
      <c r="AE1741" s="218"/>
      <c r="AF1741" s="218"/>
      <c r="AG1741" s="218"/>
      <c r="AH1741" s="218"/>
      <c r="AI1741" s="218"/>
      <c r="AJ1741" s="218"/>
      <c r="AK1741" s="218"/>
      <c r="AL1741" s="218"/>
      <c r="AM1741" s="353"/>
      <c r="AN1741" s="295"/>
      <c r="AO1741" s="296"/>
      <c r="AP1741" s="353"/>
      <c r="AQ1741" s="290"/>
      <c r="AR1741" s="290"/>
      <c r="AS1741" s="290"/>
    </row>
    <row r="1742" spans="1:45" ht="15" customHeight="1" thickBot="1" x14ac:dyDescent="0.3">
      <c r="A1742" s="467"/>
      <c r="B1742" s="355" t="s">
        <v>410</v>
      </c>
      <c r="C1742" s="356"/>
      <c r="D1742" s="356"/>
      <c r="E1742" s="359"/>
      <c r="F1742" s="359"/>
      <c r="G1742" s="356"/>
      <c r="H1742" s="396"/>
      <c r="I1742" s="356"/>
      <c r="J1742" s="356"/>
      <c r="K1742" s="356"/>
      <c r="L1742" s="356"/>
      <c r="M1742" s="356"/>
      <c r="N1742" s="356"/>
      <c r="O1742" s="356"/>
      <c r="P1742" s="356"/>
      <c r="Q1742" s="356"/>
      <c r="R1742" s="356"/>
      <c r="S1742" s="356"/>
      <c r="T1742" s="356"/>
      <c r="U1742" s="356"/>
      <c r="V1742" s="356"/>
      <c r="W1742" s="356"/>
      <c r="X1742" s="356"/>
      <c r="Y1742" s="356"/>
      <c r="Z1742" s="356"/>
      <c r="AA1742" s="356"/>
      <c r="AB1742" s="356"/>
      <c r="AC1742" s="356"/>
      <c r="AD1742" s="356"/>
      <c r="AE1742" s="356"/>
      <c r="AF1742" s="356"/>
      <c r="AG1742" s="356"/>
      <c r="AH1742" s="356"/>
      <c r="AI1742" s="356"/>
      <c r="AJ1742" s="356"/>
      <c r="AK1742" s="356"/>
      <c r="AL1742" s="356"/>
      <c r="AM1742" s="356"/>
      <c r="AN1742" s="356"/>
      <c r="AO1742" s="356"/>
      <c r="AP1742" s="356"/>
      <c r="AQ1742" s="356"/>
      <c r="AR1742" s="356"/>
      <c r="AS1742" s="357"/>
    </row>
    <row r="1743" spans="1:45" ht="15" customHeight="1" thickBot="1" x14ac:dyDescent="0.3">
      <c r="A1743" s="467"/>
      <c r="B1743" s="354"/>
      <c r="C1743" s="285">
        <v>1699118</v>
      </c>
      <c r="D1743" s="358" t="s">
        <v>411</v>
      </c>
      <c r="E1743" s="360"/>
      <c r="F1743" s="361"/>
      <c r="G1743" s="218"/>
      <c r="H1743" s="397">
        <v>1</v>
      </c>
      <c r="I1743" s="218"/>
      <c r="J1743" s="218"/>
      <c r="K1743" s="218"/>
      <c r="L1743" s="218"/>
      <c r="M1743" s="218"/>
      <c r="N1743" s="218"/>
      <c r="O1743" s="218"/>
      <c r="P1743" s="352"/>
      <c r="Q1743" s="352"/>
      <c r="R1743" s="352"/>
      <c r="S1743" s="352"/>
      <c r="T1743" s="352"/>
      <c r="U1743" s="352"/>
      <c r="V1743" s="218"/>
      <c r="W1743" s="218"/>
      <c r="X1743" s="218"/>
      <c r="Y1743" s="218"/>
      <c r="Z1743" s="218"/>
      <c r="AA1743" s="218"/>
      <c r="AB1743" s="218"/>
      <c r="AC1743" s="218"/>
      <c r="AD1743" s="218"/>
      <c r="AE1743" s="218"/>
      <c r="AF1743" s="218"/>
      <c r="AG1743" s="218"/>
      <c r="AH1743" s="218"/>
      <c r="AI1743" s="218"/>
      <c r="AJ1743" s="218"/>
      <c r="AK1743" s="218"/>
      <c r="AL1743" s="218"/>
      <c r="AM1743" s="353"/>
      <c r="AN1743" s="295"/>
      <c r="AO1743" s="296"/>
      <c r="AP1743" s="353"/>
      <c r="AQ1743" s="290"/>
      <c r="AR1743" s="290"/>
      <c r="AS1743" s="290"/>
    </row>
    <row r="1744" spans="1:45" ht="15" customHeight="1" thickBot="1" x14ac:dyDescent="0.3">
      <c r="A1744" s="467"/>
      <c r="B1744" s="354"/>
      <c r="C1744" s="285">
        <v>1699119</v>
      </c>
      <c r="D1744" s="358" t="s">
        <v>412</v>
      </c>
      <c r="E1744" s="360"/>
      <c r="F1744" s="361"/>
      <c r="G1744" s="218"/>
      <c r="H1744" s="397">
        <v>1</v>
      </c>
      <c r="I1744" s="218"/>
      <c r="J1744" s="218"/>
      <c r="K1744" s="218"/>
      <c r="L1744" s="218"/>
      <c r="M1744" s="218"/>
      <c r="N1744" s="218"/>
      <c r="O1744" s="218"/>
      <c r="P1744" s="352"/>
      <c r="Q1744" s="352"/>
      <c r="R1744" s="352"/>
      <c r="S1744" s="352"/>
      <c r="T1744" s="352"/>
      <c r="U1744" s="352"/>
      <c r="V1744" s="218"/>
      <c r="W1744" s="218"/>
      <c r="X1744" s="218"/>
      <c r="Y1744" s="218"/>
      <c r="Z1744" s="218"/>
      <c r="AA1744" s="218"/>
      <c r="AB1744" s="218"/>
      <c r="AC1744" s="218"/>
      <c r="AD1744" s="218"/>
      <c r="AE1744" s="218"/>
      <c r="AF1744" s="218"/>
      <c r="AG1744" s="218"/>
      <c r="AH1744" s="218"/>
      <c r="AI1744" s="218"/>
      <c r="AJ1744" s="218"/>
      <c r="AK1744" s="218"/>
      <c r="AL1744" s="218"/>
      <c r="AM1744" s="353"/>
      <c r="AN1744" s="295"/>
      <c r="AO1744" s="296"/>
      <c r="AP1744" s="353"/>
      <c r="AQ1744" s="290"/>
      <c r="AR1744" s="290"/>
      <c r="AS1744" s="290"/>
    </row>
    <row r="1745" spans="1:45" ht="15" customHeight="1" thickBot="1" x14ac:dyDescent="0.3">
      <c r="A1745" s="467"/>
      <c r="B1745" s="354"/>
      <c r="C1745" s="285">
        <v>1699130</v>
      </c>
      <c r="D1745" s="358" t="s">
        <v>413</v>
      </c>
      <c r="E1745" s="360"/>
      <c r="F1745" s="361"/>
      <c r="G1745" s="218"/>
      <c r="H1745" s="397">
        <v>4</v>
      </c>
      <c r="I1745" s="218"/>
      <c r="J1745" s="218"/>
      <c r="K1745" s="218"/>
      <c r="L1745" s="218"/>
      <c r="M1745" s="218"/>
      <c r="N1745" s="218"/>
      <c r="O1745" s="218"/>
      <c r="P1745" s="352"/>
      <c r="Q1745" s="352"/>
      <c r="R1745" s="352"/>
      <c r="S1745" s="352"/>
      <c r="T1745" s="352"/>
      <c r="U1745" s="352"/>
      <c r="V1745" s="218"/>
      <c r="W1745" s="218"/>
      <c r="X1745" s="218"/>
      <c r="Y1745" s="218"/>
      <c r="Z1745" s="218"/>
      <c r="AA1745" s="218"/>
      <c r="AB1745" s="218"/>
      <c r="AC1745" s="218"/>
      <c r="AD1745" s="218"/>
      <c r="AE1745" s="218"/>
      <c r="AF1745" s="218"/>
      <c r="AG1745" s="218"/>
      <c r="AH1745" s="218"/>
      <c r="AI1745" s="218"/>
      <c r="AJ1745" s="218"/>
      <c r="AK1745" s="218"/>
      <c r="AL1745" s="218"/>
      <c r="AM1745" s="353"/>
      <c r="AN1745" s="295"/>
      <c r="AO1745" s="296"/>
      <c r="AP1745" s="353"/>
      <c r="AQ1745" s="290"/>
      <c r="AR1745" s="290"/>
      <c r="AS1745" s="290"/>
    </row>
    <row r="1746" spans="1:45" ht="15" customHeight="1" thickBot="1" x14ac:dyDescent="0.3">
      <c r="A1746" s="467"/>
      <c r="B1746" s="354"/>
      <c r="C1746" s="285">
        <v>1699131</v>
      </c>
      <c r="D1746" s="358" t="s">
        <v>414</v>
      </c>
      <c r="E1746" s="360"/>
      <c r="F1746" s="361"/>
      <c r="G1746" s="218"/>
      <c r="H1746" s="397">
        <v>3</v>
      </c>
      <c r="I1746" s="218"/>
      <c r="J1746" s="218"/>
      <c r="K1746" s="218"/>
      <c r="L1746" s="218"/>
      <c r="M1746" s="218"/>
      <c r="N1746" s="218"/>
      <c r="O1746" s="218"/>
      <c r="P1746" s="352"/>
      <c r="Q1746" s="352"/>
      <c r="R1746" s="352"/>
      <c r="S1746" s="352"/>
      <c r="T1746" s="352"/>
      <c r="U1746" s="352"/>
      <c r="V1746" s="218"/>
      <c r="W1746" s="218"/>
      <c r="X1746" s="218"/>
      <c r="Y1746" s="218"/>
      <c r="Z1746" s="218"/>
      <c r="AA1746" s="218"/>
      <c r="AB1746" s="218"/>
      <c r="AC1746" s="218"/>
      <c r="AD1746" s="218"/>
      <c r="AE1746" s="218"/>
      <c r="AF1746" s="218"/>
      <c r="AG1746" s="218"/>
      <c r="AH1746" s="218"/>
      <c r="AI1746" s="218"/>
      <c r="AJ1746" s="218"/>
      <c r="AK1746" s="218"/>
      <c r="AL1746" s="218"/>
      <c r="AM1746" s="353"/>
      <c r="AN1746" s="295"/>
      <c r="AO1746" s="296"/>
      <c r="AP1746" s="353"/>
      <c r="AQ1746" s="290"/>
      <c r="AR1746" s="290"/>
      <c r="AS1746" s="290"/>
    </row>
    <row r="1747" spans="1:45" ht="15" customHeight="1" thickBot="1" x14ac:dyDescent="0.3">
      <c r="A1747" s="468"/>
      <c r="B1747" s="354"/>
      <c r="C1747" s="285">
        <v>1699132</v>
      </c>
      <c r="D1747" s="358" t="s">
        <v>415</v>
      </c>
      <c r="E1747" s="285"/>
      <c r="F1747" s="362"/>
      <c r="G1747" s="218"/>
      <c r="H1747" s="397">
        <v>3</v>
      </c>
      <c r="I1747" s="218"/>
      <c r="J1747" s="218"/>
      <c r="K1747" s="218"/>
      <c r="L1747" s="218"/>
      <c r="M1747" s="218"/>
      <c r="N1747" s="218"/>
      <c r="O1747" s="218"/>
      <c r="P1747" s="352"/>
      <c r="Q1747" s="352"/>
      <c r="R1747" s="352"/>
      <c r="S1747" s="352"/>
      <c r="T1747" s="352"/>
      <c r="U1747" s="352"/>
      <c r="V1747" s="218"/>
      <c r="W1747" s="218"/>
      <c r="X1747" s="218"/>
      <c r="Y1747" s="218"/>
      <c r="Z1747" s="218"/>
      <c r="AA1747" s="218"/>
      <c r="AB1747" s="218"/>
      <c r="AC1747" s="218"/>
      <c r="AD1747" s="218"/>
      <c r="AE1747" s="218"/>
      <c r="AF1747" s="218"/>
      <c r="AG1747" s="218"/>
      <c r="AH1747" s="218"/>
      <c r="AI1747" s="218"/>
      <c r="AJ1747" s="218"/>
      <c r="AK1747" s="218"/>
      <c r="AL1747" s="218"/>
      <c r="AM1747" s="353"/>
      <c r="AN1747" s="295"/>
      <c r="AO1747" s="296"/>
      <c r="AP1747" s="353"/>
      <c r="AQ1747" s="290"/>
      <c r="AR1747" s="290"/>
      <c r="AS1747" s="290"/>
    </row>
    <row r="1748" spans="1:45" x14ac:dyDescent="0.25">
      <c r="AL1748" s="290"/>
      <c r="AM1748" s="290"/>
      <c r="AN1748" s="290"/>
      <c r="AO1748" s="290"/>
      <c r="AP1748" s="290"/>
      <c r="AQ1748" s="290"/>
      <c r="AR1748" s="290"/>
    </row>
    <row r="1749" spans="1:45" ht="14.25" thickBot="1" x14ac:dyDescent="0.3">
      <c r="B1749" s="338" t="s">
        <v>18</v>
      </c>
      <c r="C1749" s="339">
        <v>45502</v>
      </c>
      <c r="AL1749" s="290"/>
      <c r="AM1749" s="290"/>
      <c r="AN1749" s="290"/>
      <c r="AO1749" s="290"/>
      <c r="AP1749" s="290"/>
      <c r="AQ1749" s="290"/>
      <c r="AR1749" s="290"/>
    </row>
    <row r="1750" spans="1:45" ht="41.25" thickBot="1" x14ac:dyDescent="0.3">
      <c r="B1750" s="283" t="s">
        <v>0</v>
      </c>
      <c r="C1750" s="284" t="s">
        <v>1</v>
      </c>
      <c r="D1750" s="284" t="s">
        <v>2</v>
      </c>
      <c r="E1750" s="284" t="s">
        <v>3</v>
      </c>
      <c r="F1750" s="4" t="s">
        <v>318</v>
      </c>
      <c r="G1750" s="351" t="s">
        <v>4</v>
      </c>
      <c r="H1750" s="382"/>
      <c r="I1750" s="234" t="s">
        <v>392</v>
      </c>
      <c r="J1750" s="234"/>
      <c r="K1750" s="258" t="s">
        <v>393</v>
      </c>
      <c r="L1750" s="258" t="s">
        <v>328</v>
      </c>
      <c r="M1750" s="258" t="s">
        <v>327</v>
      </c>
      <c r="N1750" s="234" t="s">
        <v>389</v>
      </c>
      <c r="O1750" s="240" t="s">
        <v>130</v>
      </c>
      <c r="P1750" s="243" t="s">
        <v>303</v>
      </c>
      <c r="Q1750" s="244" t="s">
        <v>304</v>
      </c>
      <c r="R1750" s="244" t="s">
        <v>314</v>
      </c>
      <c r="S1750" s="245" t="s">
        <v>338</v>
      </c>
      <c r="T1750" s="245" t="s">
        <v>345</v>
      </c>
      <c r="U1750" s="245" t="s">
        <v>361</v>
      </c>
      <c r="V1750" s="245" t="s">
        <v>387</v>
      </c>
      <c r="W1750" s="245" t="s">
        <v>421</v>
      </c>
      <c r="X1750" s="245" t="s">
        <v>451</v>
      </c>
      <c r="Y1750" s="245"/>
      <c r="Z1750" s="245"/>
      <c r="AA1750" s="245"/>
      <c r="AB1750" s="245"/>
      <c r="AC1750" s="245"/>
      <c r="AD1750" s="245"/>
      <c r="AE1750" s="245"/>
      <c r="AF1750" s="245"/>
      <c r="AG1750" s="245"/>
      <c r="AH1750" s="245"/>
      <c r="AI1750" s="245"/>
      <c r="AJ1750" s="245" t="s">
        <v>360</v>
      </c>
      <c r="AK1750" s="246" t="s">
        <v>268</v>
      </c>
      <c r="AL1750" s="247" t="s">
        <v>269</v>
      </c>
      <c r="AM1750" s="291" t="s">
        <v>288</v>
      </c>
      <c r="AN1750" s="292" t="s">
        <v>289</v>
      </c>
      <c r="AO1750" s="292" t="s">
        <v>287</v>
      </c>
      <c r="AP1750" s="293" t="s">
        <v>290</v>
      </c>
      <c r="AQ1750" s="290" t="s">
        <v>306</v>
      </c>
      <c r="AR1750" s="290" t="s">
        <v>310</v>
      </c>
      <c r="AS1750" s="290" t="s">
        <v>311</v>
      </c>
    </row>
    <row r="1751" spans="1:45" ht="17.25" thickBot="1" x14ac:dyDescent="0.3">
      <c r="B1751" s="285">
        <v>273664</v>
      </c>
      <c r="C1751" s="286">
        <v>1135749</v>
      </c>
      <c r="D1751" s="286" t="s">
        <v>7</v>
      </c>
      <c r="E1751" s="286">
        <v>6060050026</v>
      </c>
      <c r="F1751" s="253">
        <f>G1759-AK1751+AL1751</f>
        <v>5</v>
      </c>
      <c r="G1751" s="235">
        <v>5</v>
      </c>
      <c r="H1751" s="383"/>
      <c r="I1751" s="232">
        <v>5</v>
      </c>
      <c r="J1751" s="232"/>
      <c r="K1751" s="232">
        <v>1</v>
      </c>
      <c r="L1751" s="232">
        <f>IF(K1758=K1750,L1759+AK1751,K1751)</f>
        <v>1</v>
      </c>
      <c r="M1751" s="232">
        <f>IF(K1758=K1750,0,L1759+AK1751-K1751)</f>
        <v>0</v>
      </c>
      <c r="N1751" s="267">
        <v>5</v>
      </c>
      <c r="O1751" s="241">
        <f>N1751-G1751</f>
        <v>0</v>
      </c>
      <c r="P1751" s="277">
        <v>4</v>
      </c>
      <c r="Q1751" s="278">
        <v>4</v>
      </c>
      <c r="R1751" s="279"/>
      <c r="S1751" s="279">
        <v>3</v>
      </c>
      <c r="T1751" s="279">
        <v>4</v>
      </c>
      <c r="U1751" s="279">
        <v>2</v>
      </c>
      <c r="V1751" s="241"/>
      <c r="W1751" s="241"/>
      <c r="X1751" s="241"/>
      <c r="Y1751" s="241"/>
      <c r="Z1751" s="241"/>
      <c r="AA1751" s="241"/>
      <c r="AB1751" s="241"/>
      <c r="AC1751" s="241"/>
      <c r="AD1751" s="241"/>
      <c r="AE1751" s="241"/>
      <c r="AF1751" s="241"/>
      <c r="AG1751" s="241"/>
      <c r="AH1751" s="241"/>
      <c r="AI1751" s="241"/>
      <c r="AJ1751" s="241">
        <f>N1751-V1751</f>
        <v>5</v>
      </c>
      <c r="AK1751" s="235">
        <f>G1759+AL1751-G1751</f>
        <v>0</v>
      </c>
      <c r="AL1751" s="350">
        <v>0</v>
      </c>
      <c r="AM1751" s="294">
        <v>1.5</v>
      </c>
      <c r="AN1751" s="295">
        <v>4</v>
      </c>
      <c r="AO1751" s="296">
        <f>G1751/(AN1751)</f>
        <v>1.25</v>
      </c>
      <c r="AP1751" s="297">
        <f>AN1751*6</f>
        <v>24</v>
      </c>
      <c r="AQ1751" s="290">
        <f>G1751+K1751</f>
        <v>6</v>
      </c>
      <c r="AR1751" s="290">
        <f>IF(G1751&lt;G1759,(G1759-G1751+K1759-K1751),K1759-K1751)</f>
        <v>0</v>
      </c>
      <c r="AS1751" s="290">
        <f>21-8</f>
        <v>13</v>
      </c>
    </row>
    <row r="1752" spans="1:45" ht="17.25" thickBot="1" x14ac:dyDescent="0.3">
      <c r="B1752" s="285">
        <v>273672</v>
      </c>
      <c r="C1752" s="286">
        <v>1135750</v>
      </c>
      <c r="D1752" s="286" t="s">
        <v>9</v>
      </c>
      <c r="E1752" s="287">
        <v>204000000000</v>
      </c>
      <c r="F1752" s="253">
        <f>G1760-AK1752+AL1752</f>
        <v>4</v>
      </c>
      <c r="G1752" s="235">
        <v>4</v>
      </c>
      <c r="H1752" s="383"/>
      <c r="I1752" s="232">
        <v>0</v>
      </c>
      <c r="J1752" s="232"/>
      <c r="K1752" s="232">
        <v>0</v>
      </c>
      <c r="L1752" s="232">
        <f>IF(K1758=K1750,L1760+AK1752,K1752)</f>
        <v>0</v>
      </c>
      <c r="M1752" s="232">
        <f>IF(K1758=K1750,0,L1760+AK1752-K1752)</f>
        <v>2</v>
      </c>
      <c r="N1752" s="267">
        <v>10</v>
      </c>
      <c r="O1752" s="241">
        <f>N1752-G1752</f>
        <v>6</v>
      </c>
      <c r="P1752" s="277">
        <v>13</v>
      </c>
      <c r="Q1752" s="278">
        <v>2</v>
      </c>
      <c r="R1752" s="279">
        <v>6</v>
      </c>
      <c r="S1752" s="279">
        <v>6</v>
      </c>
      <c r="T1752" s="279">
        <v>10</v>
      </c>
      <c r="U1752" s="279">
        <v>4</v>
      </c>
      <c r="V1752" s="241">
        <v>6</v>
      </c>
      <c r="W1752" s="241"/>
      <c r="X1752" s="241"/>
      <c r="Y1752" s="241"/>
      <c r="Z1752" s="241"/>
      <c r="AA1752" s="241"/>
      <c r="AB1752" s="241"/>
      <c r="AC1752" s="241"/>
      <c r="AD1752" s="241"/>
      <c r="AE1752" s="241"/>
      <c r="AF1752" s="241"/>
      <c r="AG1752" s="241"/>
      <c r="AH1752" s="241"/>
      <c r="AI1752" s="241"/>
      <c r="AJ1752" s="241">
        <f>N1752-V1752</f>
        <v>4</v>
      </c>
      <c r="AK1752" s="235">
        <f>G1760+AL1752-G1752</f>
        <v>0</v>
      </c>
      <c r="AL1752" s="236">
        <v>4</v>
      </c>
      <c r="AM1752" s="298">
        <v>4.2</v>
      </c>
      <c r="AN1752" s="295">
        <v>9</v>
      </c>
      <c r="AO1752" s="296">
        <f>G1752/(AN1752)</f>
        <v>0.44444444444444442</v>
      </c>
      <c r="AP1752" s="297">
        <f>AN1752*6</f>
        <v>54</v>
      </c>
      <c r="AQ1752" s="290">
        <f>G1752+K1752</f>
        <v>4</v>
      </c>
      <c r="AR1752" s="290">
        <f>IF(G1752&lt;G1760,(G1760-G1752+K1760-K1752),K1760-K1752)</f>
        <v>2</v>
      </c>
      <c r="AS1752" s="290">
        <f>21-8</f>
        <v>13</v>
      </c>
    </row>
    <row r="1753" spans="1:45" ht="17.25" thickBot="1" x14ac:dyDescent="0.3">
      <c r="B1753" s="285">
        <v>273702</v>
      </c>
      <c r="C1753" s="286">
        <v>1135753</v>
      </c>
      <c r="D1753" s="286" t="s">
        <v>10</v>
      </c>
      <c r="E1753" s="287">
        <v>301000000000</v>
      </c>
      <c r="F1753" s="253">
        <f>G1761-AK1753+AL1753</f>
        <v>2</v>
      </c>
      <c r="G1753" s="235">
        <v>2</v>
      </c>
      <c r="H1753" s="383"/>
      <c r="I1753" s="232">
        <v>2</v>
      </c>
      <c r="J1753" s="232"/>
      <c r="K1753" s="232">
        <v>1</v>
      </c>
      <c r="L1753" s="232">
        <f>IF(K1758=K1750,L1761+AK1753,K1753)</f>
        <v>1</v>
      </c>
      <c r="M1753" s="232">
        <f>IF(K1758=K1750,0,L1761+AK1753-K1753)</f>
        <v>0</v>
      </c>
      <c r="N1753" s="232">
        <v>2</v>
      </c>
      <c r="O1753" s="241">
        <f>N1753-G1753</f>
        <v>0</v>
      </c>
      <c r="P1753" s="277"/>
      <c r="Q1753" s="278"/>
      <c r="R1753" s="279"/>
      <c r="S1753" s="279"/>
      <c r="T1753" s="279"/>
      <c r="U1753" s="279"/>
      <c r="V1753" s="241"/>
      <c r="W1753" s="241"/>
      <c r="X1753" s="241"/>
      <c r="Y1753" s="241"/>
      <c r="Z1753" s="241"/>
      <c r="AA1753" s="241"/>
      <c r="AB1753" s="241"/>
      <c r="AC1753" s="241"/>
      <c r="AD1753" s="241"/>
      <c r="AE1753" s="241"/>
      <c r="AF1753" s="241"/>
      <c r="AG1753" s="241"/>
      <c r="AH1753" s="241"/>
      <c r="AI1753" s="241"/>
      <c r="AJ1753" s="241">
        <f>N1753-V1753</f>
        <v>2</v>
      </c>
      <c r="AK1753" s="235">
        <f>G1761+AL1753-G1753</f>
        <v>0</v>
      </c>
      <c r="AL1753" s="236">
        <v>0</v>
      </c>
      <c r="AM1753" s="294">
        <f>4/12</f>
        <v>0.33333333333333331</v>
      </c>
      <c r="AN1753" s="295">
        <v>2</v>
      </c>
      <c r="AO1753" s="296">
        <f>G1753/(AN1753)</f>
        <v>1</v>
      </c>
      <c r="AP1753" s="297">
        <f>AN1753*6</f>
        <v>12</v>
      </c>
      <c r="AQ1753" s="290">
        <f>G1753+K1753</f>
        <v>3</v>
      </c>
      <c r="AR1753" s="290">
        <f>IF(G1753&lt;G1761,(G1761-G1753+K1761-K1753),K1761-K1753)</f>
        <v>0</v>
      </c>
      <c r="AS1753" s="290">
        <f>21-8</f>
        <v>13</v>
      </c>
    </row>
    <row r="1754" spans="1:45" ht="17.25" thickBot="1" x14ac:dyDescent="0.3">
      <c r="B1754" s="285">
        <v>273698</v>
      </c>
      <c r="C1754" s="286">
        <v>1135752</v>
      </c>
      <c r="D1754" s="286" t="s">
        <v>11</v>
      </c>
      <c r="E1754" s="287">
        <v>701000000000</v>
      </c>
      <c r="F1754" s="253">
        <f>G1762-AK1754+AL1754</f>
        <v>3</v>
      </c>
      <c r="G1754" s="235">
        <v>3</v>
      </c>
      <c r="H1754" s="383"/>
      <c r="I1754" s="232">
        <v>3</v>
      </c>
      <c r="J1754" s="232"/>
      <c r="K1754" s="232">
        <v>2</v>
      </c>
      <c r="L1754" s="232">
        <f>IF(K1758=K1750,L1762+AK1754,K1754)</f>
        <v>2</v>
      </c>
      <c r="M1754" s="232">
        <f>IF(K1758=K1750,0,L1762+AK1754-K1754)</f>
        <v>0</v>
      </c>
      <c r="N1754" s="232">
        <v>3</v>
      </c>
      <c r="O1754" s="241">
        <f>N1754-G1754</f>
        <v>0</v>
      </c>
      <c r="P1754" s="277">
        <v>2</v>
      </c>
      <c r="Q1754" s="278"/>
      <c r="R1754" s="279"/>
      <c r="S1754" s="279"/>
      <c r="T1754" s="279"/>
      <c r="U1754" s="279"/>
      <c r="V1754" s="241"/>
      <c r="W1754" s="241"/>
      <c r="X1754" s="241"/>
      <c r="Y1754" s="241"/>
      <c r="Z1754" s="241"/>
      <c r="AA1754" s="241"/>
      <c r="AB1754" s="241"/>
      <c r="AC1754" s="241"/>
      <c r="AD1754" s="241"/>
      <c r="AE1754" s="241"/>
      <c r="AF1754" s="241"/>
      <c r="AG1754" s="241"/>
      <c r="AH1754" s="241"/>
      <c r="AI1754" s="241"/>
      <c r="AJ1754" s="241">
        <f>N1754-V1754</f>
        <v>3</v>
      </c>
      <c r="AK1754" s="235">
        <f>G1762+AL1754-G1754</f>
        <v>0</v>
      </c>
      <c r="AL1754" s="236">
        <v>0</v>
      </c>
      <c r="AM1754" s="294">
        <f>4/12</f>
        <v>0.33333333333333331</v>
      </c>
      <c r="AN1754" s="295">
        <v>2</v>
      </c>
      <c r="AO1754" s="296">
        <f>G1754/(AN1754)</f>
        <v>1.5</v>
      </c>
      <c r="AP1754" s="297">
        <f>AN1754*6</f>
        <v>12</v>
      </c>
      <c r="AQ1754" s="290">
        <f>G1754+K1754</f>
        <v>5</v>
      </c>
      <c r="AR1754" s="290">
        <f>IF(G1754&lt;G1762,(G1762-G1754+K1762-K1754),K1762-K1754)</f>
        <v>0</v>
      </c>
      <c r="AS1754" s="290">
        <f>21-8</f>
        <v>13</v>
      </c>
    </row>
    <row r="1755" spans="1:45" ht="17.25" thickBot="1" x14ac:dyDescent="0.3">
      <c r="B1755" s="285">
        <v>273680</v>
      </c>
      <c r="C1755" s="286">
        <v>1135751</v>
      </c>
      <c r="D1755" s="286" t="s">
        <v>12</v>
      </c>
      <c r="E1755" s="286" t="s">
        <v>13</v>
      </c>
      <c r="F1755" s="254">
        <f>G1763-AK1755+AL1755</f>
        <v>9</v>
      </c>
      <c r="G1755" s="237">
        <v>9</v>
      </c>
      <c r="H1755" s="384"/>
      <c r="I1755" s="238">
        <v>9</v>
      </c>
      <c r="J1755" s="238"/>
      <c r="K1755" s="238">
        <v>5</v>
      </c>
      <c r="L1755" s="238">
        <f>IF(K1758=K1750,L1763+AK1755,K1755)</f>
        <v>5</v>
      </c>
      <c r="M1755" s="238">
        <f>IF(K1758=K1750,0,L1763+AK1755-K1755)</f>
        <v>0</v>
      </c>
      <c r="N1755" s="238">
        <v>9</v>
      </c>
      <c r="O1755" s="242">
        <f>N1755-G1755</f>
        <v>0</v>
      </c>
      <c r="P1755" s="280"/>
      <c r="Q1755" s="281"/>
      <c r="R1755" s="282"/>
      <c r="S1755" s="282"/>
      <c r="T1755" s="282">
        <v>11</v>
      </c>
      <c r="U1755" s="282"/>
      <c r="V1755" s="242"/>
      <c r="W1755" s="242"/>
      <c r="X1755" s="242"/>
      <c r="Y1755" s="242"/>
      <c r="Z1755" s="242"/>
      <c r="AA1755" s="242"/>
      <c r="AB1755" s="242"/>
      <c r="AC1755" s="242"/>
      <c r="AD1755" s="242"/>
      <c r="AE1755" s="242"/>
      <c r="AF1755" s="242"/>
      <c r="AG1755" s="242"/>
      <c r="AH1755" s="242"/>
      <c r="AI1755" s="242"/>
      <c r="AJ1755" s="242">
        <f>N1755-V1755</f>
        <v>9</v>
      </c>
      <c r="AK1755" s="235">
        <f>G1763+AL1755-G1755</f>
        <v>0</v>
      </c>
      <c r="AL1755" s="239">
        <v>0</v>
      </c>
      <c r="AM1755" s="299">
        <f>30/12</f>
        <v>2.5</v>
      </c>
      <c r="AN1755" s="300">
        <f>AM1755*2</f>
        <v>5</v>
      </c>
      <c r="AO1755" s="301">
        <f>G1755/(AN1755)</f>
        <v>1.8</v>
      </c>
      <c r="AP1755" s="302">
        <f>AN1755*6</f>
        <v>30</v>
      </c>
      <c r="AQ1755" s="290">
        <f>G1755+K1755</f>
        <v>14</v>
      </c>
      <c r="AR1755" s="290">
        <f>IF(G1755&lt;G1763,(G1763-G1755+K1763-K1755),K1763-K1755)</f>
        <v>0</v>
      </c>
      <c r="AS1755" s="290">
        <f>21-8</f>
        <v>13</v>
      </c>
    </row>
    <row r="1756" spans="1:45" x14ac:dyDescent="0.25">
      <c r="AL1756" s="290"/>
      <c r="AM1756" s="290"/>
      <c r="AN1756" s="290"/>
      <c r="AO1756" s="290"/>
      <c r="AP1756" s="290"/>
      <c r="AQ1756" s="290"/>
      <c r="AR1756" s="290"/>
    </row>
    <row r="1757" spans="1:45" ht="14.25" thickBot="1" x14ac:dyDescent="0.3">
      <c r="B1757" s="338" t="s">
        <v>18</v>
      </c>
      <c r="C1757" s="339">
        <v>45495</v>
      </c>
      <c r="AL1757" s="290"/>
      <c r="AM1757" s="290"/>
      <c r="AN1757" s="290"/>
      <c r="AO1757" s="290"/>
      <c r="AP1757" s="290"/>
      <c r="AQ1757" s="290"/>
      <c r="AR1757" s="290"/>
    </row>
    <row r="1758" spans="1:45" ht="41.25" thickBot="1" x14ac:dyDescent="0.3">
      <c r="B1758" s="283" t="s">
        <v>0</v>
      </c>
      <c r="C1758" s="284" t="s">
        <v>1</v>
      </c>
      <c r="D1758" s="284" t="s">
        <v>2</v>
      </c>
      <c r="E1758" s="284" t="s">
        <v>3</v>
      </c>
      <c r="F1758" s="4" t="s">
        <v>318</v>
      </c>
      <c r="G1758" s="351" t="s">
        <v>4</v>
      </c>
      <c r="H1758" s="382"/>
      <c r="I1758" s="234" t="s">
        <v>392</v>
      </c>
      <c r="J1758" s="234"/>
      <c r="K1758" s="258" t="s">
        <v>391</v>
      </c>
      <c r="L1758" s="258" t="s">
        <v>328</v>
      </c>
      <c r="M1758" s="258" t="s">
        <v>327</v>
      </c>
      <c r="N1758" s="234" t="s">
        <v>389</v>
      </c>
      <c r="O1758" s="240" t="s">
        <v>130</v>
      </c>
      <c r="P1758" s="243" t="s">
        <v>303</v>
      </c>
      <c r="Q1758" s="244" t="s">
        <v>304</v>
      </c>
      <c r="R1758" s="244" t="s">
        <v>314</v>
      </c>
      <c r="S1758" s="245" t="s">
        <v>338</v>
      </c>
      <c r="T1758" s="245" t="s">
        <v>345</v>
      </c>
      <c r="U1758" s="245" t="s">
        <v>361</v>
      </c>
      <c r="V1758" s="245" t="s">
        <v>387</v>
      </c>
      <c r="W1758" s="245" t="s">
        <v>421</v>
      </c>
      <c r="X1758" s="245" t="s">
        <v>451</v>
      </c>
      <c r="Y1758" s="245"/>
      <c r="Z1758" s="245"/>
      <c r="AA1758" s="245"/>
      <c r="AB1758" s="245"/>
      <c r="AC1758" s="245"/>
      <c r="AD1758" s="245"/>
      <c r="AE1758" s="245"/>
      <c r="AF1758" s="245"/>
      <c r="AG1758" s="245"/>
      <c r="AH1758" s="245"/>
      <c r="AI1758" s="245"/>
      <c r="AJ1758" s="245" t="s">
        <v>360</v>
      </c>
      <c r="AK1758" s="246" t="s">
        <v>268</v>
      </c>
      <c r="AL1758" s="247" t="s">
        <v>269</v>
      </c>
      <c r="AM1758" s="291" t="s">
        <v>288</v>
      </c>
      <c r="AN1758" s="292" t="s">
        <v>289</v>
      </c>
      <c r="AO1758" s="292" t="s">
        <v>287</v>
      </c>
      <c r="AP1758" s="293" t="s">
        <v>290</v>
      </c>
      <c r="AQ1758" s="290" t="s">
        <v>306</v>
      </c>
      <c r="AR1758" s="290" t="s">
        <v>310</v>
      </c>
      <c r="AS1758" s="290" t="s">
        <v>311</v>
      </c>
    </row>
    <row r="1759" spans="1:45" ht="17.25" thickBot="1" x14ac:dyDescent="0.3">
      <c r="B1759" s="285">
        <v>273664</v>
      </c>
      <c r="C1759" s="286">
        <v>1135749</v>
      </c>
      <c r="D1759" s="286" t="s">
        <v>7</v>
      </c>
      <c r="E1759" s="286">
        <v>6060050026</v>
      </c>
      <c r="F1759" s="253">
        <f>G1767-AK1759+AL1759</f>
        <v>5</v>
      </c>
      <c r="G1759" s="235">
        <v>5</v>
      </c>
      <c r="H1759" s="383"/>
      <c r="I1759" s="232">
        <v>5</v>
      </c>
      <c r="J1759" s="232"/>
      <c r="K1759" s="232">
        <v>1</v>
      </c>
      <c r="L1759" s="232">
        <f>IF(K1766=K1758,L1767+AK1759,K1759)</f>
        <v>1</v>
      </c>
      <c r="M1759" s="232">
        <f>IF(K1766=K1758,0,L1767+AK1759-K1759)</f>
        <v>0</v>
      </c>
      <c r="N1759" s="267">
        <v>5</v>
      </c>
      <c r="O1759" s="241">
        <f>N1759-G1759</f>
        <v>0</v>
      </c>
      <c r="P1759" s="277">
        <v>4</v>
      </c>
      <c r="Q1759" s="278">
        <v>4</v>
      </c>
      <c r="R1759" s="279"/>
      <c r="S1759" s="279">
        <v>3</v>
      </c>
      <c r="T1759" s="279">
        <v>4</v>
      </c>
      <c r="U1759" s="279">
        <v>2</v>
      </c>
      <c r="V1759" s="241"/>
      <c r="W1759" s="241"/>
      <c r="X1759" s="241"/>
      <c r="Y1759" s="241"/>
      <c r="Z1759" s="241"/>
      <c r="AA1759" s="241"/>
      <c r="AB1759" s="241"/>
      <c r="AC1759" s="241"/>
      <c r="AD1759" s="241"/>
      <c r="AE1759" s="241"/>
      <c r="AF1759" s="241"/>
      <c r="AG1759" s="241"/>
      <c r="AH1759" s="241"/>
      <c r="AI1759" s="241"/>
      <c r="AJ1759" s="241">
        <f>N1759-V1759</f>
        <v>5</v>
      </c>
      <c r="AK1759" s="235">
        <f>G1767+AL1759-G1759</f>
        <v>0</v>
      </c>
      <c r="AL1759" s="350">
        <v>3</v>
      </c>
      <c r="AM1759" s="294">
        <v>1.5</v>
      </c>
      <c r="AN1759" s="295">
        <v>4</v>
      </c>
      <c r="AO1759" s="296">
        <f>G1759/(AN1759)</f>
        <v>1.25</v>
      </c>
      <c r="AP1759" s="297">
        <f>AN1759*6</f>
        <v>24</v>
      </c>
      <c r="AQ1759" s="290">
        <f>G1759+K1759</f>
        <v>6</v>
      </c>
      <c r="AR1759" s="290">
        <f>IF(G1759&lt;G1767,(G1767-G1759+K1767-K1759),K1767-K1759)</f>
        <v>0</v>
      </c>
      <c r="AS1759" s="290">
        <f>21-8</f>
        <v>13</v>
      </c>
    </row>
    <row r="1760" spans="1:45" ht="17.25" thickBot="1" x14ac:dyDescent="0.3">
      <c r="B1760" s="285">
        <v>273672</v>
      </c>
      <c r="C1760" s="286">
        <v>1135750</v>
      </c>
      <c r="D1760" s="286" t="s">
        <v>9</v>
      </c>
      <c r="E1760" s="287">
        <v>204000000000</v>
      </c>
      <c r="F1760" s="253">
        <f>G1768-AK1760+AL1760</f>
        <v>0</v>
      </c>
      <c r="G1760" s="235">
        <v>0</v>
      </c>
      <c r="H1760" s="383"/>
      <c r="I1760" s="232">
        <v>0</v>
      </c>
      <c r="J1760" s="232"/>
      <c r="K1760" s="232">
        <v>2</v>
      </c>
      <c r="L1760" s="232">
        <f>IF(K1766=K1758,L1768+AK1760,K1760)</f>
        <v>2</v>
      </c>
      <c r="M1760" s="232">
        <f>IF(K1766=K1758,0,L1768+AK1760-K1760)</f>
        <v>6</v>
      </c>
      <c r="N1760" s="267">
        <v>10</v>
      </c>
      <c r="O1760" s="241">
        <f>N1760-G1760</f>
        <v>10</v>
      </c>
      <c r="P1760" s="277">
        <v>13</v>
      </c>
      <c r="Q1760" s="278">
        <v>2</v>
      </c>
      <c r="R1760" s="279">
        <v>6</v>
      </c>
      <c r="S1760" s="279">
        <v>6</v>
      </c>
      <c r="T1760" s="279">
        <v>10</v>
      </c>
      <c r="U1760" s="279">
        <v>4</v>
      </c>
      <c r="V1760" s="241">
        <v>6</v>
      </c>
      <c r="W1760" s="241"/>
      <c r="X1760" s="241"/>
      <c r="Y1760" s="241"/>
      <c r="Z1760" s="241"/>
      <c r="AA1760" s="241"/>
      <c r="AB1760" s="241"/>
      <c r="AC1760" s="241"/>
      <c r="AD1760" s="241"/>
      <c r="AE1760" s="241"/>
      <c r="AF1760" s="241"/>
      <c r="AG1760" s="241"/>
      <c r="AH1760" s="241"/>
      <c r="AI1760" s="241"/>
      <c r="AJ1760" s="241">
        <f>N1760-V1760</f>
        <v>4</v>
      </c>
      <c r="AK1760" s="235">
        <f>G1768+AL1760-G1760</f>
        <v>6</v>
      </c>
      <c r="AL1760" s="236">
        <v>0</v>
      </c>
      <c r="AM1760" s="298">
        <v>4.2</v>
      </c>
      <c r="AN1760" s="295">
        <v>9</v>
      </c>
      <c r="AO1760" s="296">
        <f>G1760/(AN1760)</f>
        <v>0</v>
      </c>
      <c r="AP1760" s="297">
        <f>AN1760*6</f>
        <v>54</v>
      </c>
      <c r="AQ1760" s="290">
        <f>G1760+K1760</f>
        <v>2</v>
      </c>
      <c r="AR1760" s="290">
        <f>IF(G1760&lt;G1768,(G1768-G1760+K1768-K1760),K1768-K1760)</f>
        <v>6</v>
      </c>
      <c r="AS1760" s="290">
        <f>21-8</f>
        <v>13</v>
      </c>
    </row>
    <row r="1761" spans="2:45" ht="17.25" thickBot="1" x14ac:dyDescent="0.3">
      <c r="B1761" s="285">
        <v>273702</v>
      </c>
      <c r="C1761" s="286">
        <v>1135753</v>
      </c>
      <c r="D1761" s="286" t="s">
        <v>10</v>
      </c>
      <c r="E1761" s="287">
        <v>301000000000</v>
      </c>
      <c r="F1761" s="253">
        <f>G1769-AK1761+AL1761</f>
        <v>2</v>
      </c>
      <c r="G1761" s="235">
        <v>2</v>
      </c>
      <c r="H1761" s="383"/>
      <c r="I1761" s="232">
        <v>2</v>
      </c>
      <c r="J1761" s="232"/>
      <c r="K1761" s="232">
        <v>1</v>
      </c>
      <c r="L1761" s="232">
        <f>IF(K1766=K1758,L1769+AK1761,K1761)</f>
        <v>1</v>
      </c>
      <c r="M1761" s="232">
        <f>IF(K1766=K1758,0,L1769+AK1761-K1761)</f>
        <v>0</v>
      </c>
      <c r="N1761" s="232">
        <v>2</v>
      </c>
      <c r="O1761" s="241">
        <f>N1761-G1761</f>
        <v>0</v>
      </c>
      <c r="P1761" s="277"/>
      <c r="Q1761" s="278"/>
      <c r="R1761" s="279"/>
      <c r="S1761" s="279"/>
      <c r="T1761" s="279"/>
      <c r="U1761" s="279"/>
      <c r="V1761" s="241"/>
      <c r="W1761" s="241"/>
      <c r="X1761" s="241"/>
      <c r="Y1761" s="241"/>
      <c r="Z1761" s="241"/>
      <c r="AA1761" s="241"/>
      <c r="AB1761" s="241"/>
      <c r="AC1761" s="241"/>
      <c r="AD1761" s="241"/>
      <c r="AE1761" s="241"/>
      <c r="AF1761" s="241"/>
      <c r="AG1761" s="241"/>
      <c r="AH1761" s="241"/>
      <c r="AI1761" s="241"/>
      <c r="AJ1761" s="241">
        <f>N1761-V1761</f>
        <v>2</v>
      </c>
      <c r="AK1761" s="235">
        <f>G1769+AL1761-G1761</f>
        <v>0</v>
      </c>
      <c r="AL1761" s="236">
        <v>0</v>
      </c>
      <c r="AM1761" s="294">
        <f>4/12</f>
        <v>0.33333333333333331</v>
      </c>
      <c r="AN1761" s="295">
        <v>2</v>
      </c>
      <c r="AO1761" s="296">
        <f>G1761/(AN1761)</f>
        <v>1</v>
      </c>
      <c r="AP1761" s="297">
        <f>AN1761*6</f>
        <v>12</v>
      </c>
      <c r="AQ1761" s="290">
        <f>G1761+K1761</f>
        <v>3</v>
      </c>
      <c r="AR1761" s="290">
        <f>IF(G1761&lt;G1769,(G1769-G1761+K1769-K1761),K1769-K1761)</f>
        <v>0</v>
      </c>
      <c r="AS1761" s="290">
        <f>21-8</f>
        <v>13</v>
      </c>
    </row>
    <row r="1762" spans="2:45" ht="17.25" thickBot="1" x14ac:dyDescent="0.3">
      <c r="B1762" s="285">
        <v>273698</v>
      </c>
      <c r="C1762" s="286">
        <v>1135752</v>
      </c>
      <c r="D1762" s="286" t="s">
        <v>11</v>
      </c>
      <c r="E1762" s="287">
        <v>701000000000</v>
      </c>
      <c r="F1762" s="253">
        <f>G1770-AK1762+AL1762</f>
        <v>3</v>
      </c>
      <c r="G1762" s="235">
        <v>3</v>
      </c>
      <c r="H1762" s="383"/>
      <c r="I1762" s="232">
        <v>3</v>
      </c>
      <c r="J1762" s="232"/>
      <c r="K1762" s="232">
        <v>2</v>
      </c>
      <c r="L1762" s="232">
        <f>IF(K1766=K1758,L1770+AK1762,K1762)</f>
        <v>2</v>
      </c>
      <c r="M1762" s="232">
        <f>IF(K1766=K1758,0,L1770+AK1762-K1762)</f>
        <v>0</v>
      </c>
      <c r="N1762" s="232">
        <v>3</v>
      </c>
      <c r="O1762" s="241">
        <f>N1762-G1762</f>
        <v>0</v>
      </c>
      <c r="P1762" s="277">
        <v>2</v>
      </c>
      <c r="Q1762" s="278"/>
      <c r="R1762" s="279"/>
      <c r="S1762" s="279"/>
      <c r="T1762" s="279"/>
      <c r="U1762" s="279"/>
      <c r="V1762" s="241"/>
      <c r="W1762" s="241"/>
      <c r="X1762" s="241"/>
      <c r="Y1762" s="241"/>
      <c r="Z1762" s="241"/>
      <c r="AA1762" s="241"/>
      <c r="AB1762" s="241"/>
      <c r="AC1762" s="241"/>
      <c r="AD1762" s="241"/>
      <c r="AE1762" s="241"/>
      <c r="AF1762" s="241"/>
      <c r="AG1762" s="241"/>
      <c r="AH1762" s="241"/>
      <c r="AI1762" s="241"/>
      <c r="AJ1762" s="241">
        <f>N1762-V1762</f>
        <v>3</v>
      </c>
      <c r="AK1762" s="235">
        <f>G1770+AL1762-G1762</f>
        <v>0</v>
      </c>
      <c r="AL1762" s="236">
        <v>0</v>
      </c>
      <c r="AM1762" s="294">
        <f>4/12</f>
        <v>0.33333333333333331</v>
      </c>
      <c r="AN1762" s="295">
        <v>2</v>
      </c>
      <c r="AO1762" s="296">
        <f>G1762/(AN1762)</f>
        <v>1.5</v>
      </c>
      <c r="AP1762" s="297">
        <f>AN1762*6</f>
        <v>12</v>
      </c>
      <c r="AQ1762" s="290">
        <f>G1762+K1762</f>
        <v>5</v>
      </c>
      <c r="AR1762" s="290">
        <f>IF(G1762&lt;G1770,(G1770-G1762+K1770-K1762),K1770-K1762)</f>
        <v>0</v>
      </c>
      <c r="AS1762" s="290">
        <f>21-8</f>
        <v>13</v>
      </c>
    </row>
    <row r="1763" spans="2:45" ht="17.25" thickBot="1" x14ac:dyDescent="0.3">
      <c r="B1763" s="285">
        <v>273680</v>
      </c>
      <c r="C1763" s="286">
        <v>1135751</v>
      </c>
      <c r="D1763" s="286" t="s">
        <v>12</v>
      </c>
      <c r="E1763" s="286" t="s">
        <v>13</v>
      </c>
      <c r="F1763" s="254">
        <f>G1771-AK1763+AL1763</f>
        <v>9</v>
      </c>
      <c r="G1763" s="237">
        <v>9</v>
      </c>
      <c r="H1763" s="384"/>
      <c r="I1763" s="238">
        <v>9</v>
      </c>
      <c r="J1763" s="238"/>
      <c r="K1763" s="238">
        <v>5</v>
      </c>
      <c r="L1763" s="238">
        <f>IF(K1766=K1758,L1771+AK1763,K1763)</f>
        <v>5</v>
      </c>
      <c r="M1763" s="238">
        <f>IF(K1766=K1758,0,L1771+AK1763-K1763)</f>
        <v>0</v>
      </c>
      <c r="N1763" s="238">
        <v>9</v>
      </c>
      <c r="O1763" s="242">
        <f>N1763-G1763</f>
        <v>0</v>
      </c>
      <c r="P1763" s="280"/>
      <c r="Q1763" s="281"/>
      <c r="R1763" s="282"/>
      <c r="S1763" s="282"/>
      <c r="T1763" s="282">
        <v>11</v>
      </c>
      <c r="U1763" s="282"/>
      <c r="V1763" s="242"/>
      <c r="W1763" s="242"/>
      <c r="X1763" s="242"/>
      <c r="Y1763" s="242"/>
      <c r="Z1763" s="242"/>
      <c r="AA1763" s="242"/>
      <c r="AB1763" s="242"/>
      <c r="AC1763" s="242"/>
      <c r="AD1763" s="242"/>
      <c r="AE1763" s="242"/>
      <c r="AF1763" s="242"/>
      <c r="AG1763" s="242"/>
      <c r="AH1763" s="242"/>
      <c r="AI1763" s="242"/>
      <c r="AJ1763" s="242">
        <f>N1763-V1763</f>
        <v>9</v>
      </c>
      <c r="AK1763" s="235">
        <f>G1771+AL1763-G1763</f>
        <v>0</v>
      </c>
      <c r="AL1763" s="239">
        <v>0</v>
      </c>
      <c r="AM1763" s="299">
        <f>30/12</f>
        <v>2.5</v>
      </c>
      <c r="AN1763" s="300">
        <f>AM1763*2</f>
        <v>5</v>
      </c>
      <c r="AO1763" s="301">
        <f>G1763/(AN1763)</f>
        <v>1.8</v>
      </c>
      <c r="AP1763" s="302">
        <f>AN1763*6</f>
        <v>30</v>
      </c>
      <c r="AQ1763" s="290">
        <f>G1763+K1763</f>
        <v>14</v>
      </c>
      <c r="AR1763" s="290">
        <f>IF(G1763&lt;G1771,(G1771-G1763+K1771-K1763),K1771-K1763)</f>
        <v>0</v>
      </c>
      <c r="AS1763" s="290">
        <f>21-8</f>
        <v>13</v>
      </c>
    </row>
    <row r="1764" spans="2:45" x14ac:dyDescent="0.25">
      <c r="AL1764" s="290"/>
      <c r="AM1764" s="290"/>
      <c r="AN1764" s="290"/>
      <c r="AO1764" s="290"/>
      <c r="AP1764" s="290"/>
      <c r="AQ1764" s="290"/>
      <c r="AR1764" s="290"/>
    </row>
    <row r="1765" spans="2:45" ht="14.25" thickBot="1" x14ac:dyDescent="0.3">
      <c r="B1765" s="338" t="s">
        <v>18</v>
      </c>
      <c r="C1765" s="339">
        <v>45488</v>
      </c>
      <c r="AL1765" s="290"/>
      <c r="AM1765" s="290"/>
      <c r="AN1765" s="290"/>
      <c r="AO1765" s="290"/>
      <c r="AP1765" s="290"/>
      <c r="AQ1765" s="290"/>
      <c r="AR1765" s="290"/>
    </row>
    <row r="1766" spans="2:45" ht="41.25" thickBot="1" x14ac:dyDescent="0.3">
      <c r="B1766" s="283" t="s">
        <v>0</v>
      </c>
      <c r="C1766" s="284" t="s">
        <v>1</v>
      </c>
      <c r="D1766" s="284" t="s">
        <v>2</v>
      </c>
      <c r="E1766" s="284" t="s">
        <v>3</v>
      </c>
      <c r="F1766" s="4" t="s">
        <v>318</v>
      </c>
      <c r="G1766" s="4" t="s">
        <v>4</v>
      </c>
      <c r="H1766" s="385"/>
      <c r="I1766" s="234" t="s">
        <v>390</v>
      </c>
      <c r="J1766" s="234"/>
      <c r="K1766" s="258" t="s">
        <v>388</v>
      </c>
      <c r="L1766" s="258" t="s">
        <v>328</v>
      </c>
      <c r="M1766" s="258" t="s">
        <v>327</v>
      </c>
      <c r="N1766" s="234" t="s">
        <v>386</v>
      </c>
      <c r="O1766" s="240" t="s">
        <v>130</v>
      </c>
      <c r="P1766" s="243" t="s">
        <v>303</v>
      </c>
      <c r="Q1766" s="244" t="s">
        <v>304</v>
      </c>
      <c r="R1766" s="244" t="s">
        <v>314</v>
      </c>
      <c r="S1766" s="245" t="s">
        <v>338</v>
      </c>
      <c r="T1766" s="245" t="s">
        <v>345</v>
      </c>
      <c r="U1766" s="245" t="s">
        <v>361</v>
      </c>
      <c r="V1766" s="245" t="s">
        <v>387</v>
      </c>
      <c r="W1766" s="245" t="s">
        <v>421</v>
      </c>
      <c r="X1766" s="245" t="s">
        <v>451</v>
      </c>
      <c r="Y1766" s="245"/>
      <c r="Z1766" s="245"/>
      <c r="AA1766" s="245"/>
      <c r="AB1766" s="245"/>
      <c r="AC1766" s="245"/>
      <c r="AD1766" s="245"/>
      <c r="AE1766" s="245"/>
      <c r="AF1766" s="245"/>
      <c r="AG1766" s="245"/>
      <c r="AH1766" s="245"/>
      <c r="AI1766" s="245"/>
      <c r="AJ1766" s="245" t="s">
        <v>360</v>
      </c>
      <c r="AK1766" s="246" t="s">
        <v>268</v>
      </c>
      <c r="AL1766" s="247" t="s">
        <v>269</v>
      </c>
      <c r="AM1766" s="291" t="s">
        <v>288</v>
      </c>
      <c r="AN1766" s="292" t="s">
        <v>289</v>
      </c>
      <c r="AO1766" s="292" t="s">
        <v>287</v>
      </c>
      <c r="AP1766" s="293" t="s">
        <v>290</v>
      </c>
      <c r="AQ1766" s="290" t="s">
        <v>306</v>
      </c>
      <c r="AR1766" s="290" t="s">
        <v>310</v>
      </c>
      <c r="AS1766" s="290" t="s">
        <v>311</v>
      </c>
    </row>
    <row r="1767" spans="2:45" ht="17.25" thickBot="1" x14ac:dyDescent="0.3">
      <c r="B1767" s="285">
        <v>273664</v>
      </c>
      <c r="C1767" s="286">
        <v>1135749</v>
      </c>
      <c r="D1767" s="286" t="s">
        <v>7</v>
      </c>
      <c r="E1767" s="286">
        <v>6060050026</v>
      </c>
      <c r="F1767" s="253">
        <f>G1775-AK1767+AL1767</f>
        <v>2</v>
      </c>
      <c r="G1767" s="235">
        <v>2</v>
      </c>
      <c r="H1767" s="383"/>
      <c r="I1767" s="232">
        <v>2</v>
      </c>
      <c r="J1767" s="232"/>
      <c r="K1767" s="232">
        <v>1</v>
      </c>
      <c r="L1767" s="232">
        <f>IF(K1774=K1766,L1775+AK1767,K1767)</f>
        <v>1</v>
      </c>
      <c r="M1767" s="232">
        <f>IF(K1774=K1766,0,L1775+AK1767-K1767)</f>
        <v>2</v>
      </c>
      <c r="N1767" s="267">
        <v>7</v>
      </c>
      <c r="O1767" s="241">
        <f>N1767-G1767</f>
        <v>5</v>
      </c>
      <c r="P1767" s="277">
        <v>4</v>
      </c>
      <c r="Q1767" s="278">
        <v>4</v>
      </c>
      <c r="R1767" s="279"/>
      <c r="S1767" s="279">
        <v>3</v>
      </c>
      <c r="T1767" s="279">
        <v>4</v>
      </c>
      <c r="U1767" s="241">
        <v>2</v>
      </c>
      <c r="V1767" s="241"/>
      <c r="W1767" s="241"/>
      <c r="X1767" s="241"/>
      <c r="Y1767" s="241"/>
      <c r="Z1767" s="241"/>
      <c r="AA1767" s="241"/>
      <c r="AB1767" s="241"/>
      <c r="AC1767" s="241"/>
      <c r="AD1767" s="241"/>
      <c r="AE1767" s="241"/>
      <c r="AF1767" s="241"/>
      <c r="AG1767" s="241"/>
      <c r="AH1767" s="241"/>
      <c r="AI1767" s="241"/>
      <c r="AJ1767" s="241">
        <f>N1767-U1767</f>
        <v>5</v>
      </c>
      <c r="AK1767" s="235">
        <f>G1775+AL1767-G1767</f>
        <v>0</v>
      </c>
      <c r="AL1767" s="350">
        <v>0</v>
      </c>
      <c r="AM1767" s="294">
        <v>1.5</v>
      </c>
      <c r="AN1767" s="295">
        <v>4</v>
      </c>
      <c r="AO1767" s="296">
        <f>G1767/(AN1767)</f>
        <v>0.5</v>
      </c>
      <c r="AP1767" s="297">
        <f>AN1767*6</f>
        <v>24</v>
      </c>
      <c r="AQ1767" s="290">
        <f>G1767+K1767</f>
        <v>3</v>
      </c>
      <c r="AR1767" s="290">
        <f>IF(G1767&lt;G1775,(G1775-G1767+K1775-K1767),K1775-K1767)</f>
        <v>2</v>
      </c>
      <c r="AS1767" s="290">
        <f>21-8</f>
        <v>13</v>
      </c>
    </row>
    <row r="1768" spans="2:45" ht="17.25" thickBot="1" x14ac:dyDescent="0.3">
      <c r="B1768" s="285">
        <v>273672</v>
      </c>
      <c r="C1768" s="286">
        <v>1135750</v>
      </c>
      <c r="D1768" s="286" t="s">
        <v>9</v>
      </c>
      <c r="E1768" s="287">
        <v>204000000000</v>
      </c>
      <c r="F1768" s="253">
        <f>G1776-AK1768+AL1768</f>
        <v>6</v>
      </c>
      <c r="G1768" s="235">
        <v>6</v>
      </c>
      <c r="H1768" s="383"/>
      <c r="I1768" s="232">
        <v>0</v>
      </c>
      <c r="J1768" s="232"/>
      <c r="K1768" s="232">
        <v>2</v>
      </c>
      <c r="L1768" s="232">
        <f>IF(K1774=K1766,L1776+AK1768,K1768)</f>
        <v>2</v>
      </c>
      <c r="M1768" s="232">
        <f>IF(K1774=K1766,0,L1776+AK1768-K1768)</f>
        <v>0</v>
      </c>
      <c r="N1768" s="267">
        <v>10</v>
      </c>
      <c r="O1768" s="241">
        <f>N1768-G1768</f>
        <v>4</v>
      </c>
      <c r="P1768" s="277">
        <v>13</v>
      </c>
      <c r="Q1768" s="278">
        <v>2</v>
      </c>
      <c r="R1768" s="279">
        <v>6</v>
      </c>
      <c r="S1768" s="279">
        <v>6</v>
      </c>
      <c r="T1768" s="279">
        <v>10</v>
      </c>
      <c r="U1768" s="241">
        <v>4</v>
      </c>
      <c r="V1768" s="241"/>
      <c r="W1768" s="241"/>
      <c r="X1768" s="241"/>
      <c r="Y1768" s="241"/>
      <c r="Z1768" s="241"/>
      <c r="AA1768" s="241"/>
      <c r="AB1768" s="241"/>
      <c r="AC1768" s="241"/>
      <c r="AD1768" s="241"/>
      <c r="AE1768" s="241"/>
      <c r="AF1768" s="241"/>
      <c r="AG1768" s="241"/>
      <c r="AH1768" s="241"/>
      <c r="AI1768" s="241"/>
      <c r="AJ1768" s="241">
        <f>N1768-U1768</f>
        <v>6</v>
      </c>
      <c r="AK1768" s="235">
        <f>G1776+AL1768-G1768</f>
        <v>0</v>
      </c>
      <c r="AL1768" s="236">
        <v>0</v>
      </c>
      <c r="AM1768" s="298">
        <v>4.2</v>
      </c>
      <c r="AN1768" s="295">
        <v>9</v>
      </c>
      <c r="AO1768" s="296">
        <f>G1768/(AN1768)</f>
        <v>0.66666666666666663</v>
      </c>
      <c r="AP1768" s="297">
        <f>AN1768*6</f>
        <v>54</v>
      </c>
      <c r="AQ1768" s="290">
        <f>G1768+K1768</f>
        <v>8</v>
      </c>
      <c r="AR1768" s="290">
        <f>IF(G1768&lt;G1776,(G1776-G1768+K1776-K1768),K1776-K1768)</f>
        <v>0</v>
      </c>
      <c r="AS1768" s="290">
        <f>21-8</f>
        <v>13</v>
      </c>
    </row>
    <row r="1769" spans="2:45" ht="17.25" thickBot="1" x14ac:dyDescent="0.3">
      <c r="B1769" s="285">
        <v>273702</v>
      </c>
      <c r="C1769" s="286">
        <v>1135753</v>
      </c>
      <c r="D1769" s="286" t="s">
        <v>10</v>
      </c>
      <c r="E1769" s="287">
        <v>301000000000</v>
      </c>
      <c r="F1769" s="253">
        <f>G1777-AK1769+AL1769</f>
        <v>2</v>
      </c>
      <c r="G1769" s="235">
        <v>2</v>
      </c>
      <c r="H1769" s="383"/>
      <c r="I1769" s="232">
        <v>2</v>
      </c>
      <c r="J1769" s="232"/>
      <c r="K1769" s="232">
        <v>1</v>
      </c>
      <c r="L1769" s="232">
        <f>IF(K1774=K1766,L1777+AK1769,K1769)</f>
        <v>1</v>
      </c>
      <c r="M1769" s="232">
        <f>IF(K1774=K1766,0,L1777+AK1769-K1769)</f>
        <v>0</v>
      </c>
      <c r="N1769" s="232">
        <v>2</v>
      </c>
      <c r="O1769" s="241">
        <f>N1769-G1769</f>
        <v>0</v>
      </c>
      <c r="P1769" s="277"/>
      <c r="Q1769" s="278"/>
      <c r="R1769" s="279"/>
      <c r="S1769" s="279"/>
      <c r="T1769" s="279"/>
      <c r="U1769" s="241"/>
      <c r="V1769" s="241"/>
      <c r="W1769" s="241"/>
      <c r="X1769" s="241"/>
      <c r="Y1769" s="241"/>
      <c r="Z1769" s="241"/>
      <c r="AA1769" s="241"/>
      <c r="AB1769" s="241"/>
      <c r="AC1769" s="241"/>
      <c r="AD1769" s="241"/>
      <c r="AE1769" s="241"/>
      <c r="AF1769" s="241"/>
      <c r="AG1769" s="241"/>
      <c r="AH1769" s="241"/>
      <c r="AI1769" s="241"/>
      <c r="AJ1769" s="241">
        <f>N1769-U1769</f>
        <v>2</v>
      </c>
      <c r="AK1769" s="235">
        <f>G1777+AL1769-G1769</f>
        <v>0</v>
      </c>
      <c r="AL1769" s="236">
        <v>0</v>
      </c>
      <c r="AM1769" s="294">
        <f>4/12</f>
        <v>0.33333333333333331</v>
      </c>
      <c r="AN1769" s="295">
        <v>2</v>
      </c>
      <c r="AO1769" s="296">
        <f>G1769/(AN1769)</f>
        <v>1</v>
      </c>
      <c r="AP1769" s="297">
        <f>AN1769*6</f>
        <v>12</v>
      </c>
      <c r="AQ1769" s="290">
        <f>G1769+K1769</f>
        <v>3</v>
      </c>
      <c r="AR1769" s="290">
        <f>IF(G1769&lt;G1777,(G1777-G1769+K1777-K1769),K1777-K1769)</f>
        <v>0</v>
      </c>
      <c r="AS1769" s="290">
        <f>21-8</f>
        <v>13</v>
      </c>
    </row>
    <row r="1770" spans="2:45" ht="17.25" thickBot="1" x14ac:dyDescent="0.3">
      <c r="B1770" s="285">
        <v>273698</v>
      </c>
      <c r="C1770" s="286">
        <v>1135752</v>
      </c>
      <c r="D1770" s="286" t="s">
        <v>11</v>
      </c>
      <c r="E1770" s="287">
        <v>701000000000</v>
      </c>
      <c r="F1770" s="253">
        <f>G1778-AK1770+AL1770</f>
        <v>3</v>
      </c>
      <c r="G1770" s="235">
        <v>3</v>
      </c>
      <c r="H1770" s="383"/>
      <c r="I1770" s="232">
        <v>3</v>
      </c>
      <c r="J1770" s="232"/>
      <c r="K1770" s="232">
        <v>2</v>
      </c>
      <c r="L1770" s="232">
        <f>IF(K1774=K1766,L1778+AK1770,K1770)</f>
        <v>2</v>
      </c>
      <c r="M1770" s="232">
        <f>IF(K1774=K1766,0,L1778+AK1770-K1770)</f>
        <v>0</v>
      </c>
      <c r="N1770" s="232">
        <v>3</v>
      </c>
      <c r="O1770" s="241">
        <f>N1770-G1770</f>
        <v>0</v>
      </c>
      <c r="P1770" s="277">
        <v>2</v>
      </c>
      <c r="Q1770" s="278"/>
      <c r="R1770" s="279"/>
      <c r="S1770" s="279"/>
      <c r="T1770" s="279"/>
      <c r="U1770" s="241"/>
      <c r="V1770" s="241"/>
      <c r="W1770" s="241"/>
      <c r="X1770" s="241"/>
      <c r="Y1770" s="241"/>
      <c r="Z1770" s="241"/>
      <c r="AA1770" s="241"/>
      <c r="AB1770" s="241"/>
      <c r="AC1770" s="241"/>
      <c r="AD1770" s="241"/>
      <c r="AE1770" s="241"/>
      <c r="AF1770" s="241"/>
      <c r="AG1770" s="241"/>
      <c r="AH1770" s="241"/>
      <c r="AI1770" s="241"/>
      <c r="AJ1770" s="241">
        <f>N1770-U1770</f>
        <v>3</v>
      </c>
      <c r="AK1770" s="235">
        <f>G1778+AL1770-G1770</f>
        <v>0</v>
      </c>
      <c r="AL1770" s="236">
        <v>0</v>
      </c>
      <c r="AM1770" s="294">
        <f>4/12</f>
        <v>0.33333333333333331</v>
      </c>
      <c r="AN1770" s="295">
        <v>2</v>
      </c>
      <c r="AO1770" s="296">
        <f>G1770/(AN1770)</f>
        <v>1.5</v>
      </c>
      <c r="AP1770" s="297">
        <f>AN1770*6</f>
        <v>12</v>
      </c>
      <c r="AQ1770" s="290">
        <f>G1770+K1770</f>
        <v>5</v>
      </c>
      <c r="AR1770" s="290">
        <f>IF(G1770&lt;G1778,(G1778-G1770+K1778-K1770),K1778-K1770)</f>
        <v>0</v>
      </c>
      <c r="AS1770" s="290">
        <f>21-8</f>
        <v>13</v>
      </c>
    </row>
    <row r="1771" spans="2:45" ht="17.25" thickBot="1" x14ac:dyDescent="0.3">
      <c r="B1771" s="285">
        <v>273680</v>
      </c>
      <c r="C1771" s="286">
        <v>1135751</v>
      </c>
      <c r="D1771" s="286" t="s">
        <v>12</v>
      </c>
      <c r="E1771" s="286" t="s">
        <v>13</v>
      </c>
      <c r="F1771" s="254">
        <f>G1779-AK1771+AL1771</f>
        <v>9</v>
      </c>
      <c r="G1771" s="237">
        <v>9</v>
      </c>
      <c r="H1771" s="384"/>
      <c r="I1771" s="238">
        <v>9</v>
      </c>
      <c r="J1771" s="238"/>
      <c r="K1771" s="238">
        <v>5</v>
      </c>
      <c r="L1771" s="238">
        <f>IF(K1774=K1766,L1779+AK1771,K1771)</f>
        <v>5</v>
      </c>
      <c r="M1771" s="238">
        <f>IF(K1774=K1766,0,L1779+AK1771-K1771)</f>
        <v>0</v>
      </c>
      <c r="N1771" s="238">
        <v>9</v>
      </c>
      <c r="O1771" s="242">
        <f>N1771-G1771</f>
        <v>0</v>
      </c>
      <c r="P1771" s="280"/>
      <c r="Q1771" s="281"/>
      <c r="R1771" s="282"/>
      <c r="S1771" s="282"/>
      <c r="T1771" s="282">
        <v>11</v>
      </c>
      <c r="U1771" s="242"/>
      <c r="V1771" s="242"/>
      <c r="W1771" s="242"/>
      <c r="X1771" s="242"/>
      <c r="Y1771" s="242"/>
      <c r="Z1771" s="242"/>
      <c r="AA1771" s="242"/>
      <c r="AB1771" s="242"/>
      <c r="AC1771" s="242"/>
      <c r="AD1771" s="242"/>
      <c r="AE1771" s="242"/>
      <c r="AF1771" s="242"/>
      <c r="AG1771" s="242"/>
      <c r="AH1771" s="242"/>
      <c r="AI1771" s="242"/>
      <c r="AJ1771" s="242">
        <f>N1771-U1771</f>
        <v>9</v>
      </c>
      <c r="AK1771" s="235">
        <f>G1779+AL1771-G1771</f>
        <v>0</v>
      </c>
      <c r="AL1771" s="239">
        <v>4</v>
      </c>
      <c r="AM1771" s="299">
        <f>30/12</f>
        <v>2.5</v>
      </c>
      <c r="AN1771" s="300">
        <f>AM1771*2</f>
        <v>5</v>
      </c>
      <c r="AO1771" s="301">
        <f>G1771/(AN1771)</f>
        <v>1.8</v>
      </c>
      <c r="AP1771" s="302">
        <f>AN1771*6</f>
        <v>30</v>
      </c>
      <c r="AQ1771" s="290">
        <f>G1771+K1771</f>
        <v>14</v>
      </c>
      <c r="AR1771" s="290">
        <f>IF(G1771&lt;G1779,(G1779-G1771+K1779-K1771),K1779-K1771)</f>
        <v>0</v>
      </c>
      <c r="AS1771" s="290">
        <f>21-8</f>
        <v>13</v>
      </c>
    </row>
    <row r="1772" spans="2:45" x14ac:dyDescent="0.25">
      <c r="AL1772" s="290"/>
      <c r="AM1772" s="290"/>
      <c r="AN1772" s="290"/>
      <c r="AO1772" s="290"/>
      <c r="AP1772" s="290"/>
      <c r="AQ1772" s="290"/>
      <c r="AR1772" s="290"/>
      <c r="AS1772" s="290"/>
    </row>
    <row r="1773" spans="2:45" ht="14.25" thickBot="1" x14ac:dyDescent="0.3">
      <c r="B1773" s="338" t="s">
        <v>18</v>
      </c>
      <c r="C1773" s="339">
        <v>45481</v>
      </c>
      <c r="AL1773" s="290"/>
      <c r="AM1773" s="290"/>
      <c r="AN1773" s="290"/>
      <c r="AO1773" s="290"/>
      <c r="AP1773" s="290"/>
      <c r="AQ1773" s="290"/>
      <c r="AR1773" s="290"/>
      <c r="AS1773" s="290"/>
    </row>
    <row r="1774" spans="2:45" ht="41.25" thickBot="1" x14ac:dyDescent="0.3">
      <c r="B1774" s="283" t="s">
        <v>0</v>
      </c>
      <c r="C1774" s="284" t="s">
        <v>1</v>
      </c>
      <c r="D1774" s="284" t="s">
        <v>2</v>
      </c>
      <c r="E1774" s="284" t="s">
        <v>3</v>
      </c>
      <c r="F1774" s="4" t="s">
        <v>318</v>
      </c>
      <c r="G1774" s="4" t="s">
        <v>4</v>
      </c>
      <c r="H1774" s="385"/>
      <c r="I1774" s="234" t="s">
        <v>378</v>
      </c>
      <c r="J1774" s="234"/>
      <c r="K1774" s="258" t="s">
        <v>379</v>
      </c>
      <c r="L1774" s="258" t="s">
        <v>328</v>
      </c>
      <c r="M1774" s="258" t="s">
        <v>327</v>
      </c>
      <c r="N1774" s="234" t="s">
        <v>380</v>
      </c>
      <c r="O1774" s="240" t="s">
        <v>130</v>
      </c>
      <c r="P1774" s="243" t="s">
        <v>303</v>
      </c>
      <c r="Q1774" s="244" t="s">
        <v>304</v>
      </c>
      <c r="R1774" s="244" t="s">
        <v>314</v>
      </c>
      <c r="S1774" s="245" t="s">
        <v>338</v>
      </c>
      <c r="T1774" s="245" t="s">
        <v>345</v>
      </c>
      <c r="U1774" s="245" t="s">
        <v>361</v>
      </c>
      <c r="V1774" s="245" t="s">
        <v>387</v>
      </c>
      <c r="W1774" s="245" t="s">
        <v>421</v>
      </c>
      <c r="X1774" s="245" t="s">
        <v>451</v>
      </c>
      <c r="Y1774" s="245"/>
      <c r="Z1774" s="245"/>
      <c r="AA1774" s="245"/>
      <c r="AB1774" s="245"/>
      <c r="AC1774" s="245"/>
      <c r="AD1774" s="245"/>
      <c r="AE1774" s="245"/>
      <c r="AF1774" s="245"/>
      <c r="AG1774" s="245"/>
      <c r="AH1774" s="245"/>
      <c r="AI1774" s="245"/>
      <c r="AJ1774" s="245" t="s">
        <v>360</v>
      </c>
      <c r="AK1774" s="246" t="s">
        <v>268</v>
      </c>
      <c r="AL1774" s="247" t="s">
        <v>269</v>
      </c>
      <c r="AM1774" s="291" t="s">
        <v>288</v>
      </c>
      <c r="AN1774" s="292" t="s">
        <v>289</v>
      </c>
      <c r="AO1774" s="292" t="s">
        <v>287</v>
      </c>
      <c r="AP1774" s="293" t="s">
        <v>290</v>
      </c>
      <c r="AQ1774" s="290" t="s">
        <v>306</v>
      </c>
      <c r="AR1774" s="290" t="s">
        <v>310</v>
      </c>
      <c r="AS1774" s="290" t="s">
        <v>311</v>
      </c>
    </row>
    <row r="1775" spans="2:45" ht="17.25" thickBot="1" x14ac:dyDescent="0.3">
      <c r="B1775" s="285">
        <v>273664</v>
      </c>
      <c r="C1775" s="286">
        <v>1135749</v>
      </c>
      <c r="D1775" s="286" t="s">
        <v>7</v>
      </c>
      <c r="E1775" s="286">
        <v>6060050026</v>
      </c>
      <c r="F1775" s="253">
        <f>G1783-AK1775+AL1775</f>
        <v>2</v>
      </c>
      <c r="G1775" s="235">
        <v>2</v>
      </c>
      <c r="H1775" s="383"/>
      <c r="I1775" s="232">
        <v>2</v>
      </c>
      <c r="J1775" s="232"/>
      <c r="K1775" s="232">
        <v>3</v>
      </c>
      <c r="L1775" s="232">
        <f>IF(K1782=K1774,L1783+AK1775,K1775)</f>
        <v>3</v>
      </c>
      <c r="M1775" s="232">
        <f>IF(K1782=K1774,0,L1783+AK1775-K1775)</f>
        <v>0</v>
      </c>
      <c r="N1775" s="267">
        <v>4</v>
      </c>
      <c r="O1775" s="241">
        <f>N1775-G1775</f>
        <v>2</v>
      </c>
      <c r="P1775" s="277">
        <v>4</v>
      </c>
      <c r="Q1775" s="278">
        <v>4</v>
      </c>
      <c r="R1775" s="279"/>
      <c r="S1775" s="279">
        <v>3</v>
      </c>
      <c r="T1775" s="279">
        <v>4</v>
      </c>
      <c r="U1775" s="241">
        <v>2</v>
      </c>
      <c r="V1775" s="241"/>
      <c r="W1775" s="241"/>
      <c r="X1775" s="241"/>
      <c r="Y1775" s="241"/>
      <c r="Z1775" s="241"/>
      <c r="AA1775" s="241"/>
      <c r="AB1775" s="241"/>
      <c r="AC1775" s="241"/>
      <c r="AD1775" s="241"/>
      <c r="AE1775" s="241"/>
      <c r="AF1775" s="241"/>
      <c r="AG1775" s="241"/>
      <c r="AH1775" s="241"/>
      <c r="AI1775" s="241"/>
      <c r="AJ1775" s="241">
        <f>N1775-U1775</f>
        <v>2</v>
      </c>
      <c r="AK1775" s="235">
        <f>G1783+AL1775-G1775</f>
        <v>0</v>
      </c>
      <c r="AL1775" s="236">
        <v>0</v>
      </c>
      <c r="AM1775" s="294">
        <v>1.5</v>
      </c>
      <c r="AN1775" s="295">
        <v>4</v>
      </c>
      <c r="AO1775" s="296">
        <f>G1775/(AN1775)</f>
        <v>0.5</v>
      </c>
      <c r="AP1775" s="297">
        <f>AN1775*6</f>
        <v>24</v>
      </c>
      <c r="AQ1775" s="290">
        <f>G1775+K1775</f>
        <v>5</v>
      </c>
      <c r="AR1775" s="290">
        <f>IF(G1775&lt;G1783,(G1783-G1775+K1783-K1775),K1783-K1775)</f>
        <v>0</v>
      </c>
      <c r="AS1775" s="290">
        <f>21-8</f>
        <v>13</v>
      </c>
    </row>
    <row r="1776" spans="2:45" ht="17.25" thickBot="1" x14ac:dyDescent="0.3">
      <c r="B1776" s="285">
        <v>273672</v>
      </c>
      <c r="C1776" s="286">
        <v>1135750</v>
      </c>
      <c r="D1776" s="286" t="s">
        <v>9</v>
      </c>
      <c r="E1776" s="287">
        <v>204000000000</v>
      </c>
      <c r="F1776" s="253">
        <f>G1784-AK1776+AL1776</f>
        <v>6</v>
      </c>
      <c r="G1776" s="235">
        <v>6</v>
      </c>
      <c r="H1776" s="383"/>
      <c r="I1776" s="232">
        <v>6</v>
      </c>
      <c r="J1776" s="232"/>
      <c r="K1776" s="232">
        <v>2</v>
      </c>
      <c r="L1776" s="232">
        <f>IF(K1782=K1774,L1784+AK1776,K1776)</f>
        <v>2</v>
      </c>
      <c r="M1776" s="232">
        <f>IF(K1782=K1774,0,L1784+AK1776-K1776)</f>
        <v>0</v>
      </c>
      <c r="N1776" s="267">
        <v>10</v>
      </c>
      <c r="O1776" s="241">
        <f>N1776-G1776</f>
        <v>4</v>
      </c>
      <c r="P1776" s="277">
        <v>13</v>
      </c>
      <c r="Q1776" s="278">
        <v>2</v>
      </c>
      <c r="R1776" s="279">
        <v>6</v>
      </c>
      <c r="S1776" s="279">
        <v>6</v>
      </c>
      <c r="T1776" s="279">
        <v>10</v>
      </c>
      <c r="U1776" s="241">
        <v>4</v>
      </c>
      <c r="V1776" s="241"/>
      <c r="W1776" s="241"/>
      <c r="X1776" s="241"/>
      <c r="Y1776" s="241"/>
      <c r="Z1776" s="241"/>
      <c r="AA1776" s="241"/>
      <c r="AB1776" s="241"/>
      <c r="AC1776" s="241"/>
      <c r="AD1776" s="241"/>
      <c r="AE1776" s="241"/>
      <c r="AF1776" s="241"/>
      <c r="AG1776" s="241"/>
      <c r="AH1776" s="241"/>
      <c r="AI1776" s="241"/>
      <c r="AJ1776" s="241">
        <f>N1776-U1776</f>
        <v>6</v>
      </c>
      <c r="AK1776" s="235">
        <f>G1784+AL1776-G1776</f>
        <v>0</v>
      </c>
      <c r="AL1776" s="236">
        <v>6</v>
      </c>
      <c r="AM1776" s="298">
        <v>4.2</v>
      </c>
      <c r="AN1776" s="295">
        <v>9</v>
      </c>
      <c r="AO1776" s="296">
        <f>G1776/(AN1776)</f>
        <v>0.66666666666666663</v>
      </c>
      <c r="AP1776" s="297">
        <f>AN1776*6</f>
        <v>54</v>
      </c>
      <c r="AQ1776" s="290">
        <f>G1776+K1776</f>
        <v>8</v>
      </c>
      <c r="AR1776" s="290">
        <f>IF(G1776&lt;G1784,(G1784-G1776+K1784-K1776),K1784-K1776)</f>
        <v>0</v>
      </c>
      <c r="AS1776" s="290">
        <f>21-8</f>
        <v>13</v>
      </c>
    </row>
    <row r="1777" spans="2:45" ht="17.25" thickBot="1" x14ac:dyDescent="0.3">
      <c r="B1777" s="285">
        <v>273702</v>
      </c>
      <c r="C1777" s="286">
        <v>1135753</v>
      </c>
      <c r="D1777" s="286" t="s">
        <v>10</v>
      </c>
      <c r="E1777" s="287">
        <v>301000000000</v>
      </c>
      <c r="F1777" s="253">
        <f>G1785-AK1777+AL1777</f>
        <v>2</v>
      </c>
      <c r="G1777" s="235">
        <v>2</v>
      </c>
      <c r="H1777" s="383"/>
      <c r="I1777" s="232">
        <v>2</v>
      </c>
      <c r="J1777" s="232"/>
      <c r="K1777" s="232">
        <v>1</v>
      </c>
      <c r="L1777" s="232">
        <f>IF(K1782=K1774,L1785+AK1777,K1777)</f>
        <v>1</v>
      </c>
      <c r="M1777" s="232">
        <f>IF(K1782=K1774,0,L1785+AK1777-K1777)</f>
        <v>0</v>
      </c>
      <c r="N1777" s="232">
        <v>2</v>
      </c>
      <c r="O1777" s="241">
        <f>N1777-G1777</f>
        <v>0</v>
      </c>
      <c r="P1777" s="277"/>
      <c r="Q1777" s="278"/>
      <c r="R1777" s="279"/>
      <c r="S1777" s="279"/>
      <c r="T1777" s="279"/>
      <c r="U1777" s="241"/>
      <c r="V1777" s="241"/>
      <c r="W1777" s="241"/>
      <c r="X1777" s="241"/>
      <c r="Y1777" s="241"/>
      <c r="Z1777" s="241"/>
      <c r="AA1777" s="241"/>
      <c r="AB1777" s="241"/>
      <c r="AC1777" s="241"/>
      <c r="AD1777" s="241"/>
      <c r="AE1777" s="241"/>
      <c r="AF1777" s="241"/>
      <c r="AG1777" s="241"/>
      <c r="AH1777" s="241"/>
      <c r="AI1777" s="241"/>
      <c r="AJ1777" s="241">
        <f>N1777-U1777</f>
        <v>2</v>
      </c>
      <c r="AK1777" s="235">
        <f>G1785+AL1777-G1777</f>
        <v>0</v>
      </c>
      <c r="AL1777" s="236">
        <v>0</v>
      </c>
      <c r="AM1777" s="294">
        <f>4/12</f>
        <v>0.33333333333333331</v>
      </c>
      <c r="AN1777" s="295">
        <v>2</v>
      </c>
      <c r="AO1777" s="296">
        <f>G1777/(AN1777)</f>
        <v>1</v>
      </c>
      <c r="AP1777" s="297">
        <f>AN1777*6</f>
        <v>12</v>
      </c>
      <c r="AQ1777" s="290">
        <f>G1777+K1777</f>
        <v>3</v>
      </c>
      <c r="AR1777" s="290">
        <f>IF(G1777&lt;G1785,(G1785-G1777+K1785-K1777),K1785-K1777)</f>
        <v>0</v>
      </c>
      <c r="AS1777" s="290">
        <f>21-8</f>
        <v>13</v>
      </c>
    </row>
    <row r="1778" spans="2:45" ht="17.25" thickBot="1" x14ac:dyDescent="0.3">
      <c r="B1778" s="285">
        <v>273698</v>
      </c>
      <c r="C1778" s="286">
        <v>1135752</v>
      </c>
      <c r="D1778" s="286" t="s">
        <v>11</v>
      </c>
      <c r="E1778" s="287">
        <v>701000000000</v>
      </c>
      <c r="F1778" s="253">
        <f>G1786-AK1778+AL1778</f>
        <v>3</v>
      </c>
      <c r="G1778" s="235">
        <v>3</v>
      </c>
      <c r="H1778" s="383"/>
      <c r="I1778" s="232">
        <v>3</v>
      </c>
      <c r="J1778" s="232"/>
      <c r="K1778" s="232">
        <v>2</v>
      </c>
      <c r="L1778" s="232">
        <f>IF(K1782=K1774,L1786+AK1778,K1778)</f>
        <v>2</v>
      </c>
      <c r="M1778" s="232">
        <f>IF(K1782=K1774,0,L1786+AK1778-K1778)</f>
        <v>0</v>
      </c>
      <c r="N1778" s="232">
        <v>3</v>
      </c>
      <c r="O1778" s="241">
        <f>N1778-G1778</f>
        <v>0</v>
      </c>
      <c r="P1778" s="277">
        <v>2</v>
      </c>
      <c r="Q1778" s="278"/>
      <c r="R1778" s="279"/>
      <c r="S1778" s="279"/>
      <c r="T1778" s="279"/>
      <c r="U1778" s="241"/>
      <c r="V1778" s="241"/>
      <c r="W1778" s="241"/>
      <c r="X1778" s="241"/>
      <c r="Y1778" s="241"/>
      <c r="Z1778" s="241"/>
      <c r="AA1778" s="241"/>
      <c r="AB1778" s="241"/>
      <c r="AC1778" s="241"/>
      <c r="AD1778" s="241"/>
      <c r="AE1778" s="241"/>
      <c r="AF1778" s="241"/>
      <c r="AG1778" s="241"/>
      <c r="AH1778" s="241"/>
      <c r="AI1778" s="241"/>
      <c r="AJ1778" s="241">
        <f>N1778-U1778</f>
        <v>3</v>
      </c>
      <c r="AK1778" s="235">
        <f>G1786+AL1778-G1778</f>
        <v>0</v>
      </c>
      <c r="AL1778" s="236">
        <v>0</v>
      </c>
      <c r="AM1778" s="294">
        <f>4/12</f>
        <v>0.33333333333333331</v>
      </c>
      <c r="AN1778" s="295">
        <v>2</v>
      </c>
      <c r="AO1778" s="296">
        <f>G1778/(AN1778)</f>
        <v>1.5</v>
      </c>
      <c r="AP1778" s="297">
        <f>AN1778*6</f>
        <v>12</v>
      </c>
      <c r="AQ1778" s="290">
        <f>G1778+K1778</f>
        <v>5</v>
      </c>
      <c r="AR1778" s="290">
        <f>IF(G1778&lt;G1786,(G1786-G1778+K1786-K1778),K1786-K1778)</f>
        <v>0</v>
      </c>
      <c r="AS1778" s="290">
        <f>21-8</f>
        <v>13</v>
      </c>
    </row>
    <row r="1779" spans="2:45" ht="17.25" thickBot="1" x14ac:dyDescent="0.3">
      <c r="B1779" s="285">
        <v>273680</v>
      </c>
      <c r="C1779" s="286">
        <v>1135751</v>
      </c>
      <c r="D1779" s="286" t="s">
        <v>12</v>
      </c>
      <c r="E1779" s="286" t="s">
        <v>13</v>
      </c>
      <c r="F1779" s="254">
        <f>G1787-AK1779+AL1779</f>
        <v>5</v>
      </c>
      <c r="G1779" s="237">
        <v>5</v>
      </c>
      <c r="H1779" s="384"/>
      <c r="I1779" s="238">
        <v>5</v>
      </c>
      <c r="J1779" s="238"/>
      <c r="K1779" s="238">
        <v>5</v>
      </c>
      <c r="L1779" s="238">
        <f>IF(K1782=K1774,L1787+AK1779,K1779)</f>
        <v>5</v>
      </c>
      <c r="M1779" s="238">
        <f>IF(K1782=K1774,0,L1787+AK1779-K1779)</f>
        <v>0</v>
      </c>
      <c r="N1779" s="238">
        <v>9</v>
      </c>
      <c r="O1779" s="242">
        <f>N1779-G1779</f>
        <v>4</v>
      </c>
      <c r="P1779" s="280"/>
      <c r="Q1779" s="281"/>
      <c r="R1779" s="282"/>
      <c r="S1779" s="282"/>
      <c r="T1779" s="282">
        <v>11</v>
      </c>
      <c r="U1779" s="242"/>
      <c r="V1779" s="242"/>
      <c r="W1779" s="242"/>
      <c r="X1779" s="242"/>
      <c r="Y1779" s="242"/>
      <c r="Z1779" s="242"/>
      <c r="AA1779" s="242"/>
      <c r="AB1779" s="242"/>
      <c r="AC1779" s="242"/>
      <c r="AD1779" s="242"/>
      <c r="AE1779" s="242"/>
      <c r="AF1779" s="242"/>
      <c r="AG1779" s="242"/>
      <c r="AH1779" s="242"/>
      <c r="AI1779" s="242"/>
      <c r="AJ1779" s="242">
        <f>N1779-U1779</f>
        <v>9</v>
      </c>
      <c r="AK1779" s="235">
        <f>G1787+AL1779-G1779</f>
        <v>0</v>
      </c>
      <c r="AL1779" s="239">
        <v>0</v>
      </c>
      <c r="AM1779" s="299">
        <f>30/12</f>
        <v>2.5</v>
      </c>
      <c r="AN1779" s="300">
        <f>AM1779*2</f>
        <v>5</v>
      </c>
      <c r="AO1779" s="301">
        <f>G1779/(AN1779)</f>
        <v>1</v>
      </c>
      <c r="AP1779" s="302">
        <f>AN1779*6</f>
        <v>30</v>
      </c>
      <c r="AQ1779" s="290">
        <f>G1779+K1779</f>
        <v>10</v>
      </c>
      <c r="AR1779" s="290">
        <f>IF(G1779&lt;G1787,(G1787-G1779+K1787-K1779),K1787-K1779)</f>
        <v>0</v>
      </c>
      <c r="AS1779" s="290">
        <f>21-8</f>
        <v>13</v>
      </c>
    </row>
    <row r="1780" spans="2:45" x14ac:dyDescent="0.25">
      <c r="AL1780" s="290"/>
      <c r="AM1780" s="290"/>
      <c r="AN1780" s="290"/>
      <c r="AO1780" s="290"/>
      <c r="AP1780" s="290"/>
      <c r="AQ1780" s="290"/>
      <c r="AR1780" s="290"/>
      <c r="AS1780" s="290"/>
    </row>
    <row r="1781" spans="2:45" ht="14.25" thickBot="1" x14ac:dyDescent="0.3">
      <c r="B1781" s="338" t="s">
        <v>18</v>
      </c>
      <c r="C1781" s="339">
        <v>45474</v>
      </c>
      <c r="AL1781" s="290"/>
      <c r="AM1781" s="290"/>
      <c r="AN1781" s="290"/>
      <c r="AO1781" s="290"/>
      <c r="AP1781" s="290"/>
      <c r="AQ1781" s="290"/>
      <c r="AR1781" s="290"/>
      <c r="AS1781" s="290"/>
    </row>
    <row r="1782" spans="2:45" ht="41.25" thickBot="1" x14ac:dyDescent="0.3">
      <c r="B1782" s="283" t="s">
        <v>0</v>
      </c>
      <c r="C1782" s="284" t="s">
        <v>1</v>
      </c>
      <c r="D1782" s="284" t="s">
        <v>2</v>
      </c>
      <c r="E1782" s="284" t="s">
        <v>3</v>
      </c>
      <c r="F1782" s="4" t="s">
        <v>318</v>
      </c>
      <c r="G1782" s="4" t="s">
        <v>4</v>
      </c>
      <c r="H1782" s="385"/>
      <c r="I1782" s="234" t="s">
        <v>375</v>
      </c>
      <c r="J1782" s="234"/>
      <c r="K1782" s="258" t="s">
        <v>376</v>
      </c>
      <c r="L1782" s="258" t="s">
        <v>328</v>
      </c>
      <c r="M1782" s="258" t="s">
        <v>327</v>
      </c>
      <c r="N1782" s="234" t="s">
        <v>377</v>
      </c>
      <c r="O1782" s="240" t="s">
        <v>130</v>
      </c>
      <c r="P1782" s="243" t="s">
        <v>303</v>
      </c>
      <c r="Q1782" s="244" t="s">
        <v>304</v>
      </c>
      <c r="R1782" s="244" t="s">
        <v>314</v>
      </c>
      <c r="S1782" s="245" t="s">
        <v>338</v>
      </c>
      <c r="T1782" s="245" t="s">
        <v>345</v>
      </c>
      <c r="U1782" s="245" t="s">
        <v>361</v>
      </c>
      <c r="V1782" s="245" t="s">
        <v>387</v>
      </c>
      <c r="W1782" s="245" t="s">
        <v>421</v>
      </c>
      <c r="X1782" s="245" t="s">
        <v>451</v>
      </c>
      <c r="Y1782" s="245"/>
      <c r="Z1782" s="245"/>
      <c r="AA1782" s="245"/>
      <c r="AB1782" s="245"/>
      <c r="AC1782" s="245"/>
      <c r="AD1782" s="245"/>
      <c r="AE1782" s="245"/>
      <c r="AF1782" s="245"/>
      <c r="AG1782" s="245"/>
      <c r="AH1782" s="245"/>
      <c r="AI1782" s="245"/>
      <c r="AJ1782" s="245" t="s">
        <v>360</v>
      </c>
      <c r="AK1782" s="246" t="s">
        <v>268</v>
      </c>
      <c r="AL1782" s="247" t="s">
        <v>269</v>
      </c>
      <c r="AM1782" s="291" t="s">
        <v>288</v>
      </c>
      <c r="AN1782" s="292" t="s">
        <v>289</v>
      </c>
      <c r="AO1782" s="292" t="s">
        <v>287</v>
      </c>
      <c r="AP1782" s="293" t="s">
        <v>290</v>
      </c>
      <c r="AQ1782" s="290" t="s">
        <v>306</v>
      </c>
      <c r="AR1782" s="290" t="s">
        <v>310</v>
      </c>
      <c r="AS1782" s="290" t="s">
        <v>311</v>
      </c>
    </row>
    <row r="1783" spans="2:45" ht="17.25" thickBot="1" x14ac:dyDescent="0.3">
      <c r="B1783" s="285">
        <v>273664</v>
      </c>
      <c r="C1783" s="286">
        <v>1135749</v>
      </c>
      <c r="D1783" s="286" t="s">
        <v>7</v>
      </c>
      <c r="E1783" s="286">
        <v>6060050026</v>
      </c>
      <c r="F1783" s="253">
        <f>G1791+AK1783</f>
        <v>2</v>
      </c>
      <c r="G1783" s="235">
        <v>2</v>
      </c>
      <c r="H1783" s="383"/>
      <c r="I1783" s="232">
        <v>2</v>
      </c>
      <c r="J1783" s="232"/>
      <c r="K1783" s="232">
        <v>3</v>
      </c>
      <c r="L1783" s="232">
        <f>IF(K1790=K1782,L1791+AK1783,K1783)</f>
        <v>3</v>
      </c>
      <c r="M1783" s="232">
        <f>IF(K1790=K1782,0,L1791+AK1783-K1783)</f>
        <v>0</v>
      </c>
      <c r="N1783" s="267">
        <v>4</v>
      </c>
      <c r="O1783" s="241">
        <f>N1783-G1783</f>
        <v>2</v>
      </c>
      <c r="P1783" s="277">
        <v>4</v>
      </c>
      <c r="Q1783" s="278">
        <v>4</v>
      </c>
      <c r="R1783" s="279"/>
      <c r="S1783" s="279">
        <v>3</v>
      </c>
      <c r="T1783" s="279">
        <v>4</v>
      </c>
      <c r="U1783" s="241">
        <v>2</v>
      </c>
      <c r="V1783" s="241"/>
      <c r="W1783" s="241"/>
      <c r="X1783" s="241"/>
      <c r="Y1783" s="241"/>
      <c r="Z1783" s="241"/>
      <c r="AA1783" s="241"/>
      <c r="AB1783" s="241"/>
      <c r="AC1783" s="241"/>
      <c r="AD1783" s="241"/>
      <c r="AE1783" s="241"/>
      <c r="AF1783" s="241"/>
      <c r="AG1783" s="241"/>
      <c r="AH1783" s="241"/>
      <c r="AI1783" s="241"/>
      <c r="AJ1783" s="241">
        <f>N1783-U1783</f>
        <v>2</v>
      </c>
      <c r="AK1783" s="235">
        <f>G1791+AL1783-G1783</f>
        <v>0</v>
      </c>
      <c r="AL1783" s="236">
        <v>0</v>
      </c>
      <c r="AM1783" s="294">
        <v>1.5</v>
      </c>
      <c r="AN1783" s="295">
        <v>4</v>
      </c>
      <c r="AO1783" s="296">
        <f>G1783/(AN1783)</f>
        <v>0.5</v>
      </c>
      <c r="AP1783" s="297">
        <f>AN1783*6</f>
        <v>24</v>
      </c>
      <c r="AQ1783" s="290">
        <f>G1783+K1783</f>
        <v>5</v>
      </c>
      <c r="AR1783" s="290">
        <f>IF(G1783&lt;G1791,(G1791-G1783+K1791-K1783),K1791-K1783)</f>
        <v>0</v>
      </c>
      <c r="AS1783" s="290">
        <f>21-8</f>
        <v>13</v>
      </c>
    </row>
    <row r="1784" spans="2:45" ht="17.25" thickBot="1" x14ac:dyDescent="0.3">
      <c r="B1784" s="285">
        <v>273672</v>
      </c>
      <c r="C1784" s="286">
        <v>1135750</v>
      </c>
      <c r="D1784" s="286" t="s">
        <v>9</v>
      </c>
      <c r="E1784" s="287">
        <v>204000000000</v>
      </c>
      <c r="F1784" s="253">
        <f>G1792+AK1784</f>
        <v>0</v>
      </c>
      <c r="G1784" s="235">
        <v>0</v>
      </c>
      <c r="H1784" s="383"/>
      <c r="I1784" s="232">
        <v>0</v>
      </c>
      <c r="J1784" s="232"/>
      <c r="K1784" s="232">
        <v>2</v>
      </c>
      <c r="L1784" s="232">
        <f>IF(K1790=K1782,L1792+AK1784,K1784)</f>
        <v>2</v>
      </c>
      <c r="M1784" s="232">
        <f>IF(K1790=K1782,0,L1792+AK1784-K1784)</f>
        <v>0</v>
      </c>
      <c r="N1784" s="267">
        <v>10</v>
      </c>
      <c r="O1784" s="241">
        <f>N1784-G1784</f>
        <v>10</v>
      </c>
      <c r="P1784" s="277">
        <v>13</v>
      </c>
      <c r="Q1784" s="278">
        <v>2</v>
      </c>
      <c r="R1784" s="279">
        <v>6</v>
      </c>
      <c r="S1784" s="279">
        <v>6</v>
      </c>
      <c r="T1784" s="279">
        <v>10</v>
      </c>
      <c r="U1784" s="241">
        <v>4</v>
      </c>
      <c r="V1784" s="241"/>
      <c r="W1784" s="241"/>
      <c r="X1784" s="241"/>
      <c r="Y1784" s="241"/>
      <c r="Z1784" s="241"/>
      <c r="AA1784" s="241"/>
      <c r="AB1784" s="241"/>
      <c r="AC1784" s="241"/>
      <c r="AD1784" s="241"/>
      <c r="AE1784" s="241"/>
      <c r="AF1784" s="241"/>
      <c r="AG1784" s="241"/>
      <c r="AH1784" s="241"/>
      <c r="AI1784" s="241"/>
      <c r="AJ1784" s="241">
        <f>N1784-U1784</f>
        <v>6</v>
      </c>
      <c r="AK1784" s="235">
        <f>G1792+AL1784-G1784</f>
        <v>0</v>
      </c>
      <c r="AL1784" s="236">
        <v>0</v>
      </c>
      <c r="AM1784" s="298">
        <v>4.2</v>
      </c>
      <c r="AN1784" s="295">
        <v>9</v>
      </c>
      <c r="AO1784" s="296">
        <f>G1784/(AN1784)</f>
        <v>0</v>
      </c>
      <c r="AP1784" s="297">
        <f>AN1784*6</f>
        <v>54</v>
      </c>
      <c r="AQ1784" s="290">
        <f>G1784+K1784</f>
        <v>2</v>
      </c>
      <c r="AR1784" s="290">
        <f>IF(G1784&lt;G1792,(G1792-G1784+K1792-K1784),K1792-K1784)</f>
        <v>0</v>
      </c>
      <c r="AS1784" s="290">
        <f>21-8</f>
        <v>13</v>
      </c>
    </row>
    <row r="1785" spans="2:45" ht="17.25" thickBot="1" x14ac:dyDescent="0.3">
      <c r="B1785" s="285">
        <v>273702</v>
      </c>
      <c r="C1785" s="286">
        <v>1135753</v>
      </c>
      <c r="D1785" s="286" t="s">
        <v>10</v>
      </c>
      <c r="E1785" s="287">
        <v>301000000000</v>
      </c>
      <c r="F1785" s="253">
        <f>G1793+AK1785</f>
        <v>2</v>
      </c>
      <c r="G1785" s="235">
        <v>2</v>
      </c>
      <c r="H1785" s="383"/>
      <c r="I1785" s="232">
        <v>2</v>
      </c>
      <c r="J1785" s="232"/>
      <c r="K1785" s="232">
        <v>1</v>
      </c>
      <c r="L1785" s="232">
        <f>IF(K1790=K1782,L1793+AK1785,K1785)</f>
        <v>1</v>
      </c>
      <c r="M1785" s="232">
        <f>IF(K1790=K1782,0,L1793+AK1785-K1785)</f>
        <v>0</v>
      </c>
      <c r="N1785" s="232">
        <v>2</v>
      </c>
      <c r="O1785" s="241">
        <f>N1785-G1785</f>
        <v>0</v>
      </c>
      <c r="P1785" s="277"/>
      <c r="Q1785" s="278"/>
      <c r="R1785" s="279"/>
      <c r="S1785" s="279"/>
      <c r="T1785" s="279"/>
      <c r="U1785" s="241"/>
      <c r="V1785" s="241"/>
      <c r="W1785" s="241"/>
      <c r="X1785" s="241"/>
      <c r="Y1785" s="241"/>
      <c r="Z1785" s="241"/>
      <c r="AA1785" s="241"/>
      <c r="AB1785" s="241"/>
      <c r="AC1785" s="241"/>
      <c r="AD1785" s="241"/>
      <c r="AE1785" s="241"/>
      <c r="AF1785" s="241"/>
      <c r="AG1785" s="241"/>
      <c r="AH1785" s="241"/>
      <c r="AI1785" s="241"/>
      <c r="AJ1785" s="241">
        <f>N1785-U1785</f>
        <v>2</v>
      </c>
      <c r="AK1785" s="235">
        <f>G1793+AL1785-G1785</f>
        <v>0</v>
      </c>
      <c r="AL1785" s="236">
        <v>0</v>
      </c>
      <c r="AM1785" s="294">
        <f>4/12</f>
        <v>0.33333333333333331</v>
      </c>
      <c r="AN1785" s="295">
        <v>2</v>
      </c>
      <c r="AO1785" s="296">
        <f>G1785/(AN1785)</f>
        <v>1</v>
      </c>
      <c r="AP1785" s="297">
        <f>AN1785*6</f>
        <v>12</v>
      </c>
      <c r="AQ1785" s="290">
        <f>G1785+K1785</f>
        <v>3</v>
      </c>
      <c r="AR1785" s="290">
        <f>IF(G1785&lt;G1793,(G1793-G1785+K1793-K1785),K1793-K1785)</f>
        <v>0</v>
      </c>
      <c r="AS1785" s="290">
        <f>21-8</f>
        <v>13</v>
      </c>
    </row>
    <row r="1786" spans="2:45" ht="17.25" thickBot="1" x14ac:dyDescent="0.3">
      <c r="B1786" s="285">
        <v>273698</v>
      </c>
      <c r="C1786" s="286">
        <v>1135752</v>
      </c>
      <c r="D1786" s="286" t="s">
        <v>11</v>
      </c>
      <c r="E1786" s="287">
        <v>701000000000</v>
      </c>
      <c r="F1786" s="253">
        <f>G1794+AK1786</f>
        <v>3</v>
      </c>
      <c r="G1786" s="235">
        <v>3</v>
      </c>
      <c r="H1786" s="383"/>
      <c r="I1786" s="232">
        <v>3</v>
      </c>
      <c r="J1786" s="232"/>
      <c r="K1786" s="232">
        <v>2</v>
      </c>
      <c r="L1786" s="232">
        <f>IF(K1790=K1782,L1794+AK1786,K1786)</f>
        <v>2</v>
      </c>
      <c r="M1786" s="232">
        <f>IF(K1790=K1782,0,L1794+AK1786-K1786)</f>
        <v>0</v>
      </c>
      <c r="N1786" s="232">
        <v>3</v>
      </c>
      <c r="O1786" s="241">
        <f>N1786-G1786</f>
        <v>0</v>
      </c>
      <c r="P1786" s="277">
        <v>2</v>
      </c>
      <c r="Q1786" s="278"/>
      <c r="R1786" s="279"/>
      <c r="S1786" s="279"/>
      <c r="T1786" s="279"/>
      <c r="U1786" s="241"/>
      <c r="V1786" s="241"/>
      <c r="W1786" s="241"/>
      <c r="X1786" s="241"/>
      <c r="Y1786" s="241"/>
      <c r="Z1786" s="241"/>
      <c r="AA1786" s="241"/>
      <c r="AB1786" s="241"/>
      <c r="AC1786" s="241"/>
      <c r="AD1786" s="241"/>
      <c r="AE1786" s="241"/>
      <c r="AF1786" s="241"/>
      <c r="AG1786" s="241"/>
      <c r="AH1786" s="241"/>
      <c r="AI1786" s="241"/>
      <c r="AJ1786" s="241">
        <f>N1786-U1786</f>
        <v>3</v>
      </c>
      <c r="AK1786" s="235">
        <f>G1794+AL1786-G1786</f>
        <v>0</v>
      </c>
      <c r="AL1786" s="236">
        <v>0</v>
      </c>
      <c r="AM1786" s="294">
        <f>4/12</f>
        <v>0.33333333333333331</v>
      </c>
      <c r="AN1786" s="295">
        <v>2</v>
      </c>
      <c r="AO1786" s="296">
        <f>G1786/(AN1786)</f>
        <v>1.5</v>
      </c>
      <c r="AP1786" s="297">
        <f>AN1786*6</f>
        <v>12</v>
      </c>
      <c r="AQ1786" s="290">
        <f>G1786+K1786</f>
        <v>5</v>
      </c>
      <c r="AR1786" s="290">
        <f>IF(G1786&lt;G1794,(G1794-G1786+K1794-K1786),K1794-K1786)</f>
        <v>0</v>
      </c>
      <c r="AS1786" s="290">
        <f>21-8</f>
        <v>13</v>
      </c>
    </row>
    <row r="1787" spans="2:45" ht="17.25" thickBot="1" x14ac:dyDescent="0.3">
      <c r="B1787" s="285">
        <v>273680</v>
      </c>
      <c r="C1787" s="286">
        <v>1135751</v>
      </c>
      <c r="D1787" s="286" t="s">
        <v>12</v>
      </c>
      <c r="E1787" s="286" t="s">
        <v>13</v>
      </c>
      <c r="F1787" s="254">
        <f>G1795+AK1787</f>
        <v>5</v>
      </c>
      <c r="G1787" s="237">
        <v>5</v>
      </c>
      <c r="H1787" s="384"/>
      <c r="I1787" s="238">
        <v>5</v>
      </c>
      <c r="J1787" s="238"/>
      <c r="K1787" s="238">
        <v>5</v>
      </c>
      <c r="L1787" s="238">
        <f>IF(K1790=K1782,L1795+AK1787,K1787)</f>
        <v>5</v>
      </c>
      <c r="M1787" s="238">
        <f>IF(K1790=K1782,0,L1795+AK1787-K1787)</f>
        <v>0</v>
      </c>
      <c r="N1787" s="238">
        <v>5</v>
      </c>
      <c r="O1787" s="242">
        <f>N1787-G1787</f>
        <v>0</v>
      </c>
      <c r="P1787" s="280"/>
      <c r="Q1787" s="281"/>
      <c r="R1787" s="282"/>
      <c r="S1787" s="282"/>
      <c r="T1787" s="282">
        <v>11</v>
      </c>
      <c r="U1787" s="242"/>
      <c r="V1787" s="242"/>
      <c r="W1787" s="242"/>
      <c r="X1787" s="242"/>
      <c r="Y1787" s="242"/>
      <c r="Z1787" s="242"/>
      <c r="AA1787" s="242"/>
      <c r="AB1787" s="242"/>
      <c r="AC1787" s="242"/>
      <c r="AD1787" s="242"/>
      <c r="AE1787" s="242"/>
      <c r="AF1787" s="242"/>
      <c r="AG1787" s="242"/>
      <c r="AH1787" s="242"/>
      <c r="AI1787" s="242"/>
      <c r="AJ1787" s="242">
        <f>N1787-U1787</f>
        <v>5</v>
      </c>
      <c r="AK1787" s="235">
        <f>G1795+AL1787-G1787</f>
        <v>0</v>
      </c>
      <c r="AL1787" s="239">
        <v>0</v>
      </c>
      <c r="AM1787" s="299">
        <f>30/12</f>
        <v>2.5</v>
      </c>
      <c r="AN1787" s="300">
        <f>AM1787*2</f>
        <v>5</v>
      </c>
      <c r="AO1787" s="301">
        <f>G1787/(AN1787)</f>
        <v>1</v>
      </c>
      <c r="AP1787" s="302">
        <f>AN1787*6</f>
        <v>30</v>
      </c>
      <c r="AQ1787" s="290">
        <f>G1787+K1787</f>
        <v>10</v>
      </c>
      <c r="AR1787" s="290">
        <f>IF(G1787&lt;G1795,(G1795-G1787+K1795-K1787),K1795-K1787)</f>
        <v>0</v>
      </c>
      <c r="AS1787" s="290">
        <f>21-8</f>
        <v>13</v>
      </c>
    </row>
    <row r="1788" spans="2:45" x14ac:dyDescent="0.25">
      <c r="AL1788" s="290"/>
      <c r="AM1788" s="290"/>
      <c r="AN1788" s="290"/>
      <c r="AO1788" s="290"/>
      <c r="AP1788" s="290"/>
      <c r="AQ1788" s="290"/>
      <c r="AR1788" s="290"/>
      <c r="AS1788" s="290"/>
    </row>
    <row r="1789" spans="2:45" ht="14.25" thickBot="1" x14ac:dyDescent="0.3">
      <c r="B1789" s="338" t="s">
        <v>18</v>
      </c>
      <c r="C1789" s="339">
        <v>45467</v>
      </c>
      <c r="AL1789" s="290"/>
      <c r="AM1789" s="290"/>
      <c r="AN1789" s="290"/>
      <c r="AO1789" s="290"/>
      <c r="AP1789" s="290"/>
      <c r="AQ1789" s="290"/>
      <c r="AR1789" s="290"/>
      <c r="AS1789" s="290"/>
    </row>
    <row r="1790" spans="2:45" ht="41.25" thickBot="1" x14ac:dyDescent="0.3">
      <c r="B1790" s="2" t="s">
        <v>0</v>
      </c>
      <c r="C1790" s="3" t="s">
        <v>1</v>
      </c>
      <c r="D1790" s="3" t="s">
        <v>2</v>
      </c>
      <c r="E1790" s="3" t="s">
        <v>3</v>
      </c>
      <c r="F1790" s="4" t="s">
        <v>318</v>
      </c>
      <c r="G1790" s="4" t="s">
        <v>4</v>
      </c>
      <c r="H1790" s="385"/>
      <c r="I1790" s="234" t="s">
        <v>370</v>
      </c>
      <c r="J1790" s="234"/>
      <c r="K1790" s="258" t="s">
        <v>373</v>
      </c>
      <c r="L1790" s="258" t="s">
        <v>328</v>
      </c>
      <c r="M1790" s="258" t="s">
        <v>327</v>
      </c>
      <c r="N1790" s="234" t="s">
        <v>374</v>
      </c>
      <c r="O1790" s="240" t="s">
        <v>130</v>
      </c>
      <c r="P1790" s="243" t="s">
        <v>303</v>
      </c>
      <c r="Q1790" s="244" t="s">
        <v>304</v>
      </c>
      <c r="R1790" s="244" t="s">
        <v>314</v>
      </c>
      <c r="S1790" s="245" t="s">
        <v>338</v>
      </c>
      <c r="T1790" s="245" t="s">
        <v>345</v>
      </c>
      <c r="U1790" s="245" t="s">
        <v>361</v>
      </c>
      <c r="V1790" s="245" t="s">
        <v>387</v>
      </c>
      <c r="W1790" s="245" t="s">
        <v>421</v>
      </c>
      <c r="X1790" s="245" t="s">
        <v>451</v>
      </c>
      <c r="Y1790" s="245"/>
      <c r="Z1790" s="245"/>
      <c r="AA1790" s="245"/>
      <c r="AB1790" s="245"/>
      <c r="AC1790" s="245"/>
      <c r="AD1790" s="245"/>
      <c r="AE1790" s="245"/>
      <c r="AF1790" s="245"/>
      <c r="AG1790" s="245"/>
      <c r="AH1790" s="245"/>
      <c r="AI1790" s="245"/>
      <c r="AJ1790" s="245" t="s">
        <v>360</v>
      </c>
      <c r="AK1790" s="246" t="s">
        <v>268</v>
      </c>
      <c r="AL1790" s="247" t="s">
        <v>269</v>
      </c>
      <c r="AM1790" s="291" t="s">
        <v>288</v>
      </c>
      <c r="AN1790" s="292" t="s">
        <v>289</v>
      </c>
      <c r="AO1790" s="292" t="s">
        <v>287</v>
      </c>
      <c r="AP1790" s="293" t="s">
        <v>290</v>
      </c>
      <c r="AQ1790" s="290" t="s">
        <v>306</v>
      </c>
      <c r="AR1790" s="290" t="s">
        <v>310</v>
      </c>
      <c r="AS1790" s="290" t="s">
        <v>311</v>
      </c>
    </row>
    <row r="1791" spans="2:45" ht="14.25" thickBot="1" x14ac:dyDescent="0.3">
      <c r="B1791" s="5">
        <v>273664</v>
      </c>
      <c r="C1791" s="6">
        <v>1135749</v>
      </c>
      <c r="D1791" s="6" t="s">
        <v>7</v>
      </c>
      <c r="E1791" s="6">
        <v>6060050026</v>
      </c>
      <c r="F1791" s="253">
        <f>G1799+AK1791</f>
        <v>3</v>
      </c>
      <c r="G1791" s="235">
        <v>2</v>
      </c>
      <c r="H1791" s="383"/>
      <c r="I1791" s="232">
        <v>1</v>
      </c>
      <c r="J1791" s="232"/>
      <c r="K1791" s="232">
        <v>3</v>
      </c>
      <c r="L1791" s="232">
        <f>IF(K1798=K1790,L1799+AK1791,K1791)</f>
        <v>3</v>
      </c>
      <c r="M1791" s="232">
        <f>IF(K1798=K1790,0,L1799+AK1791-K1791)</f>
        <v>1</v>
      </c>
      <c r="N1791" s="267">
        <v>8</v>
      </c>
      <c r="O1791" s="241">
        <f>N1791-G1791</f>
        <v>6</v>
      </c>
      <c r="P1791" s="277">
        <v>4</v>
      </c>
      <c r="Q1791" s="278">
        <v>4</v>
      </c>
      <c r="R1791" s="279"/>
      <c r="S1791" s="279">
        <v>3</v>
      </c>
      <c r="T1791" s="241">
        <v>4</v>
      </c>
      <c r="U1791" s="241">
        <v>2</v>
      </c>
      <c r="V1791" s="241"/>
      <c r="W1791" s="241"/>
      <c r="X1791" s="241"/>
      <c r="Y1791" s="241"/>
      <c r="Z1791" s="241"/>
      <c r="AA1791" s="241"/>
      <c r="AB1791" s="241"/>
      <c r="AC1791" s="241"/>
      <c r="AD1791" s="241"/>
      <c r="AE1791" s="241"/>
      <c r="AF1791" s="241"/>
      <c r="AG1791" s="241"/>
      <c r="AH1791" s="241"/>
      <c r="AI1791" s="241"/>
      <c r="AJ1791" s="241">
        <f>N1791-T1791</f>
        <v>4</v>
      </c>
      <c r="AK1791" s="235">
        <f>G1799+AL1791-G1791</f>
        <v>2</v>
      </c>
      <c r="AL1791" s="236">
        <v>3</v>
      </c>
      <c r="AM1791" s="294">
        <v>1.5</v>
      </c>
      <c r="AN1791" s="295">
        <v>4</v>
      </c>
      <c r="AO1791" s="296">
        <f>G1791/(AN1791)</f>
        <v>0.5</v>
      </c>
      <c r="AP1791" s="297">
        <f>AN1791*6</f>
        <v>24</v>
      </c>
      <c r="AQ1791" s="290">
        <f>G1791+K1791</f>
        <v>5</v>
      </c>
      <c r="AR1791" s="290">
        <f>IF(G1791&lt;G1799,(G1799-G1791+K1799-K1791),K1799-K1791)</f>
        <v>-1</v>
      </c>
      <c r="AS1791" s="290">
        <f>21-8</f>
        <v>13</v>
      </c>
    </row>
    <row r="1792" spans="2:45" ht="14.25" thickBot="1" x14ac:dyDescent="0.3">
      <c r="B1792" s="5">
        <v>273672</v>
      </c>
      <c r="C1792" s="6">
        <v>1135750</v>
      </c>
      <c r="D1792" s="6" t="s">
        <v>9</v>
      </c>
      <c r="E1792" s="215">
        <v>204000000000</v>
      </c>
      <c r="F1792" s="253">
        <f>G1800+AK1792</f>
        <v>4</v>
      </c>
      <c r="G1792" s="235">
        <v>0</v>
      </c>
      <c r="H1792" s="383"/>
      <c r="I1792" s="232">
        <v>0</v>
      </c>
      <c r="J1792" s="232"/>
      <c r="K1792" s="232">
        <v>2</v>
      </c>
      <c r="L1792" s="232">
        <f>IF(K1798=K1790,L1800+AK1792,K1792)</f>
        <v>2</v>
      </c>
      <c r="M1792" s="232">
        <f>IF(K1798=K1790,0,L1800+AK1792-K1792)</f>
        <v>3</v>
      </c>
      <c r="N1792" s="267">
        <v>18</v>
      </c>
      <c r="O1792" s="241">
        <f>N1792-G1792</f>
        <v>18</v>
      </c>
      <c r="P1792" s="277">
        <v>13</v>
      </c>
      <c r="Q1792" s="278">
        <v>2</v>
      </c>
      <c r="R1792" s="279">
        <v>6</v>
      </c>
      <c r="S1792" s="279">
        <v>6</v>
      </c>
      <c r="T1792" s="241">
        <v>10</v>
      </c>
      <c r="U1792" s="241">
        <v>4</v>
      </c>
      <c r="V1792" s="241"/>
      <c r="W1792" s="241"/>
      <c r="X1792" s="241"/>
      <c r="Y1792" s="241"/>
      <c r="Z1792" s="241"/>
      <c r="AA1792" s="241"/>
      <c r="AB1792" s="241"/>
      <c r="AC1792" s="241"/>
      <c r="AD1792" s="241"/>
      <c r="AE1792" s="241"/>
      <c r="AF1792" s="241"/>
      <c r="AG1792" s="241"/>
      <c r="AH1792" s="241"/>
      <c r="AI1792" s="241"/>
      <c r="AJ1792" s="241">
        <f>N1792-T1792</f>
        <v>8</v>
      </c>
      <c r="AK1792" s="235">
        <f>G1800+AL1792-G1792</f>
        <v>4</v>
      </c>
      <c r="AL1792" s="236">
        <v>4</v>
      </c>
      <c r="AM1792" s="298">
        <v>4.2</v>
      </c>
      <c r="AN1792" s="295">
        <v>9</v>
      </c>
      <c r="AO1792" s="296">
        <f>G1792/(AN1792)</f>
        <v>0</v>
      </c>
      <c r="AP1792" s="297">
        <f>AN1792*6</f>
        <v>54</v>
      </c>
      <c r="AQ1792" s="290">
        <f>G1792+K1792</f>
        <v>2</v>
      </c>
      <c r="AR1792" s="290">
        <f>IF(G1792&lt;G1800,(G1800-G1792+K1800-K1792),K1800-K1792)</f>
        <v>-1</v>
      </c>
      <c r="AS1792" s="290">
        <f>21-8</f>
        <v>13</v>
      </c>
    </row>
    <row r="1793" spans="2:45" ht="14.25" thickBot="1" x14ac:dyDescent="0.3">
      <c r="B1793" s="5">
        <v>273702</v>
      </c>
      <c r="C1793" s="6">
        <v>1135753</v>
      </c>
      <c r="D1793" s="6" t="s">
        <v>10</v>
      </c>
      <c r="E1793" s="215">
        <v>301000000000</v>
      </c>
      <c r="F1793" s="253">
        <f>G1801+AK1793</f>
        <v>2</v>
      </c>
      <c r="G1793" s="235">
        <v>2</v>
      </c>
      <c r="H1793" s="383"/>
      <c r="I1793" s="232">
        <v>2</v>
      </c>
      <c r="J1793" s="232"/>
      <c r="K1793" s="232">
        <v>1</v>
      </c>
      <c r="L1793" s="232">
        <f>IF(K1798=K1790,L1801+AK1793,K1793)</f>
        <v>1</v>
      </c>
      <c r="M1793" s="232">
        <f>IF(K1798=K1790,0,L1801+AK1793-K1793)</f>
        <v>0</v>
      </c>
      <c r="N1793" s="232">
        <v>2</v>
      </c>
      <c r="O1793" s="241">
        <f>N1793-G1793</f>
        <v>0</v>
      </c>
      <c r="P1793" s="277"/>
      <c r="Q1793" s="278"/>
      <c r="R1793" s="279"/>
      <c r="S1793" s="279"/>
      <c r="T1793" s="241"/>
      <c r="U1793" s="241"/>
      <c r="V1793" s="241"/>
      <c r="W1793" s="241"/>
      <c r="X1793" s="241"/>
      <c r="Y1793" s="241"/>
      <c r="Z1793" s="241"/>
      <c r="AA1793" s="241"/>
      <c r="AB1793" s="241"/>
      <c r="AC1793" s="241"/>
      <c r="AD1793" s="241"/>
      <c r="AE1793" s="241"/>
      <c r="AF1793" s="241"/>
      <c r="AG1793" s="241"/>
      <c r="AH1793" s="241"/>
      <c r="AI1793" s="241"/>
      <c r="AJ1793" s="241">
        <f>N1793-T1793</f>
        <v>2</v>
      </c>
      <c r="AK1793" s="235">
        <f>G1801+AL1793-G1793</f>
        <v>0</v>
      </c>
      <c r="AL1793" s="236">
        <v>0</v>
      </c>
      <c r="AM1793" s="294">
        <f>4/12</f>
        <v>0.33333333333333331</v>
      </c>
      <c r="AN1793" s="295">
        <v>2</v>
      </c>
      <c r="AO1793" s="296">
        <f>G1793/(AN1793)</f>
        <v>1</v>
      </c>
      <c r="AP1793" s="297">
        <f>AN1793*6</f>
        <v>12</v>
      </c>
      <c r="AQ1793" s="290">
        <f>G1793+K1793</f>
        <v>3</v>
      </c>
      <c r="AR1793" s="290">
        <f>IF(G1793&lt;G1801,(G1801-G1793+K1801-K1793),K1801-K1793)</f>
        <v>0</v>
      </c>
      <c r="AS1793" s="290">
        <f>21-8</f>
        <v>13</v>
      </c>
    </row>
    <row r="1794" spans="2:45" ht="14.25" thickBot="1" x14ac:dyDescent="0.3">
      <c r="B1794" s="5">
        <v>273698</v>
      </c>
      <c r="C1794" s="6">
        <v>1135752</v>
      </c>
      <c r="D1794" s="6" t="s">
        <v>11</v>
      </c>
      <c r="E1794" s="215">
        <v>701000000000</v>
      </c>
      <c r="F1794" s="253">
        <f>G1802+AK1794</f>
        <v>3</v>
      </c>
      <c r="G1794" s="235">
        <v>3</v>
      </c>
      <c r="H1794" s="383"/>
      <c r="I1794" s="232">
        <v>3</v>
      </c>
      <c r="J1794" s="232"/>
      <c r="K1794" s="232">
        <v>2</v>
      </c>
      <c r="L1794" s="232">
        <f>IF(K1798=K1790,L1802+AK1794,K1794)</f>
        <v>2</v>
      </c>
      <c r="M1794" s="232">
        <f>IF(K1798=K1790,0,L1802+AK1794-K1794)</f>
        <v>0</v>
      </c>
      <c r="N1794" s="232">
        <v>4</v>
      </c>
      <c r="O1794" s="241">
        <f>N1794-G1794</f>
        <v>1</v>
      </c>
      <c r="P1794" s="277">
        <v>2</v>
      </c>
      <c r="Q1794" s="278"/>
      <c r="R1794" s="279"/>
      <c r="S1794" s="279"/>
      <c r="T1794" s="241"/>
      <c r="U1794" s="241"/>
      <c r="V1794" s="241"/>
      <c r="W1794" s="241"/>
      <c r="X1794" s="241"/>
      <c r="Y1794" s="241"/>
      <c r="Z1794" s="241"/>
      <c r="AA1794" s="241"/>
      <c r="AB1794" s="241"/>
      <c r="AC1794" s="241"/>
      <c r="AD1794" s="241"/>
      <c r="AE1794" s="241"/>
      <c r="AF1794" s="241"/>
      <c r="AG1794" s="241"/>
      <c r="AH1794" s="241"/>
      <c r="AI1794" s="241"/>
      <c r="AJ1794" s="241">
        <f>N1794-T1794</f>
        <v>4</v>
      </c>
      <c r="AK1794" s="235">
        <f>G1802+AL1794-G1794</f>
        <v>0</v>
      </c>
      <c r="AL1794" s="236">
        <v>0</v>
      </c>
      <c r="AM1794" s="294">
        <f>4/12</f>
        <v>0.33333333333333331</v>
      </c>
      <c r="AN1794" s="295">
        <v>2</v>
      </c>
      <c r="AO1794" s="296">
        <f>G1794/(AN1794)</f>
        <v>1.5</v>
      </c>
      <c r="AP1794" s="297">
        <f>AN1794*6</f>
        <v>12</v>
      </c>
      <c r="AQ1794" s="290">
        <f>G1794+K1794</f>
        <v>5</v>
      </c>
      <c r="AR1794" s="290">
        <f>IF(G1794&lt;G1802,(G1802-G1794+K1802-K1794),K1802-K1794)</f>
        <v>0</v>
      </c>
      <c r="AS1794" s="290">
        <f>21-8</f>
        <v>13</v>
      </c>
    </row>
    <row r="1795" spans="2:45" ht="14.25" thickBot="1" x14ac:dyDescent="0.3">
      <c r="B1795" s="5">
        <v>273680</v>
      </c>
      <c r="C1795" s="6">
        <v>1135751</v>
      </c>
      <c r="D1795" s="6" t="s">
        <v>12</v>
      </c>
      <c r="E1795" s="6" t="s">
        <v>13</v>
      </c>
      <c r="F1795" s="254">
        <f>G1803+AK1795</f>
        <v>5</v>
      </c>
      <c r="G1795" s="237">
        <v>5</v>
      </c>
      <c r="H1795" s="384"/>
      <c r="I1795" s="238">
        <v>5</v>
      </c>
      <c r="J1795" s="238"/>
      <c r="K1795" s="238">
        <v>5</v>
      </c>
      <c r="L1795" s="238">
        <f>IF(K1798=K1790,L1803+AK1795,K1795)</f>
        <v>5</v>
      </c>
      <c r="M1795" s="238">
        <f>IF(K1798=K1790,0,L1803+AK1795-K1795)</f>
        <v>0</v>
      </c>
      <c r="N1795" s="238">
        <v>16</v>
      </c>
      <c r="O1795" s="242">
        <f>N1795-G1795</f>
        <v>11</v>
      </c>
      <c r="P1795" s="280"/>
      <c r="Q1795" s="281"/>
      <c r="R1795" s="282"/>
      <c r="S1795" s="282"/>
      <c r="T1795" s="242">
        <v>11</v>
      </c>
      <c r="U1795" s="242"/>
      <c r="V1795" s="242"/>
      <c r="W1795" s="242"/>
      <c r="X1795" s="242"/>
      <c r="Y1795" s="242"/>
      <c r="Z1795" s="242"/>
      <c r="AA1795" s="242"/>
      <c r="AB1795" s="242"/>
      <c r="AC1795" s="242"/>
      <c r="AD1795" s="242"/>
      <c r="AE1795" s="242"/>
      <c r="AF1795" s="242"/>
      <c r="AG1795" s="242"/>
      <c r="AH1795" s="242"/>
      <c r="AI1795" s="242"/>
      <c r="AJ1795" s="242">
        <f>N1795-T1795</f>
        <v>5</v>
      </c>
      <c r="AK1795" s="235">
        <f>G1803+AL1795-G1795</f>
        <v>0</v>
      </c>
      <c r="AL1795" s="239">
        <v>0</v>
      </c>
      <c r="AM1795" s="299">
        <f>30/12</f>
        <v>2.5</v>
      </c>
      <c r="AN1795" s="300">
        <f>AM1795*2</f>
        <v>5</v>
      </c>
      <c r="AO1795" s="301">
        <f>G1795/(AN1795)</f>
        <v>1</v>
      </c>
      <c r="AP1795" s="302">
        <f>AN1795*6</f>
        <v>30</v>
      </c>
      <c r="AQ1795" s="290">
        <f>G1795+K1795</f>
        <v>10</v>
      </c>
      <c r="AR1795" s="290">
        <f>IF(G1795&lt;G1803,(G1803-G1795+K1803-K1795),K1803-K1795)</f>
        <v>0</v>
      </c>
      <c r="AS1795" s="290">
        <f>21-8</f>
        <v>13</v>
      </c>
    </row>
    <row r="1796" spans="2:45" x14ac:dyDescent="0.25">
      <c r="AL1796" s="290"/>
      <c r="AM1796" s="290"/>
      <c r="AN1796" s="290"/>
      <c r="AO1796" s="290"/>
      <c r="AP1796" s="290"/>
      <c r="AQ1796" s="290"/>
      <c r="AR1796" s="290"/>
      <c r="AS1796" s="290"/>
    </row>
    <row r="1797" spans="2:45" ht="14.25" thickBot="1" x14ac:dyDescent="0.3">
      <c r="B1797" s="338" t="s">
        <v>18</v>
      </c>
      <c r="C1797" s="339">
        <v>45460</v>
      </c>
      <c r="AL1797" s="290"/>
      <c r="AM1797" s="290"/>
      <c r="AN1797" s="290"/>
      <c r="AO1797" s="290"/>
      <c r="AP1797" s="290"/>
      <c r="AQ1797" s="290"/>
      <c r="AR1797" s="290"/>
      <c r="AS1797" s="290"/>
    </row>
    <row r="1798" spans="2:45" ht="41.25" thickBot="1" x14ac:dyDescent="0.3">
      <c r="B1798" s="2" t="s">
        <v>0</v>
      </c>
      <c r="C1798" s="3" t="s">
        <v>1</v>
      </c>
      <c r="D1798" s="3" t="s">
        <v>2</v>
      </c>
      <c r="E1798" s="3" t="s">
        <v>3</v>
      </c>
      <c r="F1798" s="4" t="s">
        <v>318</v>
      </c>
      <c r="G1798" s="4" t="s">
        <v>4</v>
      </c>
      <c r="H1798" s="385"/>
      <c r="I1798" s="234" t="s">
        <v>370</v>
      </c>
      <c r="J1798" s="234"/>
      <c r="K1798" s="258" t="s">
        <v>371</v>
      </c>
      <c r="L1798" s="258" t="s">
        <v>328</v>
      </c>
      <c r="M1798" s="258" t="s">
        <v>327</v>
      </c>
      <c r="N1798" s="234" t="s">
        <v>372</v>
      </c>
      <c r="O1798" s="240" t="s">
        <v>130</v>
      </c>
      <c r="P1798" s="243" t="s">
        <v>303</v>
      </c>
      <c r="Q1798" s="244" t="s">
        <v>304</v>
      </c>
      <c r="R1798" s="244" t="s">
        <v>314</v>
      </c>
      <c r="S1798" s="245" t="s">
        <v>338</v>
      </c>
      <c r="T1798" s="245" t="s">
        <v>345</v>
      </c>
      <c r="U1798" s="245" t="s">
        <v>361</v>
      </c>
      <c r="V1798" s="245" t="s">
        <v>387</v>
      </c>
      <c r="W1798" s="245" t="s">
        <v>421</v>
      </c>
      <c r="X1798" s="245" t="s">
        <v>451</v>
      </c>
      <c r="Y1798" s="245"/>
      <c r="Z1798" s="245"/>
      <c r="AA1798" s="245"/>
      <c r="AB1798" s="245"/>
      <c r="AC1798" s="245"/>
      <c r="AD1798" s="245"/>
      <c r="AE1798" s="245"/>
      <c r="AF1798" s="245"/>
      <c r="AG1798" s="245"/>
      <c r="AH1798" s="245"/>
      <c r="AI1798" s="245"/>
      <c r="AJ1798" s="245" t="s">
        <v>360</v>
      </c>
      <c r="AK1798" s="246" t="s">
        <v>268</v>
      </c>
      <c r="AL1798" s="247" t="s">
        <v>269</v>
      </c>
      <c r="AM1798" s="291" t="s">
        <v>288</v>
      </c>
      <c r="AN1798" s="292" t="s">
        <v>289</v>
      </c>
      <c r="AO1798" s="292" t="s">
        <v>287</v>
      </c>
      <c r="AP1798" s="293" t="s">
        <v>290</v>
      </c>
      <c r="AQ1798" s="290" t="s">
        <v>306</v>
      </c>
      <c r="AR1798" s="290" t="s">
        <v>310</v>
      </c>
      <c r="AS1798" s="290" t="s">
        <v>311</v>
      </c>
    </row>
    <row r="1799" spans="2:45" ht="14.25" thickBot="1" x14ac:dyDescent="0.3">
      <c r="B1799" s="5">
        <v>273664</v>
      </c>
      <c r="C1799" s="6">
        <v>1135749</v>
      </c>
      <c r="D1799" s="6" t="s">
        <v>7</v>
      </c>
      <c r="E1799" s="6">
        <v>6060050026</v>
      </c>
      <c r="F1799" s="253">
        <f>G1807+AK1799</f>
        <v>1</v>
      </c>
      <c r="G1799" s="235">
        <v>1</v>
      </c>
      <c r="H1799" s="383"/>
      <c r="I1799" s="232">
        <v>1</v>
      </c>
      <c r="J1799" s="232"/>
      <c r="K1799" s="232">
        <v>2</v>
      </c>
      <c r="L1799" s="232">
        <f>IF(K1806=K1798,L1807+AK1799,K1799)</f>
        <v>2</v>
      </c>
      <c r="M1799" s="232">
        <f>IF(K1806=K1798,0,L1807+AK1799-K1799)</f>
        <v>1</v>
      </c>
      <c r="N1799" s="267">
        <v>8</v>
      </c>
      <c r="O1799" s="241">
        <f>N1799-G1799</f>
        <v>7</v>
      </c>
      <c r="P1799" s="277">
        <v>4</v>
      </c>
      <c r="Q1799" s="278">
        <v>4</v>
      </c>
      <c r="R1799" s="279"/>
      <c r="S1799" s="279">
        <v>3</v>
      </c>
      <c r="T1799" s="241">
        <v>4</v>
      </c>
      <c r="U1799" s="241"/>
      <c r="V1799" s="241"/>
      <c r="W1799" s="241"/>
      <c r="X1799" s="241"/>
      <c r="Y1799" s="241"/>
      <c r="Z1799" s="241"/>
      <c r="AA1799" s="241"/>
      <c r="AB1799" s="241"/>
      <c r="AC1799" s="241"/>
      <c r="AD1799" s="241"/>
      <c r="AE1799" s="241"/>
      <c r="AF1799" s="241"/>
      <c r="AG1799" s="241"/>
      <c r="AH1799" s="241"/>
      <c r="AI1799" s="241"/>
      <c r="AJ1799" s="241">
        <v>1</v>
      </c>
      <c r="AK1799" s="235">
        <f>G1807+AL1799-G1799</f>
        <v>0</v>
      </c>
      <c r="AL1799" s="236">
        <v>0</v>
      </c>
      <c r="AM1799" s="294">
        <v>1.5</v>
      </c>
      <c r="AN1799" s="295">
        <v>4</v>
      </c>
      <c r="AO1799" s="296">
        <f>G1799/(AN1799)</f>
        <v>0.25</v>
      </c>
      <c r="AP1799" s="297">
        <f>AN1799*6</f>
        <v>24</v>
      </c>
      <c r="AQ1799" s="290">
        <f>G1799+K1799</f>
        <v>3</v>
      </c>
      <c r="AR1799" s="290">
        <f>IF(G1799&lt;G1807,(G1807-G1799+K1807-K1799),K1807-K1799)</f>
        <v>1</v>
      </c>
      <c r="AS1799" s="290">
        <f>21-8</f>
        <v>13</v>
      </c>
    </row>
    <row r="1800" spans="2:45" ht="14.25" thickBot="1" x14ac:dyDescent="0.3">
      <c r="B1800" s="5">
        <v>273672</v>
      </c>
      <c r="C1800" s="6">
        <v>1135750</v>
      </c>
      <c r="D1800" s="6" t="s">
        <v>9</v>
      </c>
      <c r="E1800" s="215">
        <v>204000000000</v>
      </c>
      <c r="F1800" s="253">
        <f>G1808+AK1800</f>
        <v>0</v>
      </c>
      <c r="G1800" s="235">
        <v>0</v>
      </c>
      <c r="H1800" s="383"/>
      <c r="I1800" s="232">
        <v>0</v>
      </c>
      <c r="J1800" s="232"/>
      <c r="K1800" s="232">
        <v>1</v>
      </c>
      <c r="L1800" s="232">
        <f>IF(K1806=K1798,L1808+AK1800,K1800)</f>
        <v>1</v>
      </c>
      <c r="M1800" s="232">
        <f>IF(K1806=K1798,0,L1808+AK1800-K1800)</f>
        <v>5</v>
      </c>
      <c r="N1800" s="267">
        <v>12</v>
      </c>
      <c r="O1800" s="241">
        <f>N1800-G1800</f>
        <v>12</v>
      </c>
      <c r="P1800" s="277">
        <v>13</v>
      </c>
      <c r="Q1800" s="278">
        <v>2</v>
      </c>
      <c r="R1800" s="279">
        <v>6</v>
      </c>
      <c r="S1800" s="279">
        <v>6</v>
      </c>
      <c r="T1800" s="241">
        <v>10</v>
      </c>
      <c r="U1800" s="241"/>
      <c r="V1800" s="241"/>
      <c r="W1800" s="241"/>
      <c r="X1800" s="241"/>
      <c r="Y1800" s="241"/>
      <c r="Z1800" s="241"/>
      <c r="AA1800" s="241"/>
      <c r="AB1800" s="241"/>
      <c r="AC1800" s="241"/>
      <c r="AD1800" s="241"/>
      <c r="AE1800" s="241"/>
      <c r="AF1800" s="241"/>
      <c r="AG1800" s="241"/>
      <c r="AH1800" s="241"/>
      <c r="AI1800" s="241"/>
      <c r="AJ1800" s="241">
        <v>0</v>
      </c>
      <c r="AK1800" s="235">
        <f>G1808+AL1800-G1800</f>
        <v>0</v>
      </c>
      <c r="AL1800" s="236">
        <v>0</v>
      </c>
      <c r="AM1800" s="298">
        <v>4.2</v>
      </c>
      <c r="AN1800" s="295">
        <v>9</v>
      </c>
      <c r="AO1800" s="296">
        <f>G1800/(AN1800)</f>
        <v>0</v>
      </c>
      <c r="AP1800" s="297">
        <f>AN1800*6</f>
        <v>54</v>
      </c>
      <c r="AQ1800" s="290">
        <f>G1800+K1800</f>
        <v>1</v>
      </c>
      <c r="AR1800" s="290">
        <f>IF(G1800&lt;G1808,(G1808-G1800+K1808-K1800),K1808-K1800)</f>
        <v>-1</v>
      </c>
      <c r="AS1800" s="290">
        <f>21-8</f>
        <v>13</v>
      </c>
    </row>
    <row r="1801" spans="2:45" ht="14.25" thickBot="1" x14ac:dyDescent="0.3">
      <c r="B1801" s="5">
        <v>273702</v>
      </c>
      <c r="C1801" s="6">
        <v>1135753</v>
      </c>
      <c r="D1801" s="6" t="s">
        <v>10</v>
      </c>
      <c r="E1801" s="215">
        <v>301000000000</v>
      </c>
      <c r="F1801" s="253">
        <f>G1809+AK1801</f>
        <v>2</v>
      </c>
      <c r="G1801" s="235">
        <v>2</v>
      </c>
      <c r="H1801" s="383"/>
      <c r="I1801" s="232">
        <v>2</v>
      </c>
      <c r="J1801" s="232"/>
      <c r="K1801" s="232">
        <v>1</v>
      </c>
      <c r="L1801" s="232">
        <f>IF(K1806=K1798,L1809+AK1801,K1801)</f>
        <v>1</v>
      </c>
      <c r="M1801" s="232">
        <f>IF(K1806=K1798,0,L1809+AK1801-K1801)</f>
        <v>0</v>
      </c>
      <c r="N1801" s="232">
        <v>2</v>
      </c>
      <c r="O1801" s="241">
        <f>N1801-G1801</f>
        <v>0</v>
      </c>
      <c r="P1801" s="277"/>
      <c r="Q1801" s="278"/>
      <c r="R1801" s="279"/>
      <c r="S1801" s="279"/>
      <c r="T1801" s="241"/>
      <c r="U1801" s="241"/>
      <c r="V1801" s="241"/>
      <c r="W1801" s="241"/>
      <c r="X1801" s="241"/>
      <c r="Y1801" s="241"/>
      <c r="Z1801" s="241"/>
      <c r="AA1801" s="241"/>
      <c r="AB1801" s="241"/>
      <c r="AC1801" s="241"/>
      <c r="AD1801" s="241"/>
      <c r="AE1801" s="241"/>
      <c r="AF1801" s="241"/>
      <c r="AG1801" s="241"/>
      <c r="AH1801" s="241"/>
      <c r="AI1801" s="241"/>
      <c r="AJ1801" s="241">
        <v>2</v>
      </c>
      <c r="AK1801" s="235">
        <f>G1809+AL1801-G1801</f>
        <v>0</v>
      </c>
      <c r="AL1801" s="236">
        <v>0</v>
      </c>
      <c r="AM1801" s="294">
        <f>4/12</f>
        <v>0.33333333333333331</v>
      </c>
      <c r="AN1801" s="295">
        <v>2</v>
      </c>
      <c r="AO1801" s="296">
        <f>G1801/(AN1801)</f>
        <v>1</v>
      </c>
      <c r="AP1801" s="297">
        <f>AN1801*6</f>
        <v>12</v>
      </c>
      <c r="AQ1801" s="290">
        <f>G1801+K1801</f>
        <v>3</v>
      </c>
      <c r="AR1801" s="290">
        <f>IF(G1801&lt;G1809,(G1809-G1801+K1809-K1801),K1809-K1801)</f>
        <v>0</v>
      </c>
      <c r="AS1801" s="290">
        <f>21-8</f>
        <v>13</v>
      </c>
    </row>
    <row r="1802" spans="2:45" ht="14.25" thickBot="1" x14ac:dyDescent="0.3">
      <c r="B1802" s="5">
        <v>273698</v>
      </c>
      <c r="C1802" s="6">
        <v>1135752</v>
      </c>
      <c r="D1802" s="6" t="s">
        <v>11</v>
      </c>
      <c r="E1802" s="215">
        <v>701000000000</v>
      </c>
      <c r="F1802" s="253">
        <f>G1810+AK1802</f>
        <v>3</v>
      </c>
      <c r="G1802" s="235">
        <v>3</v>
      </c>
      <c r="H1802" s="383"/>
      <c r="I1802" s="232">
        <v>3</v>
      </c>
      <c r="J1802" s="232"/>
      <c r="K1802" s="232">
        <v>2</v>
      </c>
      <c r="L1802" s="232">
        <f>IF(K1806=K1798,L1810+AK1802,K1802)</f>
        <v>2</v>
      </c>
      <c r="M1802" s="232">
        <f>IF(K1806=K1798,0,L1810+AK1802-K1802)</f>
        <v>0</v>
      </c>
      <c r="N1802" s="232">
        <v>4</v>
      </c>
      <c r="O1802" s="241">
        <f>N1802-G1802</f>
        <v>1</v>
      </c>
      <c r="P1802" s="277">
        <v>2</v>
      </c>
      <c r="Q1802" s="278"/>
      <c r="R1802" s="279"/>
      <c r="S1802" s="279"/>
      <c r="T1802" s="241"/>
      <c r="U1802" s="241"/>
      <c r="V1802" s="241"/>
      <c r="W1802" s="241"/>
      <c r="X1802" s="241"/>
      <c r="Y1802" s="241"/>
      <c r="Z1802" s="241"/>
      <c r="AA1802" s="241"/>
      <c r="AB1802" s="241"/>
      <c r="AC1802" s="241"/>
      <c r="AD1802" s="241"/>
      <c r="AE1802" s="241"/>
      <c r="AF1802" s="241"/>
      <c r="AG1802" s="241"/>
      <c r="AH1802" s="241"/>
      <c r="AI1802" s="241"/>
      <c r="AJ1802" s="241">
        <v>4</v>
      </c>
      <c r="AK1802" s="235">
        <f>G1810+AL1802-G1802</f>
        <v>0</v>
      </c>
      <c r="AL1802" s="236">
        <v>0</v>
      </c>
      <c r="AM1802" s="294">
        <f>4/12</f>
        <v>0.33333333333333331</v>
      </c>
      <c r="AN1802" s="295">
        <v>2</v>
      </c>
      <c r="AO1802" s="296">
        <f>G1802/(AN1802)</f>
        <v>1.5</v>
      </c>
      <c r="AP1802" s="297">
        <f>AN1802*6</f>
        <v>12</v>
      </c>
      <c r="AQ1802" s="290">
        <f>G1802+K1802</f>
        <v>5</v>
      </c>
      <c r="AR1802" s="290">
        <f>IF(G1802&lt;G1810,(G1810-G1802+K1810-K1802),K1810-K1802)</f>
        <v>0</v>
      </c>
      <c r="AS1802" s="290">
        <f>21-8</f>
        <v>13</v>
      </c>
    </row>
    <row r="1803" spans="2:45" ht="14.25" thickBot="1" x14ac:dyDescent="0.3">
      <c r="B1803" s="5">
        <v>273680</v>
      </c>
      <c r="C1803" s="6">
        <v>1135751</v>
      </c>
      <c r="D1803" s="6" t="s">
        <v>12</v>
      </c>
      <c r="E1803" s="6" t="s">
        <v>13</v>
      </c>
      <c r="F1803" s="254">
        <f>G1811+AK1803</f>
        <v>5</v>
      </c>
      <c r="G1803" s="237">
        <v>5</v>
      </c>
      <c r="H1803" s="384"/>
      <c r="I1803" s="238">
        <v>5</v>
      </c>
      <c r="J1803" s="238"/>
      <c r="K1803" s="238">
        <v>5</v>
      </c>
      <c r="L1803" s="238">
        <f>IF(K1806=K1798,L1811+AK1803,K1803)</f>
        <v>5</v>
      </c>
      <c r="M1803" s="238">
        <f>IF(K1806=K1798,0,L1811+AK1803-K1803)</f>
        <v>0</v>
      </c>
      <c r="N1803" s="238">
        <v>16</v>
      </c>
      <c r="O1803" s="242">
        <f>N1803-G1803</f>
        <v>11</v>
      </c>
      <c r="P1803" s="280"/>
      <c r="Q1803" s="281"/>
      <c r="R1803" s="282"/>
      <c r="S1803" s="282"/>
      <c r="T1803" s="242">
        <v>11</v>
      </c>
      <c r="U1803" s="242"/>
      <c r="V1803" s="242"/>
      <c r="W1803" s="242"/>
      <c r="X1803" s="242"/>
      <c r="Y1803" s="242"/>
      <c r="Z1803" s="242"/>
      <c r="AA1803" s="242"/>
      <c r="AB1803" s="242"/>
      <c r="AC1803" s="242"/>
      <c r="AD1803" s="242"/>
      <c r="AE1803" s="242"/>
      <c r="AF1803" s="242"/>
      <c r="AG1803" s="242"/>
      <c r="AH1803" s="242"/>
      <c r="AI1803" s="242"/>
      <c r="AJ1803" s="242">
        <v>5</v>
      </c>
      <c r="AK1803" s="235">
        <f>G1811+AL1803-G1803</f>
        <v>0</v>
      </c>
      <c r="AL1803" s="239">
        <v>0</v>
      </c>
      <c r="AM1803" s="299">
        <f>30/12</f>
        <v>2.5</v>
      </c>
      <c r="AN1803" s="300">
        <f>AM1803*2</f>
        <v>5</v>
      </c>
      <c r="AO1803" s="301">
        <f>G1803/(AN1803)</f>
        <v>1</v>
      </c>
      <c r="AP1803" s="302">
        <f>AN1803*6</f>
        <v>30</v>
      </c>
      <c r="AQ1803" s="290">
        <f>G1803+K1803</f>
        <v>10</v>
      </c>
      <c r="AR1803" s="290">
        <f>IF(G1803&lt;G1811,(G1811-G1803+K1811-K1803),K1811-K1803)</f>
        <v>0</v>
      </c>
      <c r="AS1803" s="290">
        <f>21-8</f>
        <v>13</v>
      </c>
    </row>
    <row r="1804" spans="2:45" x14ac:dyDescent="0.25">
      <c r="AL1804" s="290"/>
      <c r="AM1804" s="290"/>
      <c r="AN1804" s="290"/>
      <c r="AO1804" s="290"/>
      <c r="AP1804" s="290"/>
      <c r="AQ1804" s="290"/>
      <c r="AR1804" s="290"/>
      <c r="AS1804" s="290"/>
    </row>
    <row r="1805" spans="2:45" ht="14.25" thickBot="1" x14ac:dyDescent="0.3">
      <c r="B1805" s="338" t="s">
        <v>18</v>
      </c>
      <c r="C1805" s="339">
        <v>45453</v>
      </c>
      <c r="AL1805" s="290"/>
      <c r="AM1805" s="290"/>
      <c r="AN1805" s="290"/>
      <c r="AO1805" s="290"/>
      <c r="AP1805" s="290"/>
      <c r="AQ1805" s="290"/>
      <c r="AR1805" s="290"/>
      <c r="AS1805" s="290"/>
    </row>
    <row r="1806" spans="2:45" ht="41.25" thickBot="1" x14ac:dyDescent="0.3">
      <c r="B1806" s="2" t="s">
        <v>0</v>
      </c>
      <c r="C1806" s="3" t="s">
        <v>1</v>
      </c>
      <c r="D1806" s="3" t="s">
        <v>2</v>
      </c>
      <c r="E1806" s="3" t="s">
        <v>3</v>
      </c>
      <c r="F1806" s="4" t="s">
        <v>318</v>
      </c>
      <c r="G1806" s="4" t="s">
        <v>4</v>
      </c>
      <c r="H1806" s="385"/>
      <c r="I1806" s="234" t="s">
        <v>357</v>
      </c>
      <c r="J1806" s="234"/>
      <c r="K1806" s="258" t="s">
        <v>358</v>
      </c>
      <c r="L1806" s="258" t="s">
        <v>328</v>
      </c>
      <c r="M1806" s="258" t="s">
        <v>327</v>
      </c>
      <c r="N1806" s="234" t="s">
        <v>368</v>
      </c>
      <c r="O1806" s="240" t="s">
        <v>130</v>
      </c>
      <c r="P1806" s="243" t="s">
        <v>303</v>
      </c>
      <c r="Q1806" s="244" t="s">
        <v>304</v>
      </c>
      <c r="R1806" s="244" t="s">
        <v>314</v>
      </c>
      <c r="S1806" s="245" t="s">
        <v>338</v>
      </c>
      <c r="T1806" s="245" t="s">
        <v>345</v>
      </c>
      <c r="U1806" s="245" t="s">
        <v>361</v>
      </c>
      <c r="V1806" s="245" t="s">
        <v>387</v>
      </c>
      <c r="W1806" s="245" t="s">
        <v>421</v>
      </c>
      <c r="X1806" s="245" t="s">
        <v>451</v>
      </c>
      <c r="Y1806" s="245"/>
      <c r="Z1806" s="245"/>
      <c r="AA1806" s="245"/>
      <c r="AB1806" s="245"/>
      <c r="AC1806" s="245"/>
      <c r="AD1806" s="245"/>
      <c r="AE1806" s="245"/>
      <c r="AF1806" s="245"/>
      <c r="AG1806" s="245"/>
      <c r="AH1806" s="245"/>
      <c r="AI1806" s="245"/>
      <c r="AJ1806" s="245" t="s">
        <v>360</v>
      </c>
      <c r="AK1806" s="246" t="s">
        <v>268</v>
      </c>
      <c r="AL1806" s="247" t="s">
        <v>269</v>
      </c>
      <c r="AM1806" s="291" t="s">
        <v>288</v>
      </c>
      <c r="AN1806" s="292" t="s">
        <v>289</v>
      </c>
      <c r="AO1806" s="292" t="s">
        <v>287</v>
      </c>
      <c r="AP1806" s="293" t="s">
        <v>290</v>
      </c>
      <c r="AQ1806" s="290" t="s">
        <v>306</v>
      </c>
      <c r="AR1806" s="290" t="s">
        <v>310</v>
      </c>
      <c r="AS1806" s="290" t="s">
        <v>311</v>
      </c>
    </row>
    <row r="1807" spans="2:45" ht="14.25" thickBot="1" x14ac:dyDescent="0.3">
      <c r="B1807" s="5">
        <v>273664</v>
      </c>
      <c r="C1807" s="6">
        <v>1135749</v>
      </c>
      <c r="D1807" s="6" t="s">
        <v>7</v>
      </c>
      <c r="E1807" s="6">
        <v>6060050026</v>
      </c>
      <c r="F1807" s="253">
        <f>G1815+AL1807</f>
        <v>1</v>
      </c>
      <c r="G1807" s="235">
        <v>1</v>
      </c>
      <c r="H1807" s="383"/>
      <c r="I1807" s="232">
        <v>1</v>
      </c>
      <c r="J1807" s="232"/>
      <c r="K1807" s="232">
        <v>3</v>
      </c>
      <c r="L1807" s="232">
        <f>IF(K1814=K1806,L1815+AK1807,K1807)</f>
        <v>3</v>
      </c>
      <c r="M1807" s="232">
        <f>IF(K1814=K1806,0,L1815+AK1807-K1807)</f>
        <v>0</v>
      </c>
      <c r="N1807" s="267">
        <v>5</v>
      </c>
      <c r="O1807" s="241">
        <f>N1807-G1807</f>
        <v>4</v>
      </c>
      <c r="P1807" s="277">
        <v>4</v>
      </c>
      <c r="Q1807" s="278">
        <v>4</v>
      </c>
      <c r="R1807" s="279"/>
      <c r="S1807" s="279">
        <v>3</v>
      </c>
      <c r="T1807" s="241">
        <v>4</v>
      </c>
      <c r="U1807" s="241"/>
      <c r="V1807" s="241"/>
      <c r="W1807" s="241"/>
      <c r="X1807" s="241"/>
      <c r="Y1807" s="241"/>
      <c r="Z1807" s="241"/>
      <c r="AA1807" s="241"/>
      <c r="AB1807" s="241"/>
      <c r="AC1807" s="241"/>
      <c r="AD1807" s="241"/>
      <c r="AE1807" s="241"/>
      <c r="AF1807" s="241"/>
      <c r="AG1807" s="241"/>
      <c r="AH1807" s="241"/>
      <c r="AI1807" s="241"/>
      <c r="AJ1807" s="241">
        <v>1</v>
      </c>
      <c r="AK1807" s="235">
        <f>G1815+AL1807-G1807</f>
        <v>0</v>
      </c>
      <c r="AL1807" s="236">
        <v>0</v>
      </c>
      <c r="AM1807" s="294">
        <v>1.5</v>
      </c>
      <c r="AN1807" s="295">
        <v>4</v>
      </c>
      <c r="AO1807" s="296">
        <f>G1807/(AN1807)</f>
        <v>0.25</v>
      </c>
      <c r="AP1807" s="297">
        <f>AN1807*6</f>
        <v>24</v>
      </c>
      <c r="AQ1807" s="290">
        <f>G1807+K1807</f>
        <v>4</v>
      </c>
      <c r="AR1807" s="290">
        <f>IF(G1807&lt;G1815,(G1815-G1807+K1815-K1807),K1815-K1807)</f>
        <v>0</v>
      </c>
      <c r="AS1807" s="290">
        <f>21-8</f>
        <v>13</v>
      </c>
    </row>
    <row r="1808" spans="2:45" ht="14.25" thickBot="1" x14ac:dyDescent="0.3">
      <c r="B1808" s="5">
        <v>273672</v>
      </c>
      <c r="C1808" s="6">
        <v>1135750</v>
      </c>
      <c r="D1808" s="6" t="s">
        <v>9</v>
      </c>
      <c r="E1808" s="215">
        <v>204000000000</v>
      </c>
      <c r="F1808" s="253">
        <f>G1816+AL1808</f>
        <v>0</v>
      </c>
      <c r="G1808" s="235">
        <v>0</v>
      </c>
      <c r="H1808" s="383"/>
      <c r="I1808" s="232">
        <v>6</v>
      </c>
      <c r="J1808" s="232"/>
      <c r="K1808" s="232">
        <v>0</v>
      </c>
      <c r="L1808" s="232">
        <f>IF(K1814=K1806,L1816+AK1808,K1808)</f>
        <v>6</v>
      </c>
      <c r="M1808" s="232">
        <f>IF(K1814=K1806,0,L1816+AK1808-K1808)</f>
        <v>0</v>
      </c>
      <c r="N1808" s="267">
        <v>8</v>
      </c>
      <c r="O1808" s="241">
        <f>N1808-G1808</f>
        <v>8</v>
      </c>
      <c r="P1808" s="277">
        <v>13</v>
      </c>
      <c r="Q1808" s="278">
        <v>2</v>
      </c>
      <c r="R1808" s="279">
        <v>6</v>
      </c>
      <c r="S1808" s="279">
        <v>6</v>
      </c>
      <c r="T1808" s="241">
        <v>10</v>
      </c>
      <c r="U1808" s="241"/>
      <c r="V1808" s="241"/>
      <c r="W1808" s="241"/>
      <c r="X1808" s="241"/>
      <c r="Y1808" s="241"/>
      <c r="Z1808" s="241"/>
      <c r="AA1808" s="241"/>
      <c r="AB1808" s="241"/>
      <c r="AC1808" s="241"/>
      <c r="AD1808" s="241"/>
      <c r="AE1808" s="241"/>
      <c r="AF1808" s="241"/>
      <c r="AG1808" s="241"/>
      <c r="AH1808" s="241"/>
      <c r="AI1808" s="241"/>
      <c r="AJ1808" s="241">
        <v>0</v>
      </c>
      <c r="AK1808" s="235">
        <f>G1816+AL1808-G1808</f>
        <v>0</v>
      </c>
      <c r="AL1808" s="236">
        <v>0</v>
      </c>
      <c r="AM1808" s="298">
        <v>4.2</v>
      </c>
      <c r="AN1808" s="295">
        <v>9</v>
      </c>
      <c r="AO1808" s="296">
        <f>G1808/(AN1808)</f>
        <v>0</v>
      </c>
      <c r="AP1808" s="297">
        <f>AN1808*6</f>
        <v>54</v>
      </c>
      <c r="AQ1808" s="290">
        <f>G1808+K1808</f>
        <v>0</v>
      </c>
      <c r="AR1808" s="290">
        <f>IF(G1808&lt;G1816,(G1816-G1808+K1816-K1808),K1816-K1808)</f>
        <v>0</v>
      </c>
      <c r="AS1808" s="290">
        <f>21-8</f>
        <v>13</v>
      </c>
    </row>
    <row r="1809" spans="2:45" ht="14.25" thickBot="1" x14ac:dyDescent="0.3">
      <c r="B1809" s="5">
        <v>273702</v>
      </c>
      <c r="C1809" s="6">
        <v>1135753</v>
      </c>
      <c r="D1809" s="6" t="s">
        <v>10</v>
      </c>
      <c r="E1809" s="215">
        <v>301000000000</v>
      </c>
      <c r="F1809" s="253">
        <f>G1817+AL1809</f>
        <v>2</v>
      </c>
      <c r="G1809" s="235">
        <v>2</v>
      </c>
      <c r="H1809" s="383"/>
      <c r="I1809" s="232">
        <v>2</v>
      </c>
      <c r="J1809" s="232"/>
      <c r="K1809" s="232">
        <v>1</v>
      </c>
      <c r="L1809" s="232">
        <f>IF(K1814=K1806,L1817+AK1809,K1809)</f>
        <v>1</v>
      </c>
      <c r="M1809" s="232">
        <f>IF(K1814=K1806,0,L1817+AK1809-K1809)</f>
        <v>0</v>
      </c>
      <c r="N1809" s="232">
        <v>2</v>
      </c>
      <c r="O1809" s="241">
        <f>N1809-G1809</f>
        <v>0</v>
      </c>
      <c r="P1809" s="277"/>
      <c r="Q1809" s="278"/>
      <c r="R1809" s="279"/>
      <c r="S1809" s="279"/>
      <c r="T1809" s="241"/>
      <c r="U1809" s="241"/>
      <c r="V1809" s="241"/>
      <c r="W1809" s="241"/>
      <c r="X1809" s="241"/>
      <c r="Y1809" s="241"/>
      <c r="Z1809" s="241"/>
      <c r="AA1809" s="241"/>
      <c r="AB1809" s="241"/>
      <c r="AC1809" s="241"/>
      <c r="AD1809" s="241"/>
      <c r="AE1809" s="241"/>
      <c r="AF1809" s="241"/>
      <c r="AG1809" s="241"/>
      <c r="AH1809" s="241"/>
      <c r="AI1809" s="241"/>
      <c r="AJ1809" s="241">
        <v>2</v>
      </c>
      <c r="AK1809" s="235">
        <f>G1817+AL1809-G1809</f>
        <v>0</v>
      </c>
      <c r="AL1809" s="236">
        <v>0</v>
      </c>
      <c r="AM1809" s="294">
        <f>4/12</f>
        <v>0.33333333333333331</v>
      </c>
      <c r="AN1809" s="295">
        <v>2</v>
      </c>
      <c r="AO1809" s="296">
        <f>G1809/(AN1809)</f>
        <v>1</v>
      </c>
      <c r="AP1809" s="297">
        <f>AN1809*6</f>
        <v>12</v>
      </c>
      <c r="AQ1809" s="290">
        <f>G1809+K1809</f>
        <v>3</v>
      </c>
      <c r="AR1809" s="290">
        <f>IF(G1809&lt;G1817,(G1817-G1809+K1817-K1809),K1817-K1809)</f>
        <v>0</v>
      </c>
      <c r="AS1809" s="290">
        <f>21-8</f>
        <v>13</v>
      </c>
    </row>
    <row r="1810" spans="2:45" ht="14.25" thickBot="1" x14ac:dyDescent="0.3">
      <c r="B1810" s="5">
        <v>273698</v>
      </c>
      <c r="C1810" s="6">
        <v>1135752</v>
      </c>
      <c r="D1810" s="6" t="s">
        <v>11</v>
      </c>
      <c r="E1810" s="215">
        <v>701000000000</v>
      </c>
      <c r="F1810" s="253">
        <f>G1818+AL1810</f>
        <v>3</v>
      </c>
      <c r="G1810" s="235">
        <v>3</v>
      </c>
      <c r="H1810" s="383"/>
      <c r="I1810" s="232">
        <v>3</v>
      </c>
      <c r="J1810" s="232"/>
      <c r="K1810" s="232">
        <v>2</v>
      </c>
      <c r="L1810" s="232">
        <f>IF(K1814=K1806,L1818+AK1810,K1810)</f>
        <v>2</v>
      </c>
      <c r="M1810" s="232">
        <f>IF(K1814=K1806,0,L1818+AK1810-K1810)</f>
        <v>0</v>
      </c>
      <c r="N1810" s="232">
        <v>4</v>
      </c>
      <c r="O1810" s="241">
        <f>N1810-G1810</f>
        <v>1</v>
      </c>
      <c r="P1810" s="277">
        <v>2</v>
      </c>
      <c r="Q1810" s="278"/>
      <c r="R1810" s="279"/>
      <c r="S1810" s="279"/>
      <c r="T1810" s="241"/>
      <c r="U1810" s="241"/>
      <c r="V1810" s="241"/>
      <c r="W1810" s="241"/>
      <c r="X1810" s="241"/>
      <c r="Y1810" s="241"/>
      <c r="Z1810" s="241"/>
      <c r="AA1810" s="241"/>
      <c r="AB1810" s="241"/>
      <c r="AC1810" s="241"/>
      <c r="AD1810" s="241"/>
      <c r="AE1810" s="241"/>
      <c r="AF1810" s="241"/>
      <c r="AG1810" s="241"/>
      <c r="AH1810" s="241"/>
      <c r="AI1810" s="241"/>
      <c r="AJ1810" s="241">
        <v>4</v>
      </c>
      <c r="AK1810" s="235">
        <f>G1818+AL1810-G1810</f>
        <v>0</v>
      </c>
      <c r="AL1810" s="236">
        <v>0</v>
      </c>
      <c r="AM1810" s="294">
        <f>4/12</f>
        <v>0.33333333333333331</v>
      </c>
      <c r="AN1810" s="295">
        <v>2</v>
      </c>
      <c r="AO1810" s="296">
        <f>G1810/(AN1810)</f>
        <v>1.5</v>
      </c>
      <c r="AP1810" s="297">
        <f>AN1810*6</f>
        <v>12</v>
      </c>
      <c r="AQ1810" s="290">
        <f>G1810+K1810</f>
        <v>5</v>
      </c>
      <c r="AR1810" s="290">
        <f>IF(G1810&lt;G1818,(G1818-G1810+K1818-K1810),K1818-K1810)</f>
        <v>0</v>
      </c>
      <c r="AS1810" s="290">
        <f>21-8</f>
        <v>13</v>
      </c>
    </row>
    <row r="1811" spans="2:45" ht="14.25" thickBot="1" x14ac:dyDescent="0.3">
      <c r="B1811" s="5">
        <v>273680</v>
      </c>
      <c r="C1811" s="6">
        <v>1135751</v>
      </c>
      <c r="D1811" s="6" t="s">
        <v>12</v>
      </c>
      <c r="E1811" s="6" t="s">
        <v>13</v>
      </c>
      <c r="F1811" s="254">
        <f>G1819+AL1811</f>
        <v>5</v>
      </c>
      <c r="G1811" s="237">
        <v>5</v>
      </c>
      <c r="H1811" s="384"/>
      <c r="I1811" s="238">
        <v>5</v>
      </c>
      <c r="J1811" s="238"/>
      <c r="K1811" s="238">
        <v>5</v>
      </c>
      <c r="L1811" s="238">
        <f>IF(K1814=K1806,L1819+AK1811,K1811)</f>
        <v>5</v>
      </c>
      <c r="M1811" s="238">
        <f>IF(K1814=K1806,0,L1819+AK1811-K1811)</f>
        <v>0</v>
      </c>
      <c r="N1811" s="238">
        <v>16</v>
      </c>
      <c r="O1811" s="242">
        <f>N1811-G1811</f>
        <v>11</v>
      </c>
      <c r="P1811" s="280"/>
      <c r="Q1811" s="281"/>
      <c r="R1811" s="282"/>
      <c r="S1811" s="282"/>
      <c r="T1811" s="242">
        <v>11</v>
      </c>
      <c r="U1811" s="242"/>
      <c r="V1811" s="242"/>
      <c r="W1811" s="242"/>
      <c r="X1811" s="242"/>
      <c r="Y1811" s="242"/>
      <c r="Z1811" s="242"/>
      <c r="AA1811" s="242"/>
      <c r="AB1811" s="242"/>
      <c r="AC1811" s="242"/>
      <c r="AD1811" s="242"/>
      <c r="AE1811" s="242"/>
      <c r="AF1811" s="242"/>
      <c r="AG1811" s="242"/>
      <c r="AH1811" s="242"/>
      <c r="AI1811" s="242"/>
      <c r="AJ1811" s="242">
        <v>5</v>
      </c>
      <c r="AK1811" s="235">
        <f>G1819+AL1811-G1811</f>
        <v>0</v>
      </c>
      <c r="AL1811" s="239">
        <v>0</v>
      </c>
      <c r="AM1811" s="299">
        <f>30/12</f>
        <v>2.5</v>
      </c>
      <c r="AN1811" s="300">
        <f>AM1811*2</f>
        <v>5</v>
      </c>
      <c r="AO1811" s="301">
        <f>G1811/(AN1811)</f>
        <v>1</v>
      </c>
      <c r="AP1811" s="302">
        <f>AN1811*6</f>
        <v>30</v>
      </c>
      <c r="AQ1811" s="290">
        <f>G1811+K1811</f>
        <v>10</v>
      </c>
      <c r="AR1811" s="290">
        <f>IF(G1811&lt;G1819,(G1819-G1811+K1819-K1811),K1819-K1811)</f>
        <v>0</v>
      </c>
      <c r="AS1811" s="290">
        <f>21-8</f>
        <v>13</v>
      </c>
    </row>
    <row r="1812" spans="2:45" x14ac:dyDescent="0.25">
      <c r="AL1812" s="290"/>
      <c r="AM1812" s="290"/>
      <c r="AN1812" s="290"/>
      <c r="AO1812" s="290"/>
      <c r="AP1812" s="290"/>
      <c r="AQ1812" s="290"/>
      <c r="AR1812" s="290"/>
      <c r="AS1812" s="290"/>
    </row>
    <row r="1813" spans="2:45" ht="14.25" thickBot="1" x14ac:dyDescent="0.3">
      <c r="B1813" s="338" t="s">
        <v>18</v>
      </c>
      <c r="C1813" s="339">
        <v>45446</v>
      </c>
      <c r="AL1813" s="290"/>
      <c r="AM1813" s="290"/>
      <c r="AN1813" s="290"/>
      <c r="AO1813" s="290"/>
      <c r="AP1813" s="290"/>
      <c r="AQ1813" s="290"/>
      <c r="AR1813" s="290"/>
      <c r="AS1813" s="290"/>
    </row>
    <row r="1814" spans="2:45" ht="41.25" thickBot="1" x14ac:dyDescent="0.3">
      <c r="B1814" s="2" t="s">
        <v>0</v>
      </c>
      <c r="C1814" s="3" t="s">
        <v>1</v>
      </c>
      <c r="D1814" s="3" t="s">
        <v>2</v>
      </c>
      <c r="E1814" s="3" t="s">
        <v>3</v>
      </c>
      <c r="F1814" s="4" t="s">
        <v>318</v>
      </c>
      <c r="G1814" s="4" t="s">
        <v>4</v>
      </c>
      <c r="H1814" s="385"/>
      <c r="I1814" s="234" t="s">
        <v>357</v>
      </c>
      <c r="J1814" s="234"/>
      <c r="K1814" s="258" t="s">
        <v>358</v>
      </c>
      <c r="L1814" s="258" t="s">
        <v>328</v>
      </c>
      <c r="M1814" s="258" t="s">
        <v>327</v>
      </c>
      <c r="N1814" s="234" t="s">
        <v>367</v>
      </c>
      <c r="O1814" s="240" t="s">
        <v>130</v>
      </c>
      <c r="P1814" s="243" t="s">
        <v>303</v>
      </c>
      <c r="Q1814" s="244" t="s">
        <v>304</v>
      </c>
      <c r="R1814" s="244" t="s">
        <v>314</v>
      </c>
      <c r="S1814" s="245" t="s">
        <v>338</v>
      </c>
      <c r="T1814" s="245" t="s">
        <v>345</v>
      </c>
      <c r="U1814" s="245" t="s">
        <v>361</v>
      </c>
      <c r="V1814" s="245" t="s">
        <v>387</v>
      </c>
      <c r="W1814" s="245" t="s">
        <v>421</v>
      </c>
      <c r="X1814" s="245" t="s">
        <v>451</v>
      </c>
      <c r="Y1814" s="245"/>
      <c r="Z1814" s="245"/>
      <c r="AA1814" s="245"/>
      <c r="AB1814" s="245"/>
      <c r="AC1814" s="245"/>
      <c r="AD1814" s="245"/>
      <c r="AE1814" s="245"/>
      <c r="AF1814" s="245"/>
      <c r="AG1814" s="245"/>
      <c r="AH1814" s="245"/>
      <c r="AI1814" s="245"/>
      <c r="AJ1814" s="245" t="s">
        <v>360</v>
      </c>
      <c r="AK1814" s="246" t="s">
        <v>268</v>
      </c>
      <c r="AL1814" s="247" t="s">
        <v>269</v>
      </c>
      <c r="AM1814" s="291" t="s">
        <v>288</v>
      </c>
      <c r="AN1814" s="292" t="s">
        <v>289</v>
      </c>
      <c r="AO1814" s="292" t="s">
        <v>287</v>
      </c>
      <c r="AP1814" s="293" t="s">
        <v>290</v>
      </c>
      <c r="AQ1814" s="290" t="s">
        <v>306</v>
      </c>
      <c r="AR1814" s="290" t="s">
        <v>310</v>
      </c>
      <c r="AS1814" s="290" t="s">
        <v>311</v>
      </c>
    </row>
    <row r="1815" spans="2:45" ht="14.25" thickBot="1" x14ac:dyDescent="0.3">
      <c r="B1815" s="5">
        <v>273664</v>
      </c>
      <c r="C1815" s="6">
        <v>1135749</v>
      </c>
      <c r="D1815" s="6" t="s">
        <v>7</v>
      </c>
      <c r="E1815" s="6">
        <v>6060050026</v>
      </c>
      <c r="F1815" s="253">
        <f>G1823+AL1815</f>
        <v>1</v>
      </c>
      <c r="G1815" s="235">
        <v>1</v>
      </c>
      <c r="H1815" s="383"/>
      <c r="I1815" s="232">
        <v>1</v>
      </c>
      <c r="J1815" s="232"/>
      <c r="K1815" s="232">
        <v>3</v>
      </c>
      <c r="L1815" s="232">
        <f>IF(K1822=K1814,L1823+AK1815,K1815)</f>
        <v>3</v>
      </c>
      <c r="M1815" s="232">
        <f>IF(K1822=K1814,0,L1823+AK1815-K1815)</f>
        <v>0</v>
      </c>
      <c r="N1815" s="267">
        <v>5</v>
      </c>
      <c r="O1815" s="241">
        <f>N1815-G1815</f>
        <v>4</v>
      </c>
      <c r="P1815" s="277">
        <v>4</v>
      </c>
      <c r="Q1815" s="278">
        <v>4</v>
      </c>
      <c r="R1815" s="279"/>
      <c r="S1815" s="279">
        <v>3</v>
      </c>
      <c r="T1815" s="241">
        <v>4</v>
      </c>
      <c r="U1815" s="241"/>
      <c r="V1815" s="241"/>
      <c r="W1815" s="241"/>
      <c r="X1815" s="241"/>
      <c r="Y1815" s="241"/>
      <c r="Z1815" s="241"/>
      <c r="AA1815" s="241"/>
      <c r="AB1815" s="241"/>
      <c r="AC1815" s="241"/>
      <c r="AD1815" s="241"/>
      <c r="AE1815" s="241"/>
      <c r="AF1815" s="241"/>
      <c r="AG1815" s="241"/>
      <c r="AH1815" s="241"/>
      <c r="AI1815" s="241"/>
      <c r="AJ1815" s="241">
        <v>1</v>
      </c>
      <c r="AK1815" s="235">
        <f>G1823+AL1815-G1815</f>
        <v>0</v>
      </c>
      <c r="AL1815" s="236">
        <v>0</v>
      </c>
      <c r="AM1815" s="294">
        <v>1.5</v>
      </c>
      <c r="AN1815" s="295">
        <v>4</v>
      </c>
      <c r="AO1815" s="296">
        <f>G1815/(AN1815)</f>
        <v>0.25</v>
      </c>
      <c r="AP1815" s="297">
        <f>AN1815*6</f>
        <v>24</v>
      </c>
      <c r="AQ1815" s="290">
        <f>G1815+K1815</f>
        <v>4</v>
      </c>
      <c r="AR1815" s="290">
        <f>IF(G1815&lt;G1823,(G1823-G1815+K1823-K1815),K1823-K1815)</f>
        <v>0</v>
      </c>
      <c r="AS1815" s="290">
        <f>21-8</f>
        <v>13</v>
      </c>
    </row>
    <row r="1816" spans="2:45" ht="14.25" thickBot="1" x14ac:dyDescent="0.3">
      <c r="B1816" s="5">
        <v>273672</v>
      </c>
      <c r="C1816" s="6">
        <v>1135750</v>
      </c>
      <c r="D1816" s="6" t="s">
        <v>9</v>
      </c>
      <c r="E1816" s="215">
        <v>204000000000</v>
      </c>
      <c r="F1816" s="253">
        <f>G1824+AL1816</f>
        <v>6</v>
      </c>
      <c r="G1816" s="235">
        <v>0</v>
      </c>
      <c r="H1816" s="383"/>
      <c r="I1816" s="232">
        <v>6</v>
      </c>
      <c r="J1816" s="232"/>
      <c r="K1816" s="232">
        <v>0</v>
      </c>
      <c r="L1816" s="232">
        <f>IF(K1822=K1814,L1824+AK1816,K1816)</f>
        <v>6</v>
      </c>
      <c r="M1816" s="232">
        <f>IF(K1822=K1814,0,L1824+AK1816-K1816)</f>
        <v>0</v>
      </c>
      <c r="N1816" s="267">
        <v>8</v>
      </c>
      <c r="O1816" s="241">
        <f>N1816-G1816</f>
        <v>8</v>
      </c>
      <c r="P1816" s="277">
        <v>13</v>
      </c>
      <c r="Q1816" s="278">
        <v>2</v>
      </c>
      <c r="R1816" s="279">
        <v>6</v>
      </c>
      <c r="S1816" s="279">
        <v>6</v>
      </c>
      <c r="T1816" s="241">
        <v>10</v>
      </c>
      <c r="U1816" s="241"/>
      <c r="V1816" s="241"/>
      <c r="W1816" s="241"/>
      <c r="X1816" s="241"/>
      <c r="Y1816" s="241"/>
      <c r="Z1816" s="241"/>
      <c r="AA1816" s="241"/>
      <c r="AB1816" s="241"/>
      <c r="AC1816" s="241"/>
      <c r="AD1816" s="241"/>
      <c r="AE1816" s="241"/>
      <c r="AF1816" s="241"/>
      <c r="AG1816" s="241"/>
      <c r="AH1816" s="241"/>
      <c r="AI1816" s="241"/>
      <c r="AJ1816" s="241">
        <v>0</v>
      </c>
      <c r="AK1816" s="235">
        <f>G1824+AL1816-G1816</f>
        <v>6</v>
      </c>
      <c r="AL1816" s="236">
        <v>0</v>
      </c>
      <c r="AM1816" s="298">
        <v>4.2</v>
      </c>
      <c r="AN1816" s="295">
        <v>9</v>
      </c>
      <c r="AO1816" s="296">
        <f>G1816/(AN1816)</f>
        <v>0</v>
      </c>
      <c r="AP1816" s="297">
        <f>AN1816*6</f>
        <v>54</v>
      </c>
      <c r="AQ1816" s="290">
        <f>G1816+K1816</f>
        <v>0</v>
      </c>
      <c r="AR1816" s="290">
        <f>IF(G1816&lt;G1824,(G1824-G1816+K1824-K1816),K1824-K1816)</f>
        <v>6</v>
      </c>
      <c r="AS1816" s="290">
        <f>21-8</f>
        <v>13</v>
      </c>
    </row>
    <row r="1817" spans="2:45" ht="14.25" thickBot="1" x14ac:dyDescent="0.3">
      <c r="B1817" s="5">
        <v>273702</v>
      </c>
      <c r="C1817" s="6">
        <v>1135753</v>
      </c>
      <c r="D1817" s="6" t="s">
        <v>10</v>
      </c>
      <c r="E1817" s="215">
        <v>301000000000</v>
      </c>
      <c r="F1817" s="253">
        <f>G1825+AL1817</f>
        <v>2</v>
      </c>
      <c r="G1817" s="235">
        <v>2</v>
      </c>
      <c r="H1817" s="383"/>
      <c r="I1817" s="232">
        <v>2</v>
      </c>
      <c r="J1817" s="232"/>
      <c r="K1817" s="232">
        <v>1</v>
      </c>
      <c r="L1817" s="232">
        <f>IF(K1822=K1814,L1825+AK1817,K1817)</f>
        <v>1</v>
      </c>
      <c r="M1817" s="232">
        <f>IF(K1822=K1814,0,L1825+AK1817-K1817)</f>
        <v>0</v>
      </c>
      <c r="N1817" s="232">
        <v>2</v>
      </c>
      <c r="O1817" s="241">
        <f>N1817-G1817</f>
        <v>0</v>
      </c>
      <c r="P1817" s="277"/>
      <c r="Q1817" s="278"/>
      <c r="R1817" s="279"/>
      <c r="S1817" s="279"/>
      <c r="T1817" s="241"/>
      <c r="U1817" s="241"/>
      <c r="V1817" s="241"/>
      <c r="W1817" s="241"/>
      <c r="X1817" s="241"/>
      <c r="Y1817" s="241"/>
      <c r="Z1817" s="241"/>
      <c r="AA1817" s="241"/>
      <c r="AB1817" s="241"/>
      <c r="AC1817" s="241"/>
      <c r="AD1817" s="241"/>
      <c r="AE1817" s="241"/>
      <c r="AF1817" s="241"/>
      <c r="AG1817" s="241"/>
      <c r="AH1817" s="241"/>
      <c r="AI1817" s="241"/>
      <c r="AJ1817" s="241">
        <v>2</v>
      </c>
      <c r="AK1817" s="235">
        <f>G1825+AL1817-G1817</f>
        <v>0</v>
      </c>
      <c r="AL1817" s="236">
        <v>0</v>
      </c>
      <c r="AM1817" s="294">
        <f>4/12</f>
        <v>0.33333333333333331</v>
      </c>
      <c r="AN1817" s="295">
        <v>2</v>
      </c>
      <c r="AO1817" s="296">
        <f>G1817/(AN1817)</f>
        <v>1</v>
      </c>
      <c r="AP1817" s="297">
        <f>AN1817*6</f>
        <v>12</v>
      </c>
      <c r="AQ1817" s="290">
        <f>G1817+K1817</f>
        <v>3</v>
      </c>
      <c r="AR1817" s="290">
        <f>IF(G1817&lt;G1825,(G1825-G1817+K1825-K1817),K1825-K1817)</f>
        <v>0</v>
      </c>
      <c r="AS1817" s="290">
        <f>21-8</f>
        <v>13</v>
      </c>
    </row>
    <row r="1818" spans="2:45" ht="14.25" thickBot="1" x14ac:dyDescent="0.3">
      <c r="B1818" s="5">
        <v>273698</v>
      </c>
      <c r="C1818" s="6">
        <v>1135752</v>
      </c>
      <c r="D1818" s="6" t="s">
        <v>11</v>
      </c>
      <c r="E1818" s="215">
        <v>701000000000</v>
      </c>
      <c r="F1818" s="253">
        <f>G1826+AL1818</f>
        <v>3</v>
      </c>
      <c r="G1818" s="235">
        <v>3</v>
      </c>
      <c r="H1818" s="383"/>
      <c r="I1818" s="232">
        <v>3</v>
      </c>
      <c r="J1818" s="232"/>
      <c r="K1818" s="232">
        <v>2</v>
      </c>
      <c r="L1818" s="232">
        <f>IF(K1822=K1814,L1826+AK1818,K1818)</f>
        <v>2</v>
      </c>
      <c r="M1818" s="232">
        <f>IF(K1822=K1814,0,L1826+AK1818-K1818)</f>
        <v>0</v>
      </c>
      <c r="N1818" s="232">
        <v>4</v>
      </c>
      <c r="O1818" s="241">
        <f>N1818-G1818</f>
        <v>1</v>
      </c>
      <c r="P1818" s="277">
        <v>2</v>
      </c>
      <c r="Q1818" s="278"/>
      <c r="R1818" s="279"/>
      <c r="S1818" s="279"/>
      <c r="T1818" s="241"/>
      <c r="U1818" s="241"/>
      <c r="V1818" s="241"/>
      <c r="W1818" s="241"/>
      <c r="X1818" s="241"/>
      <c r="Y1818" s="241"/>
      <c r="Z1818" s="241"/>
      <c r="AA1818" s="241"/>
      <c r="AB1818" s="241"/>
      <c r="AC1818" s="241"/>
      <c r="AD1818" s="241"/>
      <c r="AE1818" s="241"/>
      <c r="AF1818" s="241"/>
      <c r="AG1818" s="241"/>
      <c r="AH1818" s="241"/>
      <c r="AI1818" s="241"/>
      <c r="AJ1818" s="241">
        <v>4</v>
      </c>
      <c r="AK1818" s="235">
        <f>G1826+AL1818-G1818</f>
        <v>0</v>
      </c>
      <c r="AL1818" s="236">
        <v>0</v>
      </c>
      <c r="AM1818" s="294">
        <f>4/12</f>
        <v>0.33333333333333331</v>
      </c>
      <c r="AN1818" s="295">
        <v>2</v>
      </c>
      <c r="AO1818" s="296">
        <f>G1818/(AN1818)</f>
        <v>1.5</v>
      </c>
      <c r="AP1818" s="297">
        <f>AN1818*6</f>
        <v>12</v>
      </c>
      <c r="AQ1818" s="290">
        <f>G1818+K1818</f>
        <v>5</v>
      </c>
      <c r="AR1818" s="290">
        <f>IF(G1818&lt;G1826,(G1826-G1818+K1826-K1818),K1826-K1818)</f>
        <v>0</v>
      </c>
      <c r="AS1818" s="290">
        <f>21-8</f>
        <v>13</v>
      </c>
    </row>
    <row r="1819" spans="2:45" ht="14.25" thickBot="1" x14ac:dyDescent="0.3">
      <c r="B1819" s="5">
        <v>273680</v>
      </c>
      <c r="C1819" s="6">
        <v>1135751</v>
      </c>
      <c r="D1819" s="6" t="s">
        <v>12</v>
      </c>
      <c r="E1819" s="6" t="s">
        <v>13</v>
      </c>
      <c r="F1819" s="254">
        <f>G1827+AL1819</f>
        <v>5</v>
      </c>
      <c r="G1819" s="237">
        <v>5</v>
      </c>
      <c r="H1819" s="384"/>
      <c r="I1819" s="238">
        <v>5</v>
      </c>
      <c r="J1819" s="238"/>
      <c r="K1819" s="238">
        <v>5</v>
      </c>
      <c r="L1819" s="238">
        <f>IF(K1822=K1814,L1827+AK1819,K1819)</f>
        <v>5</v>
      </c>
      <c r="M1819" s="238">
        <f>IF(K1822=K1814,0,L1827+AK1819-K1819)</f>
        <v>0</v>
      </c>
      <c r="N1819" s="238">
        <v>16</v>
      </c>
      <c r="O1819" s="242">
        <f>N1819-G1819</f>
        <v>11</v>
      </c>
      <c r="P1819" s="280"/>
      <c r="Q1819" s="281"/>
      <c r="R1819" s="282"/>
      <c r="S1819" s="282"/>
      <c r="T1819" s="242">
        <v>11</v>
      </c>
      <c r="U1819" s="242"/>
      <c r="V1819" s="242"/>
      <c r="W1819" s="242"/>
      <c r="X1819" s="242"/>
      <c r="Y1819" s="242"/>
      <c r="Z1819" s="242"/>
      <c r="AA1819" s="242"/>
      <c r="AB1819" s="242"/>
      <c r="AC1819" s="242"/>
      <c r="AD1819" s="242"/>
      <c r="AE1819" s="242"/>
      <c r="AF1819" s="242"/>
      <c r="AG1819" s="242"/>
      <c r="AH1819" s="242"/>
      <c r="AI1819" s="242"/>
      <c r="AJ1819" s="242">
        <v>5</v>
      </c>
      <c r="AK1819" s="237">
        <f>G1827+AL1819-G1819</f>
        <v>0</v>
      </c>
      <c r="AL1819" s="239">
        <v>0</v>
      </c>
      <c r="AM1819" s="299">
        <f>30/12</f>
        <v>2.5</v>
      </c>
      <c r="AN1819" s="300">
        <f>AM1819*2</f>
        <v>5</v>
      </c>
      <c r="AO1819" s="301">
        <f>G1819/(AN1819)</f>
        <v>1</v>
      </c>
      <c r="AP1819" s="302">
        <f>AN1819*6</f>
        <v>30</v>
      </c>
      <c r="AQ1819" s="290">
        <f>G1819+K1819</f>
        <v>10</v>
      </c>
      <c r="AR1819" s="290">
        <f>IF(G1819&lt;G1827,(G1827-G1819+K1827-K1819),K1827-K1819)</f>
        <v>0</v>
      </c>
      <c r="AS1819" s="290">
        <f>21-8</f>
        <v>13</v>
      </c>
    </row>
    <row r="1820" spans="2:45" x14ac:dyDescent="0.25">
      <c r="AL1820" s="290"/>
      <c r="AM1820" s="290"/>
      <c r="AN1820" s="290"/>
      <c r="AO1820" s="290"/>
      <c r="AP1820" s="290"/>
      <c r="AQ1820" s="290"/>
      <c r="AR1820" s="290"/>
      <c r="AS1820" s="290"/>
    </row>
    <row r="1821" spans="2:45" ht="14.25" thickBot="1" x14ac:dyDescent="0.3">
      <c r="B1821" s="338" t="s">
        <v>18</v>
      </c>
      <c r="C1821" s="339">
        <v>45439</v>
      </c>
      <c r="AL1821" s="290"/>
      <c r="AM1821" s="290"/>
      <c r="AN1821" s="290"/>
      <c r="AO1821" s="290"/>
      <c r="AP1821" s="290"/>
      <c r="AQ1821" s="290"/>
      <c r="AR1821" s="290"/>
      <c r="AS1821" s="290"/>
    </row>
    <row r="1822" spans="2:45" ht="41.25" thickBot="1" x14ac:dyDescent="0.3">
      <c r="B1822" s="2" t="s">
        <v>0</v>
      </c>
      <c r="C1822" s="3" t="s">
        <v>1</v>
      </c>
      <c r="D1822" s="3" t="s">
        <v>2</v>
      </c>
      <c r="E1822" s="3" t="s">
        <v>3</v>
      </c>
      <c r="F1822" s="4" t="s">
        <v>318</v>
      </c>
      <c r="G1822" s="4" t="s">
        <v>4</v>
      </c>
      <c r="H1822" s="385"/>
      <c r="I1822" s="234" t="s">
        <v>357</v>
      </c>
      <c r="J1822" s="234"/>
      <c r="K1822" s="258" t="s">
        <v>358</v>
      </c>
      <c r="L1822" s="258" t="s">
        <v>328</v>
      </c>
      <c r="M1822" s="258" t="s">
        <v>327</v>
      </c>
      <c r="N1822" s="234" t="s">
        <v>359</v>
      </c>
      <c r="O1822" s="240" t="s">
        <v>130</v>
      </c>
      <c r="P1822" s="243" t="s">
        <v>303</v>
      </c>
      <c r="Q1822" s="244" t="s">
        <v>304</v>
      </c>
      <c r="R1822" s="244" t="s">
        <v>314</v>
      </c>
      <c r="S1822" s="245" t="s">
        <v>338</v>
      </c>
      <c r="T1822" s="245" t="s">
        <v>345</v>
      </c>
      <c r="U1822" s="245" t="s">
        <v>361</v>
      </c>
      <c r="V1822" s="245" t="s">
        <v>387</v>
      </c>
      <c r="W1822" s="245" t="s">
        <v>421</v>
      </c>
      <c r="X1822" s="245" t="s">
        <v>451</v>
      </c>
      <c r="Y1822" s="245"/>
      <c r="Z1822" s="245"/>
      <c r="AA1822" s="245"/>
      <c r="AB1822" s="245"/>
      <c r="AC1822" s="245"/>
      <c r="AD1822" s="245"/>
      <c r="AE1822" s="245"/>
      <c r="AF1822" s="245"/>
      <c r="AG1822" s="245"/>
      <c r="AH1822" s="245"/>
      <c r="AI1822" s="245"/>
      <c r="AJ1822" s="245" t="s">
        <v>360</v>
      </c>
      <c r="AK1822" s="246" t="s">
        <v>268</v>
      </c>
      <c r="AL1822" s="247" t="s">
        <v>269</v>
      </c>
      <c r="AM1822" s="291" t="s">
        <v>288</v>
      </c>
      <c r="AN1822" s="292" t="s">
        <v>289</v>
      </c>
      <c r="AO1822" s="292" t="s">
        <v>287</v>
      </c>
      <c r="AP1822" s="293" t="s">
        <v>290</v>
      </c>
      <c r="AQ1822" s="290" t="s">
        <v>306</v>
      </c>
      <c r="AR1822" s="290" t="s">
        <v>310</v>
      </c>
      <c r="AS1822" s="290" t="s">
        <v>311</v>
      </c>
    </row>
    <row r="1823" spans="2:45" ht="14.25" thickBot="1" x14ac:dyDescent="0.3">
      <c r="B1823" s="5">
        <v>273664</v>
      </c>
      <c r="C1823" s="6">
        <v>1135749</v>
      </c>
      <c r="D1823" s="6" t="s">
        <v>7</v>
      </c>
      <c r="E1823" s="6">
        <v>6060050026</v>
      </c>
      <c r="F1823" s="253">
        <f>G1831+AL1823</f>
        <v>1</v>
      </c>
      <c r="G1823" s="235">
        <v>1</v>
      </c>
      <c r="H1823" s="383"/>
      <c r="I1823" s="232">
        <v>1</v>
      </c>
      <c r="J1823" s="232"/>
      <c r="K1823" s="232">
        <v>3</v>
      </c>
      <c r="L1823" s="232">
        <f>IF(K1830=K1822,L1831+AK1823,K1823)</f>
        <v>3</v>
      </c>
      <c r="M1823" s="232">
        <f>IF(K1830=K1822,0,L1831+AK1823-K1823)</f>
        <v>0</v>
      </c>
      <c r="N1823" s="267">
        <v>5</v>
      </c>
      <c r="O1823" s="241">
        <f>N1823-G1823</f>
        <v>4</v>
      </c>
      <c r="P1823" s="277">
        <v>4</v>
      </c>
      <c r="Q1823" s="278">
        <v>4</v>
      </c>
      <c r="R1823" s="279"/>
      <c r="S1823" s="279">
        <v>3</v>
      </c>
      <c r="T1823" s="241">
        <v>4</v>
      </c>
      <c r="U1823" s="241"/>
      <c r="V1823" s="241"/>
      <c r="W1823" s="241"/>
      <c r="X1823" s="241"/>
      <c r="Y1823" s="241"/>
      <c r="Z1823" s="241"/>
      <c r="AA1823" s="241"/>
      <c r="AB1823" s="241"/>
      <c r="AC1823" s="241"/>
      <c r="AD1823" s="241"/>
      <c r="AE1823" s="241"/>
      <c r="AF1823" s="241"/>
      <c r="AG1823" s="241"/>
      <c r="AH1823" s="241"/>
      <c r="AI1823" s="241"/>
      <c r="AJ1823" s="241">
        <v>1</v>
      </c>
      <c r="AK1823" s="235">
        <f>IF((G1831-G1823)&gt;0,G1831-G1823,0)</f>
        <v>0</v>
      </c>
      <c r="AL1823" s="236">
        <v>0</v>
      </c>
      <c r="AM1823" s="294">
        <v>1.5</v>
      </c>
      <c r="AN1823" s="295">
        <v>4</v>
      </c>
      <c r="AO1823" s="296">
        <f>G1823/(AN1823)</f>
        <v>0.25</v>
      </c>
      <c r="AP1823" s="297">
        <f>AN1823*6</f>
        <v>24</v>
      </c>
      <c r="AQ1823" s="290">
        <f>G1823+K1823</f>
        <v>4</v>
      </c>
      <c r="AR1823" s="290">
        <f>IF(G1823&lt;G1831,(G1831-G1823+K1831-K1823),K1831-K1823)</f>
        <v>0</v>
      </c>
      <c r="AS1823" s="290">
        <f>21-8</f>
        <v>13</v>
      </c>
    </row>
    <row r="1824" spans="2:45" ht="14.25" thickBot="1" x14ac:dyDescent="0.3">
      <c r="B1824" s="5">
        <v>273672</v>
      </c>
      <c r="C1824" s="6">
        <v>1135750</v>
      </c>
      <c r="D1824" s="6" t="s">
        <v>9</v>
      </c>
      <c r="E1824" s="215">
        <v>204000000000</v>
      </c>
      <c r="F1824" s="253">
        <f>G1832+AL1824</f>
        <v>6</v>
      </c>
      <c r="G1824" s="235">
        <v>6</v>
      </c>
      <c r="H1824" s="383"/>
      <c r="I1824" s="232">
        <v>6</v>
      </c>
      <c r="J1824" s="232"/>
      <c r="K1824" s="232">
        <v>0</v>
      </c>
      <c r="L1824" s="232">
        <f>IF(K1830=K1822,L1832+AK1824,K1824)</f>
        <v>0</v>
      </c>
      <c r="M1824" s="232">
        <f>IF(K1830=K1822,0,L1832+AK1824-K1824)</f>
        <v>0</v>
      </c>
      <c r="N1824" s="267">
        <v>8</v>
      </c>
      <c r="O1824" s="241">
        <f>N1824-G1824</f>
        <v>2</v>
      </c>
      <c r="P1824" s="277">
        <v>13</v>
      </c>
      <c r="Q1824" s="278">
        <v>2</v>
      </c>
      <c r="R1824" s="279">
        <v>6</v>
      </c>
      <c r="S1824" s="279">
        <v>6</v>
      </c>
      <c r="T1824" s="241">
        <v>4</v>
      </c>
      <c r="U1824" s="241"/>
      <c r="V1824" s="241"/>
      <c r="W1824" s="241"/>
      <c r="X1824" s="241"/>
      <c r="Y1824" s="241"/>
      <c r="Z1824" s="241"/>
      <c r="AA1824" s="241"/>
      <c r="AB1824" s="241"/>
      <c r="AC1824" s="241"/>
      <c r="AD1824" s="241"/>
      <c r="AE1824" s="241"/>
      <c r="AF1824" s="241"/>
      <c r="AG1824" s="241"/>
      <c r="AH1824" s="241"/>
      <c r="AI1824" s="241"/>
      <c r="AJ1824" s="241">
        <v>6</v>
      </c>
      <c r="AK1824" s="235">
        <f>IF((G1832-G1824)&gt;0,G1832-G1824,0)</f>
        <v>0</v>
      </c>
      <c r="AL1824" s="236">
        <v>0</v>
      </c>
      <c r="AM1824" s="298">
        <v>4.2</v>
      </c>
      <c r="AN1824" s="295">
        <v>9</v>
      </c>
      <c r="AO1824" s="296">
        <f>G1824/(AN1824)</f>
        <v>0.66666666666666663</v>
      </c>
      <c r="AP1824" s="297">
        <f>AN1824*6</f>
        <v>54</v>
      </c>
      <c r="AQ1824" s="290">
        <f>G1824+K1824</f>
        <v>6</v>
      </c>
      <c r="AR1824" s="290">
        <f>IF(G1824&lt;G1832,(G1832-G1824+K1832-K1824),K1832-K1824)</f>
        <v>0</v>
      </c>
      <c r="AS1824" s="290">
        <f>21-8</f>
        <v>13</v>
      </c>
    </row>
    <row r="1825" spans="2:45" ht="14.25" thickBot="1" x14ac:dyDescent="0.3">
      <c r="B1825" s="5">
        <v>273702</v>
      </c>
      <c r="C1825" s="6">
        <v>1135753</v>
      </c>
      <c r="D1825" s="6" t="s">
        <v>10</v>
      </c>
      <c r="E1825" s="215">
        <v>301000000000</v>
      </c>
      <c r="F1825" s="253">
        <f>G1833+AL1825</f>
        <v>2</v>
      </c>
      <c r="G1825" s="235">
        <v>2</v>
      </c>
      <c r="H1825" s="383"/>
      <c r="I1825" s="232">
        <v>2</v>
      </c>
      <c r="J1825" s="232"/>
      <c r="K1825" s="232">
        <v>1</v>
      </c>
      <c r="L1825" s="232">
        <f>IF(K1830=K1822,L1833+AK1825,K1825)</f>
        <v>1</v>
      </c>
      <c r="M1825" s="232">
        <f>IF(K1830=K1822,0,L1833+AK1825-K1825)</f>
        <v>0</v>
      </c>
      <c r="N1825" s="232">
        <v>2</v>
      </c>
      <c r="O1825" s="241">
        <f>N1825-G1825</f>
        <v>0</v>
      </c>
      <c r="P1825" s="277"/>
      <c r="Q1825" s="278"/>
      <c r="R1825" s="279"/>
      <c r="S1825" s="279"/>
      <c r="T1825" s="241"/>
      <c r="U1825" s="241"/>
      <c r="V1825" s="241"/>
      <c r="W1825" s="241"/>
      <c r="X1825" s="241"/>
      <c r="Y1825" s="241"/>
      <c r="Z1825" s="241"/>
      <c r="AA1825" s="241"/>
      <c r="AB1825" s="241"/>
      <c r="AC1825" s="241"/>
      <c r="AD1825" s="241"/>
      <c r="AE1825" s="241"/>
      <c r="AF1825" s="241"/>
      <c r="AG1825" s="241"/>
      <c r="AH1825" s="241"/>
      <c r="AI1825" s="241"/>
      <c r="AJ1825" s="241">
        <v>2</v>
      </c>
      <c r="AK1825" s="235">
        <f>IF((G1833-G1825)&gt;0,G1833-G1825,0)</f>
        <v>0</v>
      </c>
      <c r="AL1825" s="236">
        <v>0</v>
      </c>
      <c r="AM1825" s="294">
        <f>4/12</f>
        <v>0.33333333333333331</v>
      </c>
      <c r="AN1825" s="295">
        <v>2</v>
      </c>
      <c r="AO1825" s="296">
        <f>G1825/(AN1825)</f>
        <v>1</v>
      </c>
      <c r="AP1825" s="297">
        <f>AN1825*6</f>
        <v>12</v>
      </c>
      <c r="AQ1825" s="290">
        <f>G1825+K1825</f>
        <v>3</v>
      </c>
      <c r="AR1825" s="290">
        <f>IF(G1825&lt;G1833,(G1833-G1825+K1833-K1825),K1833-K1825)</f>
        <v>0</v>
      </c>
      <c r="AS1825" s="290">
        <f>21-8</f>
        <v>13</v>
      </c>
    </row>
    <row r="1826" spans="2:45" ht="14.25" thickBot="1" x14ac:dyDescent="0.3">
      <c r="B1826" s="5">
        <v>273698</v>
      </c>
      <c r="C1826" s="6">
        <v>1135752</v>
      </c>
      <c r="D1826" s="6" t="s">
        <v>11</v>
      </c>
      <c r="E1826" s="215">
        <v>701000000000</v>
      </c>
      <c r="F1826" s="253">
        <f>G1834+AL1826</f>
        <v>3</v>
      </c>
      <c r="G1826" s="235">
        <v>3</v>
      </c>
      <c r="H1826" s="383"/>
      <c r="I1826" s="232">
        <v>3</v>
      </c>
      <c r="J1826" s="232"/>
      <c r="K1826" s="232">
        <v>2</v>
      </c>
      <c r="L1826" s="232">
        <f>IF(K1830=K1822,L1834+AK1826,K1826)</f>
        <v>2</v>
      </c>
      <c r="M1826" s="232">
        <f>IF(K1830=K1822,0,L1834+AK1826-K1826)</f>
        <v>0</v>
      </c>
      <c r="N1826" s="232">
        <v>4</v>
      </c>
      <c r="O1826" s="241">
        <f>N1826-G1826</f>
        <v>1</v>
      </c>
      <c r="P1826" s="277">
        <v>2</v>
      </c>
      <c r="Q1826" s="278"/>
      <c r="R1826" s="279"/>
      <c r="S1826" s="279"/>
      <c r="T1826" s="241"/>
      <c r="U1826" s="241"/>
      <c r="V1826" s="241"/>
      <c r="W1826" s="241"/>
      <c r="X1826" s="241"/>
      <c r="Y1826" s="241"/>
      <c r="Z1826" s="241"/>
      <c r="AA1826" s="241"/>
      <c r="AB1826" s="241"/>
      <c r="AC1826" s="241"/>
      <c r="AD1826" s="241"/>
      <c r="AE1826" s="241"/>
      <c r="AF1826" s="241"/>
      <c r="AG1826" s="241"/>
      <c r="AH1826" s="241"/>
      <c r="AI1826" s="241"/>
      <c r="AJ1826" s="241">
        <v>4</v>
      </c>
      <c r="AK1826" s="235">
        <f>IF((G1834-G1826)&gt;0,G1834-G1826,0)</f>
        <v>0</v>
      </c>
      <c r="AL1826" s="236">
        <v>0</v>
      </c>
      <c r="AM1826" s="294">
        <f>4/12</f>
        <v>0.33333333333333331</v>
      </c>
      <c r="AN1826" s="295">
        <v>2</v>
      </c>
      <c r="AO1826" s="296">
        <f>G1826/(AN1826)</f>
        <v>1.5</v>
      </c>
      <c r="AP1826" s="297">
        <f>AN1826*6</f>
        <v>12</v>
      </c>
      <c r="AQ1826" s="290">
        <f>G1826+K1826</f>
        <v>5</v>
      </c>
      <c r="AR1826" s="290">
        <f>IF(G1826&lt;G1834,(G1834-G1826+K1834-K1826),K1834-K1826)</f>
        <v>0</v>
      </c>
      <c r="AS1826" s="290">
        <f>21-8</f>
        <v>13</v>
      </c>
    </row>
    <row r="1827" spans="2:45" ht="14.25" thickBot="1" x14ac:dyDescent="0.3">
      <c r="B1827" s="5">
        <v>273680</v>
      </c>
      <c r="C1827" s="6">
        <v>1135751</v>
      </c>
      <c r="D1827" s="6" t="s">
        <v>12</v>
      </c>
      <c r="E1827" s="6" t="s">
        <v>13</v>
      </c>
      <c r="F1827" s="254">
        <f>G1835+AL1827</f>
        <v>5</v>
      </c>
      <c r="G1827" s="237">
        <v>5</v>
      </c>
      <c r="H1827" s="384"/>
      <c r="I1827" s="238">
        <v>5</v>
      </c>
      <c r="J1827" s="238"/>
      <c r="K1827" s="238">
        <v>5</v>
      </c>
      <c r="L1827" s="238">
        <f>IF(K1830=K1822,L1835+AK1827,K1827)</f>
        <v>5</v>
      </c>
      <c r="M1827" s="238">
        <f>IF(K1830=K1822,0,L1835+AK1827-K1827)</f>
        <v>0</v>
      </c>
      <c r="N1827" s="238">
        <v>16</v>
      </c>
      <c r="O1827" s="242">
        <f>N1827-G1827</f>
        <v>11</v>
      </c>
      <c r="P1827" s="280"/>
      <c r="Q1827" s="281"/>
      <c r="R1827" s="282"/>
      <c r="S1827" s="282"/>
      <c r="T1827" s="242">
        <v>11</v>
      </c>
      <c r="U1827" s="242"/>
      <c r="V1827" s="242"/>
      <c r="W1827" s="242"/>
      <c r="X1827" s="242"/>
      <c r="Y1827" s="242"/>
      <c r="Z1827" s="242"/>
      <c r="AA1827" s="242"/>
      <c r="AB1827" s="242"/>
      <c r="AC1827" s="242"/>
      <c r="AD1827" s="242"/>
      <c r="AE1827" s="242"/>
      <c r="AF1827" s="242"/>
      <c r="AG1827" s="242"/>
      <c r="AH1827" s="242"/>
      <c r="AI1827" s="242"/>
      <c r="AJ1827" s="242">
        <v>5</v>
      </c>
      <c r="AK1827" s="237">
        <f>IF((G1835-G1827)&gt;0,G1835-G1827,0)</f>
        <v>0</v>
      </c>
      <c r="AL1827" s="239">
        <v>0</v>
      </c>
      <c r="AM1827" s="299">
        <f>30/12</f>
        <v>2.5</v>
      </c>
      <c r="AN1827" s="300">
        <f>AM1827*2</f>
        <v>5</v>
      </c>
      <c r="AO1827" s="301">
        <f>G1827/(AN1827)</f>
        <v>1</v>
      </c>
      <c r="AP1827" s="302">
        <f>AN1827*6</f>
        <v>30</v>
      </c>
      <c r="AQ1827" s="290">
        <f>G1827+K1827</f>
        <v>10</v>
      </c>
      <c r="AR1827" s="290">
        <f>IF(G1827&lt;G1835,(G1835-G1827+K1835-K1827),K1835-K1827)</f>
        <v>0</v>
      </c>
      <c r="AS1827" s="290">
        <f>21-8</f>
        <v>13</v>
      </c>
    </row>
    <row r="1828" spans="2:45" x14ac:dyDescent="0.25">
      <c r="AL1828" s="290"/>
      <c r="AM1828" s="290"/>
      <c r="AN1828" s="290"/>
      <c r="AO1828" s="290"/>
      <c r="AP1828" s="290"/>
      <c r="AQ1828" s="290"/>
      <c r="AR1828" s="290"/>
      <c r="AS1828" s="290"/>
    </row>
    <row r="1829" spans="2:45" ht="14.25" thickBot="1" x14ac:dyDescent="0.3">
      <c r="B1829" s="338" t="s">
        <v>18</v>
      </c>
      <c r="C1829" s="339">
        <v>45432</v>
      </c>
      <c r="AL1829" s="290"/>
      <c r="AM1829" s="290"/>
      <c r="AN1829" s="290"/>
      <c r="AO1829" s="290"/>
      <c r="AP1829" s="290"/>
      <c r="AQ1829" s="290"/>
      <c r="AR1829" s="290"/>
      <c r="AS1829" s="290"/>
    </row>
    <row r="1830" spans="2:45" ht="41.25" thickBot="1" x14ac:dyDescent="0.3">
      <c r="B1830" s="2" t="s">
        <v>0</v>
      </c>
      <c r="C1830" s="3" t="s">
        <v>1</v>
      </c>
      <c r="D1830" s="3" t="s">
        <v>2</v>
      </c>
      <c r="E1830" s="3" t="s">
        <v>3</v>
      </c>
      <c r="F1830" s="4" t="s">
        <v>318</v>
      </c>
      <c r="G1830" s="233" t="s">
        <v>4</v>
      </c>
      <c r="H1830" s="386"/>
      <c r="I1830" s="234" t="s">
        <v>356</v>
      </c>
      <c r="J1830" s="234"/>
      <c r="K1830" s="258" t="s">
        <v>355</v>
      </c>
      <c r="L1830" s="258" t="s">
        <v>328</v>
      </c>
      <c r="M1830" s="258" t="s">
        <v>327</v>
      </c>
      <c r="N1830" s="234" t="s">
        <v>354</v>
      </c>
      <c r="O1830" s="240" t="s">
        <v>130</v>
      </c>
      <c r="P1830" s="243" t="s">
        <v>303</v>
      </c>
      <c r="Q1830" s="244" t="s">
        <v>304</v>
      </c>
      <c r="R1830" s="244" t="s">
        <v>314</v>
      </c>
      <c r="S1830" s="245" t="s">
        <v>338</v>
      </c>
      <c r="T1830" s="245" t="s">
        <v>345</v>
      </c>
      <c r="U1830" s="245" t="s">
        <v>361</v>
      </c>
      <c r="V1830" s="245" t="s">
        <v>387</v>
      </c>
      <c r="W1830" s="245" t="s">
        <v>421</v>
      </c>
      <c r="X1830" s="245" t="s">
        <v>451</v>
      </c>
      <c r="Y1830" s="245"/>
      <c r="Z1830" s="245"/>
      <c r="AA1830" s="245"/>
      <c r="AB1830" s="245"/>
      <c r="AC1830" s="245"/>
      <c r="AD1830" s="245"/>
      <c r="AE1830" s="245"/>
      <c r="AF1830" s="245"/>
      <c r="AG1830" s="245"/>
      <c r="AH1830" s="245"/>
      <c r="AI1830" s="245"/>
      <c r="AJ1830" s="245" t="s">
        <v>360</v>
      </c>
      <c r="AK1830" s="246" t="s">
        <v>268</v>
      </c>
      <c r="AL1830" s="247" t="s">
        <v>269</v>
      </c>
      <c r="AM1830" s="291" t="s">
        <v>288</v>
      </c>
      <c r="AN1830" s="292" t="s">
        <v>289</v>
      </c>
      <c r="AO1830" s="292" t="s">
        <v>287</v>
      </c>
      <c r="AP1830" s="293" t="s">
        <v>290</v>
      </c>
      <c r="AQ1830" s="290" t="s">
        <v>306</v>
      </c>
      <c r="AR1830" s="290" t="s">
        <v>310</v>
      </c>
      <c r="AS1830" s="290" t="s">
        <v>311</v>
      </c>
    </row>
    <row r="1831" spans="2:45" ht="14.25" thickBot="1" x14ac:dyDescent="0.3">
      <c r="B1831" s="5">
        <v>273664</v>
      </c>
      <c r="C1831" s="6">
        <v>1135749</v>
      </c>
      <c r="D1831" s="6" t="s">
        <v>7</v>
      </c>
      <c r="E1831" s="6">
        <v>6060050026</v>
      </c>
      <c r="F1831" s="253">
        <f>G1839+AL1831</f>
        <v>1</v>
      </c>
      <c r="G1831" s="235">
        <v>1</v>
      </c>
      <c r="H1831" s="383"/>
      <c r="I1831" s="232">
        <v>1</v>
      </c>
      <c r="J1831" s="232"/>
      <c r="K1831" s="232">
        <v>3</v>
      </c>
      <c r="L1831" s="232">
        <f>IF(K1838=K1830,L1839+AK1831,K1831)</f>
        <v>3</v>
      </c>
      <c r="M1831" s="232">
        <f>IF(K1838=K1830,0,L1839+AK1831-K1831)</f>
        <v>0</v>
      </c>
      <c r="N1831" s="232">
        <v>5</v>
      </c>
      <c r="O1831" s="241">
        <f>N1831-G1831</f>
        <v>4</v>
      </c>
      <c r="P1831" s="268">
        <v>4</v>
      </c>
      <c r="Q1831" s="269">
        <v>4</v>
      </c>
      <c r="R1831" s="270"/>
      <c r="S1831" s="270">
        <v>3</v>
      </c>
      <c r="T1831" s="241">
        <v>4</v>
      </c>
      <c r="U1831" s="241"/>
      <c r="V1831" s="241"/>
      <c r="W1831" s="241"/>
      <c r="X1831" s="241"/>
      <c r="Y1831" s="241"/>
      <c r="Z1831" s="241"/>
      <c r="AA1831" s="241"/>
      <c r="AB1831" s="241"/>
      <c r="AC1831" s="241"/>
      <c r="AD1831" s="241"/>
      <c r="AE1831" s="241"/>
      <c r="AF1831" s="241"/>
      <c r="AG1831" s="241"/>
      <c r="AH1831" s="241"/>
      <c r="AI1831" s="241"/>
      <c r="AJ1831" s="241">
        <v>1</v>
      </c>
      <c r="AK1831" s="235">
        <f>IF((G1839-G1831)&gt;0,G1839-G1831,0)</f>
        <v>0</v>
      </c>
      <c r="AL1831" s="236">
        <v>0</v>
      </c>
      <c r="AM1831" s="294">
        <v>1.5</v>
      </c>
      <c r="AN1831" s="295">
        <v>4</v>
      </c>
      <c r="AO1831" s="296">
        <f>G1831/(AN1831)</f>
        <v>0.25</v>
      </c>
      <c r="AP1831" s="297">
        <f>AN1831*6</f>
        <v>24</v>
      </c>
      <c r="AQ1831" s="290">
        <f>G1831+K1831</f>
        <v>4</v>
      </c>
      <c r="AR1831" s="290">
        <f>IF(G1831&lt;G1839,(G1839-G1831+K1839-K1831),K1839-K1831)</f>
        <v>0</v>
      </c>
      <c r="AS1831" s="290">
        <f>21-8</f>
        <v>13</v>
      </c>
    </row>
    <row r="1832" spans="2:45" ht="14.25" thickBot="1" x14ac:dyDescent="0.3">
      <c r="B1832" s="5">
        <v>273672</v>
      </c>
      <c r="C1832" s="6">
        <v>1135750</v>
      </c>
      <c r="D1832" s="6" t="s">
        <v>9</v>
      </c>
      <c r="E1832" s="215">
        <v>204000000000</v>
      </c>
      <c r="F1832" s="253">
        <f>G1840+AL1832</f>
        <v>6</v>
      </c>
      <c r="G1832" s="235">
        <v>6</v>
      </c>
      <c r="H1832" s="383"/>
      <c r="I1832" s="232">
        <v>6</v>
      </c>
      <c r="J1832" s="232"/>
      <c r="K1832" s="232">
        <v>0</v>
      </c>
      <c r="L1832" s="232">
        <f>IF(K1838=K1830,L1840+AK1832,K1832)</f>
        <v>0</v>
      </c>
      <c r="M1832" s="232">
        <f>IF(K1838=K1830,0,L1840+AK1832-K1832)</f>
        <v>1</v>
      </c>
      <c r="N1832" s="232">
        <v>8</v>
      </c>
      <c r="O1832" s="241">
        <f>N1832-G1832</f>
        <v>2</v>
      </c>
      <c r="P1832" s="268">
        <v>13</v>
      </c>
      <c r="Q1832" s="269">
        <v>2</v>
      </c>
      <c r="R1832" s="270">
        <v>6</v>
      </c>
      <c r="S1832" s="270">
        <v>6</v>
      </c>
      <c r="T1832" s="241">
        <v>4</v>
      </c>
      <c r="U1832" s="241"/>
      <c r="V1832" s="241"/>
      <c r="W1832" s="241"/>
      <c r="X1832" s="241"/>
      <c r="Y1832" s="241"/>
      <c r="Z1832" s="241"/>
      <c r="AA1832" s="241"/>
      <c r="AB1832" s="241"/>
      <c r="AC1832" s="241"/>
      <c r="AD1832" s="241"/>
      <c r="AE1832" s="241"/>
      <c r="AF1832" s="241"/>
      <c r="AG1832" s="241"/>
      <c r="AH1832" s="241"/>
      <c r="AI1832" s="241"/>
      <c r="AJ1832" s="241">
        <v>6</v>
      </c>
      <c r="AK1832" s="235">
        <f>IF((G1840-G1832)&gt;0,G1840-G1832,0)</f>
        <v>0</v>
      </c>
      <c r="AL1832" s="236">
        <v>0</v>
      </c>
      <c r="AM1832" s="298">
        <v>4.2</v>
      </c>
      <c r="AN1832" s="295">
        <v>9</v>
      </c>
      <c r="AO1832" s="296">
        <f>G1832/(AN1832)</f>
        <v>0.66666666666666663</v>
      </c>
      <c r="AP1832" s="297">
        <f>AN1832*6</f>
        <v>54</v>
      </c>
      <c r="AQ1832" s="290">
        <f>G1832+K1832</f>
        <v>6</v>
      </c>
      <c r="AR1832" s="290">
        <f>IF(G1832&lt;G1840,(G1840-G1832+K1840-K1832),K1840-K1832)</f>
        <v>1</v>
      </c>
      <c r="AS1832" s="290">
        <f>21-8</f>
        <v>13</v>
      </c>
    </row>
    <row r="1833" spans="2:45" ht="14.25" thickBot="1" x14ac:dyDescent="0.3">
      <c r="B1833" s="5">
        <v>273702</v>
      </c>
      <c r="C1833" s="6">
        <v>1135753</v>
      </c>
      <c r="D1833" s="6" t="s">
        <v>10</v>
      </c>
      <c r="E1833" s="215">
        <v>301000000000</v>
      </c>
      <c r="F1833" s="253">
        <f>G1841+AL1833</f>
        <v>2</v>
      </c>
      <c r="G1833" s="235">
        <v>2</v>
      </c>
      <c r="H1833" s="383"/>
      <c r="I1833" s="232">
        <v>2</v>
      </c>
      <c r="J1833" s="232"/>
      <c r="K1833" s="232">
        <v>1</v>
      </c>
      <c r="L1833" s="232">
        <f>IF(K1838=K1830,L1841+AK1833,K1833)</f>
        <v>1</v>
      </c>
      <c r="M1833" s="232">
        <f>IF(K1838=K1830,0,L1841+AK1833-K1833)</f>
        <v>0</v>
      </c>
      <c r="N1833" s="232">
        <v>2</v>
      </c>
      <c r="O1833" s="241">
        <f>N1833-G1833</f>
        <v>0</v>
      </c>
      <c r="P1833" s="268"/>
      <c r="Q1833" s="269"/>
      <c r="R1833" s="270"/>
      <c r="S1833" s="270"/>
      <c r="T1833" s="241"/>
      <c r="U1833" s="241"/>
      <c r="V1833" s="241"/>
      <c r="W1833" s="241"/>
      <c r="X1833" s="241"/>
      <c r="Y1833" s="241"/>
      <c r="Z1833" s="241"/>
      <c r="AA1833" s="241"/>
      <c r="AB1833" s="241"/>
      <c r="AC1833" s="241"/>
      <c r="AD1833" s="241"/>
      <c r="AE1833" s="241"/>
      <c r="AF1833" s="241"/>
      <c r="AG1833" s="241"/>
      <c r="AH1833" s="241"/>
      <c r="AI1833" s="241"/>
      <c r="AJ1833" s="241">
        <v>2</v>
      </c>
      <c r="AK1833" s="235">
        <f>IF((G1841-G1833)&gt;0,G1841-G1833,0)</f>
        <v>0</v>
      </c>
      <c r="AL1833" s="236">
        <v>0</v>
      </c>
      <c r="AM1833" s="294">
        <f>4/12</f>
        <v>0.33333333333333331</v>
      </c>
      <c r="AN1833" s="295">
        <v>2</v>
      </c>
      <c r="AO1833" s="296">
        <f>G1833/(AN1833)</f>
        <v>1</v>
      </c>
      <c r="AP1833" s="297">
        <f>AN1833*6</f>
        <v>12</v>
      </c>
      <c r="AQ1833" s="290">
        <f>G1833+K1833</f>
        <v>3</v>
      </c>
      <c r="AR1833" s="290">
        <f>IF(G1833&lt;G1841,(G1841-G1833+K1841-K1833),K1841-K1833)</f>
        <v>0</v>
      </c>
      <c r="AS1833" s="290">
        <f>21-8</f>
        <v>13</v>
      </c>
    </row>
    <row r="1834" spans="2:45" ht="14.25" thickBot="1" x14ac:dyDescent="0.3">
      <c r="B1834" s="5">
        <v>273698</v>
      </c>
      <c r="C1834" s="6">
        <v>1135752</v>
      </c>
      <c r="D1834" s="6" t="s">
        <v>11</v>
      </c>
      <c r="E1834" s="215">
        <v>701000000000</v>
      </c>
      <c r="F1834" s="253">
        <f>G1842+AL1834</f>
        <v>3</v>
      </c>
      <c r="G1834" s="235">
        <v>3</v>
      </c>
      <c r="H1834" s="383"/>
      <c r="I1834" s="232">
        <v>3</v>
      </c>
      <c r="J1834" s="232"/>
      <c r="K1834" s="232">
        <v>2</v>
      </c>
      <c r="L1834" s="232">
        <f>IF(K1838=K1830,L1842+AK1834,K1834)</f>
        <v>2</v>
      </c>
      <c r="M1834" s="232">
        <f>IF(K1838=K1830,0,L1842+AK1834-K1834)</f>
        <v>0</v>
      </c>
      <c r="N1834" s="232">
        <v>4</v>
      </c>
      <c r="O1834" s="241">
        <f>N1834-G1834</f>
        <v>1</v>
      </c>
      <c r="P1834" s="268">
        <v>2</v>
      </c>
      <c r="Q1834" s="269"/>
      <c r="R1834" s="270"/>
      <c r="S1834" s="270"/>
      <c r="T1834" s="241"/>
      <c r="U1834" s="241"/>
      <c r="V1834" s="241"/>
      <c r="W1834" s="241"/>
      <c r="X1834" s="241"/>
      <c r="Y1834" s="241"/>
      <c r="Z1834" s="241"/>
      <c r="AA1834" s="241"/>
      <c r="AB1834" s="241"/>
      <c r="AC1834" s="241"/>
      <c r="AD1834" s="241"/>
      <c r="AE1834" s="241"/>
      <c r="AF1834" s="241"/>
      <c r="AG1834" s="241"/>
      <c r="AH1834" s="241"/>
      <c r="AI1834" s="241"/>
      <c r="AJ1834" s="241">
        <v>4</v>
      </c>
      <c r="AK1834" s="235">
        <f>IF((G1842-G1834)&gt;0,G1842-G1834,0)</f>
        <v>0</v>
      </c>
      <c r="AL1834" s="236">
        <v>0</v>
      </c>
      <c r="AM1834" s="294">
        <f>4/12</f>
        <v>0.33333333333333331</v>
      </c>
      <c r="AN1834" s="295">
        <v>2</v>
      </c>
      <c r="AO1834" s="296">
        <f>G1834/(AN1834)</f>
        <v>1.5</v>
      </c>
      <c r="AP1834" s="297">
        <f>AN1834*6</f>
        <v>12</v>
      </c>
      <c r="AQ1834" s="290">
        <f>G1834+K1834</f>
        <v>5</v>
      </c>
      <c r="AR1834" s="290">
        <f>IF(G1834&lt;G1842,(G1842-G1834+K1842-K1834),K1842-K1834)</f>
        <v>0</v>
      </c>
      <c r="AS1834" s="290">
        <f>21-8</f>
        <v>13</v>
      </c>
    </row>
    <row r="1835" spans="2:45" ht="14.25" thickBot="1" x14ac:dyDescent="0.3">
      <c r="B1835" s="5">
        <v>273680</v>
      </c>
      <c r="C1835" s="6">
        <v>1135751</v>
      </c>
      <c r="D1835" s="6" t="s">
        <v>12</v>
      </c>
      <c r="E1835" s="6" t="s">
        <v>13</v>
      </c>
      <c r="F1835" s="254">
        <f>G1843+AL1835</f>
        <v>5</v>
      </c>
      <c r="G1835" s="237">
        <v>5</v>
      </c>
      <c r="H1835" s="384"/>
      <c r="I1835" s="238">
        <v>5</v>
      </c>
      <c r="J1835" s="238"/>
      <c r="K1835" s="238">
        <v>5</v>
      </c>
      <c r="L1835" s="238">
        <f>IF(K1838=K1830,L1843+AK1835,K1835)</f>
        <v>5</v>
      </c>
      <c r="M1835" s="238">
        <f>IF(K1838=K1830,0,L1843+AK1835-K1835)</f>
        <v>6</v>
      </c>
      <c r="N1835" s="238">
        <v>16</v>
      </c>
      <c r="O1835" s="242">
        <f>N1835-G1835</f>
        <v>11</v>
      </c>
      <c r="P1835" s="271"/>
      <c r="Q1835" s="272"/>
      <c r="R1835" s="273"/>
      <c r="S1835" s="273"/>
      <c r="T1835" s="242">
        <v>11</v>
      </c>
      <c r="U1835" s="242"/>
      <c r="V1835" s="242"/>
      <c r="W1835" s="242"/>
      <c r="X1835" s="242"/>
      <c r="Y1835" s="242"/>
      <c r="Z1835" s="242"/>
      <c r="AA1835" s="242"/>
      <c r="AB1835" s="242"/>
      <c r="AC1835" s="242"/>
      <c r="AD1835" s="242"/>
      <c r="AE1835" s="242"/>
      <c r="AF1835" s="242"/>
      <c r="AG1835" s="242"/>
      <c r="AH1835" s="242"/>
      <c r="AI1835" s="242"/>
      <c r="AJ1835" s="242">
        <v>5</v>
      </c>
      <c r="AK1835" s="237">
        <f>IF((G1843-G1835)&gt;0,G1843-G1835,0)</f>
        <v>0</v>
      </c>
      <c r="AL1835" s="239">
        <v>0</v>
      </c>
      <c r="AM1835" s="299">
        <f>30/12</f>
        <v>2.5</v>
      </c>
      <c r="AN1835" s="300">
        <f>AM1835*2</f>
        <v>5</v>
      </c>
      <c r="AO1835" s="301">
        <f>G1835/(AN1835)</f>
        <v>1</v>
      </c>
      <c r="AP1835" s="302">
        <f>AN1835*6</f>
        <v>30</v>
      </c>
      <c r="AQ1835" s="290">
        <f>G1835+K1835</f>
        <v>10</v>
      </c>
      <c r="AR1835" s="290">
        <f>IF(G1835&lt;G1843,(G1843-G1835+K1843-K1835),K1843-K1835)</f>
        <v>6</v>
      </c>
      <c r="AS1835" s="290">
        <f>21-8</f>
        <v>13</v>
      </c>
    </row>
    <row r="1836" spans="2:45" x14ac:dyDescent="0.25">
      <c r="AL1836" s="290"/>
      <c r="AM1836" s="290"/>
      <c r="AN1836" s="290"/>
      <c r="AO1836" s="290"/>
      <c r="AP1836" s="290"/>
      <c r="AQ1836" s="290"/>
      <c r="AR1836" s="290"/>
      <c r="AS1836" s="290"/>
    </row>
    <row r="1837" spans="2:45" ht="14.25" thickBot="1" x14ac:dyDescent="0.3">
      <c r="B1837" s="338" t="s">
        <v>18</v>
      </c>
      <c r="C1837" s="339">
        <v>45425</v>
      </c>
      <c r="AL1837" s="290"/>
      <c r="AM1837" s="290"/>
      <c r="AN1837" s="290"/>
      <c r="AO1837" s="290"/>
      <c r="AP1837" s="290"/>
      <c r="AQ1837" s="290"/>
      <c r="AR1837" s="290"/>
      <c r="AS1837" s="290"/>
    </row>
    <row r="1838" spans="2:45" ht="41.25" thickBot="1" x14ac:dyDescent="0.3">
      <c r="B1838" s="2" t="s">
        <v>0</v>
      </c>
      <c r="C1838" s="3" t="s">
        <v>1</v>
      </c>
      <c r="D1838" s="3" t="s">
        <v>2</v>
      </c>
      <c r="E1838" s="3" t="s">
        <v>3</v>
      </c>
      <c r="F1838" s="4" t="s">
        <v>318</v>
      </c>
      <c r="G1838" s="233" t="s">
        <v>4</v>
      </c>
      <c r="H1838" s="386"/>
      <c r="I1838" s="234" t="s">
        <v>351</v>
      </c>
      <c r="J1838" s="234"/>
      <c r="K1838" s="258" t="s">
        <v>352</v>
      </c>
      <c r="L1838" s="258" t="s">
        <v>328</v>
      </c>
      <c r="M1838" s="258" t="s">
        <v>327</v>
      </c>
      <c r="N1838" s="234" t="s">
        <v>353</v>
      </c>
      <c r="O1838" s="240" t="s">
        <v>130</v>
      </c>
      <c r="P1838" s="243" t="s">
        <v>303</v>
      </c>
      <c r="Q1838" s="244" t="s">
        <v>304</v>
      </c>
      <c r="R1838" s="244" t="s">
        <v>314</v>
      </c>
      <c r="S1838" s="245" t="s">
        <v>338</v>
      </c>
      <c r="T1838" s="245" t="s">
        <v>345</v>
      </c>
      <c r="U1838" s="245" t="s">
        <v>361</v>
      </c>
      <c r="V1838" s="245" t="s">
        <v>387</v>
      </c>
      <c r="W1838" s="245" t="s">
        <v>421</v>
      </c>
      <c r="X1838" s="245" t="s">
        <v>451</v>
      </c>
      <c r="Y1838" s="245"/>
      <c r="Z1838" s="245"/>
      <c r="AA1838" s="245"/>
      <c r="AB1838" s="245"/>
      <c r="AC1838" s="245"/>
      <c r="AD1838" s="245"/>
      <c r="AE1838" s="245"/>
      <c r="AF1838" s="245"/>
      <c r="AG1838" s="245"/>
      <c r="AH1838" s="245"/>
      <c r="AI1838" s="245"/>
      <c r="AJ1838" s="245" t="s">
        <v>360</v>
      </c>
      <c r="AK1838" s="246" t="s">
        <v>268</v>
      </c>
      <c r="AL1838" s="247" t="s">
        <v>269</v>
      </c>
      <c r="AM1838" s="291" t="s">
        <v>288</v>
      </c>
      <c r="AN1838" s="292" t="s">
        <v>289</v>
      </c>
      <c r="AO1838" s="292" t="s">
        <v>287</v>
      </c>
      <c r="AP1838" s="293" t="s">
        <v>290</v>
      </c>
      <c r="AQ1838" s="290" t="s">
        <v>306</v>
      </c>
      <c r="AR1838" s="290" t="s">
        <v>310</v>
      </c>
      <c r="AS1838" s="290" t="s">
        <v>311</v>
      </c>
    </row>
    <row r="1839" spans="2:45" ht="14.25" thickBot="1" x14ac:dyDescent="0.3">
      <c r="B1839" s="5">
        <v>273664</v>
      </c>
      <c r="C1839" s="6">
        <v>1135749</v>
      </c>
      <c r="D1839" s="6" t="s">
        <v>7</v>
      </c>
      <c r="E1839" s="6">
        <v>6060050026</v>
      </c>
      <c r="F1839" s="253">
        <f>G1847+AL1839</f>
        <v>1</v>
      </c>
      <c r="G1839" s="235">
        <v>1</v>
      </c>
      <c r="H1839" s="383"/>
      <c r="I1839" s="232">
        <v>1</v>
      </c>
      <c r="J1839" s="232"/>
      <c r="K1839" s="232">
        <v>3</v>
      </c>
      <c r="L1839" s="232">
        <f>IF(K1846=K1838,L1847+AK1839,K1839)</f>
        <v>3</v>
      </c>
      <c r="M1839" s="232">
        <f>IF(K1846=K1838,0,L1847+AK1839-K1839)</f>
        <v>1</v>
      </c>
      <c r="N1839" s="232">
        <v>5</v>
      </c>
      <c r="O1839" s="241">
        <f>N1839-G1839</f>
        <v>4</v>
      </c>
      <c r="P1839" s="268">
        <v>4</v>
      </c>
      <c r="Q1839" s="269">
        <v>4</v>
      </c>
      <c r="R1839" s="270"/>
      <c r="S1839" s="270">
        <v>3</v>
      </c>
      <c r="T1839" s="241">
        <v>4</v>
      </c>
      <c r="U1839" s="241"/>
      <c r="V1839" s="241"/>
      <c r="W1839" s="241"/>
      <c r="X1839" s="241"/>
      <c r="Y1839" s="241"/>
      <c r="Z1839" s="241"/>
      <c r="AA1839" s="241"/>
      <c r="AB1839" s="241"/>
      <c r="AC1839" s="241"/>
      <c r="AD1839" s="241"/>
      <c r="AE1839" s="241"/>
      <c r="AF1839" s="241"/>
      <c r="AG1839" s="241"/>
      <c r="AH1839" s="241"/>
      <c r="AI1839" s="241"/>
      <c r="AJ1839" s="241">
        <v>1</v>
      </c>
      <c r="AK1839" s="235">
        <f>IF((G1847-G1839)&gt;0,G1847-G1839,0)</f>
        <v>0</v>
      </c>
      <c r="AL1839" s="236">
        <v>1</v>
      </c>
      <c r="AM1839" s="294">
        <v>1.5</v>
      </c>
      <c r="AN1839" s="295">
        <v>4</v>
      </c>
      <c r="AO1839" s="296">
        <f>G1839/(AN1839)</f>
        <v>0.25</v>
      </c>
      <c r="AP1839" s="297">
        <f>AN1839*6</f>
        <v>24</v>
      </c>
      <c r="AQ1839" s="290">
        <f>G1839+K1839</f>
        <v>4</v>
      </c>
      <c r="AR1839" s="290">
        <f>IF(G1839&lt;G1847,(G1847-G1839+K1847-K1839),K1847-K1839)</f>
        <v>1</v>
      </c>
      <c r="AS1839" s="290">
        <f>21-8</f>
        <v>13</v>
      </c>
    </row>
    <row r="1840" spans="2:45" ht="14.25" thickBot="1" x14ac:dyDescent="0.3">
      <c r="B1840" s="5">
        <v>273672</v>
      </c>
      <c r="C1840" s="6">
        <v>1135750</v>
      </c>
      <c r="D1840" s="6" t="s">
        <v>9</v>
      </c>
      <c r="E1840" s="215">
        <v>204000000000</v>
      </c>
      <c r="F1840" s="253">
        <f>G1848+AL1840</f>
        <v>6</v>
      </c>
      <c r="G1840" s="235">
        <v>6</v>
      </c>
      <c r="H1840" s="383"/>
      <c r="I1840" s="232">
        <v>6</v>
      </c>
      <c r="J1840" s="232"/>
      <c r="K1840" s="232">
        <v>1</v>
      </c>
      <c r="L1840" s="232">
        <f>IF(K1846=K1838,L1848+AK1840,K1840)</f>
        <v>1</v>
      </c>
      <c r="M1840" s="232">
        <f>IF(K1846=K1838,0,L1848+AK1840-K1840)</f>
        <v>3</v>
      </c>
      <c r="N1840" s="232">
        <v>8</v>
      </c>
      <c r="O1840" s="241">
        <f>N1840-G1840</f>
        <v>2</v>
      </c>
      <c r="P1840" s="268">
        <v>13</v>
      </c>
      <c r="Q1840" s="269">
        <v>2</v>
      </c>
      <c r="R1840" s="270">
        <v>6</v>
      </c>
      <c r="S1840" s="270">
        <v>6</v>
      </c>
      <c r="T1840" s="241">
        <v>4</v>
      </c>
      <c r="U1840" s="241"/>
      <c r="V1840" s="241"/>
      <c r="W1840" s="241"/>
      <c r="X1840" s="241"/>
      <c r="Y1840" s="241"/>
      <c r="Z1840" s="241"/>
      <c r="AA1840" s="241"/>
      <c r="AB1840" s="241"/>
      <c r="AC1840" s="241"/>
      <c r="AD1840" s="241"/>
      <c r="AE1840" s="241"/>
      <c r="AF1840" s="241"/>
      <c r="AG1840" s="241"/>
      <c r="AH1840" s="241"/>
      <c r="AI1840" s="241"/>
      <c r="AJ1840" s="241">
        <v>6</v>
      </c>
      <c r="AK1840" s="235">
        <f>IF((G1848-G1840)&gt;0,G1848-G1840,0)</f>
        <v>0</v>
      </c>
      <c r="AL1840" s="236">
        <v>6</v>
      </c>
      <c r="AM1840" s="298">
        <v>4.2</v>
      </c>
      <c r="AN1840" s="295">
        <v>9</v>
      </c>
      <c r="AO1840" s="296">
        <f>G1840/(AN1840)</f>
        <v>0.66666666666666663</v>
      </c>
      <c r="AP1840" s="297">
        <f>AN1840*6</f>
        <v>54</v>
      </c>
      <c r="AQ1840" s="290">
        <f>G1840+K1840</f>
        <v>7</v>
      </c>
      <c r="AR1840" s="290">
        <f>IF(G1840&lt;G1848,(G1848-G1840+K1848-K1840),K1848-K1840)</f>
        <v>3</v>
      </c>
      <c r="AS1840" s="290">
        <f>21-8</f>
        <v>13</v>
      </c>
    </row>
    <row r="1841" spans="2:45" ht="14.25" thickBot="1" x14ac:dyDescent="0.3">
      <c r="B1841" s="5">
        <v>273702</v>
      </c>
      <c r="C1841" s="6">
        <v>1135753</v>
      </c>
      <c r="D1841" s="6" t="s">
        <v>10</v>
      </c>
      <c r="E1841" s="215">
        <v>301000000000</v>
      </c>
      <c r="F1841" s="253">
        <f>G1849+AL1841</f>
        <v>2</v>
      </c>
      <c r="G1841" s="235">
        <v>2</v>
      </c>
      <c r="H1841" s="383"/>
      <c r="I1841" s="232">
        <v>2</v>
      </c>
      <c r="J1841" s="232"/>
      <c r="K1841" s="232">
        <v>1</v>
      </c>
      <c r="L1841" s="232">
        <f>IF(K1846=K1838,L1849+AK1841,K1841)</f>
        <v>1</v>
      </c>
      <c r="M1841" s="232">
        <f>IF(K1846=K1838,0,L1849+AK1841-K1841)</f>
        <v>0</v>
      </c>
      <c r="N1841" s="232">
        <v>2</v>
      </c>
      <c r="O1841" s="241">
        <f>N1841-G1841</f>
        <v>0</v>
      </c>
      <c r="P1841" s="268"/>
      <c r="Q1841" s="269"/>
      <c r="R1841" s="270"/>
      <c r="S1841" s="270"/>
      <c r="T1841" s="241"/>
      <c r="U1841" s="241"/>
      <c r="V1841" s="241"/>
      <c r="W1841" s="241"/>
      <c r="X1841" s="241"/>
      <c r="Y1841" s="241"/>
      <c r="Z1841" s="241"/>
      <c r="AA1841" s="241"/>
      <c r="AB1841" s="241"/>
      <c r="AC1841" s="241"/>
      <c r="AD1841" s="241"/>
      <c r="AE1841" s="241"/>
      <c r="AF1841" s="241"/>
      <c r="AG1841" s="241"/>
      <c r="AH1841" s="241"/>
      <c r="AI1841" s="241"/>
      <c r="AJ1841" s="241">
        <f>N1841-R1841</f>
        <v>2</v>
      </c>
      <c r="AK1841" s="235">
        <f>IF((G1849-G1841)&gt;0,G1849-G1841,0)</f>
        <v>0</v>
      </c>
      <c r="AL1841" s="236">
        <v>0</v>
      </c>
      <c r="AM1841" s="294">
        <f>4/12</f>
        <v>0.33333333333333331</v>
      </c>
      <c r="AN1841" s="295">
        <v>2</v>
      </c>
      <c r="AO1841" s="296">
        <f>G1841/(AN1841)</f>
        <v>1</v>
      </c>
      <c r="AP1841" s="297">
        <f>AN1841*6</f>
        <v>12</v>
      </c>
      <c r="AQ1841" s="290">
        <f>G1841+K1841</f>
        <v>3</v>
      </c>
      <c r="AR1841" s="290">
        <f>IF(G1841&lt;G1849,(G1849-G1841+K1849-K1841),K1849-K1841)</f>
        <v>0</v>
      </c>
      <c r="AS1841" s="290">
        <f>21-8</f>
        <v>13</v>
      </c>
    </row>
    <row r="1842" spans="2:45" ht="14.25" thickBot="1" x14ac:dyDescent="0.3">
      <c r="B1842" s="5">
        <v>273698</v>
      </c>
      <c r="C1842" s="6">
        <v>1135752</v>
      </c>
      <c r="D1842" s="6" t="s">
        <v>11</v>
      </c>
      <c r="E1842" s="215">
        <v>701000000000</v>
      </c>
      <c r="F1842" s="253">
        <f>G1850+AL1842</f>
        <v>3</v>
      </c>
      <c r="G1842" s="235">
        <v>3</v>
      </c>
      <c r="H1842" s="383"/>
      <c r="I1842" s="232">
        <v>3</v>
      </c>
      <c r="J1842" s="232"/>
      <c r="K1842" s="232">
        <v>2</v>
      </c>
      <c r="L1842" s="232">
        <f>IF(K1846=K1838,L1850+AK1842,K1842)</f>
        <v>2</v>
      </c>
      <c r="M1842" s="232">
        <f>IF(K1846=K1838,0,L1850+AK1842-K1842)</f>
        <v>0</v>
      </c>
      <c r="N1842" s="232">
        <v>4</v>
      </c>
      <c r="O1842" s="241">
        <f>N1842-G1842</f>
        <v>1</v>
      </c>
      <c r="P1842" s="268">
        <v>2</v>
      </c>
      <c r="Q1842" s="269"/>
      <c r="R1842" s="270"/>
      <c r="S1842" s="270"/>
      <c r="T1842" s="241"/>
      <c r="U1842" s="241"/>
      <c r="V1842" s="241"/>
      <c r="W1842" s="241"/>
      <c r="X1842" s="241"/>
      <c r="Y1842" s="241"/>
      <c r="Z1842" s="241"/>
      <c r="AA1842" s="241"/>
      <c r="AB1842" s="241"/>
      <c r="AC1842" s="241"/>
      <c r="AD1842" s="241"/>
      <c r="AE1842" s="241"/>
      <c r="AF1842" s="241"/>
      <c r="AG1842" s="241"/>
      <c r="AH1842" s="241"/>
      <c r="AI1842" s="241"/>
      <c r="AJ1842" s="241">
        <f>N1842-R1842</f>
        <v>4</v>
      </c>
      <c r="AK1842" s="235">
        <f>IF((G1850-G1842)&gt;0,G1850-G1842,0)</f>
        <v>0</v>
      </c>
      <c r="AL1842" s="236">
        <v>0</v>
      </c>
      <c r="AM1842" s="294">
        <f>4/12</f>
        <v>0.33333333333333331</v>
      </c>
      <c r="AN1842" s="295">
        <v>2</v>
      </c>
      <c r="AO1842" s="296">
        <f>G1842/(AN1842)</f>
        <v>1.5</v>
      </c>
      <c r="AP1842" s="297">
        <f>AN1842*6</f>
        <v>12</v>
      </c>
      <c r="AQ1842" s="290">
        <f>G1842+K1842</f>
        <v>5</v>
      </c>
      <c r="AR1842" s="290">
        <f>IF(G1842&lt;G1850,(G1850-G1842+K1850-K1842),K1850-K1842)</f>
        <v>0</v>
      </c>
      <c r="AS1842" s="290">
        <f>21-8</f>
        <v>13</v>
      </c>
    </row>
    <row r="1843" spans="2:45" ht="14.25" thickBot="1" x14ac:dyDescent="0.3">
      <c r="B1843" s="5">
        <v>273680</v>
      </c>
      <c r="C1843" s="6">
        <v>1135751</v>
      </c>
      <c r="D1843" s="6" t="s">
        <v>12</v>
      </c>
      <c r="E1843" s="6" t="s">
        <v>13</v>
      </c>
      <c r="F1843" s="254">
        <f>G1851+AL1843</f>
        <v>5</v>
      </c>
      <c r="G1843" s="237">
        <v>5</v>
      </c>
      <c r="H1843" s="384"/>
      <c r="I1843" s="238">
        <v>5</v>
      </c>
      <c r="J1843" s="238"/>
      <c r="K1843" s="238">
        <v>11</v>
      </c>
      <c r="L1843" s="238">
        <f>IF(K1846=K1838,L1851+AK1843,K1843)</f>
        <v>11</v>
      </c>
      <c r="M1843" s="238">
        <f>IF(K1846=K1838,0,L1851+AK1843-K1843)</f>
        <v>0</v>
      </c>
      <c r="N1843" s="238">
        <v>16</v>
      </c>
      <c r="O1843" s="242">
        <f>N1843-G1843</f>
        <v>11</v>
      </c>
      <c r="P1843" s="271"/>
      <c r="Q1843" s="272"/>
      <c r="R1843" s="273"/>
      <c r="S1843" s="273"/>
      <c r="T1843" s="242">
        <v>11</v>
      </c>
      <c r="U1843" s="242"/>
      <c r="V1843" s="242"/>
      <c r="W1843" s="242"/>
      <c r="X1843" s="242"/>
      <c r="Y1843" s="242"/>
      <c r="Z1843" s="242"/>
      <c r="AA1843" s="242"/>
      <c r="AB1843" s="242"/>
      <c r="AC1843" s="242"/>
      <c r="AD1843" s="242"/>
      <c r="AE1843" s="242"/>
      <c r="AF1843" s="242"/>
      <c r="AG1843" s="242"/>
      <c r="AH1843" s="242"/>
      <c r="AI1843" s="242"/>
      <c r="AJ1843" s="242">
        <v>5</v>
      </c>
      <c r="AK1843" s="237">
        <f>IF((G1851-G1843)&gt;0,G1851-G1843,0)</f>
        <v>0</v>
      </c>
      <c r="AL1843" s="239">
        <v>0</v>
      </c>
      <c r="AM1843" s="299">
        <f>30/12</f>
        <v>2.5</v>
      </c>
      <c r="AN1843" s="300">
        <f>AM1843*2</f>
        <v>5</v>
      </c>
      <c r="AO1843" s="301">
        <f>G1843/(AN1843)</f>
        <v>1</v>
      </c>
      <c r="AP1843" s="302">
        <f>AN1843*6</f>
        <v>30</v>
      </c>
      <c r="AQ1843" s="290">
        <f>G1843+K1843</f>
        <v>16</v>
      </c>
      <c r="AR1843" s="290">
        <f>IF(G1843&lt;G1851,(G1851-G1843+K1851-K1843),K1851-K1843)</f>
        <v>0</v>
      </c>
      <c r="AS1843" s="290">
        <f>21-8</f>
        <v>13</v>
      </c>
    </row>
    <row r="1844" spans="2:45" x14ac:dyDescent="0.25">
      <c r="AL1844" s="290"/>
      <c r="AM1844" s="290"/>
      <c r="AN1844" s="290"/>
      <c r="AO1844" s="290"/>
      <c r="AP1844" s="290"/>
      <c r="AQ1844" s="290"/>
      <c r="AR1844" s="290"/>
      <c r="AS1844" s="290"/>
    </row>
    <row r="1845" spans="2:45" ht="14.25" thickBot="1" x14ac:dyDescent="0.3">
      <c r="B1845" s="338" t="s">
        <v>18</v>
      </c>
      <c r="C1845" s="339">
        <v>45418</v>
      </c>
      <c r="AL1845" s="290"/>
      <c r="AM1845" s="290"/>
      <c r="AN1845" s="290"/>
      <c r="AO1845" s="290"/>
      <c r="AP1845" s="290"/>
      <c r="AQ1845" s="290"/>
      <c r="AR1845" s="290"/>
      <c r="AS1845" s="290"/>
    </row>
    <row r="1846" spans="2:45" ht="41.25" thickBot="1" x14ac:dyDescent="0.3">
      <c r="B1846" s="2" t="s">
        <v>0</v>
      </c>
      <c r="C1846" s="3" t="s">
        <v>1</v>
      </c>
      <c r="D1846" s="3" t="s">
        <v>2</v>
      </c>
      <c r="E1846" s="3" t="s">
        <v>3</v>
      </c>
      <c r="F1846" s="4" t="s">
        <v>318</v>
      </c>
      <c r="G1846" s="233" t="s">
        <v>4</v>
      </c>
      <c r="H1846" s="386"/>
      <c r="I1846" s="234" t="s">
        <v>325</v>
      </c>
      <c r="J1846" s="234"/>
      <c r="K1846" s="258" t="s">
        <v>341</v>
      </c>
      <c r="L1846" s="258" t="s">
        <v>328</v>
      </c>
      <c r="M1846" s="258" t="s">
        <v>327</v>
      </c>
      <c r="N1846" s="234" t="s">
        <v>342</v>
      </c>
      <c r="O1846" s="240" t="s">
        <v>130</v>
      </c>
      <c r="P1846" s="243" t="s">
        <v>303</v>
      </c>
      <c r="Q1846" s="244" t="s">
        <v>304</v>
      </c>
      <c r="R1846" s="244" t="s">
        <v>314</v>
      </c>
      <c r="S1846" s="245" t="s">
        <v>338</v>
      </c>
      <c r="T1846" s="245" t="s">
        <v>345</v>
      </c>
      <c r="U1846" s="245" t="s">
        <v>361</v>
      </c>
      <c r="V1846" s="245" t="s">
        <v>387</v>
      </c>
      <c r="W1846" s="245" t="s">
        <v>421</v>
      </c>
      <c r="X1846" s="245" t="s">
        <v>451</v>
      </c>
      <c r="Y1846" s="245"/>
      <c r="Z1846" s="245"/>
      <c r="AA1846" s="245"/>
      <c r="AB1846" s="245"/>
      <c r="AC1846" s="245"/>
      <c r="AD1846" s="245"/>
      <c r="AE1846" s="245"/>
      <c r="AF1846" s="245"/>
      <c r="AG1846" s="245"/>
      <c r="AH1846" s="245"/>
      <c r="AI1846" s="245"/>
      <c r="AJ1846" s="245" t="s">
        <v>360</v>
      </c>
      <c r="AK1846" s="246" t="s">
        <v>268</v>
      </c>
      <c r="AL1846" s="247" t="s">
        <v>269</v>
      </c>
      <c r="AM1846" s="291" t="s">
        <v>288</v>
      </c>
      <c r="AN1846" s="292" t="s">
        <v>289</v>
      </c>
      <c r="AO1846" s="292" t="s">
        <v>287</v>
      </c>
      <c r="AP1846" s="293" t="s">
        <v>290</v>
      </c>
      <c r="AQ1846" s="290" t="s">
        <v>306</v>
      </c>
      <c r="AR1846" s="290" t="s">
        <v>310</v>
      </c>
      <c r="AS1846" s="290" t="s">
        <v>311</v>
      </c>
    </row>
    <row r="1847" spans="2:45" ht="14.25" thickBot="1" x14ac:dyDescent="0.3">
      <c r="B1847" s="5">
        <v>273664</v>
      </c>
      <c r="C1847" s="6">
        <v>1135749</v>
      </c>
      <c r="D1847" s="6" t="s">
        <v>7</v>
      </c>
      <c r="E1847" s="6">
        <v>6060050026</v>
      </c>
      <c r="F1847" s="253">
        <f>G1855+AL1847</f>
        <v>4</v>
      </c>
      <c r="G1847" s="235">
        <v>0</v>
      </c>
      <c r="H1847" s="383"/>
      <c r="I1847" s="232">
        <v>3</v>
      </c>
      <c r="J1847" s="232"/>
      <c r="K1847" s="232">
        <v>4</v>
      </c>
      <c r="L1847" s="232">
        <f>IF(K1854=K1846,L1855+AK1847,K1847)</f>
        <v>4</v>
      </c>
      <c r="M1847" s="232">
        <f>IF(K1854=K1846,0,L1855+AK1847-K1847)</f>
        <v>1</v>
      </c>
      <c r="N1847" s="232">
        <v>7</v>
      </c>
      <c r="O1847" s="241">
        <f>N1847-G1847</f>
        <v>7</v>
      </c>
      <c r="P1847" s="268">
        <v>4</v>
      </c>
      <c r="Q1847" s="269">
        <v>4</v>
      </c>
      <c r="R1847" s="270"/>
      <c r="S1847" s="241">
        <v>3</v>
      </c>
      <c r="T1847" s="241">
        <v>4</v>
      </c>
      <c r="U1847" s="241"/>
      <c r="V1847" s="241"/>
      <c r="W1847" s="241"/>
      <c r="X1847" s="241"/>
      <c r="Y1847" s="241"/>
      <c r="Z1847" s="241"/>
      <c r="AA1847" s="241"/>
      <c r="AB1847" s="241"/>
      <c r="AC1847" s="241"/>
      <c r="AD1847" s="241"/>
      <c r="AE1847" s="241"/>
      <c r="AF1847" s="241"/>
      <c r="AG1847" s="241"/>
      <c r="AH1847" s="241"/>
      <c r="AI1847" s="241"/>
      <c r="AJ1847" s="241">
        <v>0</v>
      </c>
      <c r="AK1847" s="235">
        <f>IF((G1855-G1847)&gt;0,G1855-G1847,0)</f>
        <v>4</v>
      </c>
      <c r="AL1847" s="236">
        <v>0</v>
      </c>
      <c r="AM1847" s="294">
        <v>1.5</v>
      </c>
      <c r="AN1847" s="295">
        <v>4</v>
      </c>
      <c r="AO1847" s="296">
        <f>G1847/(AN1847)</f>
        <v>0</v>
      </c>
      <c r="AP1847" s="297">
        <f>AN1847*6</f>
        <v>24</v>
      </c>
      <c r="AQ1847" s="290">
        <f>G1847+K1847</f>
        <v>4</v>
      </c>
      <c r="AR1847" s="290">
        <f>IF(G1847&lt;G1855,(G1855-G1847+K1855-K1847),K1855-K1847)</f>
        <v>1</v>
      </c>
      <c r="AS1847" s="290">
        <f>21-8</f>
        <v>13</v>
      </c>
    </row>
    <row r="1848" spans="2:45" ht="14.25" thickBot="1" x14ac:dyDescent="0.3">
      <c r="B1848" s="5">
        <v>273672</v>
      </c>
      <c r="C1848" s="6">
        <v>1135750</v>
      </c>
      <c r="D1848" s="6" t="s">
        <v>9</v>
      </c>
      <c r="E1848" s="215">
        <v>204000000000</v>
      </c>
      <c r="F1848" s="253">
        <f>G1856+AL1848</f>
        <v>4</v>
      </c>
      <c r="G1848" s="235">
        <v>0</v>
      </c>
      <c r="H1848" s="383"/>
      <c r="I1848" s="232">
        <v>2</v>
      </c>
      <c r="J1848" s="232"/>
      <c r="K1848" s="232">
        <v>4</v>
      </c>
      <c r="L1848" s="232">
        <f>IF(K1854=K1846,L1856+AK1848,K1848)</f>
        <v>4</v>
      </c>
      <c r="M1848" s="232">
        <f>IF(K1854=K1846,0,L1856+AK1848-K1848)</f>
        <v>2</v>
      </c>
      <c r="N1848" s="232">
        <v>8</v>
      </c>
      <c r="O1848" s="241">
        <f>N1848-G1848</f>
        <v>8</v>
      </c>
      <c r="P1848" s="268">
        <v>13</v>
      </c>
      <c r="Q1848" s="269">
        <v>2</v>
      </c>
      <c r="R1848" s="270">
        <v>6</v>
      </c>
      <c r="S1848" s="241">
        <v>6</v>
      </c>
      <c r="T1848" s="241">
        <v>4</v>
      </c>
      <c r="U1848" s="241"/>
      <c r="V1848" s="241"/>
      <c r="W1848" s="241"/>
      <c r="X1848" s="241"/>
      <c r="Y1848" s="241"/>
      <c r="Z1848" s="241"/>
      <c r="AA1848" s="241"/>
      <c r="AB1848" s="241"/>
      <c r="AC1848" s="241"/>
      <c r="AD1848" s="241"/>
      <c r="AE1848" s="241"/>
      <c r="AF1848" s="241"/>
      <c r="AG1848" s="241"/>
      <c r="AH1848" s="241"/>
      <c r="AI1848" s="241"/>
      <c r="AJ1848" s="241">
        <v>0</v>
      </c>
      <c r="AK1848" s="235">
        <f>IF((G1856-G1848)&gt;0,G1856-G1848,0)</f>
        <v>4</v>
      </c>
      <c r="AL1848" s="236">
        <v>0</v>
      </c>
      <c r="AM1848" s="298">
        <v>4.2</v>
      </c>
      <c r="AN1848" s="295">
        <v>9</v>
      </c>
      <c r="AO1848" s="296">
        <f>G1848/(AN1848)</f>
        <v>0</v>
      </c>
      <c r="AP1848" s="297">
        <f>AN1848*6</f>
        <v>54</v>
      </c>
      <c r="AQ1848" s="290">
        <f>G1848+K1848</f>
        <v>4</v>
      </c>
      <c r="AR1848" s="290">
        <f>IF(G1848&lt;G1856,(G1856-G1848+K1856-K1848),K1856-K1848)</f>
        <v>2</v>
      </c>
      <c r="AS1848" s="290">
        <f>21-8</f>
        <v>13</v>
      </c>
    </row>
    <row r="1849" spans="2:45" ht="14.25" thickBot="1" x14ac:dyDescent="0.3">
      <c r="B1849" s="5">
        <v>273702</v>
      </c>
      <c r="C1849" s="6">
        <v>1135753</v>
      </c>
      <c r="D1849" s="6" t="s">
        <v>10</v>
      </c>
      <c r="E1849" s="215">
        <v>301000000000</v>
      </c>
      <c r="F1849" s="253">
        <f>G1857+AL1849</f>
        <v>2</v>
      </c>
      <c r="G1849" s="235">
        <v>2</v>
      </c>
      <c r="H1849" s="383"/>
      <c r="I1849" s="232">
        <v>3</v>
      </c>
      <c r="J1849" s="232"/>
      <c r="K1849" s="232">
        <v>1</v>
      </c>
      <c r="L1849" s="232">
        <f>IF(K1854=K1846,L1857+AK1849,K1849)</f>
        <v>1</v>
      </c>
      <c r="M1849" s="232">
        <f>IF(K1854=K1846,0,L1857+AK1849-K1849)</f>
        <v>0</v>
      </c>
      <c r="N1849" s="232">
        <v>2</v>
      </c>
      <c r="O1849" s="241">
        <f>N1849-G1849</f>
        <v>0</v>
      </c>
      <c r="P1849" s="268"/>
      <c r="Q1849" s="269"/>
      <c r="R1849" s="270"/>
      <c r="S1849" s="241"/>
      <c r="T1849" s="241"/>
      <c r="U1849" s="241"/>
      <c r="V1849" s="241"/>
      <c r="W1849" s="241"/>
      <c r="X1849" s="241"/>
      <c r="Y1849" s="241"/>
      <c r="Z1849" s="241"/>
      <c r="AA1849" s="241"/>
      <c r="AB1849" s="241"/>
      <c r="AC1849" s="241"/>
      <c r="AD1849" s="241"/>
      <c r="AE1849" s="241"/>
      <c r="AF1849" s="241"/>
      <c r="AG1849" s="241"/>
      <c r="AH1849" s="241"/>
      <c r="AI1849" s="241"/>
      <c r="AJ1849" s="241">
        <v>2</v>
      </c>
      <c r="AK1849" s="235">
        <f>IF((G1857-G1849)&gt;0,G1857-G1849,0)</f>
        <v>0</v>
      </c>
      <c r="AL1849" s="236">
        <v>0</v>
      </c>
      <c r="AM1849" s="294">
        <f>4/12</f>
        <v>0.33333333333333331</v>
      </c>
      <c r="AN1849" s="295">
        <v>2</v>
      </c>
      <c r="AO1849" s="296">
        <f>G1849/(AN1849)</f>
        <v>1</v>
      </c>
      <c r="AP1849" s="297">
        <f>AN1849*6</f>
        <v>12</v>
      </c>
      <c r="AQ1849" s="290">
        <f>G1849+K1849</f>
        <v>3</v>
      </c>
      <c r="AR1849" s="290">
        <f>IF(G1849&lt;G1857,(G1857-G1849+K1857-K1849),K1857-K1849)</f>
        <v>0</v>
      </c>
      <c r="AS1849" s="290">
        <f>21-8</f>
        <v>13</v>
      </c>
    </row>
    <row r="1850" spans="2:45" ht="14.25" thickBot="1" x14ac:dyDescent="0.3">
      <c r="B1850" s="5">
        <v>273698</v>
      </c>
      <c r="C1850" s="6">
        <v>1135752</v>
      </c>
      <c r="D1850" s="6" t="s">
        <v>11</v>
      </c>
      <c r="E1850" s="215">
        <v>701000000000</v>
      </c>
      <c r="F1850" s="253">
        <f>G1858+AL1850</f>
        <v>3</v>
      </c>
      <c r="G1850" s="235">
        <v>3</v>
      </c>
      <c r="H1850" s="383"/>
      <c r="I1850" s="232">
        <v>1</v>
      </c>
      <c r="J1850" s="232"/>
      <c r="K1850" s="232">
        <v>2</v>
      </c>
      <c r="L1850" s="232">
        <f>IF(K1854=K1846,L1858+AK1850,K1850)</f>
        <v>2</v>
      </c>
      <c r="M1850" s="232">
        <f>IF(K1854=K1846,0,L1858+AK1850-K1850)</f>
        <v>1</v>
      </c>
      <c r="N1850" s="232">
        <v>4</v>
      </c>
      <c r="O1850" s="241">
        <f>N1850-G1850</f>
        <v>1</v>
      </c>
      <c r="P1850" s="268">
        <v>2</v>
      </c>
      <c r="Q1850" s="269"/>
      <c r="R1850" s="270"/>
      <c r="S1850" s="241"/>
      <c r="T1850" s="241"/>
      <c r="U1850" s="241"/>
      <c r="V1850" s="241"/>
      <c r="W1850" s="241"/>
      <c r="X1850" s="241"/>
      <c r="Y1850" s="241"/>
      <c r="Z1850" s="241"/>
      <c r="AA1850" s="241"/>
      <c r="AB1850" s="241"/>
      <c r="AC1850" s="241"/>
      <c r="AD1850" s="241"/>
      <c r="AE1850" s="241"/>
      <c r="AF1850" s="241"/>
      <c r="AG1850" s="241"/>
      <c r="AH1850" s="241"/>
      <c r="AI1850" s="241"/>
      <c r="AJ1850" s="241">
        <v>4</v>
      </c>
      <c r="AK1850" s="235">
        <f>IF((G1858-G1850)&gt;0,G1858-G1850,0)</f>
        <v>0</v>
      </c>
      <c r="AL1850" s="236">
        <v>0</v>
      </c>
      <c r="AM1850" s="294">
        <f>4/12</f>
        <v>0.33333333333333331</v>
      </c>
      <c r="AN1850" s="295">
        <v>2</v>
      </c>
      <c r="AO1850" s="296">
        <f>G1850/(AN1850)</f>
        <v>1.5</v>
      </c>
      <c r="AP1850" s="297">
        <f>AN1850*6</f>
        <v>12</v>
      </c>
      <c r="AQ1850" s="290">
        <f>G1850+K1850</f>
        <v>5</v>
      </c>
      <c r="AR1850" s="290">
        <f>IF(G1850&lt;G1858,(G1858-G1850+K1858-K1850),K1858-K1850)</f>
        <v>1</v>
      </c>
      <c r="AS1850" s="290">
        <f>21-8</f>
        <v>13</v>
      </c>
    </row>
    <row r="1851" spans="2:45" ht="14.25" thickBot="1" x14ac:dyDescent="0.3">
      <c r="B1851" s="5">
        <v>273680</v>
      </c>
      <c r="C1851" s="6">
        <v>1135751</v>
      </c>
      <c r="D1851" s="6" t="s">
        <v>12</v>
      </c>
      <c r="E1851" s="6" t="s">
        <v>13</v>
      </c>
      <c r="F1851" s="254">
        <f>G1859+AL1851</f>
        <v>16</v>
      </c>
      <c r="G1851" s="237">
        <v>5</v>
      </c>
      <c r="H1851" s="384"/>
      <c r="I1851" s="238">
        <v>16</v>
      </c>
      <c r="J1851" s="238"/>
      <c r="K1851" s="238">
        <v>11</v>
      </c>
      <c r="L1851" s="238">
        <f>IF(K1854=K1846,L1859+AK1851,K1851)</f>
        <v>11</v>
      </c>
      <c r="M1851" s="238">
        <f>IF(K1854=K1846,0,L1859+AK1851-K1851)</f>
        <v>0</v>
      </c>
      <c r="N1851" s="238">
        <v>16</v>
      </c>
      <c r="O1851" s="242">
        <f>N1851-G1851</f>
        <v>11</v>
      </c>
      <c r="P1851" s="271"/>
      <c r="Q1851" s="272"/>
      <c r="R1851" s="273"/>
      <c r="S1851" s="242"/>
      <c r="T1851" s="242">
        <v>11</v>
      </c>
      <c r="U1851" s="242"/>
      <c r="V1851" s="242"/>
      <c r="W1851" s="242"/>
      <c r="X1851" s="242"/>
      <c r="Y1851" s="242"/>
      <c r="Z1851" s="242"/>
      <c r="AA1851" s="242"/>
      <c r="AB1851" s="242"/>
      <c r="AC1851" s="242"/>
      <c r="AD1851" s="242"/>
      <c r="AE1851" s="242"/>
      <c r="AF1851" s="242"/>
      <c r="AG1851" s="242"/>
      <c r="AH1851" s="242"/>
      <c r="AI1851" s="242"/>
      <c r="AJ1851" s="242">
        <v>5</v>
      </c>
      <c r="AK1851" s="237">
        <f>IF((G1859-G1851)&gt;0,G1859-G1851,0)</f>
        <v>11</v>
      </c>
      <c r="AL1851" s="239">
        <v>0</v>
      </c>
      <c r="AM1851" s="299">
        <f>30/12</f>
        <v>2.5</v>
      </c>
      <c r="AN1851" s="300">
        <f>AM1851*2</f>
        <v>5</v>
      </c>
      <c r="AO1851" s="301">
        <f>G1851/(AN1851)</f>
        <v>1</v>
      </c>
      <c r="AP1851" s="302">
        <f>AN1851*6</f>
        <v>30</v>
      </c>
      <c r="AQ1851" s="290">
        <f>G1851+K1851</f>
        <v>16</v>
      </c>
      <c r="AR1851" s="290">
        <f>IF(G1851&lt;G1859,(G1859-G1851+K1859-K1851),K1859-K1851)</f>
        <v>0</v>
      </c>
      <c r="AS1851" s="290">
        <f>21-8</f>
        <v>13</v>
      </c>
    </row>
    <row r="1852" spans="2:45" x14ac:dyDescent="0.25">
      <c r="AL1852" s="290"/>
      <c r="AM1852" s="290"/>
      <c r="AN1852" s="290"/>
      <c r="AO1852" s="290"/>
      <c r="AP1852" s="290"/>
      <c r="AQ1852" s="290"/>
      <c r="AR1852" s="290"/>
      <c r="AS1852" s="290"/>
    </row>
    <row r="1853" spans="2:45" ht="14.25" thickBot="1" x14ac:dyDescent="0.3">
      <c r="B1853" s="338" t="s">
        <v>18</v>
      </c>
      <c r="C1853" s="339">
        <v>45411</v>
      </c>
      <c r="AL1853" s="290"/>
      <c r="AM1853" s="290"/>
      <c r="AN1853" s="290"/>
      <c r="AO1853" s="290"/>
      <c r="AP1853" s="290"/>
      <c r="AQ1853" s="290"/>
      <c r="AR1853" s="290"/>
      <c r="AS1853" s="290"/>
    </row>
    <row r="1854" spans="2:45" ht="41.25" thickBot="1" x14ac:dyDescent="0.3">
      <c r="B1854" s="2" t="s">
        <v>0</v>
      </c>
      <c r="C1854" s="3" t="s">
        <v>1</v>
      </c>
      <c r="D1854" s="3" t="s">
        <v>2</v>
      </c>
      <c r="E1854" s="3" t="s">
        <v>3</v>
      </c>
      <c r="F1854" s="4" t="s">
        <v>318</v>
      </c>
      <c r="G1854" s="233" t="s">
        <v>4</v>
      </c>
      <c r="H1854" s="386"/>
      <c r="I1854" s="234" t="s">
        <v>325</v>
      </c>
      <c r="J1854" s="234"/>
      <c r="K1854" s="258" t="s">
        <v>340</v>
      </c>
      <c r="L1854" s="258" t="s">
        <v>328</v>
      </c>
      <c r="M1854" s="258" t="s">
        <v>327</v>
      </c>
      <c r="N1854" s="234" t="s">
        <v>343</v>
      </c>
      <c r="O1854" s="240" t="s">
        <v>130</v>
      </c>
      <c r="P1854" s="243" t="s">
        <v>303</v>
      </c>
      <c r="Q1854" s="244" t="s">
        <v>304</v>
      </c>
      <c r="R1854" s="244" t="s">
        <v>314</v>
      </c>
      <c r="S1854" s="245" t="s">
        <v>338</v>
      </c>
      <c r="T1854" s="245" t="s">
        <v>345</v>
      </c>
      <c r="U1854" s="245" t="s">
        <v>361</v>
      </c>
      <c r="V1854" s="245" t="s">
        <v>387</v>
      </c>
      <c r="W1854" s="245" t="s">
        <v>421</v>
      </c>
      <c r="X1854" s="245" t="s">
        <v>451</v>
      </c>
      <c r="Y1854" s="245"/>
      <c r="Z1854" s="245"/>
      <c r="AA1854" s="245"/>
      <c r="AB1854" s="245"/>
      <c r="AC1854" s="245"/>
      <c r="AD1854" s="245"/>
      <c r="AE1854" s="245"/>
      <c r="AF1854" s="245"/>
      <c r="AG1854" s="245"/>
      <c r="AH1854" s="245"/>
      <c r="AI1854" s="245"/>
      <c r="AJ1854" s="245" t="s">
        <v>360</v>
      </c>
      <c r="AK1854" s="246" t="s">
        <v>268</v>
      </c>
      <c r="AL1854" s="247" t="s">
        <v>269</v>
      </c>
      <c r="AM1854" s="291" t="s">
        <v>288</v>
      </c>
      <c r="AN1854" s="292" t="s">
        <v>289</v>
      </c>
      <c r="AO1854" s="292" t="s">
        <v>287</v>
      </c>
      <c r="AP1854" s="293" t="s">
        <v>290</v>
      </c>
      <c r="AQ1854" s="290" t="s">
        <v>306</v>
      </c>
      <c r="AR1854" s="290" t="s">
        <v>310</v>
      </c>
      <c r="AS1854" s="290" t="s">
        <v>311</v>
      </c>
    </row>
    <row r="1855" spans="2:45" ht="14.25" thickBot="1" x14ac:dyDescent="0.3">
      <c r="B1855" s="5">
        <v>273664</v>
      </c>
      <c r="C1855" s="6">
        <v>1135749</v>
      </c>
      <c r="D1855" s="6" t="s">
        <v>7</v>
      </c>
      <c r="E1855" s="6">
        <v>6060050026</v>
      </c>
      <c r="F1855" s="253">
        <f>G1863+AL1855</f>
        <v>4</v>
      </c>
      <c r="G1855" s="235">
        <v>4</v>
      </c>
      <c r="H1855" s="383"/>
      <c r="I1855" s="232">
        <v>3</v>
      </c>
      <c r="J1855" s="232"/>
      <c r="K1855" s="232">
        <v>1</v>
      </c>
      <c r="L1855" s="232">
        <f>IF(K1862=K1854,L1863+AK1855,K1855)</f>
        <v>1</v>
      </c>
      <c r="M1855" s="232">
        <f>IF(K1862=K1854,0,L1863+AK1855-K1855)</f>
        <v>0</v>
      </c>
      <c r="N1855" s="232">
        <v>7</v>
      </c>
      <c r="O1855" s="241">
        <f>N1855-G1855</f>
        <v>3</v>
      </c>
      <c r="P1855" s="268">
        <v>4</v>
      </c>
      <c r="Q1855" s="269">
        <v>4</v>
      </c>
      <c r="R1855" s="270"/>
      <c r="S1855" s="241">
        <v>3</v>
      </c>
      <c r="T1855" s="241"/>
      <c r="U1855" s="241"/>
      <c r="V1855" s="241"/>
      <c r="W1855" s="241"/>
      <c r="X1855" s="241"/>
      <c r="Y1855" s="241"/>
      <c r="Z1855" s="241"/>
      <c r="AA1855" s="241"/>
      <c r="AB1855" s="241"/>
      <c r="AC1855" s="241"/>
      <c r="AD1855" s="241"/>
      <c r="AE1855" s="241"/>
      <c r="AF1855" s="241"/>
      <c r="AG1855" s="241"/>
      <c r="AH1855" s="241"/>
      <c r="AI1855" s="241"/>
      <c r="AJ1855" s="241">
        <v>4</v>
      </c>
      <c r="AK1855" s="235">
        <f>IF((G1863-G1855)&gt;0,G1863-G1855,0)</f>
        <v>0</v>
      </c>
      <c r="AL1855" s="236">
        <v>0</v>
      </c>
      <c r="AM1855" s="294">
        <v>1.5</v>
      </c>
      <c r="AN1855" s="295">
        <v>4</v>
      </c>
      <c r="AO1855" s="296">
        <f>G1855/(AN1855)</f>
        <v>1</v>
      </c>
      <c r="AP1855" s="297">
        <f>AN1855*6</f>
        <v>24</v>
      </c>
      <c r="AQ1855" s="290">
        <f>G1855+K1855</f>
        <v>5</v>
      </c>
      <c r="AR1855" s="290">
        <f>IF(G1855&lt;G1863,(G1863-G1855+K1863-K1855),K1863-K1855)</f>
        <v>0</v>
      </c>
      <c r="AS1855" s="290">
        <f>21-8</f>
        <v>13</v>
      </c>
    </row>
    <row r="1856" spans="2:45" ht="14.25" thickBot="1" x14ac:dyDescent="0.3">
      <c r="B1856" s="5">
        <v>273672</v>
      </c>
      <c r="C1856" s="6">
        <v>1135750</v>
      </c>
      <c r="D1856" s="6" t="s">
        <v>9</v>
      </c>
      <c r="E1856" s="215">
        <v>204000000000</v>
      </c>
      <c r="F1856" s="253">
        <f>G1864+AL1856</f>
        <v>4</v>
      </c>
      <c r="G1856" s="235">
        <v>4</v>
      </c>
      <c r="H1856" s="383"/>
      <c r="I1856" s="232">
        <v>2</v>
      </c>
      <c r="J1856" s="232"/>
      <c r="K1856" s="232">
        <v>2</v>
      </c>
      <c r="L1856" s="232">
        <f>IF(K1862=K1854,L1864+AK1856,K1856)</f>
        <v>2</v>
      </c>
      <c r="M1856" s="232">
        <f>IF(K1862=K1854,0,L1864+AK1856-K1856)</f>
        <v>1</v>
      </c>
      <c r="N1856" s="232">
        <v>8</v>
      </c>
      <c r="O1856" s="241">
        <f>N1856-G1856</f>
        <v>4</v>
      </c>
      <c r="P1856" s="268">
        <v>13</v>
      </c>
      <c r="Q1856" s="269">
        <v>2</v>
      </c>
      <c r="R1856" s="270">
        <v>6</v>
      </c>
      <c r="S1856" s="241">
        <v>6</v>
      </c>
      <c r="T1856" s="241"/>
      <c r="U1856" s="241"/>
      <c r="V1856" s="241"/>
      <c r="W1856" s="241"/>
      <c r="X1856" s="241"/>
      <c r="Y1856" s="241"/>
      <c r="Z1856" s="241"/>
      <c r="AA1856" s="241"/>
      <c r="AB1856" s="241"/>
      <c r="AC1856" s="241"/>
      <c r="AD1856" s="241"/>
      <c r="AE1856" s="241"/>
      <c r="AF1856" s="241"/>
      <c r="AG1856" s="241"/>
      <c r="AH1856" s="241"/>
      <c r="AI1856" s="241"/>
      <c r="AJ1856" s="241">
        <v>2</v>
      </c>
      <c r="AK1856" s="235">
        <f>IF((G1864-G1856)&gt;0,G1864-G1856,0)</f>
        <v>0</v>
      </c>
      <c r="AL1856" s="236">
        <v>0</v>
      </c>
      <c r="AM1856" s="298">
        <v>4.2</v>
      </c>
      <c r="AN1856" s="295">
        <v>9</v>
      </c>
      <c r="AO1856" s="296">
        <f>G1856/(AN1856)</f>
        <v>0.44444444444444442</v>
      </c>
      <c r="AP1856" s="297">
        <f>AN1856*6</f>
        <v>54</v>
      </c>
      <c r="AQ1856" s="290">
        <f>G1856+K1856</f>
        <v>6</v>
      </c>
      <c r="AR1856" s="290">
        <f>IF(G1856&lt;G1864,(G1864-G1856+K1864-K1856),K1864-K1856)</f>
        <v>1</v>
      </c>
      <c r="AS1856" s="290">
        <f>21-8</f>
        <v>13</v>
      </c>
    </row>
    <row r="1857" spans="2:45" ht="14.25" thickBot="1" x14ac:dyDescent="0.3">
      <c r="B1857" s="5">
        <v>273702</v>
      </c>
      <c r="C1857" s="6">
        <v>1135753</v>
      </c>
      <c r="D1857" s="6" t="s">
        <v>10</v>
      </c>
      <c r="E1857" s="215">
        <v>301000000000</v>
      </c>
      <c r="F1857" s="253">
        <f>G1865+AL1857</f>
        <v>2</v>
      </c>
      <c r="G1857" s="235">
        <v>2</v>
      </c>
      <c r="H1857" s="383"/>
      <c r="I1857" s="232">
        <v>3</v>
      </c>
      <c r="J1857" s="232"/>
      <c r="K1857" s="232">
        <v>1</v>
      </c>
      <c r="L1857" s="232">
        <f>IF(K1862=K1854,L1865+AK1857,K1857)</f>
        <v>1</v>
      </c>
      <c r="M1857" s="232">
        <f>IF(K1862=K1854,0,L1865+AK1857-K1857)</f>
        <v>0</v>
      </c>
      <c r="N1857" s="232">
        <v>2</v>
      </c>
      <c r="O1857" s="241">
        <f>N1857-G1857</f>
        <v>0</v>
      </c>
      <c r="P1857" s="268"/>
      <c r="Q1857" s="269"/>
      <c r="R1857" s="270"/>
      <c r="S1857" s="241"/>
      <c r="T1857" s="241"/>
      <c r="U1857" s="241"/>
      <c r="V1857" s="241"/>
      <c r="W1857" s="241"/>
      <c r="X1857" s="241"/>
      <c r="Y1857" s="241"/>
      <c r="Z1857" s="241"/>
      <c r="AA1857" s="241"/>
      <c r="AB1857" s="241"/>
      <c r="AC1857" s="241"/>
      <c r="AD1857" s="241"/>
      <c r="AE1857" s="241"/>
      <c r="AF1857" s="241"/>
      <c r="AG1857" s="241"/>
      <c r="AH1857" s="241"/>
      <c r="AI1857" s="241"/>
      <c r="AJ1857" s="241">
        <v>2</v>
      </c>
      <c r="AK1857" s="235">
        <f>IF((G1865-G1857)&gt;0,G1865-G1857,0)</f>
        <v>0</v>
      </c>
      <c r="AL1857" s="236">
        <v>0</v>
      </c>
      <c r="AM1857" s="294">
        <f>4/12</f>
        <v>0.33333333333333331</v>
      </c>
      <c r="AN1857" s="295">
        <v>2</v>
      </c>
      <c r="AO1857" s="296">
        <f>G1857/(AN1857)</f>
        <v>1</v>
      </c>
      <c r="AP1857" s="297">
        <f>AN1857*6</f>
        <v>12</v>
      </c>
      <c r="AQ1857" s="290">
        <f>G1857+K1857</f>
        <v>3</v>
      </c>
      <c r="AR1857" s="290">
        <f>IF(G1857&lt;G1865,(G1865-G1857+K1865-K1857),K1865-K1857)</f>
        <v>0</v>
      </c>
      <c r="AS1857" s="290">
        <f>21-8</f>
        <v>13</v>
      </c>
    </row>
    <row r="1858" spans="2:45" ht="14.25" thickBot="1" x14ac:dyDescent="0.3">
      <c r="B1858" s="5">
        <v>273698</v>
      </c>
      <c r="C1858" s="6">
        <v>1135752</v>
      </c>
      <c r="D1858" s="6" t="s">
        <v>11</v>
      </c>
      <c r="E1858" s="215">
        <v>701000000000</v>
      </c>
      <c r="F1858" s="253">
        <f>G1866+AL1858</f>
        <v>3</v>
      </c>
      <c r="G1858" s="235">
        <v>3</v>
      </c>
      <c r="H1858" s="383"/>
      <c r="I1858" s="232">
        <v>1</v>
      </c>
      <c r="J1858" s="232"/>
      <c r="K1858" s="232">
        <v>3</v>
      </c>
      <c r="L1858" s="232">
        <f>IF(K1862=K1854,L1866+AK1858,K1858)</f>
        <v>3</v>
      </c>
      <c r="M1858" s="232">
        <f>IF(K1862=K1854,0,L1866+AK1858-K1858)</f>
        <v>0</v>
      </c>
      <c r="N1858" s="232">
        <v>4</v>
      </c>
      <c r="O1858" s="241">
        <f>N1858-G1858</f>
        <v>1</v>
      </c>
      <c r="P1858" s="268">
        <v>2</v>
      </c>
      <c r="Q1858" s="269"/>
      <c r="R1858" s="270"/>
      <c r="S1858" s="241"/>
      <c r="T1858" s="241"/>
      <c r="U1858" s="241"/>
      <c r="V1858" s="241"/>
      <c r="W1858" s="241"/>
      <c r="X1858" s="241"/>
      <c r="Y1858" s="241"/>
      <c r="Z1858" s="241"/>
      <c r="AA1858" s="241"/>
      <c r="AB1858" s="241"/>
      <c r="AC1858" s="241"/>
      <c r="AD1858" s="241"/>
      <c r="AE1858" s="241"/>
      <c r="AF1858" s="241"/>
      <c r="AG1858" s="241"/>
      <c r="AH1858" s="241"/>
      <c r="AI1858" s="241"/>
      <c r="AJ1858" s="241">
        <v>4</v>
      </c>
      <c r="AK1858" s="235">
        <f>IF((G1866-G1858)&gt;0,G1866-G1858,0)</f>
        <v>0</v>
      </c>
      <c r="AL1858" s="236">
        <v>0</v>
      </c>
      <c r="AM1858" s="294">
        <f>4/12</f>
        <v>0.33333333333333331</v>
      </c>
      <c r="AN1858" s="295">
        <v>2</v>
      </c>
      <c r="AO1858" s="296">
        <f>G1858/(AN1858)</f>
        <v>1.5</v>
      </c>
      <c r="AP1858" s="297">
        <f>AN1858*6</f>
        <v>12</v>
      </c>
      <c r="AQ1858" s="290">
        <f>G1858+K1858</f>
        <v>6</v>
      </c>
      <c r="AR1858" s="290">
        <f>IF(G1858&lt;G1866,(G1866-G1858+K1866-K1858),K1866-K1858)</f>
        <v>0</v>
      </c>
      <c r="AS1858" s="290">
        <f>21-8</f>
        <v>13</v>
      </c>
    </row>
    <row r="1859" spans="2:45" ht="14.25" thickBot="1" x14ac:dyDescent="0.3">
      <c r="B1859" s="5">
        <v>273680</v>
      </c>
      <c r="C1859" s="6">
        <v>1135751</v>
      </c>
      <c r="D1859" s="6" t="s">
        <v>12</v>
      </c>
      <c r="E1859" s="6" t="s">
        <v>13</v>
      </c>
      <c r="F1859" s="254">
        <f>G1867+AL1859</f>
        <v>16</v>
      </c>
      <c r="G1859" s="237">
        <v>16</v>
      </c>
      <c r="H1859" s="384"/>
      <c r="I1859" s="238">
        <v>16</v>
      </c>
      <c r="J1859" s="238"/>
      <c r="K1859" s="238">
        <v>0</v>
      </c>
      <c r="L1859" s="238">
        <f>IF(K1862=K1854,L1867+AK1859,K1859)</f>
        <v>0</v>
      </c>
      <c r="M1859" s="238">
        <f>IF(K1862=K1854,0,L1867+AK1859-K1859)</f>
        <v>0</v>
      </c>
      <c r="N1859" s="238">
        <v>16</v>
      </c>
      <c r="O1859" s="242">
        <f>N1859-G1859</f>
        <v>0</v>
      </c>
      <c r="P1859" s="271"/>
      <c r="Q1859" s="272"/>
      <c r="R1859" s="273"/>
      <c r="S1859" s="242"/>
      <c r="T1859" s="242"/>
      <c r="U1859" s="242"/>
      <c r="V1859" s="242"/>
      <c r="W1859" s="242"/>
      <c r="X1859" s="242"/>
      <c r="Y1859" s="242"/>
      <c r="Z1859" s="242"/>
      <c r="AA1859" s="242"/>
      <c r="AB1859" s="242"/>
      <c r="AC1859" s="242"/>
      <c r="AD1859" s="242"/>
      <c r="AE1859" s="242"/>
      <c r="AF1859" s="242"/>
      <c r="AG1859" s="242"/>
      <c r="AH1859" s="242"/>
      <c r="AI1859" s="242"/>
      <c r="AJ1859" s="242">
        <v>16</v>
      </c>
      <c r="AK1859" s="237">
        <f>IF((G1867-G1859)&gt;0,G1867-G1859,0)</f>
        <v>0</v>
      </c>
      <c r="AL1859" s="239">
        <v>0</v>
      </c>
      <c r="AM1859" s="299">
        <f>30/12</f>
        <v>2.5</v>
      </c>
      <c r="AN1859" s="300">
        <f>AM1859*2</f>
        <v>5</v>
      </c>
      <c r="AO1859" s="301">
        <f>G1859/(AN1859)</f>
        <v>3.2</v>
      </c>
      <c r="AP1859" s="302">
        <f>AN1859*6</f>
        <v>30</v>
      </c>
      <c r="AQ1859" s="290">
        <f>G1859+K1859</f>
        <v>16</v>
      </c>
      <c r="AR1859" s="290">
        <f>IF(G1859&lt;G1867,(G1867-G1859+K1867-K1859),K1867-K1859)</f>
        <v>0</v>
      </c>
      <c r="AS1859" s="290">
        <f>21-8</f>
        <v>13</v>
      </c>
    </row>
    <row r="1860" spans="2:45" x14ac:dyDescent="0.25">
      <c r="AL1860" s="290"/>
      <c r="AM1860" s="290"/>
      <c r="AN1860" s="290"/>
      <c r="AO1860" s="290"/>
      <c r="AP1860" s="290"/>
      <c r="AQ1860" s="290"/>
      <c r="AR1860" s="290"/>
      <c r="AS1860" s="290"/>
    </row>
    <row r="1861" spans="2:45" ht="14.25" thickBot="1" x14ac:dyDescent="0.3">
      <c r="B1861" s="338" t="s">
        <v>18</v>
      </c>
      <c r="C1861" s="339">
        <v>45404</v>
      </c>
      <c r="AL1861" s="290"/>
      <c r="AM1861" s="290"/>
      <c r="AN1861" s="290"/>
      <c r="AO1861" s="290"/>
      <c r="AP1861" s="290"/>
      <c r="AQ1861" s="290"/>
      <c r="AR1861" s="290"/>
      <c r="AS1861" s="290"/>
    </row>
    <row r="1862" spans="2:45" ht="41.25" thickBot="1" x14ac:dyDescent="0.3">
      <c r="B1862" s="2" t="s">
        <v>0</v>
      </c>
      <c r="C1862" s="3" t="s">
        <v>1</v>
      </c>
      <c r="D1862" s="3" t="s">
        <v>2</v>
      </c>
      <c r="E1862" s="3" t="s">
        <v>3</v>
      </c>
      <c r="F1862" s="4" t="s">
        <v>318</v>
      </c>
      <c r="G1862" s="233" t="s">
        <v>4</v>
      </c>
      <c r="H1862" s="386"/>
      <c r="I1862" s="234" t="s">
        <v>325</v>
      </c>
      <c r="J1862" s="234"/>
      <c r="K1862" s="258" t="s">
        <v>339</v>
      </c>
      <c r="L1862" s="258" t="s">
        <v>328</v>
      </c>
      <c r="M1862" s="258" t="s">
        <v>327</v>
      </c>
      <c r="N1862" s="234" t="s">
        <v>344</v>
      </c>
      <c r="O1862" s="240" t="s">
        <v>130</v>
      </c>
      <c r="P1862" s="243" t="s">
        <v>303</v>
      </c>
      <c r="Q1862" s="244" t="s">
        <v>304</v>
      </c>
      <c r="R1862" s="244" t="s">
        <v>314</v>
      </c>
      <c r="S1862" s="245" t="s">
        <v>338</v>
      </c>
      <c r="T1862" s="245" t="s">
        <v>345</v>
      </c>
      <c r="U1862" s="245" t="s">
        <v>361</v>
      </c>
      <c r="V1862" s="245" t="s">
        <v>387</v>
      </c>
      <c r="W1862" s="245" t="s">
        <v>421</v>
      </c>
      <c r="X1862" s="245" t="s">
        <v>451</v>
      </c>
      <c r="Y1862" s="245"/>
      <c r="Z1862" s="245"/>
      <c r="AA1862" s="245"/>
      <c r="AB1862" s="245"/>
      <c r="AC1862" s="245"/>
      <c r="AD1862" s="245"/>
      <c r="AE1862" s="245"/>
      <c r="AF1862" s="245"/>
      <c r="AG1862" s="245"/>
      <c r="AH1862" s="245"/>
      <c r="AI1862" s="245"/>
      <c r="AJ1862" s="245" t="s">
        <v>360</v>
      </c>
      <c r="AK1862" s="246" t="s">
        <v>268</v>
      </c>
      <c r="AL1862" s="247" t="s">
        <v>269</v>
      </c>
      <c r="AM1862" s="291" t="s">
        <v>288</v>
      </c>
      <c r="AN1862" s="292" t="s">
        <v>289</v>
      </c>
      <c r="AO1862" s="292" t="s">
        <v>287</v>
      </c>
      <c r="AP1862" s="293" t="s">
        <v>290</v>
      </c>
      <c r="AQ1862" s="290" t="s">
        <v>306</v>
      </c>
      <c r="AR1862" s="290" t="s">
        <v>310</v>
      </c>
      <c r="AS1862" s="290" t="s">
        <v>311</v>
      </c>
    </row>
    <row r="1863" spans="2:45" ht="14.25" thickBot="1" x14ac:dyDescent="0.3">
      <c r="B1863" s="5">
        <v>273664</v>
      </c>
      <c r="C1863" s="6">
        <v>1135749</v>
      </c>
      <c r="D1863" s="6" t="s">
        <v>7</v>
      </c>
      <c r="E1863" s="6">
        <v>6060050026</v>
      </c>
      <c r="F1863" s="253">
        <f>G1871+AL1863</f>
        <v>7</v>
      </c>
      <c r="G1863" s="235">
        <v>4</v>
      </c>
      <c r="H1863" s="383"/>
      <c r="I1863" s="232">
        <v>3</v>
      </c>
      <c r="J1863" s="232"/>
      <c r="K1863" s="232">
        <v>1</v>
      </c>
      <c r="L1863" s="232">
        <f>IF(K1870=K1862,L1871+AK1863,K1863)</f>
        <v>1</v>
      </c>
      <c r="M1863" s="232">
        <f>IF(K1870=K1862,0,L1871+AK1863-K1863)</f>
        <v>2</v>
      </c>
      <c r="N1863" s="232">
        <v>7</v>
      </c>
      <c r="O1863" s="241">
        <f>N1863-G1863</f>
        <v>3</v>
      </c>
      <c r="P1863" s="268">
        <v>4</v>
      </c>
      <c r="Q1863" s="269">
        <v>4</v>
      </c>
      <c r="R1863" s="270"/>
      <c r="S1863" s="241">
        <v>3</v>
      </c>
      <c r="T1863" s="241"/>
      <c r="U1863" s="241"/>
      <c r="V1863" s="241"/>
      <c r="W1863" s="241"/>
      <c r="X1863" s="241"/>
      <c r="Y1863" s="241"/>
      <c r="Z1863" s="241"/>
      <c r="AA1863" s="241"/>
      <c r="AB1863" s="241"/>
      <c r="AC1863" s="241"/>
      <c r="AD1863" s="241"/>
      <c r="AE1863" s="241"/>
      <c r="AF1863" s="241"/>
      <c r="AG1863" s="241"/>
      <c r="AH1863" s="241"/>
      <c r="AI1863" s="241"/>
      <c r="AJ1863" s="241">
        <f>AJ1871-S1863+AL1863</f>
        <v>4</v>
      </c>
      <c r="AK1863" s="235">
        <f>IF((G1871-G1863)&gt;0,G1871-G1863,0)</f>
        <v>3</v>
      </c>
      <c r="AL1863" s="236">
        <v>0</v>
      </c>
      <c r="AM1863" s="294">
        <v>1.5</v>
      </c>
      <c r="AN1863" s="295">
        <v>4</v>
      </c>
      <c r="AO1863" s="296">
        <f>G1863/(AN1863)</f>
        <v>1</v>
      </c>
      <c r="AP1863" s="297">
        <f>AN1863*6</f>
        <v>24</v>
      </c>
      <c r="AQ1863" s="290">
        <f>G1863+K1863</f>
        <v>5</v>
      </c>
      <c r="AR1863" s="290">
        <f>IF(G1863&lt;G1871,(G1871-G1863+K1871-K1863),K1871-K1863)</f>
        <v>2</v>
      </c>
      <c r="AS1863" s="290">
        <f>21-8</f>
        <v>13</v>
      </c>
    </row>
    <row r="1864" spans="2:45" ht="14.25" thickBot="1" x14ac:dyDescent="0.3">
      <c r="B1864" s="5">
        <v>273672</v>
      </c>
      <c r="C1864" s="6">
        <v>1135750</v>
      </c>
      <c r="D1864" s="6" t="s">
        <v>9</v>
      </c>
      <c r="E1864" s="215">
        <v>204000000000</v>
      </c>
      <c r="F1864" s="253">
        <f>G1872+AL1864</f>
        <v>10</v>
      </c>
      <c r="G1864" s="235">
        <v>4</v>
      </c>
      <c r="H1864" s="383"/>
      <c r="I1864" s="232">
        <v>2</v>
      </c>
      <c r="J1864" s="232"/>
      <c r="K1864" s="232">
        <v>3</v>
      </c>
      <c r="L1864" s="232">
        <f>IF(K1870=K1862,L1872+AK1864,K1864)</f>
        <v>3</v>
      </c>
      <c r="M1864" s="232">
        <f>IF(K1870=K1862,0,L1872+AK1864-K1864)</f>
        <v>3</v>
      </c>
      <c r="N1864" s="232">
        <v>8</v>
      </c>
      <c r="O1864" s="241">
        <f>N1864-G1864</f>
        <v>4</v>
      </c>
      <c r="P1864" s="268">
        <v>13</v>
      </c>
      <c r="Q1864" s="269">
        <v>2</v>
      </c>
      <c r="R1864" s="270">
        <v>6</v>
      </c>
      <c r="S1864" s="241">
        <v>6</v>
      </c>
      <c r="T1864" s="241"/>
      <c r="U1864" s="241"/>
      <c r="V1864" s="241"/>
      <c r="W1864" s="241"/>
      <c r="X1864" s="241"/>
      <c r="Y1864" s="241"/>
      <c r="Z1864" s="241"/>
      <c r="AA1864" s="241"/>
      <c r="AB1864" s="241"/>
      <c r="AC1864" s="241"/>
      <c r="AD1864" s="241"/>
      <c r="AE1864" s="241"/>
      <c r="AF1864" s="241"/>
      <c r="AG1864" s="241"/>
      <c r="AH1864" s="241"/>
      <c r="AI1864" s="241"/>
      <c r="AJ1864" s="241">
        <f>AJ1872-S1864+AL1864</f>
        <v>2</v>
      </c>
      <c r="AK1864" s="235">
        <f>IF((G1872-G1864)&gt;0,G1872-G1864,0)</f>
        <v>6</v>
      </c>
      <c r="AL1864" s="236">
        <v>0</v>
      </c>
      <c r="AM1864" s="298">
        <v>4.2</v>
      </c>
      <c r="AN1864" s="295">
        <v>9</v>
      </c>
      <c r="AO1864" s="296">
        <f>G1864/(AN1864)</f>
        <v>0.44444444444444442</v>
      </c>
      <c r="AP1864" s="297">
        <f>AN1864*6</f>
        <v>54</v>
      </c>
      <c r="AQ1864" s="290">
        <f>G1864+K1864</f>
        <v>7</v>
      </c>
      <c r="AR1864" s="290">
        <f>IF(G1864&lt;G1872,(G1872-G1864+K1872-K1864),K1872-K1864)</f>
        <v>3</v>
      </c>
      <c r="AS1864" s="290">
        <f>21-8</f>
        <v>13</v>
      </c>
    </row>
    <row r="1865" spans="2:45" ht="14.25" thickBot="1" x14ac:dyDescent="0.3">
      <c r="B1865" s="5">
        <v>273702</v>
      </c>
      <c r="C1865" s="6">
        <v>1135753</v>
      </c>
      <c r="D1865" s="6" t="s">
        <v>10</v>
      </c>
      <c r="E1865" s="215">
        <v>301000000000</v>
      </c>
      <c r="F1865" s="253">
        <f>G1873+AL1865</f>
        <v>2</v>
      </c>
      <c r="G1865" s="235">
        <v>2</v>
      </c>
      <c r="H1865" s="383"/>
      <c r="I1865" s="232">
        <v>3</v>
      </c>
      <c r="J1865" s="232"/>
      <c r="K1865" s="232">
        <v>1</v>
      </c>
      <c r="L1865" s="232">
        <f>IF(K1870=K1862,L1873+AK1865,K1865)</f>
        <v>1</v>
      </c>
      <c r="M1865" s="232">
        <f>IF(K1870=K1862,0,L1873+AK1865-K1865)</f>
        <v>0</v>
      </c>
      <c r="N1865" s="232">
        <v>2</v>
      </c>
      <c r="O1865" s="241">
        <f>N1865-G1865</f>
        <v>0</v>
      </c>
      <c r="P1865" s="268"/>
      <c r="Q1865" s="269"/>
      <c r="R1865" s="270"/>
      <c r="S1865" s="241"/>
      <c r="T1865" s="241"/>
      <c r="U1865" s="241"/>
      <c r="V1865" s="241"/>
      <c r="W1865" s="241"/>
      <c r="X1865" s="241"/>
      <c r="Y1865" s="241"/>
      <c r="Z1865" s="241"/>
      <c r="AA1865" s="241"/>
      <c r="AB1865" s="241"/>
      <c r="AC1865" s="241"/>
      <c r="AD1865" s="241"/>
      <c r="AE1865" s="241"/>
      <c r="AF1865" s="241"/>
      <c r="AG1865" s="241"/>
      <c r="AH1865" s="241"/>
      <c r="AI1865" s="241"/>
      <c r="AJ1865" s="241">
        <f>AJ1873-S1865+AL1865</f>
        <v>2</v>
      </c>
      <c r="AK1865" s="235">
        <f>IF((G1873-G1865)&gt;0,G1873-G1865,0)</f>
        <v>0</v>
      </c>
      <c r="AL1865" s="236">
        <v>0</v>
      </c>
      <c r="AM1865" s="294">
        <f>4/12</f>
        <v>0.33333333333333331</v>
      </c>
      <c r="AN1865" s="295">
        <v>2</v>
      </c>
      <c r="AO1865" s="296">
        <f>G1865/(AN1865)</f>
        <v>1</v>
      </c>
      <c r="AP1865" s="297">
        <f>AN1865*6</f>
        <v>12</v>
      </c>
      <c r="AQ1865" s="290">
        <f>G1865+K1865</f>
        <v>3</v>
      </c>
      <c r="AR1865" s="290">
        <f>IF(G1865&lt;G1873,(G1873-G1865+K1873-K1865),K1873-K1865)</f>
        <v>0</v>
      </c>
      <c r="AS1865" s="290">
        <f>21-8</f>
        <v>13</v>
      </c>
    </row>
    <row r="1866" spans="2:45" ht="14.25" thickBot="1" x14ac:dyDescent="0.3">
      <c r="B1866" s="5">
        <v>273698</v>
      </c>
      <c r="C1866" s="6">
        <v>1135752</v>
      </c>
      <c r="D1866" s="6" t="s">
        <v>11</v>
      </c>
      <c r="E1866" s="215">
        <v>701000000000</v>
      </c>
      <c r="F1866" s="253">
        <f>G1874+AL1866</f>
        <v>3</v>
      </c>
      <c r="G1866" s="235">
        <v>3</v>
      </c>
      <c r="H1866" s="383"/>
      <c r="I1866" s="232">
        <v>1</v>
      </c>
      <c r="J1866" s="232"/>
      <c r="K1866" s="232">
        <v>3</v>
      </c>
      <c r="L1866" s="232">
        <f>IF(K1870=K1862,L1874+AK1866,K1866)</f>
        <v>3</v>
      </c>
      <c r="M1866" s="232">
        <f>IF(K1870=K1862,0,L1874+AK1866-K1866)</f>
        <v>0</v>
      </c>
      <c r="N1866" s="232">
        <v>4</v>
      </c>
      <c r="O1866" s="241">
        <f>N1866-G1866</f>
        <v>1</v>
      </c>
      <c r="P1866" s="268">
        <v>2</v>
      </c>
      <c r="Q1866" s="269"/>
      <c r="R1866" s="270"/>
      <c r="S1866" s="241"/>
      <c r="T1866" s="241"/>
      <c r="U1866" s="241"/>
      <c r="V1866" s="241"/>
      <c r="W1866" s="241"/>
      <c r="X1866" s="241"/>
      <c r="Y1866" s="241"/>
      <c r="Z1866" s="241"/>
      <c r="AA1866" s="241"/>
      <c r="AB1866" s="241"/>
      <c r="AC1866" s="241"/>
      <c r="AD1866" s="241"/>
      <c r="AE1866" s="241"/>
      <c r="AF1866" s="241"/>
      <c r="AG1866" s="241"/>
      <c r="AH1866" s="241"/>
      <c r="AI1866" s="241"/>
      <c r="AJ1866" s="241">
        <f>AJ1874-S1866+AL1866</f>
        <v>4</v>
      </c>
      <c r="AK1866" s="235">
        <f>IF((G1874-G1866)&gt;0,G1874-G1866,0)</f>
        <v>0</v>
      </c>
      <c r="AL1866" s="236">
        <v>0</v>
      </c>
      <c r="AM1866" s="294">
        <f>4/12</f>
        <v>0.33333333333333331</v>
      </c>
      <c r="AN1866" s="295">
        <v>2</v>
      </c>
      <c r="AO1866" s="296">
        <f>G1866/(AN1866)</f>
        <v>1.5</v>
      </c>
      <c r="AP1866" s="297">
        <f>AN1866*6</f>
        <v>12</v>
      </c>
      <c r="AQ1866" s="290">
        <f>G1866+K1866</f>
        <v>6</v>
      </c>
      <c r="AR1866" s="290">
        <f>IF(G1866&lt;G1874,(G1874-G1866+K1874-K1866),K1874-K1866)</f>
        <v>0</v>
      </c>
      <c r="AS1866" s="290">
        <f>21-8</f>
        <v>13</v>
      </c>
    </row>
    <row r="1867" spans="2:45" ht="14.25" thickBot="1" x14ac:dyDescent="0.3">
      <c r="B1867" s="5">
        <v>273680</v>
      </c>
      <c r="C1867" s="6">
        <v>1135751</v>
      </c>
      <c r="D1867" s="6" t="s">
        <v>12</v>
      </c>
      <c r="E1867" s="6" t="s">
        <v>13</v>
      </c>
      <c r="F1867" s="254">
        <f>G1875+AL1867</f>
        <v>16</v>
      </c>
      <c r="G1867" s="237">
        <v>16</v>
      </c>
      <c r="H1867" s="384"/>
      <c r="I1867" s="238">
        <v>16</v>
      </c>
      <c r="J1867" s="238"/>
      <c r="K1867" s="238">
        <v>0</v>
      </c>
      <c r="L1867" s="238">
        <f>IF(K1870=K1862,L1875+AK1867,K1867)</f>
        <v>0</v>
      </c>
      <c r="M1867" s="238">
        <f>IF(K1870=K1862,0,L1875+AK1867-K1867)</f>
        <v>0</v>
      </c>
      <c r="N1867" s="238">
        <v>16</v>
      </c>
      <c r="O1867" s="242">
        <f>N1867-G1867</f>
        <v>0</v>
      </c>
      <c r="P1867" s="271"/>
      <c r="Q1867" s="272"/>
      <c r="R1867" s="273"/>
      <c r="S1867" s="242"/>
      <c r="T1867" s="242"/>
      <c r="U1867" s="242"/>
      <c r="V1867" s="242"/>
      <c r="W1867" s="242"/>
      <c r="X1867" s="242"/>
      <c r="Y1867" s="242"/>
      <c r="Z1867" s="242"/>
      <c r="AA1867" s="242"/>
      <c r="AB1867" s="242"/>
      <c r="AC1867" s="242"/>
      <c r="AD1867" s="242"/>
      <c r="AE1867" s="242"/>
      <c r="AF1867" s="242"/>
      <c r="AG1867" s="242"/>
      <c r="AH1867" s="242"/>
      <c r="AI1867" s="242"/>
      <c r="AJ1867" s="242">
        <f>AJ1875-S1867+AL1867</f>
        <v>16</v>
      </c>
      <c r="AK1867" s="237">
        <f>IF((G1875-G1867)&gt;0,G1875-G1867,0)</f>
        <v>0</v>
      </c>
      <c r="AL1867" s="239">
        <v>0</v>
      </c>
      <c r="AM1867" s="299">
        <f>30/12</f>
        <v>2.5</v>
      </c>
      <c r="AN1867" s="300">
        <f>AM1867*2</f>
        <v>5</v>
      </c>
      <c r="AO1867" s="301">
        <f>G1867/(AN1867)</f>
        <v>3.2</v>
      </c>
      <c r="AP1867" s="302">
        <f>AN1867*6</f>
        <v>30</v>
      </c>
      <c r="AQ1867" s="290">
        <f>G1867+K1867</f>
        <v>16</v>
      </c>
      <c r="AR1867" s="290">
        <f>IF(G1867&lt;G1875,(G1875-G1867+K1875-K1867),K1875-K1867)</f>
        <v>0</v>
      </c>
      <c r="AS1867" s="290">
        <f>21-8</f>
        <v>13</v>
      </c>
    </row>
    <row r="1868" spans="2:45" x14ac:dyDescent="0.25">
      <c r="AL1868" s="290"/>
      <c r="AM1868" s="290"/>
      <c r="AN1868" s="290"/>
      <c r="AO1868" s="290"/>
      <c r="AP1868" s="290"/>
      <c r="AQ1868" s="290"/>
      <c r="AR1868" s="290"/>
      <c r="AS1868" s="290"/>
    </row>
    <row r="1869" spans="2:45" ht="14.25" thickBot="1" x14ac:dyDescent="0.3">
      <c r="B1869" s="338" t="s">
        <v>18</v>
      </c>
      <c r="C1869" s="339">
        <v>45397</v>
      </c>
      <c r="AL1869" s="290"/>
      <c r="AM1869" s="290"/>
      <c r="AN1869" s="290"/>
      <c r="AO1869" s="290"/>
      <c r="AP1869" s="290"/>
      <c r="AQ1869" s="290"/>
      <c r="AR1869" s="290"/>
      <c r="AS1869" s="290"/>
    </row>
    <row r="1870" spans="2:45" ht="41.25" thickBot="1" x14ac:dyDescent="0.3">
      <c r="B1870" s="2" t="s">
        <v>0</v>
      </c>
      <c r="C1870" s="3" t="s">
        <v>1</v>
      </c>
      <c r="D1870" s="3" t="s">
        <v>2</v>
      </c>
      <c r="E1870" s="3" t="s">
        <v>3</v>
      </c>
      <c r="F1870" s="4" t="s">
        <v>318</v>
      </c>
      <c r="G1870" s="233" t="s">
        <v>4</v>
      </c>
      <c r="H1870" s="386"/>
      <c r="I1870" s="234" t="s">
        <v>325</v>
      </c>
      <c r="J1870" s="234"/>
      <c r="K1870" s="258" t="s">
        <v>336</v>
      </c>
      <c r="L1870" s="258" t="s">
        <v>328</v>
      </c>
      <c r="M1870" s="258" t="s">
        <v>327</v>
      </c>
      <c r="N1870" s="234" t="s">
        <v>337</v>
      </c>
      <c r="O1870" s="240" t="s">
        <v>130</v>
      </c>
      <c r="P1870" s="243" t="s">
        <v>303</v>
      </c>
      <c r="Q1870" s="244" t="s">
        <v>304</v>
      </c>
      <c r="R1870" s="244" t="s">
        <v>314</v>
      </c>
      <c r="S1870" s="245" t="s">
        <v>338</v>
      </c>
      <c r="T1870" s="245" t="s">
        <v>345</v>
      </c>
      <c r="U1870" s="245" t="s">
        <v>361</v>
      </c>
      <c r="V1870" s="245" t="s">
        <v>387</v>
      </c>
      <c r="W1870" s="245" t="s">
        <v>421</v>
      </c>
      <c r="X1870" s="245" t="s">
        <v>451</v>
      </c>
      <c r="Y1870" s="245"/>
      <c r="Z1870" s="245"/>
      <c r="AA1870" s="245"/>
      <c r="AB1870" s="245"/>
      <c r="AC1870" s="245"/>
      <c r="AD1870" s="245"/>
      <c r="AE1870" s="245"/>
      <c r="AF1870" s="245"/>
      <c r="AG1870" s="245"/>
      <c r="AH1870" s="245"/>
      <c r="AI1870" s="245"/>
      <c r="AJ1870" s="245" t="s">
        <v>360</v>
      </c>
      <c r="AK1870" s="246" t="s">
        <v>268</v>
      </c>
      <c r="AL1870" s="247" t="s">
        <v>269</v>
      </c>
      <c r="AM1870" s="291" t="s">
        <v>288</v>
      </c>
      <c r="AN1870" s="292" t="s">
        <v>289</v>
      </c>
      <c r="AO1870" s="292" t="s">
        <v>287</v>
      </c>
      <c r="AP1870" s="293" t="s">
        <v>290</v>
      </c>
      <c r="AQ1870" s="290" t="s">
        <v>306</v>
      </c>
      <c r="AR1870" s="290" t="s">
        <v>310</v>
      </c>
      <c r="AS1870" s="290" t="s">
        <v>311</v>
      </c>
    </row>
    <row r="1871" spans="2:45" ht="14.25" thickBot="1" x14ac:dyDescent="0.3">
      <c r="B1871" s="5">
        <v>273664</v>
      </c>
      <c r="C1871" s="6">
        <v>1135749</v>
      </c>
      <c r="D1871" s="6" t="s">
        <v>7</v>
      </c>
      <c r="E1871" s="6">
        <v>6060050026</v>
      </c>
      <c r="F1871" s="253">
        <f>G1879+AL1871</f>
        <v>7</v>
      </c>
      <c r="G1871" s="235">
        <v>7</v>
      </c>
      <c r="H1871" s="383"/>
      <c r="I1871" s="232">
        <v>3</v>
      </c>
      <c r="J1871" s="232"/>
      <c r="K1871" s="232">
        <v>0</v>
      </c>
      <c r="L1871" s="232">
        <f>IF(K1878=K1870,L1879+AK1871,K1871)</f>
        <v>0</v>
      </c>
      <c r="M1871" s="232">
        <f>IF(K1878=K1870,0,L1879+AK1871-K1871)</f>
        <v>2</v>
      </c>
      <c r="N1871" s="265">
        <v>7</v>
      </c>
      <c r="O1871" s="241">
        <f>N1871-G1871</f>
        <v>0</v>
      </c>
      <c r="P1871" s="268">
        <v>4</v>
      </c>
      <c r="Q1871" s="269">
        <v>4</v>
      </c>
      <c r="R1871" s="270"/>
      <c r="S1871" s="241"/>
      <c r="T1871" s="241"/>
      <c r="U1871" s="241"/>
      <c r="V1871" s="241"/>
      <c r="W1871" s="241"/>
      <c r="X1871" s="241"/>
      <c r="Y1871" s="241"/>
      <c r="Z1871" s="241"/>
      <c r="AA1871" s="241"/>
      <c r="AB1871" s="241"/>
      <c r="AC1871" s="241"/>
      <c r="AD1871" s="241"/>
      <c r="AE1871" s="241"/>
      <c r="AF1871" s="241"/>
      <c r="AG1871" s="241"/>
      <c r="AH1871" s="241"/>
      <c r="AI1871" s="241"/>
      <c r="AJ1871" s="263">
        <f>IF(S1871=S1879,AJ1879,AJ1879-S1871+AL1871)</f>
        <v>7</v>
      </c>
      <c r="AK1871" s="235">
        <f>IF((G1879-G1871)&gt;0,G1879-G1871,0)</f>
        <v>0</v>
      </c>
      <c r="AL1871" s="236">
        <v>0</v>
      </c>
      <c r="AM1871" s="294">
        <v>1.5</v>
      </c>
      <c r="AN1871" s="295">
        <v>4</v>
      </c>
      <c r="AO1871" s="296">
        <f>G1871/(AN1871)</f>
        <v>1.75</v>
      </c>
      <c r="AP1871" s="297">
        <f>AN1871*6</f>
        <v>24</v>
      </c>
      <c r="AQ1871" s="290">
        <f>G1871+K1871</f>
        <v>7</v>
      </c>
      <c r="AR1871" s="290">
        <f>IF(G1871&lt;G1879,(G1879-G1871+K1879-K1871),K1879-K1871)</f>
        <v>2</v>
      </c>
      <c r="AS1871" s="290">
        <f>21-8</f>
        <v>13</v>
      </c>
    </row>
    <row r="1872" spans="2:45" ht="14.25" thickBot="1" x14ac:dyDescent="0.3">
      <c r="B1872" s="5">
        <v>273672</v>
      </c>
      <c r="C1872" s="6">
        <v>1135750</v>
      </c>
      <c r="D1872" s="6" t="s">
        <v>9</v>
      </c>
      <c r="E1872" s="215">
        <v>204000000000</v>
      </c>
      <c r="F1872" s="253">
        <f>G1880+AL1872</f>
        <v>10</v>
      </c>
      <c r="G1872" s="235">
        <v>10</v>
      </c>
      <c r="H1872" s="383"/>
      <c r="I1872" s="232">
        <v>2</v>
      </c>
      <c r="J1872" s="232"/>
      <c r="K1872" s="232">
        <v>0</v>
      </c>
      <c r="L1872" s="232">
        <f>IF(K1878=K1870,L1880+AK1872,K1872)</f>
        <v>0</v>
      </c>
      <c r="M1872" s="232">
        <f>IF(K1878=K1870,0,L1880+AK1872-K1872)</f>
        <v>5</v>
      </c>
      <c r="N1872" s="265">
        <v>8</v>
      </c>
      <c r="O1872" s="241">
        <f>N1872-G1872</f>
        <v>-2</v>
      </c>
      <c r="P1872" s="268">
        <v>13</v>
      </c>
      <c r="Q1872" s="269">
        <v>2</v>
      </c>
      <c r="R1872" s="270">
        <v>6</v>
      </c>
      <c r="S1872" s="241"/>
      <c r="T1872" s="241"/>
      <c r="U1872" s="241"/>
      <c r="V1872" s="241"/>
      <c r="W1872" s="241"/>
      <c r="X1872" s="241"/>
      <c r="Y1872" s="241"/>
      <c r="Z1872" s="241"/>
      <c r="AA1872" s="241"/>
      <c r="AB1872" s="241"/>
      <c r="AC1872" s="241"/>
      <c r="AD1872" s="241"/>
      <c r="AE1872" s="241"/>
      <c r="AF1872" s="241"/>
      <c r="AG1872" s="241"/>
      <c r="AH1872" s="241"/>
      <c r="AI1872" s="241"/>
      <c r="AJ1872" s="263">
        <f>AJ1880-S1872+AL1872</f>
        <v>8</v>
      </c>
      <c r="AK1872" s="235">
        <f>IF((G1880-G1872)&gt;0,G1880-G1872,0)</f>
        <v>0</v>
      </c>
      <c r="AL1872" s="236">
        <v>8</v>
      </c>
      <c r="AM1872" s="298">
        <v>4.2</v>
      </c>
      <c r="AN1872" s="295">
        <v>9</v>
      </c>
      <c r="AO1872" s="296">
        <f>G1872/(AN1872)</f>
        <v>1.1111111111111112</v>
      </c>
      <c r="AP1872" s="297">
        <f>AN1872*6</f>
        <v>54</v>
      </c>
      <c r="AQ1872" s="290">
        <f>G1872+K1872</f>
        <v>10</v>
      </c>
      <c r="AR1872" s="290">
        <f>IF(G1872&lt;G1880,(G1880-G1872+K1880-K1872),K1880-K1872)</f>
        <v>5</v>
      </c>
      <c r="AS1872" s="290">
        <f>21-8</f>
        <v>13</v>
      </c>
    </row>
    <row r="1873" spans="2:45" ht="14.25" thickBot="1" x14ac:dyDescent="0.3">
      <c r="B1873" s="5">
        <v>273702</v>
      </c>
      <c r="C1873" s="6">
        <v>1135753</v>
      </c>
      <c r="D1873" s="6" t="s">
        <v>10</v>
      </c>
      <c r="E1873" s="215">
        <v>301000000000</v>
      </c>
      <c r="F1873" s="253">
        <f>G1881+AL1873</f>
        <v>2</v>
      </c>
      <c r="G1873" s="235">
        <v>2</v>
      </c>
      <c r="H1873" s="383"/>
      <c r="I1873" s="232">
        <v>3</v>
      </c>
      <c r="J1873" s="232"/>
      <c r="K1873" s="232">
        <v>1</v>
      </c>
      <c r="L1873" s="232">
        <f>IF(K1878=K1870,L1881+AK1873,K1873)</f>
        <v>1</v>
      </c>
      <c r="M1873" s="232">
        <f>IF(K1878=K1870,0,L1881+AK1873-K1873)</f>
        <v>0</v>
      </c>
      <c r="N1873" s="265">
        <v>2</v>
      </c>
      <c r="O1873" s="241">
        <f>N1873-G1873</f>
        <v>0</v>
      </c>
      <c r="P1873" s="268"/>
      <c r="Q1873" s="269"/>
      <c r="R1873" s="270"/>
      <c r="S1873" s="241"/>
      <c r="T1873" s="241"/>
      <c r="U1873" s="241"/>
      <c r="V1873" s="241"/>
      <c r="W1873" s="241"/>
      <c r="X1873" s="241"/>
      <c r="Y1873" s="241"/>
      <c r="Z1873" s="241"/>
      <c r="AA1873" s="241"/>
      <c r="AB1873" s="241"/>
      <c r="AC1873" s="241"/>
      <c r="AD1873" s="241"/>
      <c r="AE1873" s="241"/>
      <c r="AF1873" s="241"/>
      <c r="AG1873" s="241"/>
      <c r="AH1873" s="241"/>
      <c r="AI1873" s="241"/>
      <c r="AJ1873" s="263">
        <f>AJ1881-S1873+AL1873</f>
        <v>2</v>
      </c>
      <c r="AK1873" s="235">
        <f>IF((G1881-G1873)&gt;0,G1881-G1873,0)</f>
        <v>0</v>
      </c>
      <c r="AL1873" s="236">
        <v>0</v>
      </c>
      <c r="AM1873" s="294">
        <f>4/12</f>
        <v>0.33333333333333331</v>
      </c>
      <c r="AN1873" s="295">
        <v>2</v>
      </c>
      <c r="AO1873" s="296">
        <f>G1873/(AN1873)</f>
        <v>1</v>
      </c>
      <c r="AP1873" s="297">
        <f>AN1873*6</f>
        <v>12</v>
      </c>
      <c r="AQ1873" s="290">
        <f>G1873+K1873</f>
        <v>3</v>
      </c>
      <c r="AR1873" s="290">
        <f>IF(G1873&lt;G1881,(G1881-G1873+K1881-K1873),K1881-K1873)</f>
        <v>0</v>
      </c>
      <c r="AS1873" s="290">
        <f>21-8</f>
        <v>13</v>
      </c>
    </row>
    <row r="1874" spans="2:45" ht="14.25" thickBot="1" x14ac:dyDescent="0.3">
      <c r="B1874" s="5">
        <v>273698</v>
      </c>
      <c r="C1874" s="6">
        <v>1135752</v>
      </c>
      <c r="D1874" s="6" t="s">
        <v>11</v>
      </c>
      <c r="E1874" s="215">
        <v>701000000000</v>
      </c>
      <c r="F1874" s="253">
        <f>G1882+AL1874</f>
        <v>3</v>
      </c>
      <c r="G1874" s="235">
        <v>3</v>
      </c>
      <c r="H1874" s="383"/>
      <c r="I1874" s="232">
        <v>1</v>
      </c>
      <c r="J1874" s="232"/>
      <c r="K1874" s="232">
        <v>3</v>
      </c>
      <c r="L1874" s="232">
        <f>IF(K1878=K1870,L1882+AK1874,K1874)</f>
        <v>3</v>
      </c>
      <c r="M1874" s="232">
        <f>IF(K1878=K1870,0,L1882+AK1874-K1874)</f>
        <v>1</v>
      </c>
      <c r="N1874" s="265">
        <v>4</v>
      </c>
      <c r="O1874" s="241">
        <f>N1874-G1874</f>
        <v>1</v>
      </c>
      <c r="P1874" s="268">
        <v>2</v>
      </c>
      <c r="Q1874" s="269"/>
      <c r="R1874" s="270"/>
      <c r="S1874" s="241"/>
      <c r="T1874" s="241"/>
      <c r="U1874" s="241"/>
      <c r="V1874" s="241"/>
      <c r="W1874" s="241"/>
      <c r="X1874" s="241"/>
      <c r="Y1874" s="241"/>
      <c r="Z1874" s="241"/>
      <c r="AA1874" s="241"/>
      <c r="AB1874" s="241"/>
      <c r="AC1874" s="241"/>
      <c r="AD1874" s="241"/>
      <c r="AE1874" s="241"/>
      <c r="AF1874" s="241"/>
      <c r="AG1874" s="241"/>
      <c r="AH1874" s="241"/>
      <c r="AI1874" s="241"/>
      <c r="AJ1874" s="263">
        <f>AJ1882-S1874+AL1874</f>
        <v>4</v>
      </c>
      <c r="AK1874" s="235">
        <f>IF((G1882-G1874)&gt;0,G1882-G1874,0)</f>
        <v>0</v>
      </c>
      <c r="AL1874" s="236">
        <v>0</v>
      </c>
      <c r="AM1874" s="294">
        <f>4/12</f>
        <v>0.33333333333333331</v>
      </c>
      <c r="AN1874" s="295">
        <v>2</v>
      </c>
      <c r="AO1874" s="296">
        <f>G1874/(AN1874)</f>
        <v>1.5</v>
      </c>
      <c r="AP1874" s="297">
        <f>AN1874*6</f>
        <v>12</v>
      </c>
      <c r="AQ1874" s="290">
        <f>G1874+K1874</f>
        <v>6</v>
      </c>
      <c r="AR1874" s="290">
        <f>IF(G1874&lt;G1882,(G1882-G1874+K1882-K1874),K1882-K1874)</f>
        <v>1</v>
      </c>
      <c r="AS1874" s="290">
        <f>21-8</f>
        <v>13</v>
      </c>
    </row>
    <row r="1875" spans="2:45" ht="14.25" thickBot="1" x14ac:dyDescent="0.3">
      <c r="B1875" s="5">
        <v>273680</v>
      </c>
      <c r="C1875" s="6">
        <v>1135751</v>
      </c>
      <c r="D1875" s="6" t="s">
        <v>12</v>
      </c>
      <c r="E1875" s="6" t="s">
        <v>13</v>
      </c>
      <c r="F1875" s="254">
        <f>G1883+AL1875</f>
        <v>16</v>
      </c>
      <c r="G1875" s="237">
        <v>16</v>
      </c>
      <c r="H1875" s="384"/>
      <c r="I1875" s="238">
        <v>16</v>
      </c>
      <c r="J1875" s="238"/>
      <c r="K1875" s="238">
        <v>0</v>
      </c>
      <c r="L1875" s="238">
        <f>IF(K1878=K1870,L1883+AK1875,K1875)</f>
        <v>0</v>
      </c>
      <c r="M1875" s="238">
        <f>IF(K1878=K1870,0,L1883+AK1875-K1875)</f>
        <v>5</v>
      </c>
      <c r="N1875" s="266">
        <v>16</v>
      </c>
      <c r="O1875" s="242">
        <f>N1875-G1875</f>
        <v>0</v>
      </c>
      <c r="P1875" s="271"/>
      <c r="Q1875" s="272"/>
      <c r="R1875" s="273"/>
      <c r="S1875" s="242"/>
      <c r="T1875" s="242"/>
      <c r="U1875" s="242"/>
      <c r="V1875" s="242"/>
      <c r="W1875" s="242"/>
      <c r="X1875" s="242"/>
      <c r="Y1875" s="242"/>
      <c r="Z1875" s="242"/>
      <c r="AA1875" s="242"/>
      <c r="AB1875" s="242"/>
      <c r="AC1875" s="242"/>
      <c r="AD1875" s="242"/>
      <c r="AE1875" s="242"/>
      <c r="AF1875" s="242"/>
      <c r="AG1875" s="242"/>
      <c r="AH1875" s="242"/>
      <c r="AI1875" s="242"/>
      <c r="AJ1875" s="264">
        <f>AJ1883-S1875+AL1875</f>
        <v>16</v>
      </c>
      <c r="AK1875" s="237">
        <f>IF((G1883-G1875)&gt;0,G1883-G1875,0)</f>
        <v>0</v>
      </c>
      <c r="AL1875" s="239">
        <v>0</v>
      </c>
      <c r="AM1875" s="299">
        <f>30/12</f>
        <v>2.5</v>
      </c>
      <c r="AN1875" s="300">
        <f>AM1875*2</f>
        <v>5</v>
      </c>
      <c r="AO1875" s="301">
        <f>G1875/(AN1875)</f>
        <v>3.2</v>
      </c>
      <c r="AP1875" s="302">
        <f>AN1875*6</f>
        <v>30</v>
      </c>
      <c r="AQ1875" s="290">
        <f>G1875+K1875</f>
        <v>16</v>
      </c>
      <c r="AR1875" s="290">
        <f>IF(G1875&lt;G1883,(G1883-G1875+K1883-K1875),K1883-K1875)</f>
        <v>5</v>
      </c>
      <c r="AS1875" s="290">
        <f>21-8</f>
        <v>13</v>
      </c>
    </row>
    <row r="1876" spans="2:45" x14ac:dyDescent="0.25">
      <c r="AL1876" s="290"/>
      <c r="AM1876" s="290"/>
      <c r="AN1876" s="290"/>
      <c r="AO1876" s="290"/>
      <c r="AP1876" s="290"/>
      <c r="AQ1876" s="290"/>
      <c r="AR1876" s="290"/>
      <c r="AS1876" s="290"/>
    </row>
    <row r="1877" spans="2:45" ht="14.25" thickBot="1" x14ac:dyDescent="0.3">
      <c r="B1877" s="338" t="s">
        <v>18</v>
      </c>
      <c r="C1877" s="339">
        <v>45390</v>
      </c>
      <c r="AL1877" s="290"/>
      <c r="AM1877" s="290"/>
      <c r="AN1877" s="290"/>
      <c r="AO1877" s="290"/>
      <c r="AP1877" s="290"/>
      <c r="AQ1877" s="290"/>
      <c r="AR1877" s="290"/>
      <c r="AS1877" s="290"/>
    </row>
    <row r="1878" spans="2:45" ht="41.25" thickBot="1" x14ac:dyDescent="0.3">
      <c r="B1878" s="2" t="s">
        <v>0</v>
      </c>
      <c r="C1878" s="3" t="s">
        <v>1</v>
      </c>
      <c r="D1878" s="3" t="s">
        <v>2</v>
      </c>
      <c r="E1878" s="3" t="s">
        <v>3</v>
      </c>
      <c r="F1878" s="4" t="s">
        <v>318</v>
      </c>
      <c r="G1878" s="233" t="s">
        <v>4</v>
      </c>
      <c r="H1878" s="386"/>
      <c r="I1878" s="234" t="s">
        <v>325</v>
      </c>
      <c r="J1878" s="234"/>
      <c r="K1878" s="258" t="s">
        <v>326</v>
      </c>
      <c r="L1878" s="258" t="s">
        <v>328</v>
      </c>
      <c r="M1878" s="258" t="s">
        <v>327</v>
      </c>
      <c r="N1878" s="234" t="s">
        <v>330</v>
      </c>
      <c r="O1878" s="240" t="s">
        <v>130</v>
      </c>
      <c r="P1878" s="243" t="s">
        <v>303</v>
      </c>
      <c r="Q1878" s="244" t="s">
        <v>304</v>
      </c>
      <c r="R1878" s="244" t="s">
        <v>314</v>
      </c>
      <c r="S1878" s="245" t="s">
        <v>338</v>
      </c>
      <c r="T1878" s="245" t="s">
        <v>345</v>
      </c>
      <c r="U1878" s="245" t="s">
        <v>361</v>
      </c>
      <c r="V1878" s="245" t="s">
        <v>387</v>
      </c>
      <c r="W1878" s="245" t="s">
        <v>421</v>
      </c>
      <c r="X1878" s="245" t="s">
        <v>451</v>
      </c>
      <c r="Y1878" s="245"/>
      <c r="Z1878" s="245"/>
      <c r="AA1878" s="245"/>
      <c r="AB1878" s="245"/>
      <c r="AC1878" s="245"/>
      <c r="AD1878" s="245"/>
      <c r="AE1878" s="245"/>
      <c r="AF1878" s="245"/>
      <c r="AG1878" s="245"/>
      <c r="AH1878" s="245"/>
      <c r="AI1878" s="245"/>
      <c r="AJ1878" s="245" t="s">
        <v>309</v>
      </c>
      <c r="AK1878" s="246" t="s">
        <v>268</v>
      </c>
      <c r="AL1878" s="247" t="s">
        <v>269</v>
      </c>
      <c r="AM1878" s="291" t="s">
        <v>288</v>
      </c>
      <c r="AN1878" s="292" t="s">
        <v>289</v>
      </c>
      <c r="AO1878" s="292" t="s">
        <v>287</v>
      </c>
      <c r="AP1878" s="293" t="s">
        <v>290</v>
      </c>
      <c r="AQ1878" s="290" t="s">
        <v>306</v>
      </c>
      <c r="AR1878" s="290" t="s">
        <v>310</v>
      </c>
      <c r="AS1878" s="290" t="s">
        <v>311</v>
      </c>
    </row>
    <row r="1879" spans="2:45" ht="14.25" thickBot="1" x14ac:dyDescent="0.3">
      <c r="B1879" s="5">
        <v>273664</v>
      </c>
      <c r="C1879" s="6">
        <v>1135749</v>
      </c>
      <c r="D1879" s="6" t="s">
        <v>7</v>
      </c>
      <c r="E1879" s="6">
        <v>6060050026</v>
      </c>
      <c r="F1879" s="253">
        <f>G1887+AL1879</f>
        <v>7</v>
      </c>
      <c r="G1879" s="235">
        <v>7</v>
      </c>
      <c r="H1879" s="383"/>
      <c r="I1879" s="232">
        <v>3</v>
      </c>
      <c r="J1879" s="232"/>
      <c r="K1879" s="232">
        <v>2</v>
      </c>
      <c r="L1879" s="232">
        <f>IF(K1886=K1878,L1887+AK1879,K1879)</f>
        <v>2</v>
      </c>
      <c r="M1879" s="232">
        <f>IF(K1886=K1878,0,L1887+AK1879-K1879)</f>
        <v>0</v>
      </c>
      <c r="N1879" s="232">
        <v>7</v>
      </c>
      <c r="O1879" s="241">
        <f>N1879-G1879</f>
        <v>0</v>
      </c>
      <c r="P1879" s="268">
        <v>4</v>
      </c>
      <c r="Q1879" s="269">
        <v>4</v>
      </c>
      <c r="R1879" s="241"/>
      <c r="S1879" s="241"/>
      <c r="T1879" s="241"/>
      <c r="U1879" s="241"/>
      <c r="V1879" s="241"/>
      <c r="W1879" s="241"/>
      <c r="X1879" s="241"/>
      <c r="Y1879" s="241"/>
      <c r="Z1879" s="241"/>
      <c r="AA1879" s="241"/>
      <c r="AB1879" s="241"/>
      <c r="AC1879" s="241"/>
      <c r="AD1879" s="241"/>
      <c r="AE1879" s="241"/>
      <c r="AF1879" s="241"/>
      <c r="AG1879" s="241"/>
      <c r="AH1879" s="241"/>
      <c r="AI1879" s="241"/>
      <c r="AJ1879" s="241">
        <f>N1879-R1879</f>
        <v>7</v>
      </c>
      <c r="AK1879" s="235">
        <f>IF((G1887-G1879)&gt;0,G1887-G1879,0)</f>
        <v>0</v>
      </c>
      <c r="AL1879" s="236">
        <v>0</v>
      </c>
      <c r="AM1879" s="294">
        <v>1.5</v>
      </c>
      <c r="AN1879" s="295">
        <v>4</v>
      </c>
      <c r="AO1879" s="296">
        <f>G1879/(AN1879)</f>
        <v>1.75</v>
      </c>
      <c r="AP1879" s="297">
        <f>AN1879*6</f>
        <v>24</v>
      </c>
      <c r="AQ1879" s="290">
        <f>G1879+K1879</f>
        <v>9</v>
      </c>
      <c r="AR1879" s="290">
        <f>IF(G1879&lt;G1887,(G1887-G1879+K1887-K1879),K1887-K1879)</f>
        <v>0</v>
      </c>
      <c r="AS1879" s="290">
        <f>21-8</f>
        <v>13</v>
      </c>
    </row>
    <row r="1880" spans="2:45" ht="14.25" thickBot="1" x14ac:dyDescent="0.3">
      <c r="B1880" s="5">
        <v>273672</v>
      </c>
      <c r="C1880" s="6">
        <v>1135750</v>
      </c>
      <c r="D1880" s="6" t="s">
        <v>9</v>
      </c>
      <c r="E1880" s="215">
        <v>204000000000</v>
      </c>
      <c r="F1880" s="253">
        <f>G1888+AL1880</f>
        <v>2</v>
      </c>
      <c r="G1880" s="235">
        <v>2</v>
      </c>
      <c r="H1880" s="383"/>
      <c r="I1880" s="232">
        <v>2</v>
      </c>
      <c r="J1880" s="232"/>
      <c r="K1880" s="232">
        <v>5</v>
      </c>
      <c r="L1880" s="232">
        <f>IF(K1886=K1878,L1888+AK1880,K1880)</f>
        <v>5</v>
      </c>
      <c r="M1880" s="232">
        <f>IF(K1886=K1878,0,L1888+AK1880-K1880)</f>
        <v>0</v>
      </c>
      <c r="N1880" s="232">
        <v>6</v>
      </c>
      <c r="O1880" s="241">
        <f>N1880-G1880</f>
        <v>4</v>
      </c>
      <c r="P1880" s="268">
        <v>13</v>
      </c>
      <c r="Q1880" s="269">
        <v>2</v>
      </c>
      <c r="R1880" s="241">
        <v>6</v>
      </c>
      <c r="S1880" s="241"/>
      <c r="T1880" s="241"/>
      <c r="U1880" s="241"/>
      <c r="V1880" s="241"/>
      <c r="W1880" s="241"/>
      <c r="X1880" s="241"/>
      <c r="Y1880" s="241"/>
      <c r="Z1880" s="241"/>
      <c r="AA1880" s="241"/>
      <c r="AB1880" s="241"/>
      <c r="AC1880" s="241"/>
      <c r="AD1880" s="241"/>
      <c r="AE1880" s="241"/>
      <c r="AF1880" s="241"/>
      <c r="AG1880" s="241"/>
      <c r="AH1880" s="241"/>
      <c r="AI1880" s="241"/>
      <c r="AJ1880" s="241">
        <f>N1880-R1880</f>
        <v>0</v>
      </c>
      <c r="AK1880" s="235">
        <f>IF((G1888-G1880)&gt;0,G1888-G1880,0)</f>
        <v>0</v>
      </c>
      <c r="AL1880" s="236">
        <v>0</v>
      </c>
      <c r="AM1880" s="298">
        <v>4.2</v>
      </c>
      <c r="AN1880" s="295">
        <v>9</v>
      </c>
      <c r="AO1880" s="296">
        <f>G1880/(AN1880)</f>
        <v>0.22222222222222221</v>
      </c>
      <c r="AP1880" s="297">
        <f>AN1880*6</f>
        <v>54</v>
      </c>
      <c r="AQ1880" s="290">
        <f>G1880+K1880</f>
        <v>7</v>
      </c>
      <c r="AR1880" s="290">
        <f>IF(G1880&lt;G1888,(G1888-G1880+K1888-K1880),K1888-K1880)</f>
        <v>0</v>
      </c>
      <c r="AS1880" s="290">
        <f>21-8</f>
        <v>13</v>
      </c>
    </row>
    <row r="1881" spans="2:45" ht="14.25" thickBot="1" x14ac:dyDescent="0.3">
      <c r="B1881" s="5">
        <v>273702</v>
      </c>
      <c r="C1881" s="6">
        <v>1135753</v>
      </c>
      <c r="D1881" s="6" t="s">
        <v>10</v>
      </c>
      <c r="E1881" s="215">
        <v>301000000000</v>
      </c>
      <c r="F1881" s="253">
        <f>G1889+AL1881</f>
        <v>2</v>
      </c>
      <c r="G1881" s="235">
        <v>2</v>
      </c>
      <c r="H1881" s="383"/>
      <c r="I1881" s="232">
        <v>3</v>
      </c>
      <c r="J1881" s="232"/>
      <c r="K1881" s="232">
        <v>1</v>
      </c>
      <c r="L1881" s="232">
        <f>IF(K1886=K1878,L1889+AK1881,K1881)</f>
        <v>1</v>
      </c>
      <c r="M1881" s="232">
        <f>IF(K1886=K1878,0,L1889+AK1881-K1881)</f>
        <v>0</v>
      </c>
      <c r="N1881" s="232">
        <v>2</v>
      </c>
      <c r="O1881" s="241">
        <f>N1881-G1881</f>
        <v>0</v>
      </c>
      <c r="P1881" s="268"/>
      <c r="Q1881" s="269"/>
      <c r="R1881" s="241"/>
      <c r="S1881" s="241"/>
      <c r="T1881" s="241"/>
      <c r="U1881" s="241"/>
      <c r="V1881" s="241"/>
      <c r="W1881" s="241"/>
      <c r="X1881" s="241"/>
      <c r="Y1881" s="241"/>
      <c r="Z1881" s="241"/>
      <c r="AA1881" s="241"/>
      <c r="AB1881" s="241"/>
      <c r="AC1881" s="241"/>
      <c r="AD1881" s="241"/>
      <c r="AE1881" s="241"/>
      <c r="AF1881" s="241"/>
      <c r="AG1881" s="241"/>
      <c r="AH1881" s="241"/>
      <c r="AI1881" s="241"/>
      <c r="AJ1881" s="241">
        <f>N1881-R1881</f>
        <v>2</v>
      </c>
      <c r="AK1881" s="235">
        <f>IF((G1889-G1881)&gt;0,G1889-G1881,0)</f>
        <v>0</v>
      </c>
      <c r="AL1881" s="236">
        <v>0</v>
      </c>
      <c r="AM1881" s="294">
        <f>4/12</f>
        <v>0.33333333333333331</v>
      </c>
      <c r="AN1881" s="295">
        <v>2</v>
      </c>
      <c r="AO1881" s="296">
        <f>G1881/(AN1881)</f>
        <v>1</v>
      </c>
      <c r="AP1881" s="297">
        <f>AN1881*6</f>
        <v>12</v>
      </c>
      <c r="AQ1881" s="290">
        <f>G1881+K1881</f>
        <v>3</v>
      </c>
      <c r="AR1881" s="290">
        <f>IF(G1881&lt;G1889,(G1889-G1881+K1889-K1881),K1889-K1881)</f>
        <v>0</v>
      </c>
      <c r="AS1881" s="290">
        <f>21-8</f>
        <v>13</v>
      </c>
    </row>
    <row r="1882" spans="2:45" ht="14.25" thickBot="1" x14ac:dyDescent="0.3">
      <c r="B1882" s="5">
        <v>273698</v>
      </c>
      <c r="C1882" s="6">
        <v>1135752</v>
      </c>
      <c r="D1882" s="6" t="s">
        <v>11</v>
      </c>
      <c r="E1882" s="215">
        <v>701000000000</v>
      </c>
      <c r="F1882" s="253">
        <f>G1890+AL1882</f>
        <v>3</v>
      </c>
      <c r="G1882" s="235">
        <v>3</v>
      </c>
      <c r="H1882" s="383"/>
      <c r="I1882" s="232">
        <v>1</v>
      </c>
      <c r="J1882" s="232"/>
      <c r="K1882" s="232">
        <v>4</v>
      </c>
      <c r="L1882" s="232">
        <f>IF(K1886=K1878,L1890+AK1882,K1882)</f>
        <v>4</v>
      </c>
      <c r="M1882" s="232">
        <f>IF(K1886=K1878,0,L1890+AK1882-K1882)</f>
        <v>0</v>
      </c>
      <c r="N1882" s="232">
        <v>4</v>
      </c>
      <c r="O1882" s="241">
        <f>N1882-G1882</f>
        <v>1</v>
      </c>
      <c r="P1882" s="268">
        <v>2</v>
      </c>
      <c r="Q1882" s="269"/>
      <c r="R1882" s="241"/>
      <c r="S1882" s="241"/>
      <c r="T1882" s="241"/>
      <c r="U1882" s="241"/>
      <c r="V1882" s="241"/>
      <c r="W1882" s="241"/>
      <c r="X1882" s="241"/>
      <c r="Y1882" s="241"/>
      <c r="Z1882" s="241"/>
      <c r="AA1882" s="241"/>
      <c r="AB1882" s="241"/>
      <c r="AC1882" s="241"/>
      <c r="AD1882" s="241"/>
      <c r="AE1882" s="241"/>
      <c r="AF1882" s="241"/>
      <c r="AG1882" s="241"/>
      <c r="AH1882" s="241"/>
      <c r="AI1882" s="241"/>
      <c r="AJ1882" s="241">
        <f>N1882-R1882</f>
        <v>4</v>
      </c>
      <c r="AK1882" s="235">
        <f>IF((G1890-G1882)&gt;0,G1890-G1882,0)</f>
        <v>0</v>
      </c>
      <c r="AL1882" s="236">
        <v>0</v>
      </c>
      <c r="AM1882" s="294">
        <f>4/12</f>
        <v>0.33333333333333331</v>
      </c>
      <c r="AN1882" s="295">
        <v>2</v>
      </c>
      <c r="AO1882" s="296">
        <f>G1882/(AN1882)</f>
        <v>1.5</v>
      </c>
      <c r="AP1882" s="297">
        <f>AN1882*6</f>
        <v>12</v>
      </c>
      <c r="AQ1882" s="290">
        <f>G1882+K1882</f>
        <v>7</v>
      </c>
      <c r="AR1882" s="290">
        <f>IF(G1882&lt;G1890,(G1890-G1882+K1890-K1882),K1890-K1882)</f>
        <v>0</v>
      </c>
      <c r="AS1882" s="290">
        <f>21-8</f>
        <v>13</v>
      </c>
    </row>
    <row r="1883" spans="2:45" ht="14.25" thickBot="1" x14ac:dyDescent="0.3">
      <c r="B1883" s="5">
        <v>273680</v>
      </c>
      <c r="C1883" s="6">
        <v>1135751</v>
      </c>
      <c r="D1883" s="6" t="s">
        <v>12</v>
      </c>
      <c r="E1883" s="6" t="s">
        <v>13</v>
      </c>
      <c r="F1883" s="254">
        <f>G1891+AL1883</f>
        <v>16</v>
      </c>
      <c r="G1883" s="237">
        <v>16</v>
      </c>
      <c r="H1883" s="384"/>
      <c r="I1883" s="238">
        <v>16</v>
      </c>
      <c r="J1883" s="238"/>
      <c r="K1883" s="238">
        <v>5</v>
      </c>
      <c r="L1883" s="238">
        <f>IF(K1886=K1878,L1891+AK1883,K1883)</f>
        <v>5</v>
      </c>
      <c r="M1883" s="238">
        <f>IF(K1886=K1878,0,L1891+AK1883-K1883)</f>
        <v>0</v>
      </c>
      <c r="N1883" s="238">
        <v>16</v>
      </c>
      <c r="O1883" s="242">
        <f>N1883-G1883</f>
        <v>0</v>
      </c>
      <c r="P1883" s="271"/>
      <c r="Q1883" s="272"/>
      <c r="R1883" s="242"/>
      <c r="S1883" s="242"/>
      <c r="T1883" s="242"/>
      <c r="U1883" s="242"/>
      <c r="V1883" s="242"/>
      <c r="W1883" s="242"/>
      <c r="X1883" s="242"/>
      <c r="Y1883" s="242"/>
      <c r="Z1883" s="242"/>
      <c r="AA1883" s="242"/>
      <c r="AB1883" s="242"/>
      <c r="AC1883" s="242"/>
      <c r="AD1883" s="242"/>
      <c r="AE1883" s="242"/>
      <c r="AF1883" s="242"/>
      <c r="AG1883" s="242"/>
      <c r="AH1883" s="242"/>
      <c r="AI1883" s="242"/>
      <c r="AJ1883" s="242">
        <f>N1883-R1883</f>
        <v>16</v>
      </c>
      <c r="AK1883" s="237">
        <f>IF((G1891-G1883)&gt;0,G1891-G1883,0)</f>
        <v>0</v>
      </c>
      <c r="AL1883" s="239">
        <v>0</v>
      </c>
      <c r="AM1883" s="299">
        <f>30/12</f>
        <v>2.5</v>
      </c>
      <c r="AN1883" s="300">
        <f>AM1883*2</f>
        <v>5</v>
      </c>
      <c r="AO1883" s="301">
        <f>G1883/(AN1883)</f>
        <v>3.2</v>
      </c>
      <c r="AP1883" s="302">
        <f>AN1883*6</f>
        <v>30</v>
      </c>
      <c r="AQ1883" s="290">
        <f>G1883+K1883</f>
        <v>21</v>
      </c>
      <c r="AR1883" s="290">
        <f>IF(G1883&lt;G1891,(G1891-G1883+K1891-K1883),K1891-K1883)</f>
        <v>0</v>
      </c>
      <c r="AS1883" s="290">
        <f>21-8</f>
        <v>13</v>
      </c>
    </row>
    <row r="1884" spans="2:45" x14ac:dyDescent="0.25">
      <c r="AL1884" s="290"/>
      <c r="AM1884" s="290"/>
      <c r="AN1884" s="290"/>
      <c r="AO1884" s="290"/>
      <c r="AP1884" s="290"/>
      <c r="AQ1884" s="290"/>
      <c r="AR1884" s="290"/>
      <c r="AS1884" s="290"/>
    </row>
    <row r="1885" spans="2:45" ht="14.25" thickBot="1" x14ac:dyDescent="0.3">
      <c r="B1885" s="338" t="s">
        <v>18</v>
      </c>
      <c r="C1885" s="339">
        <v>45383</v>
      </c>
      <c r="AL1885" s="290"/>
      <c r="AM1885" s="290"/>
      <c r="AN1885" s="290"/>
      <c r="AO1885" s="290"/>
      <c r="AP1885" s="290"/>
      <c r="AQ1885" s="290"/>
      <c r="AR1885" s="290"/>
      <c r="AS1885" s="290"/>
    </row>
    <row r="1886" spans="2:45" ht="41.25" thickBot="1" x14ac:dyDescent="0.3">
      <c r="B1886" s="2" t="s">
        <v>0</v>
      </c>
      <c r="C1886" s="3" t="s">
        <v>1</v>
      </c>
      <c r="D1886" s="3" t="s">
        <v>2</v>
      </c>
      <c r="E1886" s="3" t="s">
        <v>3</v>
      </c>
      <c r="F1886" s="4" t="s">
        <v>318</v>
      </c>
      <c r="G1886" s="233" t="s">
        <v>4</v>
      </c>
      <c r="H1886" s="386"/>
      <c r="I1886" s="234" t="s">
        <v>325</v>
      </c>
      <c r="J1886" s="234"/>
      <c r="K1886" s="258" t="s">
        <v>326</v>
      </c>
      <c r="L1886" s="258" t="s">
        <v>328</v>
      </c>
      <c r="M1886" s="258" t="s">
        <v>327</v>
      </c>
      <c r="N1886" s="234" t="s">
        <v>329</v>
      </c>
      <c r="O1886" s="240" t="s">
        <v>130</v>
      </c>
      <c r="P1886" s="243" t="s">
        <v>303</v>
      </c>
      <c r="Q1886" s="244" t="s">
        <v>304</v>
      </c>
      <c r="R1886" s="244" t="s">
        <v>314</v>
      </c>
      <c r="S1886" s="245" t="s">
        <v>338</v>
      </c>
      <c r="T1886" s="245" t="s">
        <v>345</v>
      </c>
      <c r="U1886" s="245" t="s">
        <v>361</v>
      </c>
      <c r="V1886" s="245" t="s">
        <v>387</v>
      </c>
      <c r="W1886" s="245" t="s">
        <v>421</v>
      </c>
      <c r="X1886" s="245" t="s">
        <v>451</v>
      </c>
      <c r="Y1886" s="245"/>
      <c r="Z1886" s="245"/>
      <c r="AA1886" s="245"/>
      <c r="AB1886" s="245"/>
      <c r="AC1886" s="245"/>
      <c r="AD1886" s="245"/>
      <c r="AE1886" s="245"/>
      <c r="AF1886" s="245"/>
      <c r="AG1886" s="245"/>
      <c r="AH1886" s="245"/>
      <c r="AI1886" s="245"/>
      <c r="AJ1886" s="245" t="s">
        <v>309</v>
      </c>
      <c r="AK1886" s="246" t="s">
        <v>268</v>
      </c>
      <c r="AL1886" s="247" t="s">
        <v>269</v>
      </c>
      <c r="AM1886" s="291" t="s">
        <v>288</v>
      </c>
      <c r="AN1886" s="292" t="s">
        <v>289</v>
      </c>
      <c r="AO1886" s="292" t="s">
        <v>287</v>
      </c>
      <c r="AP1886" s="293" t="s">
        <v>290</v>
      </c>
      <c r="AQ1886" s="290" t="s">
        <v>306</v>
      </c>
      <c r="AR1886" s="290" t="s">
        <v>310</v>
      </c>
      <c r="AS1886" s="290" t="s">
        <v>311</v>
      </c>
    </row>
    <row r="1887" spans="2:45" ht="14.25" thickBot="1" x14ac:dyDescent="0.3">
      <c r="B1887" s="5">
        <v>273664</v>
      </c>
      <c r="C1887" s="6">
        <v>1135749</v>
      </c>
      <c r="D1887" s="6" t="s">
        <v>7</v>
      </c>
      <c r="E1887" s="6">
        <v>6060050026</v>
      </c>
      <c r="F1887" s="253">
        <f>G1895+AL1887</f>
        <v>7</v>
      </c>
      <c r="G1887" s="235">
        <v>7</v>
      </c>
      <c r="H1887" s="383"/>
      <c r="I1887" s="232">
        <v>3</v>
      </c>
      <c r="J1887" s="232"/>
      <c r="K1887" s="232">
        <v>2</v>
      </c>
      <c r="L1887" s="232">
        <f>IF(K1894=K1886,L1895+AK1887,K1887)</f>
        <v>2</v>
      </c>
      <c r="M1887" s="232">
        <f>IF(K1894=K1886,0,L1895+AK1887-K1887)</f>
        <v>0</v>
      </c>
      <c r="N1887" s="259">
        <v>7</v>
      </c>
      <c r="O1887" s="241">
        <f>N1887-G1887</f>
        <v>0</v>
      </c>
      <c r="P1887" s="268">
        <v>4</v>
      </c>
      <c r="Q1887" s="269">
        <v>4</v>
      </c>
      <c r="R1887" s="241"/>
      <c r="S1887" s="241"/>
      <c r="T1887" s="241"/>
      <c r="U1887" s="241"/>
      <c r="V1887" s="241"/>
      <c r="W1887" s="241"/>
      <c r="X1887" s="241"/>
      <c r="Y1887" s="241"/>
      <c r="Z1887" s="241"/>
      <c r="AA1887" s="241"/>
      <c r="AB1887" s="241"/>
      <c r="AC1887" s="241"/>
      <c r="AD1887" s="241"/>
      <c r="AE1887" s="241"/>
      <c r="AF1887" s="241"/>
      <c r="AG1887" s="241"/>
      <c r="AH1887" s="241"/>
      <c r="AI1887" s="241"/>
      <c r="AJ1887" s="260">
        <f>N1887-R1887</f>
        <v>7</v>
      </c>
      <c r="AK1887" s="235">
        <f>IF((G1895-G1887)&gt;0,G1895-G1887,0)</f>
        <v>0</v>
      </c>
      <c r="AL1887" s="236">
        <v>4</v>
      </c>
      <c r="AM1887" s="294">
        <v>1.5</v>
      </c>
      <c r="AN1887" s="295">
        <v>4</v>
      </c>
      <c r="AO1887" s="296">
        <f>G1887/(AN1887)</f>
        <v>1.75</v>
      </c>
      <c r="AP1887" s="297">
        <f>AN1887*6</f>
        <v>24</v>
      </c>
      <c r="AQ1887" s="290">
        <f>G1887+K1887</f>
        <v>9</v>
      </c>
      <c r="AR1887" s="290">
        <f>IF(G1887&lt;G1895,(G1895-G1887+K1895-K1887),K1895-K1887)</f>
        <v>0</v>
      </c>
      <c r="AS1887" s="290">
        <f>21-8</f>
        <v>13</v>
      </c>
    </row>
    <row r="1888" spans="2:45" ht="14.25" thickBot="1" x14ac:dyDescent="0.3">
      <c r="B1888" s="5">
        <v>273672</v>
      </c>
      <c r="C1888" s="6">
        <v>1135750</v>
      </c>
      <c r="D1888" s="6" t="s">
        <v>9</v>
      </c>
      <c r="E1888" s="215">
        <v>204000000000</v>
      </c>
      <c r="F1888" s="253">
        <f>G1896+AL1888</f>
        <v>2</v>
      </c>
      <c r="G1888" s="235">
        <v>2</v>
      </c>
      <c r="H1888" s="383"/>
      <c r="I1888" s="232">
        <v>2</v>
      </c>
      <c r="J1888" s="232"/>
      <c r="K1888" s="232">
        <v>5</v>
      </c>
      <c r="L1888" s="232">
        <f>IF(K1894=K1886,L1896+AK1888,K1888)</f>
        <v>5</v>
      </c>
      <c r="M1888" s="232">
        <f>IF(K1894=K1886,0,L1896+AK1888-K1888)</f>
        <v>0</v>
      </c>
      <c r="N1888" s="259">
        <v>6</v>
      </c>
      <c r="O1888" s="241">
        <f>N1888-G1888</f>
        <v>4</v>
      </c>
      <c r="P1888" s="268">
        <v>13</v>
      </c>
      <c r="Q1888" s="269">
        <v>2</v>
      </c>
      <c r="R1888" s="241">
        <v>6</v>
      </c>
      <c r="S1888" s="241"/>
      <c r="T1888" s="241"/>
      <c r="U1888" s="241"/>
      <c r="V1888" s="241"/>
      <c r="W1888" s="241"/>
      <c r="X1888" s="241"/>
      <c r="Y1888" s="241"/>
      <c r="Z1888" s="241"/>
      <c r="AA1888" s="241"/>
      <c r="AB1888" s="241"/>
      <c r="AC1888" s="241"/>
      <c r="AD1888" s="241"/>
      <c r="AE1888" s="241"/>
      <c r="AF1888" s="241"/>
      <c r="AG1888" s="241"/>
      <c r="AH1888" s="241"/>
      <c r="AI1888" s="241"/>
      <c r="AJ1888" s="260">
        <f>N1888-R1888</f>
        <v>0</v>
      </c>
      <c r="AK1888" s="235">
        <f>IF((G1896-G1888)&gt;0,G1896-G1888,0)</f>
        <v>0</v>
      </c>
      <c r="AL1888" s="236">
        <v>0</v>
      </c>
      <c r="AM1888" s="298">
        <v>4.2</v>
      </c>
      <c r="AN1888" s="295">
        <v>9</v>
      </c>
      <c r="AO1888" s="296">
        <f>G1888/(AN1888)</f>
        <v>0.22222222222222221</v>
      </c>
      <c r="AP1888" s="297">
        <f>AN1888*6</f>
        <v>54</v>
      </c>
      <c r="AQ1888" s="290">
        <f>G1888+K1888</f>
        <v>7</v>
      </c>
      <c r="AR1888" s="290">
        <f>IF(G1888&lt;G1896,(G1896-G1888+K1896-K1888),K1896-K1888)</f>
        <v>0</v>
      </c>
      <c r="AS1888" s="290">
        <f>21-8</f>
        <v>13</v>
      </c>
    </row>
    <row r="1889" spans="2:45" ht="14.25" thickBot="1" x14ac:dyDescent="0.3">
      <c r="B1889" s="5">
        <v>273702</v>
      </c>
      <c r="C1889" s="6">
        <v>1135753</v>
      </c>
      <c r="D1889" s="6" t="s">
        <v>10</v>
      </c>
      <c r="E1889" s="215">
        <v>301000000000</v>
      </c>
      <c r="F1889" s="253">
        <f>G1897+AL1889</f>
        <v>2</v>
      </c>
      <c r="G1889" s="235">
        <v>2</v>
      </c>
      <c r="H1889" s="383"/>
      <c r="I1889" s="232">
        <v>3</v>
      </c>
      <c r="J1889" s="232"/>
      <c r="K1889" s="232">
        <v>1</v>
      </c>
      <c r="L1889" s="232">
        <f>IF(K1894=K1886,L1897+AK1889,K1889)</f>
        <v>1</v>
      </c>
      <c r="M1889" s="232">
        <f>IF(K1894=K1886,0,L1897+AK1889-K1889)</f>
        <v>0</v>
      </c>
      <c r="N1889" s="259">
        <v>2</v>
      </c>
      <c r="O1889" s="241">
        <f>N1889-G1889</f>
        <v>0</v>
      </c>
      <c r="P1889" s="268"/>
      <c r="Q1889" s="269"/>
      <c r="R1889" s="241"/>
      <c r="S1889" s="241"/>
      <c r="T1889" s="241"/>
      <c r="U1889" s="241"/>
      <c r="V1889" s="241"/>
      <c r="W1889" s="241"/>
      <c r="X1889" s="241"/>
      <c r="Y1889" s="241"/>
      <c r="Z1889" s="241"/>
      <c r="AA1889" s="241"/>
      <c r="AB1889" s="241"/>
      <c r="AC1889" s="241"/>
      <c r="AD1889" s="241"/>
      <c r="AE1889" s="241"/>
      <c r="AF1889" s="241"/>
      <c r="AG1889" s="241"/>
      <c r="AH1889" s="241"/>
      <c r="AI1889" s="241"/>
      <c r="AJ1889" s="260">
        <f>N1889-R1889</f>
        <v>2</v>
      </c>
      <c r="AK1889" s="235">
        <f>IF((G1897-G1889)&gt;0,G1897-G1889,0)</f>
        <v>0</v>
      </c>
      <c r="AL1889" s="236">
        <v>0</v>
      </c>
      <c r="AM1889" s="294">
        <f>4/12</f>
        <v>0.33333333333333331</v>
      </c>
      <c r="AN1889" s="295">
        <v>2</v>
      </c>
      <c r="AO1889" s="296">
        <f>G1889/(AN1889)</f>
        <v>1</v>
      </c>
      <c r="AP1889" s="297">
        <f>AN1889*6</f>
        <v>12</v>
      </c>
      <c r="AQ1889" s="290">
        <f>G1889+K1889</f>
        <v>3</v>
      </c>
      <c r="AR1889" s="290">
        <f>IF(G1889&lt;G1897,(G1897-G1889+K1897-K1889),K1897-K1889)</f>
        <v>0</v>
      </c>
      <c r="AS1889" s="290">
        <f>21-8</f>
        <v>13</v>
      </c>
    </row>
    <row r="1890" spans="2:45" ht="14.25" thickBot="1" x14ac:dyDescent="0.3">
      <c r="B1890" s="5">
        <v>273698</v>
      </c>
      <c r="C1890" s="6">
        <v>1135752</v>
      </c>
      <c r="D1890" s="6" t="s">
        <v>11</v>
      </c>
      <c r="E1890" s="215">
        <v>701000000000</v>
      </c>
      <c r="F1890" s="253">
        <f>G1898+AL1890</f>
        <v>3</v>
      </c>
      <c r="G1890" s="235">
        <v>3</v>
      </c>
      <c r="H1890" s="383"/>
      <c r="I1890" s="232">
        <v>1</v>
      </c>
      <c r="J1890" s="232"/>
      <c r="K1890" s="232">
        <v>4</v>
      </c>
      <c r="L1890" s="232">
        <f>IF(K1894=K1886,L1898+AK1890,K1890)</f>
        <v>4</v>
      </c>
      <c r="M1890" s="232">
        <f>IF(K1894=K1886,0,L1898+AK1890-K1890)</f>
        <v>0</v>
      </c>
      <c r="N1890" s="259">
        <v>4</v>
      </c>
      <c r="O1890" s="241">
        <f>N1890-G1890</f>
        <v>1</v>
      </c>
      <c r="P1890" s="268">
        <v>2</v>
      </c>
      <c r="Q1890" s="269"/>
      <c r="R1890" s="241"/>
      <c r="S1890" s="241"/>
      <c r="T1890" s="241"/>
      <c r="U1890" s="241"/>
      <c r="V1890" s="241"/>
      <c r="W1890" s="241"/>
      <c r="X1890" s="241"/>
      <c r="Y1890" s="241"/>
      <c r="Z1890" s="241"/>
      <c r="AA1890" s="241"/>
      <c r="AB1890" s="241"/>
      <c r="AC1890" s="241"/>
      <c r="AD1890" s="241"/>
      <c r="AE1890" s="241"/>
      <c r="AF1890" s="241"/>
      <c r="AG1890" s="241"/>
      <c r="AH1890" s="241"/>
      <c r="AI1890" s="241"/>
      <c r="AJ1890" s="260">
        <f>N1890-R1890</f>
        <v>4</v>
      </c>
      <c r="AK1890" s="235">
        <f>IF((G1898-G1890)&gt;0,G1898-G1890,0)</f>
        <v>0</v>
      </c>
      <c r="AL1890" s="236">
        <v>2</v>
      </c>
      <c r="AM1890" s="294">
        <f>4/12</f>
        <v>0.33333333333333331</v>
      </c>
      <c r="AN1890" s="295">
        <v>2</v>
      </c>
      <c r="AO1890" s="296">
        <f>G1890/(AN1890)</f>
        <v>1.5</v>
      </c>
      <c r="AP1890" s="297">
        <f>AN1890*6</f>
        <v>12</v>
      </c>
      <c r="AQ1890" s="290">
        <f>G1890+K1890</f>
        <v>7</v>
      </c>
      <c r="AR1890" s="290">
        <f>IF(G1890&lt;G1898,(G1898-G1890+K1898-K1890),K1898-K1890)</f>
        <v>0</v>
      </c>
      <c r="AS1890" s="290">
        <f>21-8</f>
        <v>13</v>
      </c>
    </row>
    <row r="1891" spans="2:45" ht="14.25" thickBot="1" x14ac:dyDescent="0.3">
      <c r="B1891" s="5">
        <v>273680</v>
      </c>
      <c r="C1891" s="6">
        <v>1135751</v>
      </c>
      <c r="D1891" s="6" t="s">
        <v>12</v>
      </c>
      <c r="E1891" s="6" t="s">
        <v>13</v>
      </c>
      <c r="F1891" s="254">
        <f>G1899+AL1891</f>
        <v>16</v>
      </c>
      <c r="G1891" s="237">
        <v>16</v>
      </c>
      <c r="H1891" s="384"/>
      <c r="I1891" s="238">
        <v>16</v>
      </c>
      <c r="J1891" s="238"/>
      <c r="K1891" s="238">
        <v>5</v>
      </c>
      <c r="L1891" s="238">
        <f>IF(K1894=K1886,L1899+AK1891,K1891)</f>
        <v>5</v>
      </c>
      <c r="M1891" s="238">
        <f>IF(K1894=K1886,0,L1899+AK1891-K1891)</f>
        <v>0</v>
      </c>
      <c r="N1891" s="262">
        <v>16</v>
      </c>
      <c r="O1891" s="242">
        <f>N1891-G1891</f>
        <v>0</v>
      </c>
      <c r="P1891" s="271"/>
      <c r="Q1891" s="272"/>
      <c r="R1891" s="242"/>
      <c r="S1891" s="242"/>
      <c r="T1891" s="242"/>
      <c r="U1891" s="242"/>
      <c r="V1891" s="242"/>
      <c r="W1891" s="242"/>
      <c r="X1891" s="242"/>
      <c r="Y1891" s="242"/>
      <c r="Z1891" s="242"/>
      <c r="AA1891" s="242"/>
      <c r="AB1891" s="242"/>
      <c r="AC1891" s="242"/>
      <c r="AD1891" s="242"/>
      <c r="AE1891" s="242"/>
      <c r="AF1891" s="242"/>
      <c r="AG1891" s="242"/>
      <c r="AH1891" s="242"/>
      <c r="AI1891" s="242"/>
      <c r="AJ1891" s="261">
        <f>N1891-R1891</f>
        <v>16</v>
      </c>
      <c r="AK1891" s="237">
        <f>IF((G1899-G1891)&gt;0,G1899-G1891,0)</f>
        <v>0</v>
      </c>
      <c r="AL1891" s="239">
        <v>0</v>
      </c>
      <c r="AM1891" s="299">
        <f>30/12</f>
        <v>2.5</v>
      </c>
      <c r="AN1891" s="300">
        <f>AM1891*2</f>
        <v>5</v>
      </c>
      <c r="AO1891" s="301">
        <f>G1891/(AN1891)</f>
        <v>3.2</v>
      </c>
      <c r="AP1891" s="302">
        <f>AN1891*6</f>
        <v>30</v>
      </c>
      <c r="AQ1891" s="290">
        <f>G1891+K1891</f>
        <v>21</v>
      </c>
      <c r="AR1891" s="290">
        <f>IF(G1891&lt;G1899,(G1899-G1891+K1899-K1891),K1899-K1891)</f>
        <v>0</v>
      </c>
      <c r="AS1891" s="290">
        <f>21-8</f>
        <v>13</v>
      </c>
    </row>
    <row r="1892" spans="2:45" x14ac:dyDescent="0.25">
      <c r="AL1892" s="290"/>
      <c r="AM1892" s="290"/>
      <c r="AN1892" s="290"/>
      <c r="AO1892" s="290"/>
      <c r="AP1892" s="290"/>
      <c r="AQ1892" s="290"/>
      <c r="AR1892" s="290"/>
      <c r="AS1892" s="290"/>
    </row>
    <row r="1893" spans="2:45" ht="14.25" thickBot="1" x14ac:dyDescent="0.3">
      <c r="B1893" s="338" t="s">
        <v>18</v>
      </c>
      <c r="C1893" s="339">
        <v>45376</v>
      </c>
      <c r="AL1893" s="290"/>
      <c r="AM1893" s="290"/>
      <c r="AN1893" s="290"/>
      <c r="AO1893" s="290"/>
      <c r="AP1893" s="290"/>
      <c r="AQ1893" s="290"/>
      <c r="AR1893" s="290"/>
      <c r="AS1893" s="290"/>
    </row>
    <row r="1894" spans="2:45" ht="41.25" thickBot="1" x14ac:dyDescent="0.3">
      <c r="B1894" s="2" t="s">
        <v>0</v>
      </c>
      <c r="C1894" s="3" t="s">
        <v>1</v>
      </c>
      <c r="D1894" s="3" t="s">
        <v>2</v>
      </c>
      <c r="E1894" s="3" t="s">
        <v>3</v>
      </c>
      <c r="F1894" s="4" t="s">
        <v>318</v>
      </c>
      <c r="G1894" s="233" t="s">
        <v>4</v>
      </c>
      <c r="H1894" s="386"/>
      <c r="I1894" s="234" t="s">
        <v>325</v>
      </c>
      <c r="J1894" s="234"/>
      <c r="K1894" s="258" t="s">
        <v>326</v>
      </c>
      <c r="L1894" s="258" t="s">
        <v>328</v>
      </c>
      <c r="M1894" s="258" t="s">
        <v>327</v>
      </c>
      <c r="N1894" s="234" t="s">
        <v>324</v>
      </c>
      <c r="O1894" s="240" t="s">
        <v>130</v>
      </c>
      <c r="P1894" s="243" t="s">
        <v>303</v>
      </c>
      <c r="Q1894" s="244" t="s">
        <v>304</v>
      </c>
      <c r="R1894" s="244" t="s">
        <v>314</v>
      </c>
      <c r="S1894" s="245" t="s">
        <v>338</v>
      </c>
      <c r="T1894" s="245" t="s">
        <v>345</v>
      </c>
      <c r="U1894" s="245" t="s">
        <v>361</v>
      </c>
      <c r="V1894" s="245" t="s">
        <v>387</v>
      </c>
      <c r="W1894" s="245" t="s">
        <v>421</v>
      </c>
      <c r="X1894" s="245" t="s">
        <v>451</v>
      </c>
      <c r="Y1894" s="245"/>
      <c r="Z1894" s="245"/>
      <c r="AA1894" s="245"/>
      <c r="AB1894" s="245"/>
      <c r="AC1894" s="245"/>
      <c r="AD1894" s="245"/>
      <c r="AE1894" s="245"/>
      <c r="AF1894" s="245"/>
      <c r="AG1894" s="245"/>
      <c r="AH1894" s="245"/>
      <c r="AI1894" s="245"/>
      <c r="AJ1894" s="245" t="s">
        <v>309</v>
      </c>
      <c r="AK1894" s="246" t="s">
        <v>268</v>
      </c>
      <c r="AL1894" s="247" t="s">
        <v>269</v>
      </c>
      <c r="AM1894" s="291" t="s">
        <v>288</v>
      </c>
      <c r="AN1894" s="292" t="s">
        <v>289</v>
      </c>
      <c r="AO1894" s="292" t="s">
        <v>287</v>
      </c>
      <c r="AP1894" s="293" t="s">
        <v>290</v>
      </c>
      <c r="AQ1894" s="290" t="s">
        <v>306</v>
      </c>
      <c r="AR1894" s="290" t="s">
        <v>310</v>
      </c>
      <c r="AS1894" s="290" t="s">
        <v>311</v>
      </c>
    </row>
    <row r="1895" spans="2:45" ht="14.25" thickBot="1" x14ac:dyDescent="0.3">
      <c r="B1895" s="5">
        <v>273664</v>
      </c>
      <c r="C1895" s="6">
        <v>1135749</v>
      </c>
      <c r="D1895" s="6" t="s">
        <v>7</v>
      </c>
      <c r="E1895" s="6">
        <v>6060050026</v>
      </c>
      <c r="F1895" s="253">
        <f>G1903+AL1895</f>
        <v>3</v>
      </c>
      <c r="G1895" s="235">
        <v>3</v>
      </c>
      <c r="H1895" s="383"/>
      <c r="I1895" s="232">
        <v>3</v>
      </c>
      <c r="J1895" s="232"/>
      <c r="K1895" s="232">
        <v>2</v>
      </c>
      <c r="L1895" s="232">
        <f>IF(K1902=K1894,L1903+AK1895,K1895)</f>
        <v>2</v>
      </c>
      <c r="M1895" s="232">
        <f>IF(K1902=K1894,0,L1903+AK1895-K1895)</f>
        <v>0</v>
      </c>
      <c r="N1895" s="232">
        <v>3</v>
      </c>
      <c r="O1895" s="241">
        <f>N1895-G1895</f>
        <v>0</v>
      </c>
      <c r="P1895" s="268">
        <v>4</v>
      </c>
      <c r="Q1895" s="269">
        <v>4</v>
      </c>
      <c r="R1895" s="241"/>
      <c r="S1895" s="241"/>
      <c r="T1895" s="241"/>
      <c r="U1895" s="241"/>
      <c r="V1895" s="241"/>
      <c r="W1895" s="241"/>
      <c r="X1895" s="241"/>
      <c r="Y1895" s="241"/>
      <c r="Z1895" s="241"/>
      <c r="AA1895" s="241"/>
      <c r="AB1895" s="241"/>
      <c r="AC1895" s="241"/>
      <c r="AD1895" s="241"/>
      <c r="AE1895" s="241"/>
      <c r="AF1895" s="241"/>
      <c r="AG1895" s="241"/>
      <c r="AH1895" s="241"/>
      <c r="AI1895" s="241"/>
      <c r="AJ1895" s="241">
        <f>N1895-R1895</f>
        <v>3</v>
      </c>
      <c r="AK1895" s="235">
        <f>IF((G1903-G1895)&gt;0,G1903-G1895,0)</f>
        <v>0</v>
      </c>
      <c r="AL1895" s="236">
        <v>0</v>
      </c>
      <c r="AM1895" s="294">
        <v>1.5</v>
      </c>
      <c r="AN1895" s="295">
        <v>4</v>
      </c>
      <c r="AO1895" s="296">
        <f>G1895/(AN1895)</f>
        <v>0.75</v>
      </c>
      <c r="AP1895" s="297">
        <f>AN1895*6</f>
        <v>24</v>
      </c>
      <c r="AQ1895" s="290">
        <f>G1895+K1895</f>
        <v>5</v>
      </c>
      <c r="AR1895" s="290">
        <f>IF(G1895&lt;G1903,(G1903-G1895+K1903-K1895),K1903-K1895)</f>
        <v>0</v>
      </c>
      <c r="AS1895" s="290">
        <f>21-8</f>
        <v>13</v>
      </c>
    </row>
    <row r="1896" spans="2:45" ht="14.25" thickBot="1" x14ac:dyDescent="0.3">
      <c r="B1896" s="5">
        <v>273672</v>
      </c>
      <c r="C1896" s="6">
        <v>1135750</v>
      </c>
      <c r="D1896" s="6" t="s">
        <v>9</v>
      </c>
      <c r="E1896" s="215">
        <v>204000000000</v>
      </c>
      <c r="F1896" s="253">
        <f>G1904+AL1896</f>
        <v>2</v>
      </c>
      <c r="G1896" s="235">
        <v>2</v>
      </c>
      <c r="H1896" s="383"/>
      <c r="I1896" s="232">
        <v>2</v>
      </c>
      <c r="J1896" s="232"/>
      <c r="K1896" s="232">
        <v>5</v>
      </c>
      <c r="L1896" s="232">
        <f>IF(K1902=K1894,L1904+AK1896,K1896)</f>
        <v>5</v>
      </c>
      <c r="M1896" s="232">
        <f>IF(K1902=K1894,0,L1904+AK1896-K1896)</f>
        <v>3</v>
      </c>
      <c r="N1896" s="232">
        <v>6</v>
      </c>
      <c r="O1896" s="241">
        <f>N1896-G1896</f>
        <v>4</v>
      </c>
      <c r="P1896" s="268">
        <v>13</v>
      </c>
      <c r="Q1896" s="269">
        <v>2</v>
      </c>
      <c r="R1896" s="241">
        <v>6</v>
      </c>
      <c r="S1896" s="241"/>
      <c r="T1896" s="241"/>
      <c r="U1896" s="241"/>
      <c r="V1896" s="241"/>
      <c r="W1896" s="241"/>
      <c r="X1896" s="241"/>
      <c r="Y1896" s="241"/>
      <c r="Z1896" s="241"/>
      <c r="AA1896" s="241"/>
      <c r="AB1896" s="241"/>
      <c r="AC1896" s="241"/>
      <c r="AD1896" s="241"/>
      <c r="AE1896" s="241"/>
      <c r="AF1896" s="241"/>
      <c r="AG1896" s="241"/>
      <c r="AH1896" s="241"/>
      <c r="AI1896" s="241"/>
      <c r="AJ1896" s="241">
        <f>N1896-R1896</f>
        <v>0</v>
      </c>
      <c r="AK1896" s="235">
        <f>IF((G1904-G1896)&gt;0,G1904-G1896,0)</f>
        <v>0</v>
      </c>
      <c r="AL1896" s="236">
        <v>0</v>
      </c>
      <c r="AM1896" s="298">
        <v>4.2</v>
      </c>
      <c r="AN1896" s="295">
        <v>9</v>
      </c>
      <c r="AO1896" s="296">
        <f>G1896/(AN1896)</f>
        <v>0.22222222222222221</v>
      </c>
      <c r="AP1896" s="297">
        <f>AN1896*6</f>
        <v>54</v>
      </c>
      <c r="AQ1896" s="290">
        <f>G1896+K1896</f>
        <v>7</v>
      </c>
      <c r="AR1896" s="290">
        <f>IF(G1896&lt;G1904,(G1904-G1896+K1904-K1896),K1904-K1896)</f>
        <v>-3</v>
      </c>
      <c r="AS1896" s="290">
        <f>21-8</f>
        <v>13</v>
      </c>
    </row>
    <row r="1897" spans="2:45" ht="14.25" thickBot="1" x14ac:dyDescent="0.3">
      <c r="B1897" s="5">
        <v>273702</v>
      </c>
      <c r="C1897" s="6">
        <v>1135753</v>
      </c>
      <c r="D1897" s="6" t="s">
        <v>10</v>
      </c>
      <c r="E1897" s="215">
        <v>301000000000</v>
      </c>
      <c r="F1897" s="253">
        <f>G1905+AL1897</f>
        <v>2</v>
      </c>
      <c r="G1897" s="235">
        <v>2</v>
      </c>
      <c r="H1897" s="383"/>
      <c r="I1897" s="232">
        <v>3</v>
      </c>
      <c r="J1897" s="232"/>
      <c r="K1897" s="232">
        <v>1</v>
      </c>
      <c r="L1897" s="232">
        <f>IF(K1902=K1894,L1905+AK1897,K1897)</f>
        <v>1</v>
      </c>
      <c r="M1897" s="232">
        <f>IF(K1902=K1894,0,L1905+AK1897-K1897)</f>
        <v>0</v>
      </c>
      <c r="N1897" s="232">
        <v>2</v>
      </c>
      <c r="O1897" s="241">
        <f>N1897-G1897</f>
        <v>0</v>
      </c>
      <c r="P1897" s="268"/>
      <c r="Q1897" s="269"/>
      <c r="R1897" s="241"/>
      <c r="S1897" s="241"/>
      <c r="T1897" s="241"/>
      <c r="U1897" s="241"/>
      <c r="V1897" s="241"/>
      <c r="W1897" s="241"/>
      <c r="X1897" s="241"/>
      <c r="Y1897" s="241"/>
      <c r="Z1897" s="241"/>
      <c r="AA1897" s="241"/>
      <c r="AB1897" s="241"/>
      <c r="AC1897" s="241"/>
      <c r="AD1897" s="241"/>
      <c r="AE1897" s="241"/>
      <c r="AF1897" s="241"/>
      <c r="AG1897" s="241"/>
      <c r="AH1897" s="241"/>
      <c r="AI1897" s="241"/>
      <c r="AJ1897" s="241">
        <f>N1897-R1897</f>
        <v>2</v>
      </c>
      <c r="AK1897" s="235">
        <f>IF((G1905-G1897)&gt;0,G1905-G1897,0)</f>
        <v>0</v>
      </c>
      <c r="AL1897" s="236">
        <v>0</v>
      </c>
      <c r="AM1897" s="294">
        <f>4/12</f>
        <v>0.33333333333333331</v>
      </c>
      <c r="AN1897" s="295">
        <v>2</v>
      </c>
      <c r="AO1897" s="296">
        <f>G1897/(AN1897)</f>
        <v>1</v>
      </c>
      <c r="AP1897" s="297">
        <f>AN1897*6</f>
        <v>12</v>
      </c>
      <c r="AQ1897" s="290">
        <f>G1897+K1897</f>
        <v>3</v>
      </c>
      <c r="AR1897" s="290">
        <f>IF(G1897&lt;G1905,(G1905-G1897+K1905-K1897),K1905-K1897)</f>
        <v>0</v>
      </c>
      <c r="AS1897" s="290">
        <f>21-8</f>
        <v>13</v>
      </c>
    </row>
    <row r="1898" spans="2:45" ht="14.25" thickBot="1" x14ac:dyDescent="0.3">
      <c r="B1898" s="5">
        <v>273698</v>
      </c>
      <c r="C1898" s="6">
        <v>1135752</v>
      </c>
      <c r="D1898" s="6" t="s">
        <v>11</v>
      </c>
      <c r="E1898" s="215">
        <v>701000000000</v>
      </c>
      <c r="F1898" s="253">
        <f>G1906+AL1898</f>
        <v>1</v>
      </c>
      <c r="G1898" s="235">
        <v>1</v>
      </c>
      <c r="H1898" s="383"/>
      <c r="I1898" s="232">
        <v>1</v>
      </c>
      <c r="J1898" s="232"/>
      <c r="K1898" s="232">
        <v>4</v>
      </c>
      <c r="L1898" s="232">
        <f>IF(K1902=K1894,L1906+AK1898,K1898)</f>
        <v>4</v>
      </c>
      <c r="M1898" s="232">
        <f>IF(K1902=K1894,0,L1906+AK1898-K1898)</f>
        <v>0</v>
      </c>
      <c r="N1898" s="232">
        <v>4</v>
      </c>
      <c r="O1898" s="241">
        <f>N1898-G1898</f>
        <v>3</v>
      </c>
      <c r="P1898" s="268">
        <v>2</v>
      </c>
      <c r="Q1898" s="269"/>
      <c r="R1898" s="241"/>
      <c r="S1898" s="241"/>
      <c r="T1898" s="241"/>
      <c r="U1898" s="241"/>
      <c r="V1898" s="241"/>
      <c r="W1898" s="241"/>
      <c r="X1898" s="241"/>
      <c r="Y1898" s="241"/>
      <c r="Z1898" s="241"/>
      <c r="AA1898" s="241"/>
      <c r="AB1898" s="241"/>
      <c r="AC1898" s="241"/>
      <c r="AD1898" s="241"/>
      <c r="AE1898" s="241"/>
      <c r="AF1898" s="241"/>
      <c r="AG1898" s="241"/>
      <c r="AH1898" s="241"/>
      <c r="AI1898" s="241"/>
      <c r="AJ1898" s="241">
        <f>N1898-R1898</f>
        <v>4</v>
      </c>
      <c r="AK1898" s="235">
        <f>IF((G1906-G1898)&gt;0,G1906-G1898,0)</f>
        <v>0</v>
      </c>
      <c r="AL1898" s="236">
        <v>0</v>
      </c>
      <c r="AM1898" s="294">
        <f>4/12</f>
        <v>0.33333333333333331</v>
      </c>
      <c r="AN1898" s="295">
        <v>2</v>
      </c>
      <c r="AO1898" s="296">
        <f>G1898/(AN1898)</f>
        <v>0.5</v>
      </c>
      <c r="AP1898" s="297">
        <f>AN1898*6</f>
        <v>12</v>
      </c>
      <c r="AQ1898" s="290">
        <f>G1898+K1898</f>
        <v>5</v>
      </c>
      <c r="AR1898" s="290">
        <f>IF(G1898&lt;G1906,(G1906-G1898+K1906-K1898),K1906-K1898)</f>
        <v>0</v>
      </c>
      <c r="AS1898" s="290">
        <f>21-8</f>
        <v>13</v>
      </c>
    </row>
    <row r="1899" spans="2:45" ht="14.25" thickBot="1" x14ac:dyDescent="0.3">
      <c r="B1899" s="5">
        <v>273680</v>
      </c>
      <c r="C1899" s="6">
        <v>1135751</v>
      </c>
      <c r="D1899" s="6" t="s">
        <v>12</v>
      </c>
      <c r="E1899" s="6" t="s">
        <v>13</v>
      </c>
      <c r="F1899" s="254">
        <f>G1907+AL1899</f>
        <v>16</v>
      </c>
      <c r="G1899" s="237">
        <v>16</v>
      </c>
      <c r="H1899" s="384"/>
      <c r="I1899" s="238">
        <v>16</v>
      </c>
      <c r="J1899" s="238"/>
      <c r="K1899" s="238">
        <v>5</v>
      </c>
      <c r="L1899" s="238">
        <f>IF(K1902=K1894,L1907+AK1899,K1899)</f>
        <v>5</v>
      </c>
      <c r="M1899" s="238">
        <f>IF(K1902=K1894,0,L1907+AK1899-K1899)</f>
        <v>0</v>
      </c>
      <c r="N1899" s="238">
        <v>16</v>
      </c>
      <c r="O1899" s="242">
        <f>N1899-G1899</f>
        <v>0</v>
      </c>
      <c r="P1899" s="271"/>
      <c r="Q1899" s="272"/>
      <c r="R1899" s="242"/>
      <c r="S1899" s="242"/>
      <c r="T1899" s="242"/>
      <c r="U1899" s="242"/>
      <c r="V1899" s="242"/>
      <c r="W1899" s="242"/>
      <c r="X1899" s="242"/>
      <c r="Y1899" s="242"/>
      <c r="Z1899" s="242"/>
      <c r="AA1899" s="242"/>
      <c r="AB1899" s="242"/>
      <c r="AC1899" s="242"/>
      <c r="AD1899" s="242"/>
      <c r="AE1899" s="242"/>
      <c r="AF1899" s="242"/>
      <c r="AG1899" s="242"/>
      <c r="AH1899" s="242"/>
      <c r="AI1899" s="242"/>
      <c r="AJ1899" s="242">
        <f>N1899-R1899</f>
        <v>16</v>
      </c>
      <c r="AK1899" s="237">
        <f>IF((G1907-G1899)&gt;0,G1907-G1899,0)</f>
        <v>0</v>
      </c>
      <c r="AL1899" s="239">
        <v>0</v>
      </c>
      <c r="AM1899" s="299">
        <f>30/12</f>
        <v>2.5</v>
      </c>
      <c r="AN1899" s="300">
        <f>AM1899*2</f>
        <v>5</v>
      </c>
      <c r="AO1899" s="301">
        <f>G1899/(AN1899)</f>
        <v>3.2</v>
      </c>
      <c r="AP1899" s="302">
        <f>AN1899*6</f>
        <v>30</v>
      </c>
      <c r="AQ1899" s="290">
        <f>G1899+K1899</f>
        <v>21</v>
      </c>
      <c r="AR1899" s="290">
        <f>IF(G1899&lt;G1907,(G1907-G1899+K1907-K1899),K1907-K1899)</f>
        <v>0</v>
      </c>
      <c r="AS1899" s="290">
        <f>21-8</f>
        <v>13</v>
      </c>
    </row>
    <row r="1900" spans="2:45" x14ac:dyDescent="0.25">
      <c r="AL1900" s="290"/>
      <c r="AM1900" s="290"/>
      <c r="AN1900" s="290"/>
      <c r="AO1900" s="290"/>
      <c r="AP1900" s="290"/>
      <c r="AQ1900" s="290"/>
      <c r="AR1900" s="290"/>
      <c r="AS1900" s="290"/>
    </row>
    <row r="1901" spans="2:45" ht="14.25" thickBot="1" x14ac:dyDescent="0.3">
      <c r="B1901" s="338" t="s">
        <v>18</v>
      </c>
      <c r="C1901" s="339">
        <v>45369</v>
      </c>
      <c r="AL1901" s="290"/>
      <c r="AM1901" s="290"/>
      <c r="AN1901" s="290"/>
      <c r="AO1901" s="290"/>
      <c r="AP1901" s="290"/>
      <c r="AQ1901" s="290"/>
      <c r="AR1901" s="290"/>
      <c r="AS1901" s="290"/>
    </row>
    <row r="1902" spans="2:45" ht="41.25" thickBot="1" x14ac:dyDescent="0.3">
      <c r="B1902" s="2" t="s">
        <v>0</v>
      </c>
      <c r="C1902" s="3" t="s">
        <v>1</v>
      </c>
      <c r="D1902" s="3" t="s">
        <v>2</v>
      </c>
      <c r="E1902" s="3" t="s">
        <v>3</v>
      </c>
      <c r="F1902" s="4" t="s">
        <v>318</v>
      </c>
      <c r="G1902" s="233" t="s">
        <v>4</v>
      </c>
      <c r="H1902" s="386"/>
      <c r="I1902" s="234" t="s">
        <v>325</v>
      </c>
      <c r="J1902" s="234"/>
      <c r="K1902" s="258" t="s">
        <v>315</v>
      </c>
      <c r="L1902" s="258" t="s">
        <v>328</v>
      </c>
      <c r="M1902" s="258" t="s">
        <v>327</v>
      </c>
      <c r="N1902" s="234" t="s">
        <v>323</v>
      </c>
      <c r="O1902" s="240" t="s">
        <v>130</v>
      </c>
      <c r="P1902" s="243" t="s">
        <v>303</v>
      </c>
      <c r="Q1902" s="244" t="s">
        <v>304</v>
      </c>
      <c r="R1902" s="244" t="s">
        <v>314</v>
      </c>
      <c r="S1902" s="245" t="s">
        <v>338</v>
      </c>
      <c r="T1902" s="245" t="s">
        <v>345</v>
      </c>
      <c r="U1902" s="245" t="s">
        <v>361</v>
      </c>
      <c r="V1902" s="245" t="s">
        <v>387</v>
      </c>
      <c r="W1902" s="245" t="s">
        <v>421</v>
      </c>
      <c r="X1902" s="245" t="s">
        <v>451</v>
      </c>
      <c r="Y1902" s="245"/>
      <c r="Z1902" s="245"/>
      <c r="AA1902" s="245"/>
      <c r="AB1902" s="245"/>
      <c r="AC1902" s="245"/>
      <c r="AD1902" s="245"/>
      <c r="AE1902" s="245"/>
      <c r="AF1902" s="245"/>
      <c r="AG1902" s="245"/>
      <c r="AH1902" s="245"/>
      <c r="AI1902" s="245"/>
      <c r="AJ1902" s="245" t="s">
        <v>309</v>
      </c>
      <c r="AK1902" s="246" t="s">
        <v>268</v>
      </c>
      <c r="AL1902" s="247" t="s">
        <v>269</v>
      </c>
      <c r="AM1902" s="291" t="s">
        <v>288</v>
      </c>
      <c r="AN1902" s="292" t="s">
        <v>289</v>
      </c>
      <c r="AO1902" s="292" t="s">
        <v>287</v>
      </c>
      <c r="AP1902" s="293" t="s">
        <v>290</v>
      </c>
      <c r="AQ1902" s="290" t="s">
        <v>306</v>
      </c>
      <c r="AR1902" s="290" t="s">
        <v>310</v>
      </c>
      <c r="AS1902" s="290" t="s">
        <v>311</v>
      </c>
    </row>
    <row r="1903" spans="2:45" ht="14.25" thickBot="1" x14ac:dyDescent="0.3">
      <c r="B1903" s="5">
        <v>273664</v>
      </c>
      <c r="C1903" s="6">
        <v>1135749</v>
      </c>
      <c r="D1903" s="6" t="s">
        <v>7</v>
      </c>
      <c r="E1903" s="6">
        <v>6060050026</v>
      </c>
      <c r="F1903" s="253">
        <f>G1911+AL1903-AK1903</f>
        <v>3</v>
      </c>
      <c r="G1903" s="235">
        <v>3</v>
      </c>
      <c r="H1903" s="383"/>
      <c r="I1903" s="232">
        <v>3</v>
      </c>
      <c r="J1903" s="232"/>
      <c r="K1903" s="232">
        <v>2</v>
      </c>
      <c r="L1903" s="232">
        <f>IF(K1910=K1902,L1911+AK1903,K1903)</f>
        <v>2</v>
      </c>
      <c r="M1903" s="232">
        <f>IF(K1910=K1902,0,L1911+AK1903-K1903)</f>
        <v>0</v>
      </c>
      <c r="N1903" s="232">
        <v>3</v>
      </c>
      <c r="O1903" s="241">
        <f>N1903-G1903</f>
        <v>0</v>
      </c>
      <c r="P1903" s="268">
        <v>4</v>
      </c>
      <c r="Q1903" s="269">
        <v>4</v>
      </c>
      <c r="R1903" s="241"/>
      <c r="S1903" s="241"/>
      <c r="T1903" s="241"/>
      <c r="U1903" s="241"/>
      <c r="V1903" s="241"/>
      <c r="W1903" s="241"/>
      <c r="X1903" s="241"/>
      <c r="Y1903" s="241"/>
      <c r="Z1903" s="241"/>
      <c r="AA1903" s="241"/>
      <c r="AB1903" s="241"/>
      <c r="AC1903" s="241"/>
      <c r="AD1903" s="241"/>
      <c r="AE1903" s="241"/>
      <c r="AF1903" s="241"/>
      <c r="AG1903" s="241"/>
      <c r="AH1903" s="241"/>
      <c r="AI1903" s="241"/>
      <c r="AJ1903" s="241">
        <f>N1903-R1903</f>
        <v>3</v>
      </c>
      <c r="AK1903" s="235">
        <f>IF((G1911-G1903)&gt;0,G1911-G1903,0)</f>
        <v>0</v>
      </c>
      <c r="AL1903" s="236">
        <v>0</v>
      </c>
      <c r="AM1903" s="294">
        <v>1.5</v>
      </c>
      <c r="AN1903" s="295">
        <v>4</v>
      </c>
      <c r="AO1903" s="296">
        <f>G1903/(AN1903)</f>
        <v>0.75</v>
      </c>
      <c r="AP1903" s="297">
        <f>AN1903*6</f>
        <v>24</v>
      </c>
      <c r="AQ1903" s="290">
        <f>G1903+K1903</f>
        <v>5</v>
      </c>
      <c r="AR1903" s="290">
        <f>IF(G1903&lt;G1911,(G1911-G1903+K1911-K1903),K1911-K1903)</f>
        <v>0</v>
      </c>
      <c r="AS1903" s="290">
        <f>21-8</f>
        <v>13</v>
      </c>
    </row>
    <row r="1904" spans="2:45" ht="14.25" thickBot="1" x14ac:dyDescent="0.3">
      <c r="B1904" s="5">
        <v>273672</v>
      </c>
      <c r="C1904" s="6">
        <v>1135750</v>
      </c>
      <c r="D1904" s="6" t="s">
        <v>9</v>
      </c>
      <c r="E1904" s="215">
        <v>204000000000</v>
      </c>
      <c r="F1904" s="253">
        <f>G1912+AL1904-AK1904</f>
        <v>2</v>
      </c>
      <c r="G1904" s="235">
        <v>2</v>
      </c>
      <c r="H1904" s="383"/>
      <c r="I1904" s="232">
        <v>2</v>
      </c>
      <c r="J1904" s="232"/>
      <c r="K1904" s="232">
        <v>2</v>
      </c>
      <c r="L1904" s="232">
        <f>IF(K1910=K1902,L1912+AK1904,K1904)</f>
        <v>8</v>
      </c>
      <c r="M1904" s="232">
        <f>IF(K1910=K1902,0,L1912+AK1904-K1904)</f>
        <v>0</v>
      </c>
      <c r="N1904" s="232">
        <v>6</v>
      </c>
      <c r="O1904" s="241">
        <f>N1904-G1904</f>
        <v>4</v>
      </c>
      <c r="P1904" s="268">
        <v>13</v>
      </c>
      <c r="Q1904" s="269">
        <v>2</v>
      </c>
      <c r="R1904" s="241">
        <v>6</v>
      </c>
      <c r="S1904" s="241"/>
      <c r="T1904" s="241"/>
      <c r="U1904" s="241"/>
      <c r="V1904" s="241"/>
      <c r="W1904" s="241"/>
      <c r="X1904" s="241"/>
      <c r="Y1904" s="241"/>
      <c r="Z1904" s="241"/>
      <c r="AA1904" s="241"/>
      <c r="AB1904" s="241"/>
      <c r="AC1904" s="241"/>
      <c r="AD1904" s="241"/>
      <c r="AE1904" s="241"/>
      <c r="AF1904" s="241"/>
      <c r="AG1904" s="241"/>
      <c r="AH1904" s="241"/>
      <c r="AI1904" s="241"/>
      <c r="AJ1904" s="241">
        <f>N1904-R1904</f>
        <v>0</v>
      </c>
      <c r="AK1904" s="235">
        <f>IF((G1912-G1904)&gt;0,G1912-G1904,0)</f>
        <v>6</v>
      </c>
      <c r="AL1904" s="236">
        <v>0</v>
      </c>
      <c r="AM1904" s="298">
        <v>4.2</v>
      </c>
      <c r="AN1904" s="295">
        <v>9</v>
      </c>
      <c r="AO1904" s="296">
        <f>G1904/(AN1904)</f>
        <v>0.22222222222222221</v>
      </c>
      <c r="AP1904" s="297">
        <f>AN1904*6</f>
        <v>54</v>
      </c>
      <c r="AQ1904" s="290">
        <f>G1904+K1904</f>
        <v>4</v>
      </c>
      <c r="AR1904" s="290">
        <f>IF(G1904&lt;G1912,(G1912-G1904+K1912-K1904),K1912-K1904)</f>
        <v>6</v>
      </c>
      <c r="AS1904" s="290">
        <f>21-8</f>
        <v>13</v>
      </c>
    </row>
    <row r="1905" spans="2:45" ht="14.25" thickBot="1" x14ac:dyDescent="0.3">
      <c r="B1905" s="5">
        <v>273702</v>
      </c>
      <c r="C1905" s="6">
        <v>1135753</v>
      </c>
      <c r="D1905" s="6" t="s">
        <v>10</v>
      </c>
      <c r="E1905" s="215">
        <v>301000000000</v>
      </c>
      <c r="F1905" s="253">
        <f>G1913+AL1905-AK1905</f>
        <v>2</v>
      </c>
      <c r="G1905" s="235">
        <v>2</v>
      </c>
      <c r="H1905" s="383"/>
      <c r="I1905" s="232">
        <v>3</v>
      </c>
      <c r="J1905" s="232"/>
      <c r="K1905" s="232">
        <v>1</v>
      </c>
      <c r="L1905" s="232">
        <f>IF(K1910=K1902,L1913+AK1905,K1905)</f>
        <v>1</v>
      </c>
      <c r="M1905" s="232">
        <f>IF(K1910=K1902,0,L1913+AK1905-K1905)</f>
        <v>0</v>
      </c>
      <c r="N1905" s="232">
        <v>2</v>
      </c>
      <c r="O1905" s="241">
        <f>N1905-G1905</f>
        <v>0</v>
      </c>
      <c r="P1905" s="268"/>
      <c r="Q1905" s="269"/>
      <c r="R1905" s="241"/>
      <c r="S1905" s="241"/>
      <c r="T1905" s="241"/>
      <c r="U1905" s="241"/>
      <c r="V1905" s="241"/>
      <c r="W1905" s="241"/>
      <c r="X1905" s="241"/>
      <c r="Y1905" s="241"/>
      <c r="Z1905" s="241"/>
      <c r="AA1905" s="241"/>
      <c r="AB1905" s="241"/>
      <c r="AC1905" s="241"/>
      <c r="AD1905" s="241"/>
      <c r="AE1905" s="241"/>
      <c r="AF1905" s="241"/>
      <c r="AG1905" s="241"/>
      <c r="AH1905" s="241"/>
      <c r="AI1905" s="241"/>
      <c r="AJ1905" s="241">
        <f>N1905-R1905</f>
        <v>2</v>
      </c>
      <c r="AK1905" s="235">
        <f>IF((G1913-G1905)&gt;0,G1913-G1905,0)</f>
        <v>0</v>
      </c>
      <c r="AL1905" s="236">
        <v>0</v>
      </c>
      <c r="AM1905" s="294">
        <f>4/12</f>
        <v>0.33333333333333331</v>
      </c>
      <c r="AN1905" s="295">
        <v>2</v>
      </c>
      <c r="AO1905" s="296">
        <f>G1905/(AN1905)</f>
        <v>1</v>
      </c>
      <c r="AP1905" s="297">
        <f>AN1905*6</f>
        <v>12</v>
      </c>
      <c r="AQ1905" s="290">
        <f>G1905+K1905</f>
        <v>3</v>
      </c>
      <c r="AR1905" s="290">
        <f>IF(G1905&lt;G1913,(G1913-G1905+K1913-K1905),K1913-K1905)</f>
        <v>0</v>
      </c>
      <c r="AS1905" s="290">
        <f>21-8</f>
        <v>13</v>
      </c>
    </row>
    <row r="1906" spans="2:45" ht="14.25" thickBot="1" x14ac:dyDescent="0.3">
      <c r="B1906" s="5">
        <v>273698</v>
      </c>
      <c r="C1906" s="6">
        <v>1135752</v>
      </c>
      <c r="D1906" s="6" t="s">
        <v>11</v>
      </c>
      <c r="E1906" s="215">
        <v>701000000000</v>
      </c>
      <c r="F1906" s="253">
        <f>G1914+AL1906-AK1906</f>
        <v>1</v>
      </c>
      <c r="G1906" s="235">
        <v>1</v>
      </c>
      <c r="H1906" s="383"/>
      <c r="I1906" s="232">
        <v>1</v>
      </c>
      <c r="J1906" s="232"/>
      <c r="K1906" s="232">
        <v>4</v>
      </c>
      <c r="L1906" s="232">
        <f>IF(K1910=K1902,L1914+AK1906,K1906)</f>
        <v>4</v>
      </c>
      <c r="M1906" s="232">
        <f>IF(K1910=K1902,0,L1914+AK1906-K1906)</f>
        <v>0</v>
      </c>
      <c r="N1906" s="232">
        <v>2</v>
      </c>
      <c r="O1906" s="241">
        <f>N1906-G1906</f>
        <v>1</v>
      </c>
      <c r="P1906" s="268">
        <v>2</v>
      </c>
      <c r="Q1906" s="269"/>
      <c r="R1906" s="241"/>
      <c r="S1906" s="241"/>
      <c r="T1906" s="241"/>
      <c r="U1906" s="241"/>
      <c r="V1906" s="241"/>
      <c r="W1906" s="241"/>
      <c r="X1906" s="241"/>
      <c r="Y1906" s="241"/>
      <c r="Z1906" s="241"/>
      <c r="AA1906" s="241"/>
      <c r="AB1906" s="241"/>
      <c r="AC1906" s="241"/>
      <c r="AD1906" s="241"/>
      <c r="AE1906" s="241"/>
      <c r="AF1906" s="241"/>
      <c r="AG1906" s="241"/>
      <c r="AH1906" s="241"/>
      <c r="AI1906" s="241"/>
      <c r="AJ1906" s="241">
        <f>N1906-R1906</f>
        <v>2</v>
      </c>
      <c r="AK1906" s="235">
        <f>IF((G1914-G1906)&gt;0,G1914-G1906,0)</f>
        <v>0</v>
      </c>
      <c r="AL1906" s="236">
        <v>0</v>
      </c>
      <c r="AM1906" s="294">
        <f>4/12</f>
        <v>0.33333333333333331</v>
      </c>
      <c r="AN1906" s="295">
        <v>2</v>
      </c>
      <c r="AO1906" s="296">
        <f>G1906/(AN1906)</f>
        <v>0.5</v>
      </c>
      <c r="AP1906" s="297">
        <f>AN1906*6</f>
        <v>12</v>
      </c>
      <c r="AQ1906" s="290">
        <f>G1906+K1906</f>
        <v>5</v>
      </c>
      <c r="AR1906" s="290">
        <f>IF(G1906&lt;G1914,(G1914-G1906+K1914-K1906),K1914-K1906)</f>
        <v>0</v>
      </c>
      <c r="AS1906" s="290">
        <f>21-8</f>
        <v>13</v>
      </c>
    </row>
    <row r="1907" spans="2:45" ht="14.25" thickBot="1" x14ac:dyDescent="0.3">
      <c r="B1907" s="5">
        <v>273680</v>
      </c>
      <c r="C1907" s="6">
        <v>1135751</v>
      </c>
      <c r="D1907" s="6" t="s">
        <v>12</v>
      </c>
      <c r="E1907" s="6" t="s">
        <v>13</v>
      </c>
      <c r="F1907" s="254">
        <f>G1915+AL1907-AK1907</f>
        <v>16</v>
      </c>
      <c r="G1907" s="237">
        <v>16</v>
      </c>
      <c r="H1907" s="384"/>
      <c r="I1907" s="238">
        <v>16</v>
      </c>
      <c r="J1907" s="238"/>
      <c r="K1907" s="238">
        <v>5</v>
      </c>
      <c r="L1907" s="238">
        <f>IF(K1910=K1902,L1915+AK1907,K1907)</f>
        <v>5</v>
      </c>
      <c r="M1907" s="238">
        <f>IF(K1910=K1902,0,L1915+AK1907-K1907)</f>
        <v>0</v>
      </c>
      <c r="N1907" s="238">
        <v>16</v>
      </c>
      <c r="O1907" s="242">
        <f>N1907-G1907</f>
        <v>0</v>
      </c>
      <c r="P1907" s="271"/>
      <c r="Q1907" s="272"/>
      <c r="R1907" s="242"/>
      <c r="S1907" s="242"/>
      <c r="T1907" s="242"/>
      <c r="U1907" s="242"/>
      <c r="V1907" s="242"/>
      <c r="W1907" s="242"/>
      <c r="X1907" s="242"/>
      <c r="Y1907" s="242"/>
      <c r="Z1907" s="242"/>
      <c r="AA1907" s="242"/>
      <c r="AB1907" s="242"/>
      <c r="AC1907" s="242"/>
      <c r="AD1907" s="242"/>
      <c r="AE1907" s="242"/>
      <c r="AF1907" s="242"/>
      <c r="AG1907" s="242"/>
      <c r="AH1907" s="242"/>
      <c r="AI1907" s="242"/>
      <c r="AJ1907" s="242">
        <f>N1907-R1907</f>
        <v>16</v>
      </c>
      <c r="AK1907" s="237">
        <f>IF((G1915-G1907)&gt;0,G1915-G1907,0)</f>
        <v>0</v>
      </c>
      <c r="AL1907" s="239">
        <v>0</v>
      </c>
      <c r="AM1907" s="299">
        <f>30/12</f>
        <v>2.5</v>
      </c>
      <c r="AN1907" s="300">
        <f>AM1907*2</f>
        <v>5</v>
      </c>
      <c r="AO1907" s="301">
        <f>G1907/(AN1907)</f>
        <v>3.2</v>
      </c>
      <c r="AP1907" s="302">
        <f>AN1907*6</f>
        <v>30</v>
      </c>
      <c r="AQ1907" s="290">
        <f>G1907+K1907</f>
        <v>21</v>
      </c>
      <c r="AR1907" s="290">
        <f>IF(G1907&lt;G1915,(G1915-G1907+K1915-K1907),K1915-K1907)</f>
        <v>0</v>
      </c>
      <c r="AS1907" s="290">
        <f>21-8</f>
        <v>13</v>
      </c>
    </row>
    <row r="1908" spans="2:45" x14ac:dyDescent="0.25">
      <c r="AL1908" s="290"/>
      <c r="AM1908" s="290"/>
      <c r="AN1908" s="290"/>
      <c r="AO1908" s="290"/>
      <c r="AP1908" s="290"/>
      <c r="AQ1908" s="290"/>
      <c r="AR1908" s="290"/>
      <c r="AS1908" s="290"/>
    </row>
    <row r="1909" spans="2:45" ht="14.25" thickBot="1" x14ac:dyDescent="0.3">
      <c r="B1909" s="338" t="s">
        <v>18</v>
      </c>
      <c r="C1909" s="339">
        <v>45362</v>
      </c>
      <c r="AL1909" s="290"/>
      <c r="AM1909" s="290"/>
      <c r="AN1909" s="290"/>
      <c r="AO1909" s="290"/>
      <c r="AP1909" s="290"/>
      <c r="AQ1909" s="290"/>
      <c r="AR1909" s="290"/>
      <c r="AS1909" s="290"/>
    </row>
    <row r="1910" spans="2:45" ht="41.25" thickBot="1" x14ac:dyDescent="0.3">
      <c r="B1910" s="2" t="s">
        <v>0</v>
      </c>
      <c r="C1910" s="3" t="s">
        <v>1</v>
      </c>
      <c r="D1910" s="3" t="s">
        <v>2</v>
      </c>
      <c r="E1910" s="3" t="s">
        <v>3</v>
      </c>
      <c r="F1910" s="4" t="s">
        <v>318</v>
      </c>
      <c r="G1910" s="233" t="s">
        <v>4</v>
      </c>
      <c r="H1910" s="386"/>
      <c r="I1910" s="234" t="s">
        <v>5</v>
      </c>
      <c r="J1910" s="234"/>
      <c r="K1910" s="258" t="s">
        <v>315</v>
      </c>
      <c r="L1910" s="258" t="s">
        <v>328</v>
      </c>
      <c r="M1910" s="258" t="s">
        <v>327</v>
      </c>
      <c r="N1910" s="234" t="s">
        <v>317</v>
      </c>
      <c r="O1910" s="240" t="s">
        <v>130</v>
      </c>
      <c r="P1910" s="243" t="s">
        <v>303</v>
      </c>
      <c r="Q1910" s="244" t="s">
        <v>304</v>
      </c>
      <c r="R1910" s="244" t="s">
        <v>314</v>
      </c>
      <c r="S1910" s="245" t="s">
        <v>338</v>
      </c>
      <c r="T1910" s="245" t="s">
        <v>345</v>
      </c>
      <c r="U1910" s="245" t="s">
        <v>361</v>
      </c>
      <c r="V1910" s="245" t="s">
        <v>387</v>
      </c>
      <c r="W1910" s="245" t="s">
        <v>421</v>
      </c>
      <c r="X1910" s="245"/>
      <c r="Y1910" s="245"/>
      <c r="Z1910" s="245"/>
      <c r="AA1910" s="245"/>
      <c r="AB1910" s="245"/>
      <c r="AC1910" s="245"/>
      <c r="AD1910" s="245"/>
      <c r="AE1910" s="245"/>
      <c r="AF1910" s="245"/>
      <c r="AG1910" s="245"/>
      <c r="AH1910" s="245"/>
      <c r="AI1910" s="245"/>
      <c r="AJ1910" s="245" t="s">
        <v>309</v>
      </c>
      <c r="AK1910" s="246" t="s">
        <v>268</v>
      </c>
      <c r="AL1910" s="247" t="s">
        <v>269</v>
      </c>
      <c r="AM1910" s="291" t="s">
        <v>288</v>
      </c>
      <c r="AN1910" s="292" t="s">
        <v>289</v>
      </c>
      <c r="AO1910" s="292" t="s">
        <v>287</v>
      </c>
      <c r="AP1910" s="293" t="s">
        <v>290</v>
      </c>
      <c r="AQ1910" s="290" t="s">
        <v>306</v>
      </c>
      <c r="AR1910" s="290" t="s">
        <v>310</v>
      </c>
      <c r="AS1910" s="290" t="s">
        <v>311</v>
      </c>
    </row>
    <row r="1911" spans="2:45" ht="14.25" thickBot="1" x14ac:dyDescent="0.3">
      <c r="B1911" s="5">
        <v>273664</v>
      </c>
      <c r="C1911" s="6">
        <v>1135749</v>
      </c>
      <c r="D1911" s="6" t="s">
        <v>7</v>
      </c>
      <c r="E1911" s="6">
        <v>6060050026</v>
      </c>
      <c r="F1911" s="253">
        <f>G1919+AL1911</f>
        <v>3</v>
      </c>
      <c r="G1911" s="235">
        <v>3</v>
      </c>
      <c r="H1911" s="383"/>
      <c r="I1911" s="232"/>
      <c r="J1911" s="232"/>
      <c r="K1911" s="232">
        <v>2</v>
      </c>
      <c r="L1911" s="232">
        <f>IF(K1918=K1910,L1919+AK1911,K1911)</f>
        <v>2</v>
      </c>
      <c r="M1911" s="232">
        <f>IF(K1918=K1910,0,L1919+AK1911-K1911)</f>
        <v>1</v>
      </c>
      <c r="N1911" s="232">
        <v>3</v>
      </c>
      <c r="O1911" s="241">
        <f>N1911-G1911</f>
        <v>0</v>
      </c>
      <c r="P1911" s="268">
        <v>4</v>
      </c>
      <c r="Q1911" s="269">
        <v>4</v>
      </c>
      <c r="R1911" s="241"/>
      <c r="S1911" s="241"/>
      <c r="T1911" s="241"/>
      <c r="U1911" s="241"/>
      <c r="V1911" s="241"/>
      <c r="W1911" s="241"/>
      <c r="X1911" s="241"/>
      <c r="Y1911" s="241"/>
      <c r="Z1911" s="241"/>
      <c r="AA1911" s="241"/>
      <c r="AB1911" s="241"/>
      <c r="AC1911" s="241"/>
      <c r="AD1911" s="241"/>
      <c r="AE1911" s="241"/>
      <c r="AF1911" s="241"/>
      <c r="AG1911" s="241"/>
      <c r="AH1911" s="241"/>
      <c r="AI1911" s="241"/>
      <c r="AJ1911" s="241">
        <f>N1911-P1911-Q1911</f>
        <v>-5</v>
      </c>
      <c r="AK1911" s="235">
        <f>IF((G1919-G1911)&gt;0,G1919-G1911,0)</f>
        <v>0</v>
      </c>
      <c r="AL1911" s="236">
        <v>0</v>
      </c>
      <c r="AM1911" s="294">
        <v>1.5</v>
      </c>
      <c r="AN1911" s="295">
        <v>4</v>
      </c>
      <c r="AO1911" s="296">
        <f>G1911/(AN1911)</f>
        <v>0.75</v>
      </c>
      <c r="AP1911" s="297">
        <f>AN1911*6</f>
        <v>24</v>
      </c>
      <c r="AQ1911" s="290">
        <f>G1911+K1911</f>
        <v>5</v>
      </c>
      <c r="AR1911" s="290">
        <f>IF(G1911&lt;G1919,(G1919-G1911+K1919-K1911),K1919-K1911)</f>
        <v>1</v>
      </c>
      <c r="AS1911" s="290">
        <f>21-8</f>
        <v>13</v>
      </c>
    </row>
    <row r="1912" spans="2:45" ht="14.25" thickBot="1" x14ac:dyDescent="0.3">
      <c r="B1912" s="5">
        <v>273672</v>
      </c>
      <c r="C1912" s="6">
        <v>1135750</v>
      </c>
      <c r="D1912" s="6" t="s">
        <v>9</v>
      </c>
      <c r="E1912" s="215">
        <v>204000000000</v>
      </c>
      <c r="F1912" s="253">
        <f>G1920+AL1912</f>
        <v>8</v>
      </c>
      <c r="G1912" s="235">
        <v>8</v>
      </c>
      <c r="H1912" s="383"/>
      <c r="I1912" s="232"/>
      <c r="J1912" s="232"/>
      <c r="K1912" s="232">
        <v>2</v>
      </c>
      <c r="L1912" s="232">
        <f>IF(K1918=K1910,L1920+AK1912,K1912)</f>
        <v>2</v>
      </c>
      <c r="M1912" s="232">
        <f>IF(K1918=K1910,0,L1920+AK1912-K1912)</f>
        <v>3</v>
      </c>
      <c r="N1912" s="232">
        <v>6</v>
      </c>
      <c r="O1912" s="241">
        <f>N1912-G1912</f>
        <v>-2</v>
      </c>
      <c r="P1912" s="268">
        <v>13</v>
      </c>
      <c r="Q1912" s="269">
        <v>2</v>
      </c>
      <c r="R1912" s="241"/>
      <c r="S1912" s="241"/>
      <c r="T1912" s="241"/>
      <c r="U1912" s="241"/>
      <c r="V1912" s="241"/>
      <c r="W1912" s="241"/>
      <c r="X1912" s="241"/>
      <c r="Y1912" s="241"/>
      <c r="Z1912" s="241"/>
      <c r="AA1912" s="241"/>
      <c r="AB1912" s="241"/>
      <c r="AC1912" s="241"/>
      <c r="AD1912" s="241"/>
      <c r="AE1912" s="241"/>
      <c r="AF1912" s="241"/>
      <c r="AG1912" s="241"/>
      <c r="AH1912" s="241"/>
      <c r="AI1912" s="241"/>
      <c r="AJ1912" s="241">
        <f>N1912-P1912-Q1912</f>
        <v>-9</v>
      </c>
      <c r="AK1912" s="235">
        <f>IF((G1920-G1912)&gt;0,G1920-G1912,0)</f>
        <v>0</v>
      </c>
      <c r="AL1912" s="236">
        <v>0</v>
      </c>
      <c r="AM1912" s="298">
        <v>4.2</v>
      </c>
      <c r="AN1912" s="295">
        <v>9</v>
      </c>
      <c r="AO1912" s="296">
        <f>G1912/(AN1912)</f>
        <v>0.88888888888888884</v>
      </c>
      <c r="AP1912" s="297">
        <f>AN1912*6</f>
        <v>54</v>
      </c>
      <c r="AQ1912" s="290">
        <f>G1912+K1912</f>
        <v>10</v>
      </c>
      <c r="AR1912" s="290">
        <f>IF(G1912&lt;G1920,(G1920-G1912+K1920-K1912),K1920-K1912)</f>
        <v>3</v>
      </c>
      <c r="AS1912" s="290">
        <f>21-8</f>
        <v>13</v>
      </c>
    </row>
    <row r="1913" spans="2:45" ht="14.25" thickBot="1" x14ac:dyDescent="0.3">
      <c r="B1913" s="5">
        <v>273702</v>
      </c>
      <c r="C1913" s="6">
        <v>1135753</v>
      </c>
      <c r="D1913" s="6" t="s">
        <v>10</v>
      </c>
      <c r="E1913" s="215">
        <v>301000000000</v>
      </c>
      <c r="F1913" s="253">
        <f>G1921+AL1913</f>
        <v>2</v>
      </c>
      <c r="G1913" s="235">
        <v>2</v>
      </c>
      <c r="H1913" s="383"/>
      <c r="I1913" s="232"/>
      <c r="J1913" s="232"/>
      <c r="K1913" s="232">
        <v>1</v>
      </c>
      <c r="L1913" s="232">
        <f>IF(K1918=K1910,L1921+AK1913,K1913)</f>
        <v>1</v>
      </c>
      <c r="M1913" s="232">
        <f>IF(K1918=K1910,0,L1921+AK1913-K1913)</f>
        <v>0</v>
      </c>
      <c r="N1913" s="232">
        <v>2</v>
      </c>
      <c r="O1913" s="241">
        <f>N1913-G1913</f>
        <v>0</v>
      </c>
      <c r="P1913" s="268"/>
      <c r="Q1913" s="269"/>
      <c r="R1913" s="241"/>
      <c r="S1913" s="241"/>
      <c r="T1913" s="241"/>
      <c r="U1913" s="241"/>
      <c r="V1913" s="241"/>
      <c r="W1913" s="241"/>
      <c r="X1913" s="241"/>
      <c r="Y1913" s="241"/>
      <c r="Z1913" s="241"/>
      <c r="AA1913" s="241"/>
      <c r="AB1913" s="241"/>
      <c r="AC1913" s="241"/>
      <c r="AD1913" s="241"/>
      <c r="AE1913" s="241"/>
      <c r="AF1913" s="241"/>
      <c r="AG1913" s="241"/>
      <c r="AH1913" s="241"/>
      <c r="AI1913" s="241"/>
      <c r="AJ1913" s="241">
        <f>N1913-P1913-Q1913</f>
        <v>2</v>
      </c>
      <c r="AK1913" s="235">
        <f>IF((G1921-G1913)&gt;0,G1921-G1913,0)</f>
        <v>0</v>
      </c>
      <c r="AL1913" s="236">
        <v>0</v>
      </c>
      <c r="AM1913" s="294">
        <f>4/12</f>
        <v>0.33333333333333331</v>
      </c>
      <c r="AN1913" s="295">
        <v>2</v>
      </c>
      <c r="AO1913" s="296">
        <f>G1913/(AN1913)</f>
        <v>1</v>
      </c>
      <c r="AP1913" s="297">
        <f>AN1913*6</f>
        <v>12</v>
      </c>
      <c r="AQ1913" s="290">
        <f>G1913+K1913</f>
        <v>3</v>
      </c>
      <c r="AR1913" s="290">
        <f>IF(G1913&lt;G1921,(G1921-G1913+K1921-K1913),K1921-K1913)</f>
        <v>0</v>
      </c>
      <c r="AS1913" s="290">
        <f>21-8</f>
        <v>13</v>
      </c>
    </row>
    <row r="1914" spans="2:45" ht="14.25" thickBot="1" x14ac:dyDescent="0.3">
      <c r="B1914" s="5">
        <v>273698</v>
      </c>
      <c r="C1914" s="6">
        <v>1135752</v>
      </c>
      <c r="D1914" s="6" t="s">
        <v>11</v>
      </c>
      <c r="E1914" s="215">
        <v>701000000000</v>
      </c>
      <c r="F1914" s="253">
        <f>G1922+AL1914</f>
        <v>1</v>
      </c>
      <c r="G1914" s="235">
        <v>1</v>
      </c>
      <c r="H1914" s="383"/>
      <c r="I1914" s="232"/>
      <c r="J1914" s="232"/>
      <c r="K1914" s="232">
        <v>4</v>
      </c>
      <c r="L1914" s="232">
        <f>IF(K1918=K1910,L1922+AK1914,K1914)</f>
        <v>4</v>
      </c>
      <c r="M1914" s="232">
        <f>IF(K1918=K1910,0,L1922+AK1914-K1914)</f>
        <v>0</v>
      </c>
      <c r="N1914" s="232">
        <v>2</v>
      </c>
      <c r="O1914" s="241">
        <f>N1914-G1914</f>
        <v>1</v>
      </c>
      <c r="P1914" s="268">
        <v>2</v>
      </c>
      <c r="Q1914" s="269"/>
      <c r="R1914" s="241"/>
      <c r="S1914" s="241"/>
      <c r="T1914" s="241"/>
      <c r="U1914" s="241"/>
      <c r="V1914" s="241"/>
      <c r="W1914" s="241"/>
      <c r="X1914" s="241"/>
      <c r="Y1914" s="241"/>
      <c r="Z1914" s="241"/>
      <c r="AA1914" s="241"/>
      <c r="AB1914" s="241"/>
      <c r="AC1914" s="241"/>
      <c r="AD1914" s="241"/>
      <c r="AE1914" s="241"/>
      <c r="AF1914" s="241"/>
      <c r="AG1914" s="241"/>
      <c r="AH1914" s="241"/>
      <c r="AI1914" s="241"/>
      <c r="AJ1914" s="241">
        <f>N1914-P1914-Q1914</f>
        <v>0</v>
      </c>
      <c r="AK1914" s="235">
        <f>IF((G1922-G1914)&gt;0,G1922-G1914,0)</f>
        <v>0</v>
      </c>
      <c r="AL1914" s="236">
        <v>0</v>
      </c>
      <c r="AM1914" s="294">
        <f>4/12</f>
        <v>0.33333333333333331</v>
      </c>
      <c r="AN1914" s="295">
        <v>2</v>
      </c>
      <c r="AO1914" s="296">
        <f>G1914/(AN1914)</f>
        <v>0.5</v>
      </c>
      <c r="AP1914" s="297">
        <f>AN1914*6</f>
        <v>12</v>
      </c>
      <c r="AQ1914" s="290">
        <f>G1914+K1914</f>
        <v>5</v>
      </c>
      <c r="AR1914" s="290">
        <f>IF(G1914&lt;G1922,(G1922-G1914+K1922-K1914),K1922-K1914)</f>
        <v>0</v>
      </c>
      <c r="AS1914" s="290">
        <f>21-8</f>
        <v>13</v>
      </c>
    </row>
    <row r="1915" spans="2:45" ht="14.25" thickBot="1" x14ac:dyDescent="0.3">
      <c r="B1915" s="5">
        <v>273680</v>
      </c>
      <c r="C1915" s="6">
        <v>1135751</v>
      </c>
      <c r="D1915" s="6" t="s">
        <v>12</v>
      </c>
      <c r="E1915" s="6" t="s">
        <v>13</v>
      </c>
      <c r="F1915" s="254">
        <f>G1923+AL1915</f>
        <v>16</v>
      </c>
      <c r="G1915" s="237">
        <v>16</v>
      </c>
      <c r="H1915" s="384"/>
      <c r="I1915" s="238"/>
      <c r="J1915" s="238"/>
      <c r="K1915" s="238">
        <v>5</v>
      </c>
      <c r="L1915" s="238">
        <f>IF(K1918=K1910,L1923+AK1915,K1915)</f>
        <v>5</v>
      </c>
      <c r="M1915" s="238">
        <f>IF(K1918=K1910,0,L1923+AK1915-K1915)</f>
        <v>0</v>
      </c>
      <c r="N1915" s="238">
        <v>16</v>
      </c>
      <c r="O1915" s="242">
        <f>N1915-G1915</f>
        <v>0</v>
      </c>
      <c r="P1915" s="271"/>
      <c r="Q1915" s="272"/>
      <c r="R1915" s="242"/>
      <c r="S1915" s="242"/>
      <c r="T1915" s="242"/>
      <c r="U1915" s="242"/>
      <c r="V1915" s="242"/>
      <c r="W1915" s="242"/>
      <c r="X1915" s="242"/>
      <c r="Y1915" s="242"/>
      <c r="Z1915" s="242"/>
      <c r="AA1915" s="242"/>
      <c r="AB1915" s="242"/>
      <c r="AC1915" s="242"/>
      <c r="AD1915" s="242"/>
      <c r="AE1915" s="242"/>
      <c r="AF1915" s="242"/>
      <c r="AG1915" s="242"/>
      <c r="AH1915" s="242"/>
      <c r="AI1915" s="242"/>
      <c r="AJ1915" s="242">
        <f>N1915-P1915-Q1915</f>
        <v>16</v>
      </c>
      <c r="AK1915" s="237">
        <f>IF((G1923-G1915)&gt;0,G1923-G1915,0)</f>
        <v>0</v>
      </c>
      <c r="AL1915" s="239">
        <v>0</v>
      </c>
      <c r="AM1915" s="299">
        <f>30/12</f>
        <v>2.5</v>
      </c>
      <c r="AN1915" s="300">
        <f>AM1915*2</f>
        <v>5</v>
      </c>
      <c r="AO1915" s="301">
        <f>G1915/(AN1915)</f>
        <v>3.2</v>
      </c>
      <c r="AP1915" s="302">
        <f>AN1915*6</f>
        <v>30</v>
      </c>
      <c r="AQ1915" s="290">
        <f>G1915+K1915</f>
        <v>21</v>
      </c>
      <c r="AR1915" s="290">
        <f>IF(G1915&lt;G1923,(G1923-G1915+K1923-K1915),K1923-K1915)</f>
        <v>0</v>
      </c>
      <c r="AS1915" s="290">
        <f>21-8</f>
        <v>13</v>
      </c>
    </row>
    <row r="1916" spans="2:45" x14ac:dyDescent="0.25">
      <c r="AL1916" s="290"/>
      <c r="AM1916" s="290"/>
      <c r="AN1916" s="290"/>
      <c r="AO1916" s="290"/>
      <c r="AP1916" s="290"/>
      <c r="AQ1916" s="290"/>
      <c r="AR1916" s="290"/>
      <c r="AS1916" s="290"/>
    </row>
    <row r="1917" spans="2:45" ht="14.25" thickBot="1" x14ac:dyDescent="0.3">
      <c r="B1917" s="338" t="s">
        <v>18</v>
      </c>
      <c r="C1917" s="339">
        <v>45355</v>
      </c>
      <c r="AL1917" s="290"/>
      <c r="AM1917" s="290"/>
      <c r="AN1917" s="290"/>
      <c r="AO1917" s="290"/>
      <c r="AP1917" s="290"/>
      <c r="AQ1917" s="290"/>
      <c r="AR1917" s="290"/>
      <c r="AS1917" s="290"/>
    </row>
    <row r="1918" spans="2:45" ht="14.25" thickBot="1" x14ac:dyDescent="0.3">
      <c r="B1918" s="2" t="s">
        <v>0</v>
      </c>
      <c r="C1918" s="3" t="s">
        <v>1</v>
      </c>
      <c r="D1918" s="3" t="s">
        <v>2</v>
      </c>
      <c r="E1918" s="3" t="s">
        <v>3</v>
      </c>
      <c r="F1918" s="248" t="s">
        <v>313</v>
      </c>
      <c r="G1918" s="233" t="s">
        <v>4</v>
      </c>
      <c r="H1918" s="386"/>
      <c r="I1918" s="234" t="s">
        <v>5</v>
      </c>
      <c r="J1918" s="234"/>
      <c r="K1918" s="258" t="s">
        <v>316</v>
      </c>
      <c r="L1918" s="258" t="s">
        <v>328</v>
      </c>
      <c r="M1918" s="258" t="s">
        <v>327</v>
      </c>
      <c r="N1918" s="234" t="s">
        <v>312</v>
      </c>
      <c r="O1918" s="240" t="s">
        <v>130</v>
      </c>
      <c r="P1918" s="243" t="s">
        <v>303</v>
      </c>
      <c r="Q1918" s="244" t="s">
        <v>304</v>
      </c>
      <c r="R1918" s="244" t="s">
        <v>314</v>
      </c>
      <c r="S1918" s="245" t="s">
        <v>338</v>
      </c>
      <c r="T1918" s="245" t="s">
        <v>345</v>
      </c>
      <c r="U1918" s="245" t="s">
        <v>361</v>
      </c>
      <c r="V1918" s="245" t="s">
        <v>387</v>
      </c>
      <c r="W1918" s="245" t="s">
        <v>421</v>
      </c>
      <c r="X1918" s="245"/>
      <c r="Y1918" s="245"/>
      <c r="Z1918" s="245"/>
      <c r="AA1918" s="245"/>
      <c r="AB1918" s="245"/>
      <c r="AC1918" s="245"/>
      <c r="AD1918" s="245"/>
      <c r="AE1918" s="245"/>
      <c r="AF1918" s="245"/>
      <c r="AG1918" s="245"/>
      <c r="AH1918" s="245"/>
      <c r="AI1918" s="245"/>
      <c r="AJ1918" s="245" t="s">
        <v>309</v>
      </c>
      <c r="AK1918" s="246" t="s">
        <v>268</v>
      </c>
      <c r="AL1918" s="247" t="s">
        <v>269</v>
      </c>
      <c r="AM1918" s="291" t="s">
        <v>288</v>
      </c>
      <c r="AN1918" s="292" t="s">
        <v>289</v>
      </c>
      <c r="AO1918" s="292" t="s">
        <v>287</v>
      </c>
      <c r="AP1918" s="293" t="s">
        <v>290</v>
      </c>
      <c r="AQ1918" s="290" t="s">
        <v>306</v>
      </c>
      <c r="AR1918" s="290" t="s">
        <v>310</v>
      </c>
      <c r="AS1918" s="290" t="s">
        <v>311</v>
      </c>
    </row>
    <row r="1919" spans="2:45" ht="14.25" thickBot="1" x14ac:dyDescent="0.3">
      <c r="B1919" s="5">
        <v>273664</v>
      </c>
      <c r="C1919" s="6">
        <v>1135749</v>
      </c>
      <c r="D1919" s="6" t="s">
        <v>7</v>
      </c>
      <c r="E1919" s="6">
        <v>6060050026</v>
      </c>
      <c r="F1919" s="253">
        <f>G1927+AL1919</f>
        <v>3</v>
      </c>
      <c r="G1919" s="235">
        <v>3</v>
      </c>
      <c r="H1919" s="383"/>
      <c r="I1919" s="232"/>
      <c r="J1919" s="232"/>
      <c r="K1919" s="232">
        <v>3</v>
      </c>
      <c r="L1919" s="232">
        <f>IF(K1926=K1918,L1927+AK1919,K1919)</f>
        <v>3</v>
      </c>
      <c r="M1919" s="232">
        <f>IF(K1926=K1918,0,L1927+AK1919-K1919)</f>
        <v>0</v>
      </c>
      <c r="N1919" s="232">
        <v>7</v>
      </c>
      <c r="O1919" s="241">
        <f>N1919-G1919</f>
        <v>4</v>
      </c>
      <c r="P1919" s="268">
        <v>4</v>
      </c>
      <c r="Q1919" s="267">
        <v>4</v>
      </c>
      <c r="R1919" s="241"/>
      <c r="S1919" s="241"/>
      <c r="T1919" s="241"/>
      <c r="U1919" s="241"/>
      <c r="V1919" s="241"/>
      <c r="W1919" s="241"/>
      <c r="X1919" s="241"/>
      <c r="Y1919" s="241"/>
      <c r="Z1919" s="241"/>
      <c r="AA1919" s="241"/>
      <c r="AB1919" s="241"/>
      <c r="AC1919" s="241"/>
      <c r="AD1919" s="241"/>
      <c r="AE1919" s="241"/>
      <c r="AF1919" s="241"/>
      <c r="AG1919" s="241"/>
      <c r="AH1919" s="241"/>
      <c r="AI1919" s="241"/>
      <c r="AJ1919" s="241">
        <f>N1919-P1919-Q1919</f>
        <v>-1</v>
      </c>
      <c r="AK1919" s="235">
        <v>0</v>
      </c>
      <c r="AL1919" s="236">
        <v>3</v>
      </c>
      <c r="AM1919" s="294">
        <v>1.5</v>
      </c>
      <c r="AN1919" s="295">
        <v>4</v>
      </c>
      <c r="AO1919" s="296">
        <f>G1919/(AN1919)</f>
        <v>0.75</v>
      </c>
      <c r="AP1919" s="297">
        <f>AN1919*6</f>
        <v>24</v>
      </c>
      <c r="AQ1919" s="290">
        <f>G1919+K1919</f>
        <v>6</v>
      </c>
      <c r="AR1919" s="290">
        <f>IF(G1919&lt;G1927,(G1927-G1919+K1927-K1919),K1927-K1919)</f>
        <v>0</v>
      </c>
      <c r="AS1919" s="290">
        <f>21-8</f>
        <v>13</v>
      </c>
    </row>
    <row r="1920" spans="2:45" ht="14.25" thickBot="1" x14ac:dyDescent="0.3">
      <c r="B1920" s="5">
        <v>273672</v>
      </c>
      <c r="C1920" s="6">
        <v>1135750</v>
      </c>
      <c r="D1920" s="6" t="s">
        <v>9</v>
      </c>
      <c r="E1920" s="215">
        <v>204000000000</v>
      </c>
      <c r="F1920" s="253">
        <f>G1928+AL1920</f>
        <v>8</v>
      </c>
      <c r="G1920" s="235">
        <f>G1928+AL1920</f>
        <v>8</v>
      </c>
      <c r="H1920" s="383"/>
      <c r="I1920" s="232"/>
      <c r="J1920" s="232"/>
      <c r="K1920" s="232">
        <v>5</v>
      </c>
      <c r="L1920" s="232">
        <f>IF(K1926=K1918,L1928+AK1920,K1920)</f>
        <v>5</v>
      </c>
      <c r="M1920" s="232">
        <f>IF(K1926=K1918,0,L1928+AK1920-K1920)</f>
        <v>5</v>
      </c>
      <c r="N1920" s="232">
        <v>8</v>
      </c>
      <c r="O1920" s="241">
        <f>N1920-G1920</f>
        <v>0</v>
      </c>
      <c r="P1920" s="268">
        <v>13</v>
      </c>
      <c r="Q1920" s="267">
        <v>2</v>
      </c>
      <c r="R1920" s="241"/>
      <c r="S1920" s="241"/>
      <c r="T1920" s="241"/>
      <c r="U1920" s="241"/>
      <c r="V1920" s="241"/>
      <c r="W1920" s="241"/>
      <c r="X1920" s="241"/>
      <c r="Y1920" s="241"/>
      <c r="Z1920" s="241"/>
      <c r="AA1920" s="241"/>
      <c r="AB1920" s="241"/>
      <c r="AC1920" s="241"/>
      <c r="AD1920" s="241"/>
      <c r="AE1920" s="241"/>
      <c r="AF1920" s="241"/>
      <c r="AG1920" s="241"/>
      <c r="AH1920" s="241"/>
      <c r="AI1920" s="241"/>
      <c r="AJ1920" s="241">
        <f>N1920-P1920-Q1920</f>
        <v>-7</v>
      </c>
      <c r="AK1920" s="235">
        <f>IF((G1928-G1920)&gt;0,G1928-G1920,0)</f>
        <v>0</v>
      </c>
      <c r="AL1920" s="236">
        <v>8</v>
      </c>
      <c r="AM1920" s="298">
        <v>4.2</v>
      </c>
      <c r="AN1920" s="295">
        <v>9</v>
      </c>
      <c r="AO1920" s="296">
        <f>G1920/(AN1920)</f>
        <v>0.88888888888888884</v>
      </c>
      <c r="AP1920" s="297">
        <f>AN1920*6</f>
        <v>54</v>
      </c>
      <c r="AQ1920" s="290">
        <f>G1920+K1920</f>
        <v>13</v>
      </c>
      <c r="AR1920" s="290">
        <f>IF(G1920&lt;G1928,(G1928-G1920+K1928-K1920),K1928-K1920)</f>
        <v>5</v>
      </c>
      <c r="AS1920" s="290">
        <f>21-8</f>
        <v>13</v>
      </c>
    </row>
    <row r="1921" spans="2:45" ht="14.25" thickBot="1" x14ac:dyDescent="0.3">
      <c r="B1921" s="5">
        <v>273702</v>
      </c>
      <c r="C1921" s="6">
        <v>1135753</v>
      </c>
      <c r="D1921" s="6" t="s">
        <v>10</v>
      </c>
      <c r="E1921" s="215">
        <v>301000000000</v>
      </c>
      <c r="F1921" s="253">
        <f>G1929+AL1921</f>
        <v>2</v>
      </c>
      <c r="G1921" s="235">
        <f>G1929+AL1921</f>
        <v>2</v>
      </c>
      <c r="H1921" s="383"/>
      <c r="I1921" s="232"/>
      <c r="J1921" s="232"/>
      <c r="K1921" s="232">
        <v>1</v>
      </c>
      <c r="L1921" s="232">
        <f>IF(K1926=K1918,L1929+AK1921,K1921)</f>
        <v>1</v>
      </c>
      <c r="M1921" s="232">
        <f>IF(K1926=K1918,0,L1929+AK1921-K1921)</f>
        <v>0</v>
      </c>
      <c r="N1921" s="232">
        <v>2</v>
      </c>
      <c r="O1921" s="241">
        <f>N1921-G1921</f>
        <v>0</v>
      </c>
      <c r="P1921" s="268"/>
      <c r="Q1921" s="267"/>
      <c r="R1921" s="241"/>
      <c r="S1921" s="241"/>
      <c r="T1921" s="241"/>
      <c r="U1921" s="241"/>
      <c r="V1921" s="241"/>
      <c r="W1921" s="241"/>
      <c r="X1921" s="241"/>
      <c r="Y1921" s="241"/>
      <c r="Z1921" s="241"/>
      <c r="AA1921" s="241"/>
      <c r="AB1921" s="241"/>
      <c r="AC1921" s="241"/>
      <c r="AD1921" s="241"/>
      <c r="AE1921" s="241"/>
      <c r="AF1921" s="241"/>
      <c r="AG1921" s="241"/>
      <c r="AH1921" s="241"/>
      <c r="AI1921" s="241"/>
      <c r="AJ1921" s="241">
        <f>N1921-P1921-Q1921</f>
        <v>2</v>
      </c>
      <c r="AK1921" s="235">
        <f>IF((G1929-G1921)&gt;0,G1929-G1921,0)</f>
        <v>0</v>
      </c>
      <c r="AL1921" s="236">
        <v>0</v>
      </c>
      <c r="AM1921" s="294">
        <f>4/12</f>
        <v>0.33333333333333331</v>
      </c>
      <c r="AN1921" s="295">
        <v>2</v>
      </c>
      <c r="AO1921" s="296">
        <f>G1921/(AN1921)</f>
        <v>1</v>
      </c>
      <c r="AP1921" s="297">
        <f>AN1921*6</f>
        <v>12</v>
      </c>
      <c r="AQ1921" s="290">
        <f>G1921+K1921</f>
        <v>3</v>
      </c>
      <c r="AR1921" s="290">
        <f>IF(G1921&lt;G1929,(G1929-G1921+K1929-K1921),K1929-K1921)</f>
        <v>0</v>
      </c>
      <c r="AS1921" s="290">
        <f>21-8</f>
        <v>13</v>
      </c>
    </row>
    <row r="1922" spans="2:45" ht="14.25" thickBot="1" x14ac:dyDescent="0.3">
      <c r="B1922" s="5">
        <v>273698</v>
      </c>
      <c r="C1922" s="6">
        <v>1135752</v>
      </c>
      <c r="D1922" s="6" t="s">
        <v>11</v>
      </c>
      <c r="E1922" s="215">
        <v>701000000000</v>
      </c>
      <c r="F1922" s="253">
        <f>G1930+AL1922</f>
        <v>1</v>
      </c>
      <c r="G1922" s="235">
        <v>1</v>
      </c>
      <c r="H1922" s="383"/>
      <c r="I1922" s="232"/>
      <c r="J1922" s="232"/>
      <c r="K1922" s="232">
        <v>4</v>
      </c>
      <c r="L1922" s="232">
        <f>IF(K1926=K1918,L1930+AK1922,K1922)</f>
        <v>4</v>
      </c>
      <c r="M1922" s="232">
        <f>IF(K1926=K1918,0,L1930+AK1922-K1922)</f>
        <v>0</v>
      </c>
      <c r="N1922" s="232">
        <v>2</v>
      </c>
      <c r="O1922" s="241">
        <f>N1922-G1922</f>
        <v>1</v>
      </c>
      <c r="P1922" s="268">
        <v>2</v>
      </c>
      <c r="Q1922" s="267"/>
      <c r="R1922" s="241"/>
      <c r="S1922" s="241"/>
      <c r="T1922" s="241"/>
      <c r="U1922" s="241"/>
      <c r="V1922" s="241"/>
      <c r="W1922" s="241"/>
      <c r="X1922" s="241"/>
      <c r="Y1922" s="241"/>
      <c r="Z1922" s="241"/>
      <c r="AA1922" s="241"/>
      <c r="AB1922" s="241"/>
      <c r="AC1922" s="241"/>
      <c r="AD1922" s="241"/>
      <c r="AE1922" s="241"/>
      <c r="AF1922" s="241"/>
      <c r="AG1922" s="241"/>
      <c r="AH1922" s="241"/>
      <c r="AI1922" s="241"/>
      <c r="AJ1922" s="241">
        <f>N1922-P1922-Q1922</f>
        <v>0</v>
      </c>
      <c r="AK1922" s="235">
        <v>0</v>
      </c>
      <c r="AL1922" s="236">
        <v>0</v>
      </c>
      <c r="AM1922" s="294">
        <f>4/12</f>
        <v>0.33333333333333331</v>
      </c>
      <c r="AN1922" s="295">
        <v>2</v>
      </c>
      <c r="AO1922" s="296">
        <f>G1922/(AN1922)</f>
        <v>0.5</v>
      </c>
      <c r="AP1922" s="297">
        <f>AN1922*6</f>
        <v>12</v>
      </c>
      <c r="AQ1922" s="290">
        <f>G1922+K1922</f>
        <v>5</v>
      </c>
      <c r="AR1922" s="290">
        <f>IF(G1922&lt;G1930,(G1930-G1922+K1930-K1922),K1930-K1922)</f>
        <v>-1</v>
      </c>
      <c r="AS1922" s="290">
        <f>21-8</f>
        <v>13</v>
      </c>
    </row>
    <row r="1923" spans="2:45" ht="14.25" thickBot="1" x14ac:dyDescent="0.3">
      <c r="B1923" s="5">
        <v>273680</v>
      </c>
      <c r="C1923" s="6">
        <v>1135751</v>
      </c>
      <c r="D1923" s="6" t="s">
        <v>12</v>
      </c>
      <c r="E1923" s="6" t="s">
        <v>13</v>
      </c>
      <c r="F1923" s="254">
        <f>G1931+AL1923</f>
        <v>16</v>
      </c>
      <c r="G1923" s="237">
        <f>G1931+AL1923</f>
        <v>16</v>
      </c>
      <c r="H1923" s="384"/>
      <c r="I1923" s="238"/>
      <c r="J1923" s="238"/>
      <c r="K1923" s="238">
        <v>5</v>
      </c>
      <c r="L1923" s="238">
        <f>IF(K1926=K1918,L1931+AK1923,K1923)</f>
        <v>5</v>
      </c>
      <c r="M1923" s="238">
        <f>IF(K1926=K1918,0,L1931+AK1923-K1923)</f>
        <v>0</v>
      </c>
      <c r="N1923" s="238">
        <v>16</v>
      </c>
      <c r="O1923" s="242">
        <f>N1923-G1923</f>
        <v>0</v>
      </c>
      <c r="P1923" s="271"/>
      <c r="Q1923" s="276"/>
      <c r="R1923" s="242"/>
      <c r="S1923" s="242"/>
      <c r="T1923" s="242"/>
      <c r="U1923" s="242"/>
      <c r="V1923" s="242"/>
      <c r="W1923" s="242"/>
      <c r="X1923" s="242"/>
      <c r="Y1923" s="242"/>
      <c r="Z1923" s="242"/>
      <c r="AA1923" s="242"/>
      <c r="AB1923" s="242"/>
      <c r="AC1923" s="242"/>
      <c r="AD1923" s="242"/>
      <c r="AE1923" s="242"/>
      <c r="AF1923" s="242"/>
      <c r="AG1923" s="242"/>
      <c r="AH1923" s="242"/>
      <c r="AI1923" s="242"/>
      <c r="AJ1923" s="242">
        <f>N1923-P1923-Q1923</f>
        <v>16</v>
      </c>
      <c r="AK1923" s="237">
        <f>IF((G1931-G1923)&gt;0,G1931-G1923,0)</f>
        <v>0</v>
      </c>
      <c r="AL1923" s="239">
        <v>0</v>
      </c>
      <c r="AM1923" s="299">
        <f>30/12</f>
        <v>2.5</v>
      </c>
      <c r="AN1923" s="300">
        <f>AM1923*2</f>
        <v>5</v>
      </c>
      <c r="AO1923" s="301">
        <f>G1923/(AN1923)</f>
        <v>3.2</v>
      </c>
      <c r="AP1923" s="302">
        <f>AN1923*6</f>
        <v>30</v>
      </c>
      <c r="AQ1923" s="290">
        <f>G1923+K1923</f>
        <v>21</v>
      </c>
      <c r="AR1923" s="290">
        <f>IF(G1923&lt;G1931,(G1931-G1923+K1931-K1923),K1931-K1923)</f>
        <v>0</v>
      </c>
      <c r="AS1923" s="290">
        <f>21-8</f>
        <v>13</v>
      </c>
    </row>
    <row r="1924" spans="2:45" x14ac:dyDescent="0.25">
      <c r="AL1924" s="290"/>
      <c r="AM1924" s="290"/>
      <c r="AN1924" s="290"/>
      <c r="AO1924" s="290"/>
      <c r="AP1924" s="290"/>
      <c r="AQ1924" s="290"/>
      <c r="AR1924" s="290"/>
      <c r="AS1924" s="290"/>
    </row>
    <row r="1925" spans="2:45" ht="14.25" thickBot="1" x14ac:dyDescent="0.3">
      <c r="B1925" s="338" t="s">
        <v>18</v>
      </c>
      <c r="C1925" s="339">
        <v>45348</v>
      </c>
      <c r="AL1925" s="290"/>
      <c r="AM1925" s="290"/>
      <c r="AN1925" s="290"/>
      <c r="AO1925" s="290"/>
      <c r="AP1925" s="290"/>
      <c r="AQ1925" s="290"/>
      <c r="AR1925" s="290"/>
      <c r="AS1925" s="290"/>
    </row>
    <row r="1926" spans="2:45" ht="14.25" thickBot="1" x14ac:dyDescent="0.3">
      <c r="B1926" s="2" t="s">
        <v>0</v>
      </c>
      <c r="C1926" s="3" t="s">
        <v>1</v>
      </c>
      <c r="D1926" s="3" t="s">
        <v>2</v>
      </c>
      <c r="E1926" s="3" t="s">
        <v>3</v>
      </c>
      <c r="F1926" s="248"/>
      <c r="G1926" s="233" t="s">
        <v>4</v>
      </c>
      <c r="H1926" s="386"/>
      <c r="I1926" s="234" t="s">
        <v>5</v>
      </c>
      <c r="J1926" s="234"/>
      <c r="K1926" s="258" t="s">
        <v>305</v>
      </c>
      <c r="L1926" s="258" t="s">
        <v>328</v>
      </c>
      <c r="M1926" s="258" t="s">
        <v>327</v>
      </c>
      <c r="N1926" s="234" t="s">
        <v>308</v>
      </c>
      <c r="O1926" s="240" t="s">
        <v>130</v>
      </c>
      <c r="P1926" s="243" t="s">
        <v>303</v>
      </c>
      <c r="Q1926" s="244" t="s">
        <v>304</v>
      </c>
      <c r="R1926" s="244" t="s">
        <v>314</v>
      </c>
      <c r="S1926" s="245" t="s">
        <v>338</v>
      </c>
      <c r="T1926" s="245" t="s">
        <v>345</v>
      </c>
      <c r="U1926" s="245" t="s">
        <v>361</v>
      </c>
      <c r="V1926" s="245" t="s">
        <v>387</v>
      </c>
      <c r="W1926" s="245" t="s">
        <v>421</v>
      </c>
      <c r="X1926" s="245"/>
      <c r="Y1926" s="245"/>
      <c r="Z1926" s="245"/>
      <c r="AA1926" s="245"/>
      <c r="AB1926" s="245"/>
      <c r="AC1926" s="245"/>
      <c r="AD1926" s="245"/>
      <c r="AE1926" s="245"/>
      <c r="AF1926" s="245"/>
      <c r="AG1926" s="245"/>
      <c r="AH1926" s="245"/>
      <c r="AI1926" s="245"/>
      <c r="AJ1926" s="245" t="s">
        <v>309</v>
      </c>
      <c r="AK1926" s="246" t="s">
        <v>268</v>
      </c>
      <c r="AL1926" s="247" t="s">
        <v>269</v>
      </c>
      <c r="AM1926" s="291" t="s">
        <v>288</v>
      </c>
      <c r="AN1926" s="292" t="s">
        <v>289</v>
      </c>
      <c r="AO1926" s="292" t="s">
        <v>287</v>
      </c>
      <c r="AP1926" s="293" t="s">
        <v>290</v>
      </c>
      <c r="AQ1926" s="290" t="s">
        <v>306</v>
      </c>
      <c r="AR1926" s="290" t="s">
        <v>310</v>
      </c>
      <c r="AS1926" s="290" t="s">
        <v>311</v>
      </c>
    </row>
    <row r="1927" spans="2:45" ht="14.25" thickBot="1" x14ac:dyDescent="0.3">
      <c r="B1927" s="5">
        <v>273664</v>
      </c>
      <c r="C1927" s="6">
        <v>1135749</v>
      </c>
      <c r="D1927" s="6" t="s">
        <v>7</v>
      </c>
      <c r="E1927" s="6">
        <v>6060050026</v>
      </c>
      <c r="F1927" s="249"/>
      <c r="G1927" s="235">
        <v>0</v>
      </c>
      <c r="H1927" s="383"/>
      <c r="I1927" s="232"/>
      <c r="J1927" s="232"/>
      <c r="K1927" s="232">
        <v>3</v>
      </c>
      <c r="L1927" s="232">
        <f>IF(K1934=K1926,L1935+AK1927,K1927)</f>
        <v>3</v>
      </c>
      <c r="M1927" s="232">
        <f>IF(K1934=K1926,0,L1935+AK1927-K1927)</f>
        <v>0</v>
      </c>
      <c r="N1927" s="232">
        <v>11</v>
      </c>
      <c r="O1927" s="241">
        <f>N1927-G1927</f>
        <v>11</v>
      </c>
      <c r="P1927" s="274">
        <v>4</v>
      </c>
      <c r="Q1927" s="232">
        <v>4</v>
      </c>
      <c r="R1927" s="241"/>
      <c r="S1927" s="241"/>
      <c r="T1927" s="241"/>
      <c r="U1927" s="241"/>
      <c r="V1927" s="241"/>
      <c r="W1927" s="241"/>
      <c r="X1927" s="241"/>
      <c r="Y1927" s="241"/>
      <c r="Z1927" s="241"/>
      <c r="AA1927" s="241"/>
      <c r="AB1927" s="241"/>
      <c r="AC1927" s="241"/>
      <c r="AD1927" s="241"/>
      <c r="AE1927" s="241"/>
      <c r="AF1927" s="241"/>
      <c r="AG1927" s="241"/>
      <c r="AH1927" s="241"/>
      <c r="AI1927" s="241"/>
      <c r="AJ1927" s="241">
        <f>N1927-P1927-Q1927</f>
        <v>3</v>
      </c>
      <c r="AK1927" s="235">
        <f>IF((G1935-G1927)&gt;0,G1935-G1927,0)</f>
        <v>0</v>
      </c>
      <c r="AL1927" s="236">
        <f>IF((G1927-G1935)&gt;0,G1927-G1935,0)</f>
        <v>0</v>
      </c>
      <c r="AM1927" s="294">
        <v>1.5</v>
      </c>
      <c r="AN1927" s="295">
        <v>4</v>
      </c>
      <c r="AO1927" s="296">
        <f>G1927/(AN1927)</f>
        <v>0</v>
      </c>
      <c r="AP1927" s="297">
        <f>AN1927*6</f>
        <v>24</v>
      </c>
      <c r="AQ1927" s="290">
        <f>G1927+K1927</f>
        <v>3</v>
      </c>
      <c r="AR1927" s="290">
        <f>IF(G1927&lt;G1935,(G1935-G1927+K1935-K1927),K1935-K1927)</f>
        <v>0</v>
      </c>
      <c r="AS1927" s="290">
        <f>21-8</f>
        <v>13</v>
      </c>
    </row>
    <row r="1928" spans="2:45" ht="14.25" thickBot="1" x14ac:dyDescent="0.3">
      <c r="B1928" s="5">
        <v>273672</v>
      </c>
      <c r="C1928" s="6">
        <v>1135750</v>
      </c>
      <c r="D1928" s="6" t="s">
        <v>9</v>
      </c>
      <c r="E1928" s="215">
        <v>204000000000</v>
      </c>
      <c r="F1928" s="250"/>
      <c r="G1928" s="235">
        <v>0</v>
      </c>
      <c r="H1928" s="383"/>
      <c r="I1928" s="232"/>
      <c r="J1928" s="232"/>
      <c r="K1928" s="232">
        <v>10</v>
      </c>
      <c r="L1928" s="232">
        <f>IF(K1934=K1926,L1936+AK1928,K1928)</f>
        <v>10</v>
      </c>
      <c r="M1928" s="232">
        <f>IF(K1934=K1926,0,L1936+AK1928-K1928)</f>
        <v>0</v>
      </c>
      <c r="N1928" s="232">
        <v>21</v>
      </c>
      <c r="O1928" s="241">
        <f>N1928-G1928</f>
        <v>21</v>
      </c>
      <c r="P1928" s="274">
        <v>13</v>
      </c>
      <c r="Q1928" s="232">
        <v>2</v>
      </c>
      <c r="R1928" s="241"/>
      <c r="S1928" s="241"/>
      <c r="T1928" s="241"/>
      <c r="U1928" s="241"/>
      <c r="V1928" s="241"/>
      <c r="W1928" s="241"/>
      <c r="X1928" s="241"/>
      <c r="Y1928" s="241"/>
      <c r="Z1928" s="241"/>
      <c r="AA1928" s="241"/>
      <c r="AB1928" s="241"/>
      <c r="AC1928" s="241"/>
      <c r="AD1928" s="241"/>
      <c r="AE1928" s="241"/>
      <c r="AF1928" s="241"/>
      <c r="AG1928" s="241"/>
      <c r="AH1928" s="241"/>
      <c r="AI1928" s="241"/>
      <c r="AJ1928" s="241">
        <f>N1928-P1928-Q1928</f>
        <v>6</v>
      </c>
      <c r="AK1928" s="235">
        <f>IF((G1936-G1928)&gt;0,G1936-G1928,0)</f>
        <v>0</v>
      </c>
      <c r="AL1928" s="236">
        <f>IF((G1928-G1936)&gt;0,G1928-G1936,0)</f>
        <v>0</v>
      </c>
      <c r="AM1928" s="298">
        <v>4.2</v>
      </c>
      <c r="AN1928" s="295">
        <v>9</v>
      </c>
      <c r="AO1928" s="296">
        <f>G1928/(AN1928)</f>
        <v>0</v>
      </c>
      <c r="AP1928" s="297">
        <f>AN1928*6</f>
        <v>54</v>
      </c>
      <c r="AQ1928" s="290">
        <f>G1928+K1928</f>
        <v>10</v>
      </c>
      <c r="AR1928" s="290">
        <f>IF(G1928&lt;G1936,(G1936-G1928+K1936-K1928),K1936-K1928)</f>
        <v>0</v>
      </c>
      <c r="AS1928" s="290">
        <f>21-8</f>
        <v>13</v>
      </c>
    </row>
    <row r="1929" spans="2:45" ht="14.25" thickBot="1" x14ac:dyDescent="0.3">
      <c r="B1929" s="5">
        <v>273702</v>
      </c>
      <c r="C1929" s="6">
        <v>1135753</v>
      </c>
      <c r="D1929" s="6" t="s">
        <v>10</v>
      </c>
      <c r="E1929" s="215">
        <v>301000000000</v>
      </c>
      <c r="F1929" s="250"/>
      <c r="G1929" s="235">
        <v>2</v>
      </c>
      <c r="H1929" s="383"/>
      <c r="I1929" s="232"/>
      <c r="J1929" s="232"/>
      <c r="K1929" s="232">
        <v>1</v>
      </c>
      <c r="L1929" s="232">
        <f>IF(K1934=K1926,L1937+AK1929,K1929)</f>
        <v>1</v>
      </c>
      <c r="M1929" s="232">
        <f>IF(K1934=K1926,0,L1937+AK1929-K1929)</f>
        <v>0</v>
      </c>
      <c r="N1929" s="232">
        <v>2</v>
      </c>
      <c r="O1929" s="241">
        <f>N1929-G1929</f>
        <v>0</v>
      </c>
      <c r="P1929" s="274"/>
      <c r="Q1929" s="232"/>
      <c r="R1929" s="241"/>
      <c r="S1929" s="241"/>
      <c r="T1929" s="241"/>
      <c r="U1929" s="241"/>
      <c r="V1929" s="241"/>
      <c r="W1929" s="241"/>
      <c r="X1929" s="241"/>
      <c r="Y1929" s="241"/>
      <c r="Z1929" s="241"/>
      <c r="AA1929" s="241"/>
      <c r="AB1929" s="241"/>
      <c r="AC1929" s="241"/>
      <c r="AD1929" s="241"/>
      <c r="AE1929" s="241"/>
      <c r="AF1929" s="241"/>
      <c r="AG1929" s="241"/>
      <c r="AH1929" s="241"/>
      <c r="AI1929" s="241"/>
      <c r="AJ1929" s="241">
        <f>N1929-P1929-Q1929</f>
        <v>2</v>
      </c>
      <c r="AK1929" s="235">
        <f>IF((G1937-G1929)&gt;0,G1937-G1929,0)</f>
        <v>0</v>
      </c>
      <c r="AL1929" s="236">
        <f>IF((G1929-G1937)&gt;0,G1929-G1937,0)</f>
        <v>0</v>
      </c>
      <c r="AM1929" s="294">
        <f>4/12</f>
        <v>0.33333333333333331</v>
      </c>
      <c r="AN1929" s="295">
        <v>2</v>
      </c>
      <c r="AO1929" s="296">
        <f>G1929/(AN1929)</f>
        <v>1</v>
      </c>
      <c r="AP1929" s="297">
        <f>AN1929*6</f>
        <v>12</v>
      </c>
      <c r="AQ1929" s="290">
        <f>G1929+K1929</f>
        <v>3</v>
      </c>
      <c r="AR1929" s="290">
        <f>IF(G1929&lt;G1937,(G1937-G1929+K1937-K1929),K1937-K1929)</f>
        <v>0</v>
      </c>
      <c r="AS1929" s="290">
        <f>21-8</f>
        <v>13</v>
      </c>
    </row>
    <row r="1930" spans="2:45" ht="14.25" thickBot="1" x14ac:dyDescent="0.3">
      <c r="B1930" s="5">
        <v>273698</v>
      </c>
      <c r="C1930" s="6">
        <v>1135752</v>
      </c>
      <c r="D1930" s="6" t="s">
        <v>11</v>
      </c>
      <c r="E1930" s="215">
        <v>701000000000</v>
      </c>
      <c r="F1930" s="250"/>
      <c r="G1930" s="235">
        <v>1</v>
      </c>
      <c r="H1930" s="383"/>
      <c r="I1930" s="232"/>
      <c r="J1930" s="232"/>
      <c r="K1930" s="232">
        <v>3</v>
      </c>
      <c r="L1930" s="232">
        <f>IF(K1934=K1926,L1938+AK1930,K1930)</f>
        <v>4</v>
      </c>
      <c r="M1930" s="232">
        <f>IF(K1934=K1926,0,L1938+AK1930-K1930)</f>
        <v>0</v>
      </c>
      <c r="N1930" s="232">
        <v>4</v>
      </c>
      <c r="O1930" s="241">
        <f>N1930-G1930</f>
        <v>3</v>
      </c>
      <c r="P1930" s="274">
        <v>2</v>
      </c>
      <c r="Q1930" s="232"/>
      <c r="R1930" s="241"/>
      <c r="S1930" s="241"/>
      <c r="T1930" s="241"/>
      <c r="U1930" s="241"/>
      <c r="V1930" s="241"/>
      <c r="W1930" s="241"/>
      <c r="X1930" s="241"/>
      <c r="Y1930" s="241"/>
      <c r="Z1930" s="241"/>
      <c r="AA1930" s="241"/>
      <c r="AB1930" s="241"/>
      <c r="AC1930" s="241"/>
      <c r="AD1930" s="241"/>
      <c r="AE1930" s="241"/>
      <c r="AF1930" s="241"/>
      <c r="AG1930" s="241"/>
      <c r="AH1930" s="241"/>
      <c r="AI1930" s="241"/>
      <c r="AJ1930" s="241">
        <f>N1930-P1930-Q1930</f>
        <v>2</v>
      </c>
      <c r="AK1930" s="235">
        <f>IF((G1938-G1930)&gt;0,G1938-G1930,0)</f>
        <v>0</v>
      </c>
      <c r="AL1930" s="236">
        <f>IF((G1930-G1938)&gt;0,G1930-G1938,0)</f>
        <v>0</v>
      </c>
      <c r="AM1930" s="294">
        <f>4/12</f>
        <v>0.33333333333333331</v>
      </c>
      <c r="AN1930" s="295">
        <v>2</v>
      </c>
      <c r="AO1930" s="296">
        <f>G1930/(AN1930)</f>
        <v>0.5</v>
      </c>
      <c r="AP1930" s="297">
        <f>AN1930*6</f>
        <v>12</v>
      </c>
      <c r="AQ1930" s="290">
        <f>G1930+K1930</f>
        <v>4</v>
      </c>
      <c r="AR1930" s="290">
        <f>IF(G1930&lt;G1938,(G1938-G1930+K1938-K1930),K1938-K1930)</f>
        <v>1</v>
      </c>
      <c r="AS1930" s="290">
        <f>21-8</f>
        <v>13</v>
      </c>
    </row>
    <row r="1931" spans="2:45" ht="14.25" thickBot="1" x14ac:dyDescent="0.3">
      <c r="B1931" s="5">
        <v>273680</v>
      </c>
      <c r="C1931" s="6">
        <v>1135751</v>
      </c>
      <c r="D1931" s="6" t="s">
        <v>12</v>
      </c>
      <c r="E1931" s="6" t="s">
        <v>13</v>
      </c>
      <c r="F1931" s="230"/>
      <c r="G1931" s="237">
        <v>16</v>
      </c>
      <c r="H1931" s="384"/>
      <c r="I1931" s="238"/>
      <c r="J1931" s="238"/>
      <c r="K1931" s="238">
        <v>5</v>
      </c>
      <c r="L1931" s="238">
        <f>IF(K1934=K1926,L1939+AK1931,K1931)</f>
        <v>5</v>
      </c>
      <c r="M1931" s="238">
        <f>IF(K1934=K1926,0,L1939+AK1931-K1931)</f>
        <v>0</v>
      </c>
      <c r="N1931" s="238">
        <v>16</v>
      </c>
      <c r="O1931" s="242">
        <f>N1931-G1931</f>
        <v>0</v>
      </c>
      <c r="P1931" s="275"/>
      <c r="Q1931" s="238"/>
      <c r="R1931" s="242"/>
      <c r="S1931" s="242"/>
      <c r="T1931" s="242"/>
      <c r="U1931" s="242"/>
      <c r="V1931" s="242"/>
      <c r="W1931" s="242"/>
      <c r="X1931" s="242"/>
      <c r="Y1931" s="242"/>
      <c r="Z1931" s="242"/>
      <c r="AA1931" s="242"/>
      <c r="AB1931" s="242"/>
      <c r="AC1931" s="242"/>
      <c r="AD1931" s="242"/>
      <c r="AE1931" s="242"/>
      <c r="AF1931" s="242"/>
      <c r="AG1931" s="242"/>
      <c r="AH1931" s="242"/>
      <c r="AI1931" s="242"/>
      <c r="AJ1931" s="242">
        <f>N1931-P1931-Q1931</f>
        <v>16</v>
      </c>
      <c r="AK1931" s="237">
        <f>IF((G1939-G1931)&gt;0,G1939-G1931,0)</f>
        <v>0</v>
      </c>
      <c r="AL1931" s="239">
        <f>IF((G1931-G1939)&gt;0,G1931-G1939,0)</f>
        <v>0</v>
      </c>
      <c r="AM1931" s="299">
        <f>30/12</f>
        <v>2.5</v>
      </c>
      <c r="AN1931" s="300">
        <f>AM1931*2</f>
        <v>5</v>
      </c>
      <c r="AO1931" s="301">
        <f>G1931/(AN1931)</f>
        <v>3.2</v>
      </c>
      <c r="AP1931" s="302">
        <f>AN1931*6</f>
        <v>30</v>
      </c>
      <c r="AQ1931" s="290">
        <f>G1931+K1931</f>
        <v>21</v>
      </c>
      <c r="AR1931" s="290">
        <f>IF(G1931&lt;G1939,(G1939-G1931+K1939-K1931),K1939-K1931)</f>
        <v>0</v>
      </c>
      <c r="AS1931" s="290">
        <f>21-8</f>
        <v>13</v>
      </c>
    </row>
    <row r="1932" spans="2:45" x14ac:dyDescent="0.25">
      <c r="AL1932" s="290"/>
      <c r="AM1932" s="290"/>
      <c r="AN1932" s="290"/>
      <c r="AO1932" s="290"/>
      <c r="AP1932" s="290"/>
      <c r="AQ1932" s="290"/>
      <c r="AR1932" s="290"/>
      <c r="AS1932" s="290"/>
    </row>
    <row r="1933" spans="2:45" ht="14.25" thickBot="1" x14ac:dyDescent="0.3">
      <c r="B1933" s="338" t="s">
        <v>18</v>
      </c>
      <c r="C1933" s="339">
        <v>45341</v>
      </c>
      <c r="AL1933" s="290"/>
      <c r="AM1933" s="290"/>
      <c r="AN1933" s="290"/>
      <c r="AO1933" s="290"/>
      <c r="AP1933" s="290"/>
      <c r="AQ1933" s="290"/>
      <c r="AR1933" s="290"/>
      <c r="AS1933" s="290"/>
    </row>
    <row r="1934" spans="2:45" ht="14.25" thickBot="1" x14ac:dyDescent="0.3">
      <c r="B1934" s="2" t="s">
        <v>0</v>
      </c>
      <c r="C1934" s="3" t="s">
        <v>1</v>
      </c>
      <c r="D1934" s="3" t="s">
        <v>2</v>
      </c>
      <c r="E1934" s="15" t="s">
        <v>3</v>
      </c>
      <c r="F1934" s="248"/>
      <c r="G1934" s="233" t="s">
        <v>66</v>
      </c>
      <c r="H1934" s="386"/>
      <c r="I1934" s="234" t="s">
        <v>5</v>
      </c>
      <c r="J1934" s="234"/>
      <c r="K1934" s="258" t="s">
        <v>305</v>
      </c>
      <c r="L1934" s="258" t="s">
        <v>328</v>
      </c>
      <c r="M1934" s="258" t="s">
        <v>327</v>
      </c>
      <c r="N1934" s="234" t="s">
        <v>308</v>
      </c>
      <c r="O1934" s="240" t="s">
        <v>130</v>
      </c>
      <c r="P1934" s="243" t="s">
        <v>303</v>
      </c>
      <c r="Q1934" s="244" t="s">
        <v>304</v>
      </c>
      <c r="R1934" s="244" t="s">
        <v>314</v>
      </c>
      <c r="S1934" s="245" t="s">
        <v>338</v>
      </c>
      <c r="T1934" s="245" t="s">
        <v>345</v>
      </c>
      <c r="U1934" s="245" t="s">
        <v>361</v>
      </c>
      <c r="V1934" s="245" t="s">
        <v>387</v>
      </c>
      <c r="W1934" s="245" t="s">
        <v>421</v>
      </c>
      <c r="X1934" s="245"/>
      <c r="Y1934" s="245"/>
      <c r="Z1934" s="245"/>
      <c r="AA1934" s="245"/>
      <c r="AB1934" s="245"/>
      <c r="AC1934" s="245"/>
      <c r="AD1934" s="245"/>
      <c r="AE1934" s="245"/>
      <c r="AF1934" s="245"/>
      <c r="AG1934" s="245"/>
      <c r="AH1934" s="245"/>
      <c r="AI1934" s="245"/>
      <c r="AJ1934" s="245" t="s">
        <v>300</v>
      </c>
      <c r="AK1934" s="246" t="s">
        <v>268</v>
      </c>
      <c r="AL1934" s="247" t="s">
        <v>269</v>
      </c>
      <c r="AM1934" s="291" t="s">
        <v>288</v>
      </c>
      <c r="AN1934" s="292" t="s">
        <v>289</v>
      </c>
      <c r="AO1934" s="292" t="s">
        <v>287</v>
      </c>
      <c r="AP1934" s="293" t="s">
        <v>290</v>
      </c>
      <c r="AQ1934" s="290" t="s">
        <v>306</v>
      </c>
      <c r="AR1934" s="290" t="s">
        <v>310</v>
      </c>
      <c r="AS1934" s="290" t="s">
        <v>311</v>
      </c>
    </row>
    <row r="1935" spans="2:45" ht="14.25" thickBot="1" x14ac:dyDescent="0.3">
      <c r="B1935" s="5">
        <v>273664</v>
      </c>
      <c r="C1935" s="6">
        <v>1135749</v>
      </c>
      <c r="D1935" s="6" t="s">
        <v>7</v>
      </c>
      <c r="E1935" s="230">
        <v>6060050026</v>
      </c>
      <c r="F1935" s="249"/>
      <c r="G1935" s="235">
        <v>0</v>
      </c>
      <c r="H1935" s="383"/>
      <c r="I1935" s="232"/>
      <c r="J1935" s="232"/>
      <c r="K1935" s="232">
        <v>3</v>
      </c>
      <c r="L1935" s="232">
        <f>IF(K1942=K1934,L1943+AK1935,K1935)</f>
        <v>3</v>
      </c>
      <c r="M1935" s="232">
        <f>IF(K1942=K1934,0,L1943+AK1935-K1935)</f>
        <v>2</v>
      </c>
      <c r="N1935" s="232">
        <v>11</v>
      </c>
      <c r="O1935" s="241">
        <f>N1935-G1935</f>
        <v>11</v>
      </c>
      <c r="P1935" s="274">
        <v>4</v>
      </c>
      <c r="Q1935" s="232">
        <v>4</v>
      </c>
      <c r="R1935" s="241"/>
      <c r="S1935" s="241"/>
      <c r="T1935" s="241"/>
      <c r="U1935" s="241"/>
      <c r="V1935" s="241"/>
      <c r="W1935" s="241"/>
      <c r="X1935" s="241"/>
      <c r="Y1935" s="241"/>
      <c r="Z1935" s="241"/>
      <c r="AA1935" s="241"/>
      <c r="AB1935" s="241"/>
      <c r="AC1935" s="241"/>
      <c r="AD1935" s="241"/>
      <c r="AE1935" s="241"/>
      <c r="AF1935" s="241"/>
      <c r="AG1935" s="241"/>
      <c r="AH1935" s="241"/>
      <c r="AI1935" s="241"/>
      <c r="AJ1935" s="241">
        <f>O1935-P1935</f>
        <v>7</v>
      </c>
      <c r="AK1935" s="235">
        <f>IF((G1943-G1935)&gt;0,G1943-G1935,0)</f>
        <v>4</v>
      </c>
      <c r="AL1935" s="236">
        <f>IF((G1935-G1943)&gt;0,G1935-G1943,0)</f>
        <v>0</v>
      </c>
      <c r="AM1935" s="294">
        <v>1.5</v>
      </c>
      <c r="AN1935" s="295">
        <v>4</v>
      </c>
      <c r="AO1935" s="296">
        <f>G1935/(AN1935)</f>
        <v>0</v>
      </c>
      <c r="AP1935" s="297">
        <f>AN1935*6</f>
        <v>24</v>
      </c>
      <c r="AQ1935" s="290">
        <f>G1935+K1935</f>
        <v>3</v>
      </c>
      <c r="AR1935" s="290">
        <f>IF(G1935&lt;G1943,(G1943-G1935+K1943-K1935),K1943-K1935)</f>
        <v>2</v>
      </c>
      <c r="AS1935" s="290">
        <f>21-8</f>
        <v>13</v>
      </c>
    </row>
    <row r="1936" spans="2:45" ht="14.25" thickBot="1" x14ac:dyDescent="0.3">
      <c r="B1936" s="5">
        <v>273672</v>
      </c>
      <c r="C1936" s="6">
        <v>1135750</v>
      </c>
      <c r="D1936" s="6" t="s">
        <v>9</v>
      </c>
      <c r="E1936" s="231">
        <v>204000000000</v>
      </c>
      <c r="F1936" s="250"/>
      <c r="G1936" s="235">
        <v>0</v>
      </c>
      <c r="H1936" s="383"/>
      <c r="I1936" s="232"/>
      <c r="J1936" s="232"/>
      <c r="K1936" s="232">
        <v>10</v>
      </c>
      <c r="L1936" s="232">
        <f>IF(K1942=K1934,L1944+AK1936,K1936)</f>
        <v>10</v>
      </c>
      <c r="M1936" s="232">
        <f>IF(K1942=K1934,0,L1944+AK1936-K1936)</f>
        <v>4</v>
      </c>
      <c r="N1936" s="232">
        <v>21</v>
      </c>
      <c r="O1936" s="241">
        <f>N1936-G1936</f>
        <v>21</v>
      </c>
      <c r="P1936" s="274">
        <v>13</v>
      </c>
      <c r="Q1936" s="232">
        <v>2</v>
      </c>
      <c r="R1936" s="241"/>
      <c r="S1936" s="241"/>
      <c r="T1936" s="241"/>
      <c r="U1936" s="241"/>
      <c r="V1936" s="241"/>
      <c r="W1936" s="241"/>
      <c r="X1936" s="241"/>
      <c r="Y1936" s="241"/>
      <c r="Z1936" s="241"/>
      <c r="AA1936" s="241"/>
      <c r="AB1936" s="241"/>
      <c r="AC1936" s="241"/>
      <c r="AD1936" s="241"/>
      <c r="AE1936" s="241"/>
      <c r="AF1936" s="241"/>
      <c r="AG1936" s="241"/>
      <c r="AH1936" s="241"/>
      <c r="AI1936" s="241"/>
      <c r="AJ1936" s="241">
        <f>O1936-P1936</f>
        <v>8</v>
      </c>
      <c r="AK1936" s="235">
        <f>IF((G1944-G1936)&gt;0,G1944-G1936,0)</f>
        <v>2</v>
      </c>
      <c r="AL1936" s="236">
        <f>IF((G1936-G1944)&gt;0,G1936-G1944,0)</f>
        <v>0</v>
      </c>
      <c r="AM1936" s="298">
        <v>4.2</v>
      </c>
      <c r="AN1936" s="295">
        <v>9</v>
      </c>
      <c r="AO1936" s="296">
        <f>G1936/(AN1936)</f>
        <v>0</v>
      </c>
      <c r="AP1936" s="297">
        <f>AN1936*6</f>
        <v>54</v>
      </c>
      <c r="AQ1936" s="290">
        <f>G1936+K1936</f>
        <v>10</v>
      </c>
      <c r="AR1936" s="290">
        <f>IF(G1936&lt;G1944,(G1944-G1936+K1944-K1936),K1944-K1936)</f>
        <v>4</v>
      </c>
      <c r="AS1936" s="290">
        <f>21-8</f>
        <v>13</v>
      </c>
    </row>
    <row r="1937" spans="2:45" ht="14.25" thickBot="1" x14ac:dyDescent="0.3">
      <c r="B1937" s="5">
        <v>273702</v>
      </c>
      <c r="C1937" s="6">
        <v>1135753</v>
      </c>
      <c r="D1937" s="6" t="s">
        <v>10</v>
      </c>
      <c r="E1937" s="231">
        <v>301000000000</v>
      </c>
      <c r="F1937" s="250"/>
      <c r="G1937" s="235">
        <v>2</v>
      </c>
      <c r="H1937" s="383"/>
      <c r="I1937" s="232"/>
      <c r="J1937" s="232"/>
      <c r="K1937" s="232">
        <v>1</v>
      </c>
      <c r="L1937" s="232">
        <f>IF(K1942=K1934,L1945+AK1937,K1937)</f>
        <v>1</v>
      </c>
      <c r="M1937" s="232">
        <f>IF(K1942=K1934,0,L1945+AK1937-K1937)</f>
        <v>0</v>
      </c>
      <c r="N1937" s="232">
        <v>2</v>
      </c>
      <c r="O1937" s="241">
        <f>N1937-G1937</f>
        <v>0</v>
      </c>
      <c r="P1937" s="274"/>
      <c r="Q1937" s="232"/>
      <c r="R1937" s="241"/>
      <c r="S1937" s="241"/>
      <c r="T1937" s="241"/>
      <c r="U1937" s="241"/>
      <c r="V1937" s="241"/>
      <c r="W1937" s="241"/>
      <c r="X1937" s="241"/>
      <c r="Y1937" s="241"/>
      <c r="Z1937" s="241"/>
      <c r="AA1937" s="241"/>
      <c r="AB1937" s="241"/>
      <c r="AC1937" s="241"/>
      <c r="AD1937" s="241"/>
      <c r="AE1937" s="241"/>
      <c r="AF1937" s="241"/>
      <c r="AG1937" s="241"/>
      <c r="AH1937" s="241"/>
      <c r="AI1937" s="241"/>
      <c r="AJ1937" s="241">
        <f>O1937-P1937</f>
        <v>0</v>
      </c>
      <c r="AK1937" s="235">
        <f>IF((G1945-G1937)&gt;0,G1945-G1937,0)</f>
        <v>0</v>
      </c>
      <c r="AL1937" s="236">
        <f>IF((G1937-G1945)&gt;0,G1937-G1945,0)</f>
        <v>0</v>
      </c>
      <c r="AM1937" s="294">
        <f>4/12</f>
        <v>0.33333333333333331</v>
      </c>
      <c r="AN1937" s="295">
        <v>2</v>
      </c>
      <c r="AO1937" s="296">
        <f>G1937/(AN1937)</f>
        <v>1</v>
      </c>
      <c r="AP1937" s="297">
        <f>AN1937*6</f>
        <v>12</v>
      </c>
      <c r="AQ1937" s="290">
        <f>G1937+K1937</f>
        <v>3</v>
      </c>
      <c r="AR1937" s="290">
        <f>IF(G1937&lt;G1945,(G1945-G1937+K1945-K1937),K1945-K1937)</f>
        <v>0</v>
      </c>
      <c r="AS1937" s="290">
        <f>21-8</f>
        <v>13</v>
      </c>
    </row>
    <row r="1938" spans="2:45" ht="14.25" thickBot="1" x14ac:dyDescent="0.3">
      <c r="B1938" s="5">
        <v>273698</v>
      </c>
      <c r="C1938" s="6">
        <v>1135752</v>
      </c>
      <c r="D1938" s="6" t="s">
        <v>11</v>
      </c>
      <c r="E1938" s="231">
        <v>701000000000</v>
      </c>
      <c r="F1938" s="250"/>
      <c r="G1938" s="235">
        <v>1</v>
      </c>
      <c r="H1938" s="383"/>
      <c r="I1938" s="232"/>
      <c r="J1938" s="232"/>
      <c r="K1938" s="232">
        <v>4</v>
      </c>
      <c r="L1938" s="232">
        <v>4</v>
      </c>
      <c r="M1938" s="232">
        <f>IF(K1942=K1934,0,L1946+AK1938-K1938)</f>
        <v>0</v>
      </c>
      <c r="N1938" s="232">
        <v>4</v>
      </c>
      <c r="O1938" s="241">
        <f>N1938-G1938</f>
        <v>3</v>
      </c>
      <c r="P1938" s="274">
        <v>2</v>
      </c>
      <c r="Q1938" s="232"/>
      <c r="R1938" s="241"/>
      <c r="S1938" s="241"/>
      <c r="T1938" s="241"/>
      <c r="U1938" s="241"/>
      <c r="V1938" s="241"/>
      <c r="W1938" s="241"/>
      <c r="X1938" s="241"/>
      <c r="Y1938" s="241"/>
      <c r="Z1938" s="241"/>
      <c r="AA1938" s="241"/>
      <c r="AB1938" s="241"/>
      <c r="AC1938" s="241"/>
      <c r="AD1938" s="241"/>
      <c r="AE1938" s="241"/>
      <c r="AF1938" s="241"/>
      <c r="AG1938" s="241"/>
      <c r="AH1938" s="241"/>
      <c r="AI1938" s="241"/>
      <c r="AJ1938" s="241">
        <f>O1938-P1938</f>
        <v>1</v>
      </c>
      <c r="AK1938" s="235">
        <f>IF((G1946-G1938)&gt;0,G1946-G1938,0)</f>
        <v>0</v>
      </c>
      <c r="AL1938" s="236">
        <f>IF((G1938-G1946)&gt;0,G1938-G1946,0)</f>
        <v>0</v>
      </c>
      <c r="AM1938" s="294">
        <f>4/12</f>
        <v>0.33333333333333331</v>
      </c>
      <c r="AN1938" s="295">
        <v>2</v>
      </c>
      <c r="AO1938" s="296">
        <f>G1938/(AN1938)</f>
        <v>0.5</v>
      </c>
      <c r="AP1938" s="297">
        <f>AN1938*6</f>
        <v>12</v>
      </c>
      <c r="AQ1938" s="290">
        <f>G1938+K1938</f>
        <v>5</v>
      </c>
      <c r="AR1938" s="290">
        <f>IF(G1938&lt;G1946,(G1946-G1938+K1946-K1938),K1946-K1938)</f>
        <v>0</v>
      </c>
      <c r="AS1938" s="290">
        <f>21-8</f>
        <v>13</v>
      </c>
    </row>
    <row r="1939" spans="2:45" ht="14.25" thickBot="1" x14ac:dyDescent="0.3">
      <c r="B1939" s="5">
        <v>273680</v>
      </c>
      <c r="C1939" s="6">
        <v>1135751</v>
      </c>
      <c r="D1939" s="6" t="s">
        <v>12</v>
      </c>
      <c r="E1939" s="230" t="s">
        <v>13</v>
      </c>
      <c r="F1939" s="230"/>
      <c r="G1939" s="237">
        <v>16</v>
      </c>
      <c r="H1939" s="384"/>
      <c r="I1939" s="238"/>
      <c r="J1939" s="238"/>
      <c r="K1939" s="238">
        <v>5</v>
      </c>
      <c r="L1939" s="238">
        <f>IF(K1942=K1934,L1947+AK1939,K1939)</f>
        <v>5</v>
      </c>
      <c r="M1939" s="232">
        <f>IF(K1942=K1934,0,L1947+AK1939-K1939)</f>
        <v>0</v>
      </c>
      <c r="N1939" s="238">
        <v>16</v>
      </c>
      <c r="O1939" s="242">
        <f>N1939-G1939</f>
        <v>0</v>
      </c>
      <c r="P1939" s="275"/>
      <c r="Q1939" s="238"/>
      <c r="R1939" s="242"/>
      <c r="S1939" s="242"/>
      <c r="T1939" s="242"/>
      <c r="U1939" s="242"/>
      <c r="V1939" s="242"/>
      <c r="W1939" s="242"/>
      <c r="X1939" s="242"/>
      <c r="Y1939" s="242"/>
      <c r="Z1939" s="242"/>
      <c r="AA1939" s="242"/>
      <c r="AB1939" s="242"/>
      <c r="AC1939" s="242"/>
      <c r="AD1939" s="242"/>
      <c r="AE1939" s="242"/>
      <c r="AF1939" s="242"/>
      <c r="AG1939" s="242"/>
      <c r="AH1939" s="242"/>
      <c r="AI1939" s="242"/>
      <c r="AJ1939" s="242">
        <f>O1939-P1939</f>
        <v>0</v>
      </c>
      <c r="AK1939" s="237">
        <f>IF((G1947-G1939)&gt;0,G1947-G1939,0)</f>
        <v>0</v>
      </c>
      <c r="AL1939" s="239">
        <f>IF((G1939-G1947)&gt;0,G1939-G1947,0)</f>
        <v>0</v>
      </c>
      <c r="AM1939" s="299">
        <f>30/12</f>
        <v>2.5</v>
      </c>
      <c r="AN1939" s="300">
        <f>AM1939*2</f>
        <v>5</v>
      </c>
      <c r="AO1939" s="301">
        <f>G1939/(AN1939)</f>
        <v>3.2</v>
      </c>
      <c r="AP1939" s="302">
        <f>AN1939*6</f>
        <v>30</v>
      </c>
      <c r="AQ1939" s="290">
        <f>G1939+K1939</f>
        <v>21</v>
      </c>
      <c r="AR1939" s="290">
        <f>IF(G1939&lt;G1947,(G1947-G1939+K1947-K1939),K1947-K1939)</f>
        <v>0</v>
      </c>
      <c r="AS1939" s="290">
        <f>21-8</f>
        <v>13</v>
      </c>
    </row>
    <row r="1940" spans="2:45" x14ac:dyDescent="0.25">
      <c r="AL1940" s="290"/>
      <c r="AM1940" s="290"/>
      <c r="AN1940" s="290"/>
      <c r="AO1940" s="290"/>
      <c r="AP1940" s="290"/>
      <c r="AQ1940" s="290"/>
      <c r="AR1940" s="290"/>
      <c r="AS1940" s="290"/>
    </row>
    <row r="1941" spans="2:45" ht="14.25" thickBot="1" x14ac:dyDescent="0.3">
      <c r="B1941" s="338" t="s">
        <v>18</v>
      </c>
      <c r="C1941" s="339">
        <v>45334</v>
      </c>
      <c r="AL1941" s="290"/>
      <c r="AM1941" s="290"/>
      <c r="AN1941" s="290"/>
      <c r="AO1941" s="290"/>
      <c r="AP1941" s="290"/>
      <c r="AQ1941" s="290"/>
      <c r="AR1941" s="290"/>
      <c r="AS1941" s="290"/>
    </row>
    <row r="1942" spans="2:45" ht="14.25" thickBot="1" x14ac:dyDescent="0.3">
      <c r="B1942" s="2" t="s">
        <v>0</v>
      </c>
      <c r="C1942" s="3" t="s">
        <v>1</v>
      </c>
      <c r="D1942" s="3" t="s">
        <v>2</v>
      </c>
      <c r="E1942" s="15" t="s">
        <v>3</v>
      </c>
      <c r="F1942" s="248"/>
      <c r="G1942" s="233" t="s">
        <v>66</v>
      </c>
      <c r="H1942" s="386"/>
      <c r="I1942" s="234" t="s">
        <v>5</v>
      </c>
      <c r="J1942" s="234"/>
      <c r="K1942" s="258" t="s">
        <v>299</v>
      </c>
      <c r="L1942" s="258" t="s">
        <v>328</v>
      </c>
      <c r="M1942" s="258" t="s">
        <v>327</v>
      </c>
      <c r="N1942" s="234" t="s">
        <v>301</v>
      </c>
      <c r="O1942" s="240" t="s">
        <v>130</v>
      </c>
      <c r="P1942" s="243" t="s">
        <v>303</v>
      </c>
      <c r="Q1942" s="244" t="s">
        <v>304</v>
      </c>
      <c r="R1942" s="244" t="s">
        <v>314</v>
      </c>
      <c r="S1942" s="245" t="s">
        <v>338</v>
      </c>
      <c r="T1942" s="245" t="s">
        <v>345</v>
      </c>
      <c r="U1942" s="245" t="s">
        <v>361</v>
      </c>
      <c r="V1942" s="245" t="s">
        <v>387</v>
      </c>
      <c r="W1942" s="245" t="s">
        <v>421</v>
      </c>
      <c r="X1942" s="245"/>
      <c r="Y1942" s="245"/>
      <c r="Z1942" s="245"/>
      <c r="AA1942" s="245"/>
      <c r="AB1942" s="245"/>
      <c r="AC1942" s="245"/>
      <c r="AD1942" s="245"/>
      <c r="AE1942" s="245"/>
      <c r="AF1942" s="245"/>
      <c r="AG1942" s="245"/>
      <c r="AH1942" s="245"/>
      <c r="AI1942" s="245"/>
      <c r="AJ1942" s="245" t="s">
        <v>300</v>
      </c>
      <c r="AK1942" s="246" t="s">
        <v>268</v>
      </c>
      <c r="AL1942" s="247" t="s">
        <v>269</v>
      </c>
      <c r="AM1942" s="291" t="s">
        <v>288</v>
      </c>
      <c r="AN1942" s="292" t="s">
        <v>289</v>
      </c>
      <c r="AO1942" s="292" t="s">
        <v>287</v>
      </c>
      <c r="AP1942" s="293" t="s">
        <v>290</v>
      </c>
      <c r="AQ1942" s="290" t="s">
        <v>306</v>
      </c>
      <c r="AR1942" s="290" t="s">
        <v>307</v>
      </c>
      <c r="AS1942" s="290"/>
    </row>
    <row r="1943" spans="2:45" ht="14.25" thickBot="1" x14ac:dyDescent="0.3">
      <c r="B1943" s="5">
        <v>273664</v>
      </c>
      <c r="C1943" s="6">
        <v>1135749</v>
      </c>
      <c r="D1943" s="6" t="s">
        <v>7</v>
      </c>
      <c r="E1943" s="230">
        <v>6060050026</v>
      </c>
      <c r="F1943" s="249"/>
      <c r="G1943" s="235">
        <v>4</v>
      </c>
      <c r="H1943" s="383"/>
      <c r="I1943" s="232"/>
      <c r="J1943" s="232"/>
      <c r="K1943" s="232">
        <v>1</v>
      </c>
      <c r="L1943" s="232">
        <f>IF(K1950=K1942,L1951+AK1943,K1943)</f>
        <v>1</v>
      </c>
      <c r="M1943" s="232">
        <f>IF(K1950=K1942,0,L1951+AK1943-K1943)</f>
        <v>0</v>
      </c>
      <c r="N1943" s="232">
        <v>8</v>
      </c>
      <c r="O1943" s="241">
        <f>N1943-G1943</f>
        <v>4</v>
      </c>
      <c r="P1943" s="235">
        <v>4</v>
      </c>
      <c r="Q1943" s="232"/>
      <c r="R1943" s="241"/>
      <c r="S1943" s="241"/>
      <c r="T1943" s="241"/>
      <c r="U1943" s="241"/>
      <c r="V1943" s="241"/>
      <c r="W1943" s="241"/>
      <c r="X1943" s="241"/>
      <c r="Y1943" s="241"/>
      <c r="Z1943" s="241"/>
      <c r="AA1943" s="241"/>
      <c r="AB1943" s="241"/>
      <c r="AC1943" s="241"/>
      <c r="AD1943" s="241"/>
      <c r="AE1943" s="241"/>
      <c r="AF1943" s="241"/>
      <c r="AG1943" s="241"/>
      <c r="AH1943" s="241"/>
      <c r="AI1943" s="241"/>
      <c r="AJ1943" s="241">
        <f>N1943-P1943</f>
        <v>4</v>
      </c>
      <c r="AK1943" s="235">
        <f>IF((G1951-G1943)&gt;0,G1951-G1943,0)</f>
        <v>0</v>
      </c>
      <c r="AL1943" s="236">
        <f>IF((G1943-G1951)&gt;0,G1943-G1951,0)</f>
        <v>0</v>
      </c>
      <c r="AM1943" s="294">
        <v>1.5</v>
      </c>
      <c r="AN1943" s="295">
        <f>AM1943*2</f>
        <v>3</v>
      </c>
      <c r="AO1943" s="296">
        <f>G1943/(AN1943)</f>
        <v>1.3333333333333333</v>
      </c>
      <c r="AP1943" s="297">
        <f>AN1943*6</f>
        <v>18</v>
      </c>
      <c r="AQ1943" s="290">
        <f>G1943+K1943</f>
        <v>5</v>
      </c>
      <c r="AR1943" s="290">
        <f>IF(G1943&lt;G1951,(G1951-G1943+K1951-K1943),K1951-K1943)</f>
        <v>0</v>
      </c>
      <c r="AS1943" s="290"/>
    </row>
    <row r="1944" spans="2:45" ht="14.25" thickBot="1" x14ac:dyDescent="0.3">
      <c r="B1944" s="5">
        <v>273672</v>
      </c>
      <c r="C1944" s="6">
        <v>1135750</v>
      </c>
      <c r="D1944" s="6" t="s">
        <v>9</v>
      </c>
      <c r="E1944" s="231">
        <v>204000000000</v>
      </c>
      <c r="F1944" s="250"/>
      <c r="G1944" s="235">
        <v>2</v>
      </c>
      <c r="H1944" s="383"/>
      <c r="I1944" s="232"/>
      <c r="J1944" s="232"/>
      <c r="K1944" s="232">
        <v>12</v>
      </c>
      <c r="L1944" s="232">
        <f>IF(K1950=K1942,L1952+AK1944,K1944)</f>
        <v>12</v>
      </c>
      <c r="M1944" s="232">
        <f>IF(K1950=K1942,0,L1952+AK1944-K1944)</f>
        <v>0</v>
      </c>
      <c r="N1944" s="232">
        <v>13</v>
      </c>
      <c r="O1944" s="241">
        <f>N1944-G1944</f>
        <v>11</v>
      </c>
      <c r="P1944" s="235">
        <v>13</v>
      </c>
      <c r="Q1944" s="232"/>
      <c r="R1944" s="241"/>
      <c r="S1944" s="241"/>
      <c r="T1944" s="241"/>
      <c r="U1944" s="241"/>
      <c r="V1944" s="241"/>
      <c r="W1944" s="241"/>
      <c r="X1944" s="241"/>
      <c r="Y1944" s="241"/>
      <c r="Z1944" s="241"/>
      <c r="AA1944" s="241"/>
      <c r="AB1944" s="241"/>
      <c r="AC1944" s="241"/>
      <c r="AD1944" s="241"/>
      <c r="AE1944" s="241"/>
      <c r="AF1944" s="241"/>
      <c r="AG1944" s="241"/>
      <c r="AH1944" s="241"/>
      <c r="AI1944" s="241"/>
      <c r="AJ1944" s="241">
        <f>N1944-P1944</f>
        <v>0</v>
      </c>
      <c r="AK1944" s="235">
        <f>IF((G1952-G1944)&gt;0,G1952-G1944,0)</f>
        <v>0</v>
      </c>
      <c r="AL1944" s="236">
        <f>IF((G1944-G1952)&gt;0,G1944-G1952,0)</f>
        <v>0</v>
      </c>
      <c r="AM1944" s="298">
        <v>4.2</v>
      </c>
      <c r="AN1944" s="295">
        <f>AM1944*2</f>
        <v>8.4</v>
      </c>
      <c r="AO1944" s="296">
        <f>G1944/(AN1944)</f>
        <v>0.23809523809523808</v>
      </c>
      <c r="AP1944" s="297">
        <f>AN1944*6</f>
        <v>50.400000000000006</v>
      </c>
      <c r="AQ1944" s="290">
        <f>G1944+K1944</f>
        <v>14</v>
      </c>
      <c r="AR1944" s="290">
        <f>IF(G1944&lt;G1952,(G1952-G1944+K1952-K1944),K1952-K1944)</f>
        <v>0</v>
      </c>
      <c r="AS1944" s="290"/>
    </row>
    <row r="1945" spans="2:45" ht="14.25" thickBot="1" x14ac:dyDescent="0.3">
      <c r="B1945" s="5">
        <v>273702</v>
      </c>
      <c r="C1945" s="6">
        <v>1135753</v>
      </c>
      <c r="D1945" s="6" t="s">
        <v>10</v>
      </c>
      <c r="E1945" s="231">
        <v>301000000000</v>
      </c>
      <c r="F1945" s="250"/>
      <c r="G1945" s="235">
        <v>2</v>
      </c>
      <c r="H1945" s="383"/>
      <c r="I1945" s="232"/>
      <c r="J1945" s="232"/>
      <c r="K1945" s="232">
        <v>1</v>
      </c>
      <c r="L1945" s="232">
        <f>IF(K1950=K1942,L1953+AK1945,K1945)</f>
        <v>1</v>
      </c>
      <c r="M1945" s="232">
        <f>IF(K1950=K1942,0,L1953+AK1945-K1945)</f>
        <v>0</v>
      </c>
      <c r="N1945" s="232">
        <v>2</v>
      </c>
      <c r="O1945" s="241">
        <f>N1945-G1945</f>
        <v>0</v>
      </c>
      <c r="P1945" s="235"/>
      <c r="Q1945" s="232"/>
      <c r="R1945" s="241"/>
      <c r="S1945" s="241"/>
      <c r="T1945" s="241"/>
      <c r="U1945" s="241"/>
      <c r="V1945" s="241"/>
      <c r="W1945" s="241"/>
      <c r="X1945" s="241"/>
      <c r="Y1945" s="241"/>
      <c r="Z1945" s="241"/>
      <c r="AA1945" s="241"/>
      <c r="AB1945" s="241"/>
      <c r="AC1945" s="241"/>
      <c r="AD1945" s="241"/>
      <c r="AE1945" s="241"/>
      <c r="AF1945" s="241"/>
      <c r="AG1945" s="241"/>
      <c r="AH1945" s="241"/>
      <c r="AI1945" s="241"/>
      <c r="AJ1945" s="241">
        <f>N1945-P1945</f>
        <v>2</v>
      </c>
      <c r="AK1945" s="235">
        <f>IF((G1953-G1945)&gt;0,G1953-G1945,0)</f>
        <v>0</v>
      </c>
      <c r="AL1945" s="236">
        <f>IF((G1945-G1953)&gt;0,G1945-G1953,0)</f>
        <v>0</v>
      </c>
      <c r="AM1945" s="294">
        <f>4/12</f>
        <v>0.33333333333333331</v>
      </c>
      <c r="AN1945" s="295">
        <f>AM1945*2</f>
        <v>0.66666666666666663</v>
      </c>
      <c r="AO1945" s="296">
        <f>G1945/(AN1945)</f>
        <v>3</v>
      </c>
      <c r="AP1945" s="297">
        <f>AN1945*6</f>
        <v>4</v>
      </c>
      <c r="AQ1945" s="290">
        <f>G1945+K1945</f>
        <v>3</v>
      </c>
      <c r="AR1945" s="290">
        <f>IF(G1945&lt;G1953,(G1953-G1945+K1953-K1945),K1953-K1945)</f>
        <v>0</v>
      </c>
      <c r="AS1945" s="290"/>
    </row>
    <row r="1946" spans="2:45" ht="14.25" thickBot="1" x14ac:dyDescent="0.3">
      <c r="B1946" s="5">
        <v>273698</v>
      </c>
      <c r="C1946" s="6">
        <v>1135752</v>
      </c>
      <c r="D1946" s="6" t="s">
        <v>11</v>
      </c>
      <c r="E1946" s="231">
        <v>701000000000</v>
      </c>
      <c r="F1946" s="250"/>
      <c r="G1946" s="235">
        <v>1</v>
      </c>
      <c r="H1946" s="383"/>
      <c r="I1946" s="232"/>
      <c r="J1946" s="232"/>
      <c r="K1946" s="232">
        <v>4</v>
      </c>
      <c r="L1946" s="232">
        <f>IF(K1950=K1942,L1954+AK1946,K1946)</f>
        <v>4</v>
      </c>
      <c r="M1946" s="232">
        <f>IF(K1950=K1942,0,L1954+AK1946-K1946)</f>
        <v>0</v>
      </c>
      <c r="N1946" s="232">
        <v>4</v>
      </c>
      <c r="O1946" s="241">
        <f>N1946-G1946</f>
        <v>3</v>
      </c>
      <c r="P1946" s="235">
        <v>2</v>
      </c>
      <c r="Q1946" s="232"/>
      <c r="R1946" s="241"/>
      <c r="S1946" s="241"/>
      <c r="T1946" s="241"/>
      <c r="U1946" s="241"/>
      <c r="V1946" s="241"/>
      <c r="W1946" s="241"/>
      <c r="X1946" s="241"/>
      <c r="Y1946" s="241"/>
      <c r="Z1946" s="241"/>
      <c r="AA1946" s="241"/>
      <c r="AB1946" s="241"/>
      <c r="AC1946" s="241"/>
      <c r="AD1946" s="241"/>
      <c r="AE1946" s="241"/>
      <c r="AF1946" s="241"/>
      <c r="AG1946" s="241"/>
      <c r="AH1946" s="241"/>
      <c r="AI1946" s="241"/>
      <c r="AJ1946" s="241">
        <f>N1946-P1946</f>
        <v>2</v>
      </c>
      <c r="AK1946" s="235">
        <f>IF((G1954-G1946)&gt;0,G1954-G1946,0)</f>
        <v>0</v>
      </c>
      <c r="AL1946" s="236">
        <f>IF((G1946-G1954)&gt;0,G1946-G1954,0)</f>
        <v>0</v>
      </c>
      <c r="AM1946" s="294">
        <f>4/12</f>
        <v>0.33333333333333331</v>
      </c>
      <c r="AN1946" s="295">
        <f>AM1946*2</f>
        <v>0.66666666666666663</v>
      </c>
      <c r="AO1946" s="296">
        <f>G1946/(AN1946)</f>
        <v>1.5</v>
      </c>
      <c r="AP1946" s="297">
        <f>AN1946*6</f>
        <v>4</v>
      </c>
      <c r="AQ1946" s="290">
        <f>G1946+K1946</f>
        <v>5</v>
      </c>
      <c r="AR1946" s="290">
        <f>IF(G1946&lt;G1954,(G1954-G1946+K1954-K1946),K1954-K1946)</f>
        <v>0</v>
      </c>
      <c r="AS1946" s="290"/>
    </row>
    <row r="1947" spans="2:45" ht="14.25" thickBot="1" x14ac:dyDescent="0.3">
      <c r="B1947" s="5">
        <v>273680</v>
      </c>
      <c r="C1947" s="6">
        <v>1135751</v>
      </c>
      <c r="D1947" s="6" t="s">
        <v>12</v>
      </c>
      <c r="E1947" s="230" t="s">
        <v>13</v>
      </c>
      <c r="F1947" s="230"/>
      <c r="G1947" s="237">
        <v>16</v>
      </c>
      <c r="H1947" s="384"/>
      <c r="I1947" s="238"/>
      <c r="J1947" s="238"/>
      <c r="K1947" s="238">
        <v>5</v>
      </c>
      <c r="L1947" s="238">
        <f>IF(K1950=K1942,L1955+AK1947,K1947)</f>
        <v>5</v>
      </c>
      <c r="M1947" s="232">
        <f>IF(K1950=K1942,0,L1955+AK1947-K1947)</f>
        <v>0</v>
      </c>
      <c r="N1947" s="238">
        <v>16</v>
      </c>
      <c r="O1947" s="242">
        <f>N1947-G1947</f>
        <v>0</v>
      </c>
      <c r="P1947" s="237"/>
      <c r="Q1947" s="238"/>
      <c r="R1947" s="242"/>
      <c r="S1947" s="242"/>
      <c r="T1947" s="242"/>
      <c r="U1947" s="242"/>
      <c r="V1947" s="242"/>
      <c r="W1947" s="242"/>
      <c r="X1947" s="242"/>
      <c r="Y1947" s="242"/>
      <c r="Z1947" s="242"/>
      <c r="AA1947" s="242"/>
      <c r="AB1947" s="242"/>
      <c r="AC1947" s="242"/>
      <c r="AD1947" s="242"/>
      <c r="AE1947" s="242"/>
      <c r="AF1947" s="242"/>
      <c r="AG1947" s="242"/>
      <c r="AH1947" s="242"/>
      <c r="AI1947" s="242"/>
      <c r="AJ1947" s="242">
        <f>N1947-P1947</f>
        <v>16</v>
      </c>
      <c r="AK1947" s="237">
        <f>IF((G1955-G1947)&gt;0,G1955-G1947,0)</f>
        <v>0</v>
      </c>
      <c r="AL1947" s="239">
        <f>IF((G1947-G1955)&gt;0,G1947-G1955,0)</f>
        <v>0</v>
      </c>
      <c r="AM1947" s="299">
        <f>30/12</f>
        <v>2.5</v>
      </c>
      <c r="AN1947" s="300">
        <f>AM1947*2</f>
        <v>5</v>
      </c>
      <c r="AO1947" s="301">
        <f>G1947/(AN1947)</f>
        <v>3.2</v>
      </c>
      <c r="AP1947" s="302">
        <f>AN1947*6</f>
        <v>30</v>
      </c>
      <c r="AQ1947" s="290">
        <f>G1947+K1947</f>
        <v>21</v>
      </c>
      <c r="AR1947" s="290">
        <f>IF(G1947&lt;G1955,(G1955-G1947+K1955-K1947),K1955-K1947)</f>
        <v>0</v>
      </c>
      <c r="AS1947" s="290"/>
    </row>
    <row r="1948" spans="2:45" x14ac:dyDescent="0.25">
      <c r="G1948" s="290" t="s">
        <v>322</v>
      </c>
      <c r="K1948" s="290">
        <f>+K1952+AK1944+AK1936+AK1928+AK1920+AK1912-K1920</f>
        <v>9</v>
      </c>
      <c r="AJ1948" s="290" t="s">
        <v>322</v>
      </c>
      <c r="AL1948" s="290"/>
      <c r="AM1948" s="290"/>
      <c r="AN1948" s="290"/>
      <c r="AO1948" s="290"/>
      <c r="AP1948" s="290"/>
      <c r="AQ1948" s="290"/>
      <c r="AR1948" s="290"/>
      <c r="AS1948" s="290"/>
    </row>
    <row r="1949" spans="2:45" ht="14.25" thickBot="1" x14ac:dyDescent="0.3">
      <c r="B1949" s="338" t="s">
        <v>18</v>
      </c>
      <c r="C1949" s="339">
        <v>45327</v>
      </c>
      <c r="AL1949" s="290"/>
      <c r="AM1949" s="290"/>
      <c r="AN1949" s="290"/>
      <c r="AO1949" s="290"/>
      <c r="AP1949" s="290"/>
      <c r="AQ1949" s="290"/>
      <c r="AR1949" s="290"/>
      <c r="AS1949" s="290"/>
    </row>
    <row r="1950" spans="2:45" ht="14.25" thickBot="1" x14ac:dyDescent="0.3">
      <c r="B1950" s="2" t="s">
        <v>0</v>
      </c>
      <c r="C1950" s="3" t="s">
        <v>1</v>
      </c>
      <c r="D1950" s="3" t="s">
        <v>2</v>
      </c>
      <c r="E1950" s="15" t="s">
        <v>3</v>
      </c>
      <c r="F1950" s="248"/>
      <c r="G1950" s="233" t="s">
        <v>4</v>
      </c>
      <c r="H1950" s="386"/>
      <c r="I1950" s="234" t="s">
        <v>5</v>
      </c>
      <c r="J1950" s="234"/>
      <c r="K1950" s="258" t="s">
        <v>299</v>
      </c>
      <c r="L1950" s="258" t="s">
        <v>328</v>
      </c>
      <c r="M1950" s="258" t="s">
        <v>327</v>
      </c>
      <c r="N1950" s="234" t="s">
        <v>298</v>
      </c>
      <c r="O1950" s="240" t="s">
        <v>130</v>
      </c>
      <c r="P1950" s="243" t="s">
        <v>303</v>
      </c>
      <c r="Q1950" s="244" t="s">
        <v>304</v>
      </c>
      <c r="R1950" s="244" t="s">
        <v>314</v>
      </c>
      <c r="S1950" s="245" t="s">
        <v>338</v>
      </c>
      <c r="T1950" s="245" t="s">
        <v>345</v>
      </c>
      <c r="U1950" s="245" t="s">
        <v>361</v>
      </c>
      <c r="V1950" s="245" t="s">
        <v>387</v>
      </c>
      <c r="W1950" s="245" t="s">
        <v>421</v>
      </c>
      <c r="X1950" s="245"/>
      <c r="Y1950" s="245"/>
      <c r="Z1950" s="245"/>
      <c r="AA1950" s="245"/>
      <c r="AB1950" s="245"/>
      <c r="AC1950" s="245"/>
      <c r="AD1950" s="245"/>
      <c r="AE1950" s="245"/>
      <c r="AF1950" s="245"/>
      <c r="AG1950" s="245"/>
      <c r="AH1950" s="245"/>
      <c r="AI1950" s="245"/>
      <c r="AJ1950" s="245" t="s">
        <v>300</v>
      </c>
      <c r="AK1950" s="246" t="s">
        <v>268</v>
      </c>
      <c r="AL1950" s="247" t="s">
        <v>269</v>
      </c>
      <c r="AM1950" s="291" t="s">
        <v>288</v>
      </c>
      <c r="AN1950" s="292" t="s">
        <v>289</v>
      </c>
      <c r="AO1950" s="292" t="s">
        <v>287</v>
      </c>
      <c r="AP1950" s="293" t="s">
        <v>290</v>
      </c>
      <c r="AQ1950" s="290" t="s">
        <v>306</v>
      </c>
      <c r="AR1950" s="290" t="s">
        <v>307</v>
      </c>
      <c r="AS1950" s="290"/>
    </row>
    <row r="1951" spans="2:45" ht="14.25" thickBot="1" x14ac:dyDescent="0.3">
      <c r="B1951" s="5">
        <v>273664</v>
      </c>
      <c r="C1951" s="6">
        <v>1135749</v>
      </c>
      <c r="D1951" s="6" t="s">
        <v>7</v>
      </c>
      <c r="E1951" s="230">
        <v>6060050026</v>
      </c>
      <c r="F1951" s="249"/>
      <c r="G1951" s="235">
        <v>4</v>
      </c>
      <c r="H1951" s="383"/>
      <c r="I1951" s="232"/>
      <c r="J1951" s="232"/>
      <c r="K1951" s="232">
        <v>1</v>
      </c>
      <c r="L1951" s="232">
        <v>1</v>
      </c>
      <c r="M1951" s="232"/>
      <c r="N1951" s="232">
        <v>8</v>
      </c>
      <c r="O1951" s="241">
        <f>N1951-G1951</f>
        <v>4</v>
      </c>
      <c r="P1951" s="235">
        <v>4</v>
      </c>
      <c r="Q1951" s="232"/>
      <c r="R1951" s="241"/>
      <c r="S1951" s="241"/>
      <c r="T1951" s="241"/>
      <c r="U1951" s="241"/>
      <c r="V1951" s="241"/>
      <c r="W1951" s="241"/>
      <c r="X1951" s="241"/>
      <c r="Y1951" s="241"/>
      <c r="Z1951" s="241"/>
      <c r="AA1951" s="241"/>
      <c r="AB1951" s="241"/>
      <c r="AC1951" s="241"/>
      <c r="AD1951" s="241"/>
      <c r="AE1951" s="241"/>
      <c r="AF1951" s="241"/>
      <c r="AG1951" s="241"/>
      <c r="AH1951" s="241"/>
      <c r="AI1951" s="241"/>
      <c r="AJ1951" s="241">
        <f>N1951-P1951</f>
        <v>4</v>
      </c>
      <c r="AK1951" s="235">
        <f>IF((G1959-G1951)&gt;0,G1959-G1951,0)</f>
        <v>0</v>
      </c>
      <c r="AL1951" s="236">
        <f>IF((G1951-G1959)&gt;0,G1951-G1959,0)</f>
        <v>0</v>
      </c>
      <c r="AM1951" s="294">
        <v>1.5</v>
      </c>
      <c r="AN1951" s="295">
        <f>AM1951*2</f>
        <v>3</v>
      </c>
      <c r="AO1951" s="296">
        <f>G1951/(AN1951)</f>
        <v>1.3333333333333333</v>
      </c>
      <c r="AP1951" s="297">
        <f>AN1951*6</f>
        <v>18</v>
      </c>
      <c r="AQ1951" s="290">
        <f>G1951+K1951</f>
        <v>5</v>
      </c>
      <c r="AR1951" s="290">
        <f>IF(G1951&lt;G1959,(G1959-G1951+K1959-K1951),K1959-K1951)</f>
        <v>0</v>
      </c>
      <c r="AS1951" s="290"/>
    </row>
    <row r="1952" spans="2:45" ht="14.25" thickBot="1" x14ac:dyDescent="0.3">
      <c r="B1952" s="5">
        <v>273672</v>
      </c>
      <c r="C1952" s="6">
        <v>1135750</v>
      </c>
      <c r="D1952" s="6" t="s">
        <v>9</v>
      </c>
      <c r="E1952" s="231">
        <v>204000000000</v>
      </c>
      <c r="F1952" s="250"/>
      <c r="G1952" s="235">
        <v>2</v>
      </c>
      <c r="H1952" s="383"/>
      <c r="I1952" s="232"/>
      <c r="J1952" s="232"/>
      <c r="K1952" s="232">
        <v>12</v>
      </c>
      <c r="L1952" s="232">
        <v>12</v>
      </c>
      <c r="M1952" s="232"/>
      <c r="N1952" s="232">
        <v>13</v>
      </c>
      <c r="O1952" s="241">
        <f>N1952-G1952</f>
        <v>11</v>
      </c>
      <c r="P1952" s="235">
        <v>13</v>
      </c>
      <c r="Q1952" s="232"/>
      <c r="R1952" s="241"/>
      <c r="S1952" s="241"/>
      <c r="T1952" s="241"/>
      <c r="U1952" s="241"/>
      <c r="V1952" s="241"/>
      <c r="W1952" s="241"/>
      <c r="X1952" s="241"/>
      <c r="Y1952" s="241"/>
      <c r="Z1952" s="241"/>
      <c r="AA1952" s="241"/>
      <c r="AB1952" s="241"/>
      <c r="AC1952" s="241"/>
      <c r="AD1952" s="241"/>
      <c r="AE1952" s="241"/>
      <c r="AF1952" s="241"/>
      <c r="AG1952" s="241"/>
      <c r="AH1952" s="241"/>
      <c r="AI1952" s="241"/>
      <c r="AJ1952" s="241">
        <f>N1952-P1952</f>
        <v>0</v>
      </c>
      <c r="AK1952" s="235">
        <f>IF((G1960-G1952)&gt;0,G1960-G1952,0)</f>
        <v>0</v>
      </c>
      <c r="AL1952" s="236">
        <f>IF((G1952-G1960)&gt;0,G1952-G1960,0)</f>
        <v>0</v>
      </c>
      <c r="AM1952" s="298">
        <v>4.2</v>
      </c>
      <c r="AN1952" s="295">
        <f>AM1952*2</f>
        <v>8.4</v>
      </c>
      <c r="AO1952" s="296">
        <f>G1952/(AN1952)</f>
        <v>0.23809523809523808</v>
      </c>
      <c r="AP1952" s="297">
        <f>AN1952*6</f>
        <v>50.400000000000006</v>
      </c>
      <c r="AQ1952" s="290">
        <f>G1952+K1952</f>
        <v>14</v>
      </c>
      <c r="AR1952" s="290">
        <f>IF(G1952&lt;G1960,(G1960-G1952+K1960-K1952),K1960-K1952)</f>
        <v>-6</v>
      </c>
      <c r="AS1952" s="290"/>
    </row>
    <row r="1953" spans="2:45" ht="14.25" thickBot="1" x14ac:dyDescent="0.3">
      <c r="B1953" s="5">
        <v>273702</v>
      </c>
      <c r="C1953" s="6">
        <v>1135753</v>
      </c>
      <c r="D1953" s="6" t="s">
        <v>10</v>
      </c>
      <c r="E1953" s="231">
        <v>301000000000</v>
      </c>
      <c r="F1953" s="250"/>
      <c r="G1953" s="235">
        <v>2</v>
      </c>
      <c r="H1953" s="383"/>
      <c r="I1953" s="232"/>
      <c r="J1953" s="232"/>
      <c r="K1953" s="232">
        <v>1</v>
      </c>
      <c r="L1953" s="232">
        <v>1</v>
      </c>
      <c r="M1953" s="232"/>
      <c r="N1953" s="232">
        <v>2</v>
      </c>
      <c r="O1953" s="241">
        <f>N1953-G1953</f>
        <v>0</v>
      </c>
      <c r="P1953" s="235"/>
      <c r="Q1953" s="232"/>
      <c r="R1953" s="241"/>
      <c r="S1953" s="241"/>
      <c r="T1953" s="241"/>
      <c r="U1953" s="241"/>
      <c r="V1953" s="241"/>
      <c r="W1953" s="241"/>
      <c r="X1953" s="241"/>
      <c r="Y1953" s="241"/>
      <c r="Z1953" s="241"/>
      <c r="AA1953" s="241"/>
      <c r="AB1953" s="241"/>
      <c r="AC1953" s="241"/>
      <c r="AD1953" s="241"/>
      <c r="AE1953" s="241"/>
      <c r="AF1953" s="241"/>
      <c r="AG1953" s="241"/>
      <c r="AH1953" s="241"/>
      <c r="AI1953" s="241"/>
      <c r="AJ1953" s="241">
        <f>N1953-P1953</f>
        <v>2</v>
      </c>
      <c r="AK1953" s="235">
        <f>IF((G1961-G1953)&gt;0,G1961-G1953,0)</f>
        <v>0</v>
      </c>
      <c r="AL1953" s="236">
        <f>IF((G1953-G1961)&gt;0,G1953-G1961,0)</f>
        <v>0</v>
      </c>
      <c r="AM1953" s="294">
        <f>4/12</f>
        <v>0.33333333333333331</v>
      </c>
      <c r="AN1953" s="295">
        <f>AM1953*2</f>
        <v>0.66666666666666663</v>
      </c>
      <c r="AO1953" s="296">
        <f>G1953/(AN1953)</f>
        <v>3</v>
      </c>
      <c r="AP1953" s="297">
        <f>AN1953*6</f>
        <v>4</v>
      </c>
      <c r="AQ1953" s="290">
        <f>G1953+K1953</f>
        <v>3</v>
      </c>
      <c r="AR1953" s="290">
        <f>IF(G1953&lt;G1961,(G1961-G1953+K1961-K1953),K1961-K1953)</f>
        <v>0</v>
      </c>
      <c r="AS1953" s="290"/>
    </row>
    <row r="1954" spans="2:45" ht="14.25" thickBot="1" x14ac:dyDescent="0.3">
      <c r="B1954" s="5">
        <v>273698</v>
      </c>
      <c r="C1954" s="6">
        <v>1135752</v>
      </c>
      <c r="D1954" s="6" t="s">
        <v>11</v>
      </c>
      <c r="E1954" s="231">
        <v>701000000000</v>
      </c>
      <c r="F1954" s="250"/>
      <c r="G1954" s="235">
        <v>1</v>
      </c>
      <c r="H1954" s="383"/>
      <c r="I1954" s="232"/>
      <c r="J1954" s="232"/>
      <c r="K1954" s="232">
        <v>4</v>
      </c>
      <c r="L1954" s="232">
        <v>4</v>
      </c>
      <c r="M1954" s="232"/>
      <c r="N1954" s="232">
        <v>4</v>
      </c>
      <c r="O1954" s="241">
        <f>N1954-G1954</f>
        <v>3</v>
      </c>
      <c r="P1954" s="235">
        <v>2</v>
      </c>
      <c r="Q1954" s="232"/>
      <c r="R1954" s="241"/>
      <c r="S1954" s="241"/>
      <c r="T1954" s="241"/>
      <c r="U1954" s="241"/>
      <c r="V1954" s="241"/>
      <c r="W1954" s="241"/>
      <c r="X1954" s="241"/>
      <c r="Y1954" s="241"/>
      <c r="Z1954" s="241"/>
      <c r="AA1954" s="241"/>
      <c r="AB1954" s="241"/>
      <c r="AC1954" s="241"/>
      <c r="AD1954" s="241"/>
      <c r="AE1954" s="241"/>
      <c r="AF1954" s="241"/>
      <c r="AG1954" s="241"/>
      <c r="AH1954" s="241"/>
      <c r="AI1954" s="241"/>
      <c r="AJ1954" s="241">
        <f>N1954-P1954</f>
        <v>2</v>
      </c>
      <c r="AK1954" s="235">
        <f>IF((G1962-G1954)&gt;0,G1962-G1954,0)</f>
        <v>0</v>
      </c>
      <c r="AL1954" s="236">
        <f>IF((G1954-G1962)&gt;0,G1954-G1962,0)</f>
        <v>0</v>
      </c>
      <c r="AM1954" s="294">
        <f>4/12</f>
        <v>0.33333333333333331</v>
      </c>
      <c r="AN1954" s="295">
        <f>AM1954*2</f>
        <v>0.66666666666666663</v>
      </c>
      <c r="AO1954" s="296">
        <f>G1954/(AN1954)</f>
        <v>1.5</v>
      </c>
      <c r="AP1954" s="297">
        <f>AN1954*6</f>
        <v>4</v>
      </c>
      <c r="AQ1954" s="290">
        <f>G1954+K1954</f>
        <v>5</v>
      </c>
      <c r="AR1954" s="290">
        <f>IF(G1954&lt;G1962,(G1962-G1954+K1962-K1954),K1962-K1954)</f>
        <v>-1</v>
      </c>
      <c r="AS1954" s="290"/>
    </row>
    <row r="1955" spans="2:45" ht="14.25" thickBot="1" x14ac:dyDescent="0.3">
      <c r="B1955" s="5">
        <v>273680</v>
      </c>
      <c r="C1955" s="6">
        <v>1135751</v>
      </c>
      <c r="D1955" s="6" t="s">
        <v>12</v>
      </c>
      <c r="E1955" s="230" t="s">
        <v>13</v>
      </c>
      <c r="F1955" s="230"/>
      <c r="G1955" s="237">
        <v>16</v>
      </c>
      <c r="H1955" s="384"/>
      <c r="I1955" s="238"/>
      <c r="J1955" s="238"/>
      <c r="K1955" s="238">
        <v>5</v>
      </c>
      <c r="L1955" s="238">
        <v>5</v>
      </c>
      <c r="M1955" s="238"/>
      <c r="N1955" s="238">
        <v>16</v>
      </c>
      <c r="O1955" s="242">
        <f>N1955-G1955</f>
        <v>0</v>
      </c>
      <c r="P1955" s="237"/>
      <c r="Q1955" s="238"/>
      <c r="R1955" s="242"/>
      <c r="S1955" s="242"/>
      <c r="T1955" s="242"/>
      <c r="U1955" s="242"/>
      <c r="V1955" s="242"/>
      <c r="W1955" s="242"/>
      <c r="X1955" s="242"/>
      <c r="Y1955" s="242"/>
      <c r="Z1955" s="242"/>
      <c r="AA1955" s="242"/>
      <c r="AB1955" s="242"/>
      <c r="AC1955" s="242"/>
      <c r="AD1955" s="242"/>
      <c r="AE1955" s="242"/>
      <c r="AF1955" s="242"/>
      <c r="AG1955" s="242"/>
      <c r="AH1955" s="242"/>
      <c r="AI1955" s="242"/>
      <c r="AJ1955" s="242">
        <f>N1955-P1955</f>
        <v>16</v>
      </c>
      <c r="AK1955" s="237">
        <f>IF((G1963-G1955)&gt;0,G1963-G1955,0)</f>
        <v>0</v>
      </c>
      <c r="AL1955" s="239">
        <f>IF((G1955-G1963)&gt;0,G1955-G1963,0)</f>
        <v>0</v>
      </c>
      <c r="AM1955" s="299">
        <f>30/12</f>
        <v>2.5</v>
      </c>
      <c r="AN1955" s="300">
        <f>AM1955*2</f>
        <v>5</v>
      </c>
      <c r="AO1955" s="301">
        <f>G1955/(AN1955)</f>
        <v>3.2</v>
      </c>
      <c r="AP1955" s="302">
        <f>AN1955*6</f>
        <v>30</v>
      </c>
      <c r="AQ1955" s="290">
        <f>G1955+K1955</f>
        <v>21</v>
      </c>
      <c r="AR1955" s="290">
        <f>IF(G1955&lt;G1963,(G1963-G1955+K1963-K1955),K1963-K1955)</f>
        <v>5</v>
      </c>
      <c r="AS1955" s="290"/>
    </row>
    <row r="1957" spans="2:45" ht="14.25" thickBot="1" x14ac:dyDescent="0.3">
      <c r="B1957" s="338" t="s">
        <v>18</v>
      </c>
      <c r="C1957" s="339">
        <v>45320</v>
      </c>
    </row>
    <row r="1958" spans="2:45" ht="14.25" thickBot="1" x14ac:dyDescent="0.3">
      <c r="B1958" s="2" t="s">
        <v>0</v>
      </c>
      <c r="C1958" s="3" t="s">
        <v>1</v>
      </c>
      <c r="D1958" s="3" t="s">
        <v>2</v>
      </c>
      <c r="E1958" s="3" t="s">
        <v>3</v>
      </c>
      <c r="F1958" s="3"/>
      <c r="G1958" s="4" t="s">
        <v>4</v>
      </c>
      <c r="H1958" s="4"/>
      <c r="I1958" s="3" t="s">
        <v>5</v>
      </c>
      <c r="J1958" s="3"/>
      <c r="K1958" s="3" t="s">
        <v>286</v>
      </c>
      <c r="L1958" s="3" t="s">
        <v>297</v>
      </c>
      <c r="M1958" s="3"/>
      <c r="N1958" s="222" t="s">
        <v>296</v>
      </c>
      <c r="O1958" s="222" t="s">
        <v>294</v>
      </c>
      <c r="P1958" s="3" t="s">
        <v>130</v>
      </c>
      <c r="Q1958" s="3" t="s">
        <v>268</v>
      </c>
      <c r="R1958" s="3" t="s">
        <v>269</v>
      </c>
      <c r="S1958" s="217" t="s">
        <v>274</v>
      </c>
      <c r="T1958" s="291" t="s">
        <v>288</v>
      </c>
      <c r="U1958" s="292" t="s">
        <v>289</v>
      </c>
      <c r="V1958" s="292" t="s">
        <v>287</v>
      </c>
      <c r="W1958" s="292"/>
      <c r="X1958" s="292"/>
      <c r="Y1958" s="292"/>
      <c r="Z1958" s="292"/>
      <c r="AA1958" s="293" t="s">
        <v>290</v>
      </c>
      <c r="AB1958" s="290" t="s">
        <v>306</v>
      </c>
    </row>
    <row r="1959" spans="2:45" ht="14.25" thickBot="1" x14ac:dyDescent="0.3">
      <c r="B1959" s="5">
        <v>273664</v>
      </c>
      <c r="C1959" s="6">
        <v>1135749</v>
      </c>
      <c r="D1959" s="6" t="s">
        <v>7</v>
      </c>
      <c r="E1959" s="6">
        <v>6060050026</v>
      </c>
      <c r="F1959" s="6"/>
      <c r="G1959" s="223">
        <v>4</v>
      </c>
      <c r="H1959" s="223"/>
      <c r="I1959" s="7"/>
      <c r="J1959" s="7"/>
      <c r="K1959" s="7">
        <v>1</v>
      </c>
      <c r="L1959" s="7">
        <v>10</v>
      </c>
      <c r="M1959" s="7"/>
      <c r="N1959" s="7">
        <v>2</v>
      </c>
      <c r="O1959" s="7">
        <f>L1959-N1959-N1967-O1967</f>
        <v>4</v>
      </c>
      <c r="P1959" s="7">
        <f>O1959-G1959</f>
        <v>0</v>
      </c>
      <c r="Q1959" s="7">
        <f>IF((G1967-G1959)&gt;0,G1967-G1959,0)</f>
        <v>0</v>
      </c>
      <c r="R1959" s="7">
        <f>IF((G1959-G1967)&gt;0,G1959-G1967,0)</f>
        <v>0</v>
      </c>
      <c r="S1959" s="218">
        <f>I1959-G1959</f>
        <v>-4</v>
      </c>
      <c r="T1959" s="294">
        <v>1.5</v>
      </c>
      <c r="U1959" s="295">
        <f>T1959*2</f>
        <v>3</v>
      </c>
      <c r="V1959" s="296">
        <f>G1959/(U1959)</f>
        <v>1.3333333333333333</v>
      </c>
      <c r="W1959" s="296"/>
      <c r="X1959" s="296"/>
      <c r="Y1959" s="296"/>
      <c r="Z1959" s="296"/>
      <c r="AA1959" s="297">
        <f>U1959*6</f>
        <v>18</v>
      </c>
      <c r="AB1959" s="290">
        <f>G1959+K1959</f>
        <v>5</v>
      </c>
    </row>
    <row r="1960" spans="2:45" ht="14.25" thickBot="1" x14ac:dyDescent="0.3">
      <c r="B1960" s="5">
        <v>273672</v>
      </c>
      <c r="C1960" s="6">
        <v>1135750</v>
      </c>
      <c r="D1960" s="6" t="s">
        <v>9</v>
      </c>
      <c r="E1960" s="215">
        <v>204000000000</v>
      </c>
      <c r="F1960" s="215"/>
      <c r="G1960" s="223">
        <v>2</v>
      </c>
      <c r="H1960" s="223"/>
      <c r="I1960" s="7"/>
      <c r="J1960" s="7"/>
      <c r="K1960" s="7">
        <v>6</v>
      </c>
      <c r="L1960" s="7">
        <v>31</v>
      </c>
      <c r="M1960" s="7"/>
      <c r="N1960" s="7">
        <v>6</v>
      </c>
      <c r="O1960" s="7">
        <f>L1960-N1960-N1968-O1968</f>
        <v>0</v>
      </c>
      <c r="P1960" s="7">
        <f>O1960-G1960</f>
        <v>-2</v>
      </c>
      <c r="Q1960" s="7">
        <f>IF((G1968-G1960)&gt;0,G1968-G1960,0)</f>
        <v>0</v>
      </c>
      <c r="R1960" s="7">
        <f>IF((G1960-G1968)&gt;0,G1960-G1968,0)</f>
        <v>0</v>
      </c>
      <c r="S1960" s="218">
        <f>I1960-G1960</f>
        <v>-2</v>
      </c>
      <c r="T1960" s="298">
        <v>4.2</v>
      </c>
      <c r="U1960" s="295">
        <f>T1960*2</f>
        <v>8.4</v>
      </c>
      <c r="V1960" s="296">
        <f>G1960/(U1960)</f>
        <v>0.23809523809523808</v>
      </c>
      <c r="W1960" s="296"/>
      <c r="X1960" s="296"/>
      <c r="Y1960" s="296"/>
      <c r="Z1960" s="296"/>
      <c r="AA1960" s="297">
        <f>U1960*6</f>
        <v>50.400000000000006</v>
      </c>
      <c r="AB1960" s="290">
        <f>G1960+K1960</f>
        <v>8</v>
      </c>
      <c r="AD1960" s="14"/>
      <c r="AE1960" s="14"/>
      <c r="AF1960" s="14"/>
      <c r="AG1960" s="14"/>
      <c r="AH1960" s="14"/>
      <c r="AI1960" s="14"/>
      <c r="AJ1960" s="14"/>
      <c r="AK1960" s="14"/>
    </row>
    <row r="1961" spans="2:45" ht="14.25" thickBot="1" x14ac:dyDescent="0.3">
      <c r="B1961" s="5">
        <v>273702</v>
      </c>
      <c r="C1961" s="6">
        <v>1135753</v>
      </c>
      <c r="D1961" s="6" t="s">
        <v>10</v>
      </c>
      <c r="E1961" s="215">
        <v>301000000000</v>
      </c>
      <c r="F1961" s="215"/>
      <c r="G1961" s="7">
        <v>2</v>
      </c>
      <c r="H1961" s="7"/>
      <c r="I1961" s="7"/>
      <c r="J1961" s="7"/>
      <c r="K1961" s="7">
        <v>1</v>
      </c>
      <c r="L1961" s="7">
        <v>2</v>
      </c>
      <c r="M1961" s="7"/>
      <c r="N1961" s="7"/>
      <c r="O1961" s="7">
        <f>L1961-N1961-N1969-O1969</f>
        <v>2</v>
      </c>
      <c r="P1961" s="7">
        <f>O1961-G1961</f>
        <v>0</v>
      </c>
      <c r="Q1961" s="7">
        <f>IF((G1969-G1961)&gt;0,G1969-G1961,0)</f>
        <v>0</v>
      </c>
      <c r="R1961" s="7">
        <f>IF((G1961-G1969)&gt;0,G1961-G1969,0)</f>
        <v>0</v>
      </c>
      <c r="S1961" s="218">
        <f>I1961-G1961</f>
        <v>-2</v>
      </c>
      <c r="T1961" s="294">
        <f>4/12</f>
        <v>0.33333333333333331</v>
      </c>
      <c r="U1961" s="295">
        <f>T1961*2</f>
        <v>0.66666666666666663</v>
      </c>
      <c r="V1961" s="296">
        <f>G1961/(U1961)</f>
        <v>3</v>
      </c>
      <c r="W1961" s="296"/>
      <c r="X1961" s="296"/>
      <c r="Y1961" s="296"/>
      <c r="Z1961" s="296"/>
      <c r="AA1961" s="297">
        <f>U1961*6</f>
        <v>4</v>
      </c>
      <c r="AB1961" s="290">
        <f>G1961+K1961</f>
        <v>3</v>
      </c>
      <c r="AD1961" s="14"/>
      <c r="AE1961" s="14"/>
      <c r="AF1961" s="14"/>
      <c r="AG1961" s="14"/>
      <c r="AH1961" s="14"/>
      <c r="AI1961" s="14"/>
      <c r="AJ1961" s="14"/>
      <c r="AK1961" s="14"/>
    </row>
    <row r="1962" spans="2:45" ht="14.25" thickBot="1" x14ac:dyDescent="0.3">
      <c r="B1962" s="5">
        <v>273698</v>
      </c>
      <c r="C1962" s="6">
        <v>1135752</v>
      </c>
      <c r="D1962" s="6" t="s">
        <v>11</v>
      </c>
      <c r="E1962" s="215">
        <v>701000000000</v>
      </c>
      <c r="F1962" s="215"/>
      <c r="G1962" s="223">
        <v>1</v>
      </c>
      <c r="H1962" s="223"/>
      <c r="I1962" s="7"/>
      <c r="J1962" s="7"/>
      <c r="K1962" s="7">
        <v>3</v>
      </c>
      <c r="L1962" s="7">
        <v>8</v>
      </c>
      <c r="M1962" s="7"/>
      <c r="N1962" s="7"/>
      <c r="O1962" s="7">
        <f>L1962-N1962-N1970-O1970</f>
        <v>2</v>
      </c>
      <c r="P1962" s="7">
        <f>O1962-G1962</f>
        <v>1</v>
      </c>
      <c r="Q1962" s="7">
        <f>IF((G1970-G1962)&gt;0,G1970-G1962,0)</f>
        <v>0</v>
      </c>
      <c r="R1962" s="7">
        <f>IF((G1962-G1970)&gt;0,G1962-G1970,0)</f>
        <v>0</v>
      </c>
      <c r="S1962" s="218">
        <f>I1962-G1962</f>
        <v>-1</v>
      </c>
      <c r="T1962" s="294">
        <f>4/12</f>
        <v>0.33333333333333331</v>
      </c>
      <c r="U1962" s="295">
        <f>T1962*2</f>
        <v>0.66666666666666663</v>
      </c>
      <c r="V1962" s="296">
        <f>G1962/(U1962)</f>
        <v>1.5</v>
      </c>
      <c r="W1962" s="296"/>
      <c r="X1962" s="296"/>
      <c r="Y1962" s="296"/>
      <c r="Z1962" s="296"/>
      <c r="AA1962" s="297">
        <f>U1962*6</f>
        <v>4</v>
      </c>
      <c r="AB1962" s="290">
        <f>G1962+K1962</f>
        <v>4</v>
      </c>
      <c r="AD1962" s="14"/>
      <c r="AE1962" s="14"/>
      <c r="AF1962" s="14"/>
      <c r="AG1962" s="14"/>
      <c r="AH1962" s="14"/>
      <c r="AI1962" s="14"/>
      <c r="AJ1962" s="14"/>
      <c r="AK1962" s="14"/>
    </row>
    <row r="1963" spans="2:45" ht="14.25" thickBot="1" x14ac:dyDescent="0.3">
      <c r="B1963" s="5">
        <v>273680</v>
      </c>
      <c r="C1963" s="6">
        <v>1135751</v>
      </c>
      <c r="D1963" s="6" t="s">
        <v>12</v>
      </c>
      <c r="E1963" s="6" t="s">
        <v>13</v>
      </c>
      <c r="F1963" s="6"/>
      <c r="G1963" s="224">
        <v>16</v>
      </c>
      <c r="H1963" s="224"/>
      <c r="I1963" s="7"/>
      <c r="J1963" s="7"/>
      <c r="K1963" s="7">
        <v>10</v>
      </c>
      <c r="L1963" s="7">
        <v>17</v>
      </c>
      <c r="M1963" s="7"/>
      <c r="N1963" s="7">
        <v>1</v>
      </c>
      <c r="O1963" s="7">
        <f>L1963-N1963-N1971-O1971</f>
        <v>16</v>
      </c>
      <c r="P1963" s="7">
        <f>O1963-G1963</f>
        <v>0</v>
      </c>
      <c r="Q1963" s="7">
        <f>IF((G1971-G1963)&gt;0,G1971-G1963,0)</f>
        <v>0</v>
      </c>
      <c r="R1963" s="7">
        <f>IF((G1963-G1971)&gt;0,G1963-G1971,0)</f>
        <v>0</v>
      </c>
      <c r="S1963" s="218">
        <f>I1963-G1963</f>
        <v>-16</v>
      </c>
      <c r="T1963" s="299">
        <f>30/12</f>
        <v>2.5</v>
      </c>
      <c r="U1963" s="300">
        <f>T1963*2</f>
        <v>5</v>
      </c>
      <c r="V1963" s="301">
        <f>G1963/(U1963)</f>
        <v>3.2</v>
      </c>
      <c r="W1963" s="301"/>
      <c r="X1963" s="301"/>
      <c r="Y1963" s="301"/>
      <c r="Z1963" s="301"/>
      <c r="AA1963" s="302">
        <f>U1963*6</f>
        <v>30</v>
      </c>
      <c r="AB1963" s="290">
        <f>G1963+K1963</f>
        <v>26</v>
      </c>
      <c r="AD1963" s="14"/>
      <c r="AE1963" s="14"/>
      <c r="AF1963" s="14"/>
      <c r="AG1963" s="14"/>
      <c r="AH1963" s="14"/>
      <c r="AI1963" s="14"/>
      <c r="AJ1963" s="14"/>
      <c r="AK1963" s="14"/>
    </row>
    <row r="1965" spans="2:45" ht="14.25" thickBot="1" x14ac:dyDescent="0.3">
      <c r="B1965" s="338" t="s">
        <v>18</v>
      </c>
      <c r="C1965" s="339">
        <v>45313</v>
      </c>
      <c r="AD1965" s="14"/>
      <c r="AE1965" s="14"/>
      <c r="AF1965" s="14"/>
      <c r="AG1965" s="14"/>
      <c r="AH1965" s="14"/>
      <c r="AI1965" s="14"/>
      <c r="AJ1965" s="14"/>
      <c r="AK1965" s="14"/>
    </row>
    <row r="1966" spans="2:45" ht="14.25" thickBot="1" x14ac:dyDescent="0.3">
      <c r="B1966" s="2" t="s">
        <v>0</v>
      </c>
      <c r="C1966" s="3" t="s">
        <v>1</v>
      </c>
      <c r="D1966" s="3" t="s">
        <v>2</v>
      </c>
      <c r="E1966" s="3" t="s">
        <v>3</v>
      </c>
      <c r="F1966" s="3"/>
      <c r="G1966" s="4" t="s">
        <v>4</v>
      </c>
      <c r="H1966" s="4"/>
      <c r="I1966" s="3" t="s">
        <v>5</v>
      </c>
      <c r="J1966" s="3"/>
      <c r="K1966" s="3" t="s">
        <v>286</v>
      </c>
      <c r="L1966" s="3" t="s">
        <v>295</v>
      </c>
      <c r="M1966" s="3"/>
      <c r="N1966" s="222" t="s">
        <v>293</v>
      </c>
      <c r="O1966" s="222" t="s">
        <v>302</v>
      </c>
      <c r="P1966" s="222" t="s">
        <v>294</v>
      </c>
      <c r="Q1966" s="3" t="s">
        <v>130</v>
      </c>
      <c r="R1966" s="3" t="s">
        <v>268</v>
      </c>
      <c r="S1966" s="3" t="s">
        <v>269</v>
      </c>
      <c r="T1966" s="217" t="s">
        <v>274</v>
      </c>
      <c r="U1966" s="291" t="s">
        <v>288</v>
      </c>
      <c r="V1966" s="292" t="s">
        <v>289</v>
      </c>
      <c r="W1966" s="292"/>
      <c r="X1966" s="292"/>
      <c r="Y1966" s="292"/>
      <c r="Z1966" s="292"/>
      <c r="AA1966" s="292" t="s">
        <v>287</v>
      </c>
      <c r="AB1966" s="293" t="s">
        <v>290</v>
      </c>
      <c r="AC1966" s="363"/>
      <c r="AD1966" s="14"/>
      <c r="AE1966" s="14"/>
      <c r="AF1966" s="14"/>
      <c r="AG1966" s="14"/>
      <c r="AH1966" s="14"/>
      <c r="AI1966" s="14"/>
      <c r="AJ1966" s="14"/>
      <c r="AK1966" s="14"/>
    </row>
    <row r="1967" spans="2:45" ht="14.25" thickBot="1" x14ac:dyDescent="0.3">
      <c r="B1967" s="5">
        <v>273664</v>
      </c>
      <c r="C1967" s="6">
        <v>1135749</v>
      </c>
      <c r="D1967" s="6" t="s">
        <v>7</v>
      </c>
      <c r="E1967" s="6">
        <v>6060050026</v>
      </c>
      <c r="F1967" s="6"/>
      <c r="G1967" s="223">
        <v>4</v>
      </c>
      <c r="H1967" s="223"/>
      <c r="I1967" s="7"/>
      <c r="J1967" s="7"/>
      <c r="K1967" s="7">
        <v>1</v>
      </c>
      <c r="L1967" s="7">
        <v>10</v>
      </c>
      <c r="M1967" s="7"/>
      <c r="N1967" s="7"/>
      <c r="O1967" s="7">
        <v>4</v>
      </c>
      <c r="P1967" s="7">
        <f>L1967-N1967-O1967</f>
        <v>6</v>
      </c>
      <c r="Q1967" s="7">
        <f>P1967-G1967</f>
        <v>2</v>
      </c>
      <c r="R1967" s="7">
        <f>IF((G1975-G1967)&gt;0,G1975-G1967,0)</f>
        <v>4</v>
      </c>
      <c r="S1967" s="7">
        <f>IF((G1967-G1975)&gt;0,G1967-G1975,0)</f>
        <v>0</v>
      </c>
      <c r="T1967" s="218">
        <f>I1967-G1967</f>
        <v>-4</v>
      </c>
      <c r="U1967" s="294">
        <v>1.5</v>
      </c>
      <c r="V1967" s="295">
        <f>U1967*2</f>
        <v>3</v>
      </c>
      <c r="W1967" s="295"/>
      <c r="X1967" s="295"/>
      <c r="Y1967" s="295"/>
      <c r="Z1967" s="295"/>
      <c r="AA1967" s="296">
        <f>G1967/(V1967)</f>
        <v>1.3333333333333333</v>
      </c>
      <c r="AB1967" s="297">
        <f>V1967*6</f>
        <v>18</v>
      </c>
      <c r="AC1967" s="353"/>
      <c r="AD1967" s="14"/>
      <c r="AE1967" s="14"/>
      <c r="AF1967" s="14"/>
      <c r="AG1967" s="14"/>
      <c r="AH1967" s="14"/>
      <c r="AI1967" s="14"/>
      <c r="AJ1967" s="14"/>
      <c r="AK1967" s="14"/>
    </row>
    <row r="1968" spans="2:45" ht="14.25" thickBot="1" x14ac:dyDescent="0.3">
      <c r="B1968" s="5">
        <v>273672</v>
      </c>
      <c r="C1968" s="6">
        <v>1135750</v>
      </c>
      <c r="D1968" s="6" t="s">
        <v>9</v>
      </c>
      <c r="E1968" s="215">
        <v>204000000000</v>
      </c>
      <c r="F1968" s="215"/>
      <c r="G1968" s="223">
        <v>2</v>
      </c>
      <c r="H1968" s="223"/>
      <c r="I1968" s="7"/>
      <c r="J1968" s="7"/>
      <c r="K1968" s="7">
        <v>6</v>
      </c>
      <c r="L1968" s="7">
        <f>31</f>
        <v>31</v>
      </c>
      <c r="M1968" s="7"/>
      <c r="N1968" s="7">
        <v>12</v>
      </c>
      <c r="O1968" s="7">
        <v>13</v>
      </c>
      <c r="P1968" s="7">
        <f>L1968-N1968-O1968</f>
        <v>6</v>
      </c>
      <c r="Q1968" s="7">
        <f>P1968-G1968</f>
        <v>4</v>
      </c>
      <c r="R1968" s="7">
        <f>IF((G1976-G1968)&gt;0,G1976-G1968,0)</f>
        <v>13</v>
      </c>
      <c r="S1968" s="7">
        <f>IF((G1968-G1976)&gt;0,G1968-G1976,0)</f>
        <v>0</v>
      </c>
      <c r="T1968" s="218">
        <f>I1968-G1968</f>
        <v>-2</v>
      </c>
      <c r="U1968" s="298">
        <v>4.2</v>
      </c>
      <c r="V1968" s="295">
        <f>U1968*2</f>
        <v>8.4</v>
      </c>
      <c r="W1968" s="295"/>
      <c r="X1968" s="295"/>
      <c r="Y1968" s="295"/>
      <c r="Z1968" s="295"/>
      <c r="AA1968" s="296">
        <f>G1968/(V1968)</f>
        <v>0.23809523809523808</v>
      </c>
      <c r="AB1968" s="297">
        <f>V1968*6</f>
        <v>50.400000000000006</v>
      </c>
      <c r="AC1968" s="353"/>
      <c r="AD1968" s="14"/>
      <c r="AE1968" s="14"/>
      <c r="AF1968" s="14"/>
      <c r="AG1968" s="14"/>
      <c r="AH1968" s="14"/>
      <c r="AI1968" s="14"/>
      <c r="AJ1968" s="14"/>
      <c r="AK1968" s="14"/>
    </row>
    <row r="1969" spans="2:37" ht="14.25" thickBot="1" x14ac:dyDescent="0.3">
      <c r="B1969" s="5">
        <v>273702</v>
      </c>
      <c r="C1969" s="6">
        <v>1135753</v>
      </c>
      <c r="D1969" s="6" t="s">
        <v>10</v>
      </c>
      <c r="E1969" s="215">
        <v>301000000000</v>
      </c>
      <c r="F1969" s="215"/>
      <c r="G1969" s="7">
        <v>2</v>
      </c>
      <c r="H1969" s="7"/>
      <c r="I1969" s="7"/>
      <c r="J1969" s="7"/>
      <c r="K1969" s="7">
        <v>1</v>
      </c>
      <c r="L1969" s="7">
        <v>2</v>
      </c>
      <c r="M1969" s="7"/>
      <c r="N1969" s="7"/>
      <c r="O1969" s="7"/>
      <c r="P1969" s="7">
        <f>L1969-N1969-O1969</f>
        <v>2</v>
      </c>
      <c r="Q1969" s="7">
        <f>P1969-G1969</f>
        <v>0</v>
      </c>
      <c r="R1969" s="7">
        <f>IF((G1977-G1969)&gt;0,G1977-G1969,0)</f>
        <v>0</v>
      </c>
      <c r="S1969" s="7">
        <f>IF((G1969-G1977)&gt;0,G1969-G1977,0)</f>
        <v>0</v>
      </c>
      <c r="T1969" s="218">
        <f>I1969-G1969</f>
        <v>-2</v>
      </c>
      <c r="U1969" s="294">
        <f>4/12</f>
        <v>0.33333333333333331</v>
      </c>
      <c r="V1969" s="295">
        <f>U1969*2</f>
        <v>0.66666666666666663</v>
      </c>
      <c r="W1969" s="295"/>
      <c r="X1969" s="295"/>
      <c r="Y1969" s="295"/>
      <c r="Z1969" s="295"/>
      <c r="AA1969" s="296">
        <f>G1969/(V1969)</f>
        <v>3</v>
      </c>
      <c r="AB1969" s="297">
        <f>V1969*6</f>
        <v>4</v>
      </c>
      <c r="AC1969" s="353"/>
      <c r="AD1969" s="14"/>
      <c r="AE1969" s="14"/>
      <c r="AF1969" s="14"/>
      <c r="AG1969" s="14"/>
      <c r="AH1969" s="14"/>
      <c r="AI1969" s="14"/>
      <c r="AJ1969" s="14"/>
      <c r="AK1969" s="14"/>
    </row>
    <row r="1970" spans="2:37" ht="14.25" thickBot="1" x14ac:dyDescent="0.3">
      <c r="B1970" s="5">
        <v>273698</v>
      </c>
      <c r="C1970" s="6">
        <v>1135752</v>
      </c>
      <c r="D1970" s="6" t="s">
        <v>11</v>
      </c>
      <c r="E1970" s="215">
        <v>701000000000</v>
      </c>
      <c r="F1970" s="215"/>
      <c r="G1970" s="223">
        <v>1</v>
      </c>
      <c r="H1970" s="223"/>
      <c r="I1970" s="7"/>
      <c r="J1970" s="7"/>
      <c r="K1970" s="7">
        <v>3</v>
      </c>
      <c r="L1970" s="7">
        <f>8</f>
        <v>8</v>
      </c>
      <c r="M1970" s="7"/>
      <c r="N1970" s="7">
        <v>4</v>
      </c>
      <c r="O1970" s="7">
        <v>2</v>
      </c>
      <c r="P1970" s="7">
        <f>L1970-N1970-O1970</f>
        <v>2</v>
      </c>
      <c r="Q1970" s="7">
        <f>P1970-G1970</f>
        <v>1</v>
      </c>
      <c r="R1970" s="7">
        <f>IF((G1978-G1970)&gt;0,G1978-G1970,0)</f>
        <v>1</v>
      </c>
      <c r="S1970" s="7">
        <f>IF((G1970-G1978)&gt;0,G1970-G1978,0)</f>
        <v>0</v>
      </c>
      <c r="T1970" s="218">
        <f>I1970-G1970</f>
        <v>-1</v>
      </c>
      <c r="U1970" s="294">
        <f>4/12</f>
        <v>0.33333333333333331</v>
      </c>
      <c r="V1970" s="295">
        <f>U1970*2</f>
        <v>0.66666666666666663</v>
      </c>
      <c r="W1970" s="295"/>
      <c r="X1970" s="295"/>
      <c r="Y1970" s="295"/>
      <c r="Z1970" s="295"/>
      <c r="AA1970" s="296">
        <f>G1970/(V1970)</f>
        <v>1.5</v>
      </c>
      <c r="AB1970" s="297">
        <f>V1970*6</f>
        <v>4</v>
      </c>
      <c r="AC1970" s="353"/>
      <c r="AD1970" s="14"/>
      <c r="AE1970" s="14"/>
      <c r="AF1970" s="14"/>
      <c r="AG1970" s="14"/>
      <c r="AH1970" s="14"/>
      <c r="AI1970" s="14"/>
      <c r="AJ1970" s="14"/>
      <c r="AK1970" s="14"/>
    </row>
    <row r="1971" spans="2:37" ht="14.25" thickBot="1" x14ac:dyDescent="0.3">
      <c r="B1971" s="5">
        <v>273680</v>
      </c>
      <c r="C1971" s="6">
        <v>1135751</v>
      </c>
      <c r="D1971" s="6" t="s">
        <v>12</v>
      </c>
      <c r="E1971" s="6" t="s">
        <v>13</v>
      </c>
      <c r="F1971" s="6"/>
      <c r="G1971" s="224">
        <v>16</v>
      </c>
      <c r="H1971" s="224"/>
      <c r="I1971" s="7"/>
      <c r="J1971" s="7"/>
      <c r="K1971" s="7">
        <v>10</v>
      </c>
      <c r="L1971" s="7">
        <f>17</f>
        <v>17</v>
      </c>
      <c r="M1971" s="7"/>
      <c r="N1971" s="7"/>
      <c r="O1971" s="7"/>
      <c r="P1971" s="7">
        <f>L1971-N1971-O1971</f>
        <v>17</v>
      </c>
      <c r="Q1971" s="7">
        <f>P1971-G1971</f>
        <v>1</v>
      </c>
      <c r="R1971" s="7">
        <f>IF((G1979-G1971)&gt;0,G1979-G1971,0)</f>
        <v>0</v>
      </c>
      <c r="S1971" s="7">
        <f>IF((G1971-G1979)&gt;0,G1971-G1979,0)</f>
        <v>5</v>
      </c>
      <c r="T1971" s="218">
        <f>I1971-G1971</f>
        <v>-16</v>
      </c>
      <c r="U1971" s="299">
        <f>30/12</f>
        <v>2.5</v>
      </c>
      <c r="V1971" s="300">
        <f>U1971*2</f>
        <v>5</v>
      </c>
      <c r="W1971" s="300"/>
      <c r="X1971" s="300"/>
      <c r="Y1971" s="300"/>
      <c r="Z1971" s="300"/>
      <c r="AA1971" s="301">
        <f>G1971/(V1971)</f>
        <v>3.2</v>
      </c>
      <c r="AB1971" s="302">
        <f>V1971*6</f>
        <v>30</v>
      </c>
      <c r="AC1971" s="353"/>
      <c r="AD1971" s="14"/>
      <c r="AE1971" s="14"/>
      <c r="AF1971" s="14"/>
      <c r="AG1971" s="14"/>
      <c r="AH1971" s="14"/>
      <c r="AI1971" s="14"/>
      <c r="AJ1971" s="14"/>
      <c r="AK1971" s="14"/>
    </row>
    <row r="1973" spans="2:37" ht="14.25" thickBot="1" x14ac:dyDescent="0.3">
      <c r="B1973" s="338" t="s">
        <v>18</v>
      </c>
      <c r="C1973" s="339">
        <v>45306</v>
      </c>
      <c r="AD1973" s="14"/>
      <c r="AE1973" s="14"/>
      <c r="AF1973" s="14"/>
      <c r="AG1973" s="14"/>
      <c r="AH1973" s="14"/>
      <c r="AI1973" s="14"/>
      <c r="AJ1973" s="14"/>
      <c r="AK1973" s="14"/>
    </row>
    <row r="1974" spans="2:37" ht="14.25" thickBot="1" x14ac:dyDescent="0.3">
      <c r="B1974" s="2" t="s">
        <v>0</v>
      </c>
      <c r="C1974" s="3" t="s">
        <v>1</v>
      </c>
      <c r="D1974" s="3" t="s">
        <v>2</v>
      </c>
      <c r="E1974" s="3" t="s">
        <v>3</v>
      </c>
      <c r="F1974" s="3"/>
      <c r="G1974" s="4" t="s">
        <v>4</v>
      </c>
      <c r="H1974" s="4"/>
      <c r="I1974" s="3" t="s">
        <v>5</v>
      </c>
      <c r="J1974" s="3"/>
      <c r="K1974" s="3" t="s">
        <v>286</v>
      </c>
      <c r="L1974" s="3" t="s">
        <v>292</v>
      </c>
      <c r="M1974" s="3"/>
      <c r="N1974" s="222" t="s">
        <v>293</v>
      </c>
      <c r="O1974" s="222" t="s">
        <v>294</v>
      </c>
      <c r="P1974" s="3" t="s">
        <v>130</v>
      </c>
      <c r="Q1974" s="3" t="s">
        <v>268</v>
      </c>
      <c r="R1974" s="3" t="s">
        <v>269</v>
      </c>
      <c r="S1974" s="217" t="s">
        <v>274</v>
      </c>
      <c r="T1974" s="291" t="s">
        <v>288</v>
      </c>
      <c r="U1974" s="292" t="s">
        <v>289</v>
      </c>
      <c r="V1974" s="292" t="s">
        <v>287</v>
      </c>
      <c r="W1974" s="292"/>
      <c r="X1974" s="292"/>
      <c r="Y1974" s="292"/>
      <c r="Z1974" s="292"/>
      <c r="AA1974" s="293" t="s">
        <v>290</v>
      </c>
      <c r="AD1974" s="14"/>
      <c r="AE1974" s="14"/>
      <c r="AF1974" s="14"/>
      <c r="AG1974" s="14"/>
      <c r="AH1974" s="14"/>
      <c r="AI1974" s="14"/>
      <c r="AJ1974" s="14"/>
      <c r="AK1974" s="14"/>
    </row>
    <row r="1975" spans="2:37" ht="14.25" thickBot="1" x14ac:dyDescent="0.3">
      <c r="B1975" s="5">
        <v>273664</v>
      </c>
      <c r="C1975" s="6">
        <v>1135749</v>
      </c>
      <c r="D1975" s="6" t="s">
        <v>7</v>
      </c>
      <c r="E1975" s="6">
        <v>6060050026</v>
      </c>
      <c r="F1975" s="6"/>
      <c r="G1975" s="7">
        <v>8</v>
      </c>
      <c r="H1975" s="7"/>
      <c r="I1975" s="7"/>
      <c r="J1975" s="7"/>
      <c r="K1975" s="7">
        <v>1</v>
      </c>
      <c r="L1975" s="7">
        <v>10</v>
      </c>
      <c r="M1975" s="7"/>
      <c r="N1975" s="7"/>
      <c r="O1975" s="7">
        <f>L1975-N1975</f>
        <v>10</v>
      </c>
      <c r="P1975" s="7">
        <f>L1975-G1975</f>
        <v>2</v>
      </c>
      <c r="Q1975" s="7">
        <f>IF((G1983-G1975)&gt;0,G1991-G1975,0)</f>
        <v>0</v>
      </c>
      <c r="R1975" s="7">
        <f>IF((G1975-G1983)&gt;0,G1975-G1983,0)</f>
        <v>0</v>
      </c>
      <c r="S1975" s="218">
        <f>I1975-G1975</f>
        <v>-8</v>
      </c>
      <c r="T1975" s="294">
        <v>1.5</v>
      </c>
      <c r="U1975" s="295">
        <f>T1975*2</f>
        <v>3</v>
      </c>
      <c r="V1975" s="296">
        <f>G1975/(U1975)</f>
        <v>2.6666666666666665</v>
      </c>
      <c r="W1975" s="296"/>
      <c r="X1975" s="296"/>
      <c r="Y1975" s="296"/>
      <c r="Z1975" s="296"/>
      <c r="AA1975" s="297">
        <f>U1975*6</f>
        <v>18</v>
      </c>
      <c r="AD1975" s="14"/>
      <c r="AE1975" s="14"/>
      <c r="AF1975" s="14"/>
      <c r="AG1975" s="14"/>
      <c r="AH1975" s="14"/>
      <c r="AI1975" s="14"/>
      <c r="AJ1975" s="14"/>
      <c r="AK1975" s="14"/>
    </row>
    <row r="1976" spans="2:37" ht="14.25" thickBot="1" x14ac:dyDescent="0.3">
      <c r="B1976" s="5">
        <v>273672</v>
      </c>
      <c r="C1976" s="6">
        <v>1135750</v>
      </c>
      <c r="D1976" s="6" t="s">
        <v>9</v>
      </c>
      <c r="E1976" s="215">
        <v>204000000000</v>
      </c>
      <c r="F1976" s="215"/>
      <c r="G1976" s="7">
        <v>15</v>
      </c>
      <c r="H1976" s="7"/>
      <c r="I1976" s="7"/>
      <c r="J1976" s="7"/>
      <c r="K1976" s="7">
        <v>6</v>
      </c>
      <c r="L1976" s="7">
        <f>31</f>
        <v>31</v>
      </c>
      <c r="M1976" s="7"/>
      <c r="N1976" s="7">
        <v>12</v>
      </c>
      <c r="O1976" s="7">
        <f>L1976-N1976</f>
        <v>19</v>
      </c>
      <c r="P1976" s="7">
        <f>L1976-G1976</f>
        <v>16</v>
      </c>
      <c r="Q1976" s="7">
        <f>IF((G1984-G1976)&gt;0,G1992-G1976,0)</f>
        <v>0</v>
      </c>
      <c r="R1976" s="7">
        <f>IF((G1976-G1984)&gt;0,G1976-G1984,0)</f>
        <v>0</v>
      </c>
      <c r="S1976" s="218">
        <f>I1976-G1976</f>
        <v>-15</v>
      </c>
      <c r="T1976" s="298">
        <v>4.2</v>
      </c>
      <c r="U1976" s="295">
        <f>T1976*2</f>
        <v>8.4</v>
      </c>
      <c r="V1976" s="296">
        <f>G1976/(U1976)</f>
        <v>1.7857142857142856</v>
      </c>
      <c r="W1976" s="296"/>
      <c r="X1976" s="296"/>
      <c r="Y1976" s="296"/>
      <c r="Z1976" s="296"/>
      <c r="AA1976" s="297">
        <f>U1976*6</f>
        <v>50.400000000000006</v>
      </c>
    </row>
    <row r="1977" spans="2:37" ht="14.25" thickBot="1" x14ac:dyDescent="0.3">
      <c r="B1977" s="5">
        <v>273702</v>
      </c>
      <c r="C1977" s="6">
        <v>1135753</v>
      </c>
      <c r="D1977" s="6" t="s">
        <v>10</v>
      </c>
      <c r="E1977" s="215">
        <v>301000000000</v>
      </c>
      <c r="F1977" s="215"/>
      <c r="G1977" s="7">
        <v>2</v>
      </c>
      <c r="H1977" s="7"/>
      <c r="I1977" s="7"/>
      <c r="J1977" s="7"/>
      <c r="K1977" s="7">
        <v>1</v>
      </c>
      <c r="L1977" s="7">
        <v>2</v>
      </c>
      <c r="M1977" s="7"/>
      <c r="N1977" s="7"/>
      <c r="O1977" s="7">
        <f>L1977-N1977</f>
        <v>2</v>
      </c>
      <c r="P1977" s="7">
        <f>L1977-G1977</f>
        <v>0</v>
      </c>
      <c r="Q1977" s="7">
        <f>IF((G1985-G1977)&gt;0,G1993-G1977,0)</f>
        <v>0</v>
      </c>
      <c r="R1977" s="7">
        <f>IF((G1977-G1985)&gt;0,G1977-G1985,0)</f>
        <v>0</v>
      </c>
      <c r="S1977" s="218">
        <f>I1977-G1977</f>
        <v>-2</v>
      </c>
      <c r="T1977" s="294">
        <f>4/12</f>
        <v>0.33333333333333331</v>
      </c>
      <c r="U1977" s="295">
        <f>T1977*2</f>
        <v>0.66666666666666663</v>
      </c>
      <c r="V1977" s="296">
        <f>G1977/(U1977)</f>
        <v>3</v>
      </c>
      <c r="W1977" s="296"/>
      <c r="X1977" s="296"/>
      <c r="Y1977" s="296"/>
      <c r="Z1977" s="296"/>
      <c r="AA1977" s="297">
        <f>U1977*6</f>
        <v>4</v>
      </c>
    </row>
    <row r="1978" spans="2:37" ht="14.25" thickBot="1" x14ac:dyDescent="0.3">
      <c r="B1978" s="5">
        <v>273698</v>
      </c>
      <c r="C1978" s="6">
        <v>1135752</v>
      </c>
      <c r="D1978" s="6" t="s">
        <v>11</v>
      </c>
      <c r="E1978" s="215">
        <v>701000000000</v>
      </c>
      <c r="F1978" s="215"/>
      <c r="G1978" s="223">
        <v>2</v>
      </c>
      <c r="H1978" s="223"/>
      <c r="I1978" s="7"/>
      <c r="J1978" s="7"/>
      <c r="K1978" s="7">
        <v>3</v>
      </c>
      <c r="L1978" s="7">
        <f>8</f>
        <v>8</v>
      </c>
      <c r="M1978" s="7"/>
      <c r="N1978" s="7">
        <v>4</v>
      </c>
      <c r="O1978" s="7">
        <f>L1978-N1978</f>
        <v>4</v>
      </c>
      <c r="P1978" s="7">
        <f>L1978-G1978</f>
        <v>6</v>
      </c>
      <c r="Q1978" s="7">
        <f>IF((G1986-G1978)&gt;0,G1994-G1978,0)</f>
        <v>1</v>
      </c>
      <c r="R1978" s="7">
        <f>IF((G1978-G1986)&gt;0,G1978-G1986,0)</f>
        <v>0</v>
      </c>
      <c r="S1978" s="218">
        <f>I1978-G1978</f>
        <v>-2</v>
      </c>
      <c r="T1978" s="294">
        <f>4/12</f>
        <v>0.33333333333333331</v>
      </c>
      <c r="U1978" s="295">
        <f>T1978*2</f>
        <v>0.66666666666666663</v>
      </c>
      <c r="V1978" s="296">
        <f>G1978/(U1978)</f>
        <v>3</v>
      </c>
      <c r="W1978" s="296"/>
      <c r="X1978" s="296"/>
      <c r="Y1978" s="296"/>
      <c r="Z1978" s="296"/>
      <c r="AA1978" s="297">
        <f>U1978*6</f>
        <v>4</v>
      </c>
    </row>
    <row r="1979" spans="2:37" ht="14.25" thickBot="1" x14ac:dyDescent="0.3">
      <c r="B1979" s="5">
        <v>273680</v>
      </c>
      <c r="C1979" s="6">
        <v>1135751</v>
      </c>
      <c r="D1979" s="6" t="s">
        <v>12</v>
      </c>
      <c r="E1979" s="6" t="s">
        <v>13</v>
      </c>
      <c r="F1979" s="6"/>
      <c r="G1979" s="7">
        <v>11</v>
      </c>
      <c r="H1979" s="7"/>
      <c r="I1979" s="7"/>
      <c r="J1979" s="7"/>
      <c r="K1979" s="7">
        <v>10</v>
      </c>
      <c r="L1979" s="7">
        <f>17-5</f>
        <v>12</v>
      </c>
      <c r="M1979" s="7"/>
      <c r="N1979" s="7"/>
      <c r="O1979" s="7">
        <f>L1979-N1979</f>
        <v>12</v>
      </c>
      <c r="P1979" s="7">
        <f>L1979-G1979</f>
        <v>1</v>
      </c>
      <c r="Q1979" s="7">
        <f>IF((G1987-G1979)&gt;0,G1995-G1979,0)</f>
        <v>0</v>
      </c>
      <c r="R1979" s="7">
        <f>IF((G1979-G1987)&gt;0,G1979-G1987,0)</f>
        <v>0</v>
      </c>
      <c r="S1979" s="218">
        <f>I1979-G1979</f>
        <v>-11</v>
      </c>
      <c r="T1979" s="299">
        <f>30/12</f>
        <v>2.5</v>
      </c>
      <c r="U1979" s="300">
        <f>T1979*2</f>
        <v>5</v>
      </c>
      <c r="V1979" s="301">
        <f>G1979/(U1979)</f>
        <v>2.2000000000000002</v>
      </c>
      <c r="W1979" s="301"/>
      <c r="X1979" s="301"/>
      <c r="Y1979" s="301"/>
      <c r="Z1979" s="301"/>
      <c r="AA1979" s="302">
        <f>U1979*6</f>
        <v>30</v>
      </c>
    </row>
    <row r="1981" spans="2:37" ht="14.25" thickBot="1" x14ac:dyDescent="0.3">
      <c r="B1981" s="338" t="s">
        <v>18</v>
      </c>
      <c r="C1981" s="339">
        <v>45299</v>
      </c>
    </row>
    <row r="1982" spans="2:37" ht="14.25" thickBot="1" x14ac:dyDescent="0.3">
      <c r="B1982" s="2" t="s">
        <v>0</v>
      </c>
      <c r="C1982" s="3" t="s">
        <v>1</v>
      </c>
      <c r="D1982" s="3" t="s">
        <v>2</v>
      </c>
      <c r="E1982" s="3" t="s">
        <v>3</v>
      </c>
      <c r="F1982" s="3"/>
      <c r="G1982" s="4" t="s">
        <v>4</v>
      </c>
      <c r="H1982" s="4"/>
      <c r="I1982" s="3" t="s">
        <v>5</v>
      </c>
      <c r="J1982" s="3"/>
      <c r="K1982" s="3" t="s">
        <v>286</v>
      </c>
      <c r="L1982" s="3" t="s">
        <v>280</v>
      </c>
      <c r="M1982" s="3"/>
      <c r="N1982" s="3" t="s">
        <v>130</v>
      </c>
      <c r="O1982" s="3"/>
      <c r="P1982" s="3" t="s">
        <v>268</v>
      </c>
      <c r="Q1982" s="3" t="s">
        <v>269</v>
      </c>
      <c r="R1982" s="217" t="s">
        <v>274</v>
      </c>
      <c r="S1982" s="291" t="s">
        <v>288</v>
      </c>
      <c r="T1982" s="292" t="s">
        <v>289</v>
      </c>
      <c r="U1982" s="292" t="s">
        <v>287</v>
      </c>
      <c r="V1982" s="293" t="s">
        <v>290</v>
      </c>
      <c r="W1982" s="363"/>
      <c r="X1982" s="363"/>
      <c r="Y1982" s="363"/>
      <c r="Z1982" s="363"/>
    </row>
    <row r="1983" spans="2:37" ht="14.25" thickBot="1" x14ac:dyDescent="0.3">
      <c r="B1983" s="5">
        <v>273664</v>
      </c>
      <c r="C1983" s="6">
        <v>1135749</v>
      </c>
      <c r="D1983" s="6" t="s">
        <v>7</v>
      </c>
      <c r="E1983" s="6">
        <v>6060050026</v>
      </c>
      <c r="F1983" s="6"/>
      <c r="G1983" s="7">
        <v>8</v>
      </c>
      <c r="H1983" s="7"/>
      <c r="I1983" s="7"/>
      <c r="J1983" s="7"/>
      <c r="K1983" s="7">
        <v>1</v>
      </c>
      <c r="L1983" s="7">
        <v>10</v>
      </c>
      <c r="M1983" s="7"/>
      <c r="N1983" s="7">
        <f>L1983-G1983</f>
        <v>2</v>
      </c>
      <c r="O1983" s="7"/>
      <c r="P1983" s="7">
        <f>IF((G1991-G1983)&gt;0,G1991-G1983,0)</f>
        <v>0</v>
      </c>
      <c r="Q1983" s="7">
        <f>IF((G1983-G1991)&gt;0,G1983-G1991,0)</f>
        <v>0</v>
      </c>
      <c r="R1983" s="218">
        <f>I1983-G1983</f>
        <v>-8</v>
      </c>
      <c r="S1983" s="294">
        <v>1.5</v>
      </c>
      <c r="T1983" s="295">
        <f>S1983*2</f>
        <v>3</v>
      </c>
      <c r="U1983" s="296">
        <f>G1983/(T1983)</f>
        <v>2.6666666666666665</v>
      </c>
      <c r="V1983" s="297">
        <f>T1983*6</f>
        <v>18</v>
      </c>
      <c r="W1983" s="353"/>
      <c r="X1983" s="353"/>
      <c r="Y1983" s="353"/>
      <c r="Z1983" s="353"/>
    </row>
    <row r="1984" spans="2:37" ht="14.25" thickBot="1" x14ac:dyDescent="0.3">
      <c r="B1984" s="5">
        <v>273672</v>
      </c>
      <c r="C1984" s="6">
        <v>1135750</v>
      </c>
      <c r="D1984" s="6" t="s">
        <v>9</v>
      </c>
      <c r="E1984" s="215">
        <v>204000000000</v>
      </c>
      <c r="F1984" s="215"/>
      <c r="G1984" s="7">
        <v>15</v>
      </c>
      <c r="H1984" s="7"/>
      <c r="I1984" s="7"/>
      <c r="J1984" s="7"/>
      <c r="K1984" s="7">
        <v>6</v>
      </c>
      <c r="L1984" s="7">
        <f>18+13</f>
        <v>31</v>
      </c>
      <c r="M1984" s="7"/>
      <c r="N1984" s="7">
        <f>L1984-G1984</f>
        <v>16</v>
      </c>
      <c r="O1984" s="7"/>
      <c r="P1984" s="7">
        <f>IF((G1992-G1984)&gt;0,G1992-G1984,0)</f>
        <v>0</v>
      </c>
      <c r="Q1984" s="7">
        <f>IF((G1984-G1992)&gt;0,G1984-G1992,0)</f>
        <v>0</v>
      </c>
      <c r="R1984" s="218">
        <f>I1984-G1984</f>
        <v>-15</v>
      </c>
      <c r="S1984" s="298">
        <v>4.2</v>
      </c>
      <c r="T1984" s="295">
        <f>S1984*2</f>
        <v>8.4</v>
      </c>
      <c r="U1984" s="296">
        <f>G1984/(T1984)</f>
        <v>1.7857142857142856</v>
      </c>
      <c r="V1984" s="297">
        <f>T1984*6</f>
        <v>50.400000000000006</v>
      </c>
      <c r="W1984" s="353"/>
      <c r="X1984" s="353"/>
      <c r="Y1984" s="353"/>
      <c r="Z1984" s="353"/>
    </row>
    <row r="1985" spans="2:37" ht="14.25" thickBot="1" x14ac:dyDescent="0.3">
      <c r="B1985" s="5">
        <v>273702</v>
      </c>
      <c r="C1985" s="6">
        <v>1135753</v>
      </c>
      <c r="D1985" s="6" t="s">
        <v>10</v>
      </c>
      <c r="E1985" s="215">
        <v>301000000000</v>
      </c>
      <c r="F1985" s="215"/>
      <c r="G1985" s="7">
        <v>2</v>
      </c>
      <c r="H1985" s="7"/>
      <c r="I1985" s="7"/>
      <c r="J1985" s="7"/>
      <c r="K1985" s="7">
        <v>1</v>
      </c>
      <c r="L1985" s="7">
        <v>2</v>
      </c>
      <c r="M1985" s="7"/>
      <c r="N1985" s="7">
        <f>L1985-G1985</f>
        <v>0</v>
      </c>
      <c r="O1985" s="7"/>
      <c r="P1985" s="7">
        <f>IF((G1993-G1985)&gt;0,G1993-G1985,0)</f>
        <v>0</v>
      </c>
      <c r="Q1985" s="7">
        <f>IF((G1985-G1993)&gt;0,G1985-G1993,0)</f>
        <v>0</v>
      </c>
      <c r="R1985" s="218">
        <f>I1985-G1985</f>
        <v>-2</v>
      </c>
      <c r="S1985" s="294">
        <f>4/12</f>
        <v>0.33333333333333331</v>
      </c>
      <c r="T1985" s="295">
        <f>S1985*2</f>
        <v>0.66666666666666663</v>
      </c>
      <c r="U1985" s="296">
        <f>G1985/(T1985)</f>
        <v>3</v>
      </c>
      <c r="V1985" s="297">
        <f>T1985*6</f>
        <v>4</v>
      </c>
      <c r="W1985" s="353"/>
      <c r="X1985" s="353"/>
      <c r="Y1985" s="353"/>
      <c r="Z1985" s="353"/>
    </row>
    <row r="1986" spans="2:37" ht="14.25" thickBot="1" x14ac:dyDescent="0.3">
      <c r="B1986" s="5">
        <v>273698</v>
      </c>
      <c r="C1986" s="6">
        <v>1135752</v>
      </c>
      <c r="D1986" s="6" t="s">
        <v>11</v>
      </c>
      <c r="E1986" s="215">
        <v>701000000000</v>
      </c>
      <c r="F1986" s="215"/>
      <c r="G1986" s="7">
        <v>3</v>
      </c>
      <c r="H1986" s="7"/>
      <c r="I1986" s="7"/>
      <c r="J1986" s="7"/>
      <c r="K1986" s="7">
        <v>3</v>
      </c>
      <c r="L1986" s="7">
        <f>5+3</f>
        <v>8</v>
      </c>
      <c r="M1986" s="7"/>
      <c r="N1986" s="7">
        <f>L1986-G1986</f>
        <v>5</v>
      </c>
      <c r="O1986" s="7"/>
      <c r="P1986" s="7">
        <f>IF((G1994-G1986)&gt;0,G1994-G1986,0)</f>
        <v>0</v>
      </c>
      <c r="Q1986" s="7">
        <f>IF((G1986-G1994)&gt;0,G1986-G1994,0)</f>
        <v>0</v>
      </c>
      <c r="R1986" s="218">
        <f>I1986-G1986</f>
        <v>-3</v>
      </c>
      <c r="S1986" s="294">
        <f>4/12</f>
        <v>0.33333333333333331</v>
      </c>
      <c r="T1986" s="295">
        <f>S1986*2</f>
        <v>0.66666666666666663</v>
      </c>
      <c r="U1986" s="296">
        <f>G1986/(T1986)</f>
        <v>4.5</v>
      </c>
      <c r="V1986" s="297">
        <f>T1986*6</f>
        <v>4</v>
      </c>
      <c r="W1986" s="353"/>
      <c r="X1986" s="353"/>
      <c r="Y1986" s="353"/>
      <c r="Z1986" s="353"/>
    </row>
    <row r="1987" spans="2:37" ht="14.25" thickBot="1" x14ac:dyDescent="0.3">
      <c r="B1987" s="5">
        <v>273680</v>
      </c>
      <c r="C1987" s="6">
        <v>1135751</v>
      </c>
      <c r="D1987" s="6" t="s">
        <v>12</v>
      </c>
      <c r="E1987" s="6" t="s">
        <v>13</v>
      </c>
      <c r="F1987" s="6"/>
      <c r="G1987" s="7">
        <v>11</v>
      </c>
      <c r="H1987" s="7"/>
      <c r="I1987" s="7"/>
      <c r="J1987" s="7"/>
      <c r="K1987" s="7">
        <v>10</v>
      </c>
      <c r="L1987" s="7">
        <f>6+11</f>
        <v>17</v>
      </c>
      <c r="M1987" s="7"/>
      <c r="N1987" s="7">
        <f>L1987-G1987</f>
        <v>6</v>
      </c>
      <c r="O1987" s="7"/>
      <c r="P1987" s="7">
        <f>IF((G1995-G1987)&gt;0,G1995-G1987,0)</f>
        <v>0</v>
      </c>
      <c r="Q1987" s="7">
        <f>IF((G1987-G1995)&gt;0,G1987-G1995,0)</f>
        <v>0</v>
      </c>
      <c r="R1987" s="218">
        <f>I1987-G1987</f>
        <v>-11</v>
      </c>
      <c r="S1987" s="299">
        <f>30/12</f>
        <v>2.5</v>
      </c>
      <c r="T1987" s="300">
        <f>S1987*2</f>
        <v>5</v>
      </c>
      <c r="U1987" s="301">
        <f>G1987/(T1987)</f>
        <v>2.2000000000000002</v>
      </c>
      <c r="V1987" s="302">
        <f>T1987*6</f>
        <v>30</v>
      </c>
      <c r="W1987" s="353"/>
      <c r="X1987" s="353"/>
      <c r="Y1987" s="353"/>
      <c r="Z1987" s="353"/>
    </row>
    <row r="1988" spans="2:37" s="225" customFormat="1" x14ac:dyDescent="0.25">
      <c r="B1988" s="303"/>
      <c r="C1988" s="303"/>
      <c r="D1988" s="303"/>
      <c r="E1988" s="303"/>
      <c r="F1988" s="303"/>
      <c r="G1988" s="303"/>
      <c r="H1988" s="303"/>
      <c r="I1988" s="303"/>
      <c r="J1988" s="303"/>
      <c r="K1988" s="303"/>
      <c r="L1988" s="303"/>
      <c r="M1988" s="303"/>
      <c r="N1988" s="303"/>
      <c r="O1988" s="303"/>
      <c r="P1988" s="303"/>
      <c r="Q1988" s="303"/>
      <c r="R1988" s="303"/>
      <c r="S1988" s="303"/>
      <c r="T1988" s="303"/>
      <c r="U1988" s="303"/>
      <c r="V1988" s="303"/>
      <c r="W1988" s="303"/>
      <c r="X1988" s="303"/>
      <c r="Y1988" s="303"/>
      <c r="Z1988" s="303"/>
      <c r="AA1988" s="303"/>
      <c r="AB1988" s="303"/>
      <c r="AC1988" s="303"/>
      <c r="AD1988" s="303"/>
      <c r="AE1988" s="303"/>
      <c r="AF1988" s="303"/>
      <c r="AG1988" s="303"/>
      <c r="AH1988" s="303"/>
      <c r="AI1988" s="303"/>
      <c r="AJ1988" s="303"/>
      <c r="AK1988" s="303"/>
    </row>
    <row r="1989" spans="2:37" ht="14.25" thickBot="1" x14ac:dyDescent="0.3">
      <c r="B1989" s="338" t="s">
        <v>18</v>
      </c>
      <c r="C1989" s="339">
        <v>45293</v>
      </c>
    </row>
    <row r="1990" spans="2:37" ht="14.25" thickBot="1" x14ac:dyDescent="0.3">
      <c r="B1990" s="2" t="s">
        <v>0</v>
      </c>
      <c r="C1990" s="3" t="s">
        <v>1</v>
      </c>
      <c r="D1990" s="3" t="s">
        <v>2</v>
      </c>
      <c r="E1990" s="3" t="s">
        <v>3</v>
      </c>
      <c r="F1990" s="3"/>
      <c r="G1990" s="4" t="s">
        <v>4</v>
      </c>
      <c r="H1990" s="4"/>
      <c r="I1990" s="3" t="s">
        <v>5</v>
      </c>
      <c r="J1990" s="3"/>
      <c r="K1990" s="3" t="s">
        <v>286</v>
      </c>
      <c r="L1990" s="3" t="s">
        <v>280</v>
      </c>
      <c r="M1990" s="3"/>
      <c r="N1990" s="3" t="s">
        <v>130</v>
      </c>
      <c r="O1990" s="3"/>
      <c r="P1990" s="3" t="s">
        <v>268</v>
      </c>
      <c r="Q1990" s="3" t="s">
        <v>269</v>
      </c>
      <c r="R1990" s="217" t="s">
        <v>274</v>
      </c>
      <c r="S1990" s="291" t="s">
        <v>288</v>
      </c>
      <c r="T1990" s="292" t="s">
        <v>289</v>
      </c>
      <c r="U1990" s="292" t="s">
        <v>287</v>
      </c>
      <c r="V1990" s="293" t="s">
        <v>290</v>
      </c>
      <c r="W1990" s="363"/>
      <c r="X1990" s="363"/>
      <c r="Y1990" s="363"/>
      <c r="Z1990" s="363"/>
    </row>
    <row r="1991" spans="2:37" ht="14.25" thickBot="1" x14ac:dyDescent="0.3">
      <c r="B1991" s="5">
        <v>273664</v>
      </c>
      <c r="C1991" s="6">
        <v>1135749</v>
      </c>
      <c r="D1991" s="6" t="s">
        <v>7</v>
      </c>
      <c r="E1991" s="6">
        <v>6060050026</v>
      </c>
      <c r="F1991" s="6"/>
      <c r="G1991" s="7">
        <v>8</v>
      </c>
      <c r="H1991" s="7"/>
      <c r="I1991" s="7"/>
      <c r="J1991" s="7"/>
      <c r="K1991" s="7">
        <v>1</v>
      </c>
      <c r="L1991" s="7">
        <v>10</v>
      </c>
      <c r="M1991" s="7"/>
      <c r="N1991" s="7">
        <f>L1991-G1991</f>
        <v>2</v>
      </c>
      <c r="O1991" s="7"/>
      <c r="P1991" s="7">
        <f>IF((G1999-G1991)&gt;0,G1999-G1991,0)</f>
        <v>0</v>
      </c>
      <c r="Q1991" s="7">
        <f>IF((G1991-G2007)&gt;0,G1991-G2007,0)</f>
        <v>0</v>
      </c>
      <c r="R1991" s="218">
        <f>I1991-G1991</f>
        <v>-8</v>
      </c>
      <c r="S1991" s="294">
        <v>1.5</v>
      </c>
      <c r="T1991" s="295">
        <f>S1991*2</f>
        <v>3</v>
      </c>
      <c r="U1991" s="296">
        <f>G1991/(T1991)</f>
        <v>2.6666666666666665</v>
      </c>
      <c r="V1991" s="297">
        <f>T1991*6</f>
        <v>18</v>
      </c>
      <c r="W1991" s="353"/>
      <c r="X1991" s="353"/>
      <c r="Y1991" s="353"/>
      <c r="Z1991" s="353"/>
    </row>
    <row r="1992" spans="2:37" ht="14.25" thickBot="1" x14ac:dyDescent="0.3">
      <c r="B1992" s="5">
        <v>273672</v>
      </c>
      <c r="C1992" s="6">
        <v>1135750</v>
      </c>
      <c r="D1992" s="6" t="s">
        <v>9</v>
      </c>
      <c r="E1992" s="215">
        <v>204000000000</v>
      </c>
      <c r="F1992" s="215"/>
      <c r="G1992" s="7">
        <v>15</v>
      </c>
      <c r="H1992" s="7"/>
      <c r="I1992" s="7"/>
      <c r="J1992" s="7"/>
      <c r="K1992" s="7">
        <v>6</v>
      </c>
      <c r="L1992" s="7">
        <f>18+13</f>
        <v>31</v>
      </c>
      <c r="M1992" s="7"/>
      <c r="N1992" s="7">
        <f>L1992-G1992</f>
        <v>16</v>
      </c>
      <c r="O1992" s="7"/>
      <c r="P1992" s="7">
        <f>IF((G2000-G1992)&gt;0,G2000-G1992,0)</f>
        <v>6</v>
      </c>
      <c r="Q1992" s="7">
        <f>IF((G1992-G2008)&gt;0,G1992-G2008,0)</f>
        <v>0</v>
      </c>
      <c r="R1992" s="218">
        <f>I1992-G1992</f>
        <v>-15</v>
      </c>
      <c r="S1992" s="298">
        <v>4.2</v>
      </c>
      <c r="T1992" s="295">
        <f>S1992*2</f>
        <v>8.4</v>
      </c>
      <c r="U1992" s="296">
        <f>G1992/(T1992)</f>
        <v>1.7857142857142856</v>
      </c>
      <c r="V1992" s="297">
        <f>T1992*6</f>
        <v>50.400000000000006</v>
      </c>
      <c r="W1992" s="353"/>
      <c r="X1992" s="353"/>
      <c r="Y1992" s="353"/>
      <c r="Z1992" s="353"/>
      <c r="AA1992" s="14"/>
      <c r="AB1992" s="14"/>
      <c r="AC1992" s="14"/>
      <c r="AD1992" s="14"/>
      <c r="AE1992" s="14"/>
      <c r="AF1992" s="14"/>
      <c r="AG1992" s="14"/>
      <c r="AH1992" s="14"/>
      <c r="AI1992" s="14"/>
      <c r="AJ1992" s="14"/>
      <c r="AK1992" s="14"/>
    </row>
    <row r="1993" spans="2:37" ht="14.25" thickBot="1" x14ac:dyDescent="0.3">
      <c r="B1993" s="5">
        <v>273702</v>
      </c>
      <c r="C1993" s="6">
        <v>1135753</v>
      </c>
      <c r="D1993" s="6" t="s">
        <v>10</v>
      </c>
      <c r="E1993" s="215">
        <v>301000000000</v>
      </c>
      <c r="F1993" s="215"/>
      <c r="G1993" s="7">
        <v>2</v>
      </c>
      <c r="H1993" s="7"/>
      <c r="I1993" s="7"/>
      <c r="J1993" s="7"/>
      <c r="K1993" s="7">
        <v>1</v>
      </c>
      <c r="L1993" s="7">
        <v>2</v>
      </c>
      <c r="M1993" s="7"/>
      <c r="N1993" s="7">
        <f>L1993-G1993</f>
        <v>0</v>
      </c>
      <c r="O1993" s="7"/>
      <c r="P1993" s="7">
        <f>IF((G2001-G1993)&gt;0,G2001-G1993,0)</f>
        <v>0</v>
      </c>
      <c r="Q1993" s="7">
        <f>IF((G1993-G2009)&gt;0,G1993-G2009,0)</f>
        <v>0</v>
      </c>
      <c r="R1993" s="218">
        <f>I1993-G1993</f>
        <v>-2</v>
      </c>
      <c r="S1993" s="294">
        <f>4/12</f>
        <v>0.33333333333333331</v>
      </c>
      <c r="T1993" s="295">
        <f>S1993*2</f>
        <v>0.66666666666666663</v>
      </c>
      <c r="U1993" s="296">
        <f>G1993/(T1993)</f>
        <v>3</v>
      </c>
      <c r="V1993" s="297">
        <f>T1993*6</f>
        <v>4</v>
      </c>
      <c r="W1993" s="353"/>
      <c r="X1993" s="353"/>
      <c r="Y1993" s="353"/>
      <c r="Z1993" s="353"/>
      <c r="AA1993" s="14"/>
      <c r="AB1993" s="14"/>
      <c r="AC1993" s="14"/>
      <c r="AD1993" s="14"/>
      <c r="AE1993" s="14"/>
      <c r="AF1993" s="14"/>
      <c r="AG1993" s="14"/>
      <c r="AH1993" s="14"/>
      <c r="AI1993" s="14"/>
      <c r="AJ1993" s="14"/>
      <c r="AK1993" s="14"/>
    </row>
    <row r="1994" spans="2:37" ht="14.25" thickBot="1" x14ac:dyDescent="0.3">
      <c r="B1994" s="5">
        <v>273698</v>
      </c>
      <c r="C1994" s="6">
        <v>1135752</v>
      </c>
      <c r="D1994" s="6" t="s">
        <v>11</v>
      </c>
      <c r="E1994" s="215">
        <v>701000000000</v>
      </c>
      <c r="F1994" s="215"/>
      <c r="G1994" s="7">
        <v>3</v>
      </c>
      <c r="H1994" s="7"/>
      <c r="I1994" s="7"/>
      <c r="J1994" s="7"/>
      <c r="K1994" s="7">
        <v>3</v>
      </c>
      <c r="L1994" s="7">
        <f>5+3</f>
        <v>8</v>
      </c>
      <c r="M1994" s="7"/>
      <c r="N1994" s="7">
        <f>L1994-G1994</f>
        <v>5</v>
      </c>
      <c r="O1994" s="7"/>
      <c r="P1994" s="7">
        <f>IF((G2002-G1994)&gt;0,G2002-G1994,0)</f>
        <v>0</v>
      </c>
      <c r="Q1994" s="7">
        <f>IF((G1994-G2010)&gt;0,G1994-G2010,0)</f>
        <v>0</v>
      </c>
      <c r="R1994" s="218">
        <f>I1994-G1994</f>
        <v>-3</v>
      </c>
      <c r="S1994" s="294">
        <f>4/12</f>
        <v>0.33333333333333331</v>
      </c>
      <c r="T1994" s="295">
        <f>S1994*2</f>
        <v>0.66666666666666663</v>
      </c>
      <c r="U1994" s="296">
        <f>G1994/(T1994)</f>
        <v>4.5</v>
      </c>
      <c r="V1994" s="297">
        <f>T1994*6</f>
        <v>4</v>
      </c>
      <c r="W1994" s="353"/>
      <c r="X1994" s="353"/>
      <c r="Y1994" s="353"/>
      <c r="Z1994" s="353"/>
      <c r="AA1994" s="14"/>
      <c r="AB1994" s="14"/>
      <c r="AC1994" s="14"/>
      <c r="AD1994" s="14"/>
      <c r="AE1994" s="14"/>
      <c r="AF1994" s="14"/>
      <c r="AG1994" s="14"/>
      <c r="AH1994" s="14"/>
      <c r="AI1994" s="14"/>
      <c r="AJ1994" s="14"/>
      <c r="AK1994" s="14"/>
    </row>
    <row r="1995" spans="2:37" ht="14.25" thickBot="1" x14ac:dyDescent="0.3">
      <c r="B1995" s="5">
        <v>273680</v>
      </c>
      <c r="C1995" s="6">
        <v>1135751</v>
      </c>
      <c r="D1995" s="6" t="s">
        <v>12</v>
      </c>
      <c r="E1995" s="6" t="s">
        <v>13</v>
      </c>
      <c r="F1995" s="6"/>
      <c r="G1995" s="7">
        <v>11</v>
      </c>
      <c r="H1995" s="7"/>
      <c r="I1995" s="7"/>
      <c r="J1995" s="7"/>
      <c r="K1995" s="7">
        <v>10</v>
      </c>
      <c r="L1995" s="7">
        <f>6+11</f>
        <v>17</v>
      </c>
      <c r="M1995" s="7"/>
      <c r="N1995" s="7">
        <f>L1995-G1995</f>
        <v>6</v>
      </c>
      <c r="O1995" s="7"/>
      <c r="P1995" s="7">
        <f>IF((G2003-G1995)&gt;0,G2003-G1995,0)</f>
        <v>0</v>
      </c>
      <c r="Q1995" s="7">
        <f>IF((G1995-G2011)&gt;0,G1995-G2011,0)</f>
        <v>0</v>
      </c>
      <c r="R1995" s="218">
        <f>I1995-G1995</f>
        <v>-11</v>
      </c>
      <c r="S1995" s="299">
        <f>30/12</f>
        <v>2.5</v>
      </c>
      <c r="T1995" s="300">
        <f>S1995*2</f>
        <v>5</v>
      </c>
      <c r="U1995" s="301">
        <f>G1995/(T1995)</f>
        <v>2.2000000000000002</v>
      </c>
      <c r="V1995" s="302">
        <f>T1995*6</f>
        <v>30</v>
      </c>
      <c r="W1995" s="353"/>
      <c r="X1995" s="353"/>
      <c r="Y1995" s="353"/>
      <c r="Z1995" s="353"/>
      <c r="AA1995" s="14"/>
      <c r="AB1995" s="14"/>
      <c r="AC1995" s="14"/>
      <c r="AD1995" s="14"/>
      <c r="AE1995" s="14"/>
      <c r="AF1995" s="14"/>
      <c r="AG1995" s="14"/>
      <c r="AH1995" s="14"/>
      <c r="AI1995" s="14"/>
      <c r="AJ1995" s="14"/>
      <c r="AK1995" s="14"/>
    </row>
    <row r="1997" spans="2:37" ht="14.25" thickBot="1" x14ac:dyDescent="0.3">
      <c r="B1997" s="338" t="s">
        <v>18</v>
      </c>
      <c r="C1997" s="339">
        <v>45285</v>
      </c>
      <c r="AA1997" s="14"/>
      <c r="AB1997" s="14"/>
      <c r="AC1997" s="14"/>
      <c r="AD1997" s="14"/>
      <c r="AE1997" s="14"/>
      <c r="AF1997" s="14"/>
      <c r="AG1997" s="14"/>
      <c r="AH1997" s="14"/>
      <c r="AI1997" s="14"/>
      <c r="AJ1997" s="14"/>
      <c r="AK1997" s="14"/>
    </row>
    <row r="1998" spans="2:37" ht="14.25" thickBot="1" x14ac:dyDescent="0.3">
      <c r="B1998" s="2" t="s">
        <v>0</v>
      </c>
      <c r="C1998" s="3" t="s">
        <v>1</v>
      </c>
      <c r="D1998" s="3" t="s">
        <v>2</v>
      </c>
      <c r="E1998" s="3" t="s">
        <v>3</v>
      </c>
      <c r="F1998" s="3"/>
      <c r="G1998" s="4" t="s">
        <v>4</v>
      </c>
      <c r="H1998" s="4"/>
      <c r="I1998" s="3" t="s">
        <v>5</v>
      </c>
      <c r="J1998" s="3"/>
      <c r="K1998" s="3" t="s">
        <v>286</v>
      </c>
      <c r="L1998" s="3" t="s">
        <v>280</v>
      </c>
      <c r="M1998" s="3"/>
      <c r="N1998" s="3" t="s">
        <v>130</v>
      </c>
      <c r="O1998" s="3"/>
      <c r="P1998" s="3" t="s">
        <v>268</v>
      </c>
      <c r="Q1998" s="3" t="s">
        <v>269</v>
      </c>
      <c r="R1998" s="217" t="s">
        <v>274</v>
      </c>
      <c r="S1998" s="291" t="s">
        <v>288</v>
      </c>
      <c r="T1998" s="292" t="s">
        <v>289</v>
      </c>
      <c r="U1998" s="292" t="s">
        <v>287</v>
      </c>
      <c r="V1998" s="293" t="s">
        <v>290</v>
      </c>
      <c r="W1998" s="363"/>
      <c r="X1998" s="363"/>
      <c r="Y1998" s="363"/>
      <c r="Z1998" s="363"/>
      <c r="AA1998" s="14"/>
      <c r="AB1998" s="14"/>
      <c r="AC1998" s="14"/>
      <c r="AD1998" s="14"/>
      <c r="AE1998" s="14"/>
      <c r="AF1998" s="14"/>
      <c r="AG1998" s="14"/>
      <c r="AH1998" s="14"/>
      <c r="AI1998" s="14"/>
      <c r="AJ1998" s="14"/>
      <c r="AK1998" s="14"/>
    </row>
    <row r="1999" spans="2:37" ht="14.25" thickBot="1" x14ac:dyDescent="0.3">
      <c r="B1999" s="5">
        <v>273664</v>
      </c>
      <c r="C1999" s="6">
        <v>1135749</v>
      </c>
      <c r="D1999" s="6" t="s">
        <v>7</v>
      </c>
      <c r="E1999" s="6">
        <v>6060050026</v>
      </c>
      <c r="F1999" s="6"/>
      <c r="G1999" s="7">
        <v>8</v>
      </c>
      <c r="H1999" s="7"/>
      <c r="I1999" s="7">
        <v>6</v>
      </c>
      <c r="J1999" s="7"/>
      <c r="K1999" s="7">
        <v>1</v>
      </c>
      <c r="L1999" s="7">
        <v>10</v>
      </c>
      <c r="M1999" s="7"/>
      <c r="N1999" s="7">
        <f>L1999-G1999</f>
        <v>2</v>
      </c>
      <c r="O1999" s="7"/>
      <c r="P1999" s="7">
        <f>IF((G2007-G1999)&gt;0,G2007-G1999,0)</f>
        <v>0</v>
      </c>
      <c r="Q1999" s="7">
        <f>IF((G1999-G2015)&gt;0,G1999-G2015,0)</f>
        <v>0</v>
      </c>
      <c r="R1999" s="218">
        <f>I1999-G1999</f>
        <v>-2</v>
      </c>
      <c r="S1999" s="294">
        <v>1.5</v>
      </c>
      <c r="T1999" s="295">
        <f>S1999*2</f>
        <v>3</v>
      </c>
      <c r="U1999" s="296">
        <f>G1999/(T1999)</f>
        <v>2.6666666666666665</v>
      </c>
      <c r="V1999" s="297">
        <f>T1999*6</f>
        <v>18</v>
      </c>
      <c r="W1999" s="353"/>
      <c r="X1999" s="353"/>
      <c r="Y1999" s="353"/>
      <c r="Z1999" s="353"/>
      <c r="AA1999" s="14"/>
      <c r="AB1999" s="14"/>
      <c r="AC1999" s="14"/>
      <c r="AD1999" s="14"/>
      <c r="AE1999" s="14"/>
      <c r="AF1999" s="14"/>
      <c r="AG1999" s="14"/>
      <c r="AH1999" s="14"/>
      <c r="AI1999" s="14"/>
      <c r="AJ1999" s="14"/>
      <c r="AK1999" s="14"/>
    </row>
    <row r="2000" spans="2:37" ht="14.25" thickBot="1" x14ac:dyDescent="0.3">
      <c r="B2000" s="5">
        <v>273672</v>
      </c>
      <c r="C2000" s="6">
        <v>1135750</v>
      </c>
      <c r="D2000" s="6" t="s">
        <v>9</v>
      </c>
      <c r="E2000" s="215">
        <v>204000000000</v>
      </c>
      <c r="F2000" s="215"/>
      <c r="G2000" s="7">
        <v>21</v>
      </c>
      <c r="H2000" s="7"/>
      <c r="I2000" s="7">
        <v>18</v>
      </c>
      <c r="J2000" s="7"/>
      <c r="K2000" s="7">
        <v>6</v>
      </c>
      <c r="L2000" s="7">
        <f>18+13</f>
        <v>31</v>
      </c>
      <c r="M2000" s="7"/>
      <c r="N2000" s="7">
        <f>L2000-G2000</f>
        <v>10</v>
      </c>
      <c r="O2000" s="7"/>
      <c r="P2000" s="7">
        <f>IF((G2008-G2000)&gt;0,G2008-G2000,0)</f>
        <v>0</v>
      </c>
      <c r="Q2000" s="7">
        <f>IF((G2000-G2016)&gt;0,G2000-G2016,0)</f>
        <v>0</v>
      </c>
      <c r="R2000" s="218">
        <f>I2000-G2000</f>
        <v>-3</v>
      </c>
      <c r="S2000" s="298">
        <v>4.2</v>
      </c>
      <c r="T2000" s="295">
        <f>S2000*2</f>
        <v>8.4</v>
      </c>
      <c r="U2000" s="296">
        <f>G2000/(T2000)</f>
        <v>2.5</v>
      </c>
      <c r="V2000" s="297">
        <f>T2000*6</f>
        <v>50.400000000000006</v>
      </c>
      <c r="W2000" s="353"/>
      <c r="X2000" s="353"/>
      <c r="Y2000" s="353"/>
      <c r="Z2000" s="353"/>
      <c r="AA2000" s="14"/>
      <c r="AB2000" s="14"/>
      <c r="AC2000" s="14"/>
      <c r="AD2000" s="14"/>
      <c r="AE2000" s="14"/>
      <c r="AF2000" s="14"/>
      <c r="AG2000" s="14"/>
      <c r="AH2000" s="14"/>
      <c r="AI2000" s="14"/>
      <c r="AJ2000" s="14"/>
      <c r="AK2000" s="14"/>
    </row>
    <row r="2001" spans="2:37" ht="14.25" thickBot="1" x14ac:dyDescent="0.3">
      <c r="B2001" s="5">
        <v>273702</v>
      </c>
      <c r="C2001" s="6">
        <v>1135753</v>
      </c>
      <c r="D2001" s="6" t="s">
        <v>10</v>
      </c>
      <c r="E2001" s="215">
        <v>301000000000</v>
      </c>
      <c r="F2001" s="215"/>
      <c r="G2001" s="7">
        <v>2</v>
      </c>
      <c r="H2001" s="7"/>
      <c r="I2001" s="7"/>
      <c r="J2001" s="7"/>
      <c r="K2001" s="7">
        <v>1</v>
      </c>
      <c r="L2001" s="7">
        <v>2</v>
      </c>
      <c r="M2001" s="7"/>
      <c r="N2001" s="7">
        <f>L2001-G2001</f>
        <v>0</v>
      </c>
      <c r="O2001" s="7"/>
      <c r="P2001" s="7">
        <f>IF((G2009-G2001)&gt;0,G2009-G2001,0)</f>
        <v>0</v>
      </c>
      <c r="Q2001" s="7">
        <f>IF((G2001-G2017)&gt;0,G2001-G2017,0)</f>
        <v>0</v>
      </c>
      <c r="R2001" s="218">
        <f>I2001-G2001</f>
        <v>-2</v>
      </c>
      <c r="S2001" s="294">
        <f>4/12</f>
        <v>0.33333333333333331</v>
      </c>
      <c r="T2001" s="295">
        <f>S2001*2</f>
        <v>0.66666666666666663</v>
      </c>
      <c r="U2001" s="296">
        <f>G2001/(T2001)</f>
        <v>3</v>
      </c>
      <c r="V2001" s="297">
        <f>T2001*6</f>
        <v>4</v>
      </c>
      <c r="W2001" s="353"/>
      <c r="X2001" s="353"/>
      <c r="Y2001" s="353"/>
      <c r="Z2001" s="353"/>
      <c r="AA2001" s="14"/>
      <c r="AB2001" s="14"/>
      <c r="AC2001" s="14"/>
      <c r="AD2001" s="14"/>
      <c r="AE2001" s="14"/>
      <c r="AF2001" s="14"/>
      <c r="AG2001" s="14"/>
      <c r="AH2001" s="14"/>
      <c r="AI2001" s="14"/>
      <c r="AJ2001" s="14"/>
      <c r="AK2001" s="14"/>
    </row>
    <row r="2002" spans="2:37" ht="14.25" thickBot="1" x14ac:dyDescent="0.3">
      <c r="B2002" s="5">
        <v>273698</v>
      </c>
      <c r="C2002" s="6">
        <v>1135752</v>
      </c>
      <c r="D2002" s="6" t="s">
        <v>11</v>
      </c>
      <c r="E2002" s="215">
        <v>701000000000</v>
      </c>
      <c r="F2002" s="215"/>
      <c r="G2002" s="7">
        <v>3</v>
      </c>
      <c r="H2002" s="7"/>
      <c r="I2002" s="7"/>
      <c r="J2002" s="7"/>
      <c r="K2002" s="7">
        <v>3</v>
      </c>
      <c r="L2002" s="7">
        <f>5+3</f>
        <v>8</v>
      </c>
      <c r="M2002" s="7"/>
      <c r="N2002" s="7">
        <f>L2002-G2002</f>
        <v>5</v>
      </c>
      <c r="O2002" s="7"/>
      <c r="P2002" s="7">
        <f>IF((G2010-G2002)&gt;0,G2010-G2002,0)</f>
        <v>0</v>
      </c>
      <c r="Q2002" s="7">
        <f>IF((G2002-G2018)&gt;0,G2002-G2018,0)</f>
        <v>0</v>
      </c>
      <c r="R2002" s="218">
        <f>I2002-G2002</f>
        <v>-3</v>
      </c>
      <c r="S2002" s="294">
        <f>4/12</f>
        <v>0.33333333333333331</v>
      </c>
      <c r="T2002" s="295">
        <f>S2002*2</f>
        <v>0.66666666666666663</v>
      </c>
      <c r="U2002" s="296">
        <f>G2002/(T2002)</f>
        <v>4.5</v>
      </c>
      <c r="V2002" s="297">
        <f>T2002*6</f>
        <v>4</v>
      </c>
      <c r="W2002" s="353"/>
      <c r="X2002" s="353"/>
      <c r="Y2002" s="353"/>
      <c r="Z2002" s="353"/>
      <c r="AA2002" s="14"/>
      <c r="AB2002" s="14"/>
      <c r="AC2002" s="14"/>
      <c r="AD2002" s="14"/>
      <c r="AE2002" s="14"/>
      <c r="AF2002" s="14"/>
      <c r="AG2002" s="14"/>
      <c r="AH2002" s="14"/>
      <c r="AI2002" s="14"/>
      <c r="AJ2002" s="14"/>
      <c r="AK2002" s="14"/>
    </row>
    <row r="2003" spans="2:37" ht="14.25" thickBot="1" x14ac:dyDescent="0.3">
      <c r="B2003" s="5">
        <v>273680</v>
      </c>
      <c r="C2003" s="6">
        <v>1135751</v>
      </c>
      <c r="D2003" s="6" t="s">
        <v>12</v>
      </c>
      <c r="E2003" s="6" t="s">
        <v>13</v>
      </c>
      <c r="F2003" s="6"/>
      <c r="G2003" s="7">
        <v>11</v>
      </c>
      <c r="H2003" s="7"/>
      <c r="I2003" s="7"/>
      <c r="J2003" s="7"/>
      <c r="K2003" s="7">
        <v>10</v>
      </c>
      <c r="L2003" s="7">
        <f>6+11</f>
        <v>17</v>
      </c>
      <c r="M2003" s="7"/>
      <c r="N2003" s="7">
        <f>L2003-G2003</f>
        <v>6</v>
      </c>
      <c r="O2003" s="7"/>
      <c r="P2003" s="7">
        <f>IF((G2011-G2003)&gt;0,G2011-G2003,0)</f>
        <v>0</v>
      </c>
      <c r="Q2003" s="7">
        <f>IF((G2003-G2019)&gt;0,G2003-G2019,0)</f>
        <v>0</v>
      </c>
      <c r="R2003" s="218">
        <f>I2003-G2003</f>
        <v>-11</v>
      </c>
      <c r="S2003" s="299">
        <f>30/12</f>
        <v>2.5</v>
      </c>
      <c r="T2003" s="300">
        <f>S2003*2</f>
        <v>5</v>
      </c>
      <c r="U2003" s="301">
        <f>G2003/(T2003)</f>
        <v>2.2000000000000002</v>
      </c>
      <c r="V2003" s="302">
        <f>T2003*6</f>
        <v>30</v>
      </c>
      <c r="W2003" s="353"/>
      <c r="X2003" s="353"/>
      <c r="Y2003" s="353"/>
      <c r="Z2003" s="353"/>
      <c r="AA2003" s="14"/>
      <c r="AB2003" s="14"/>
      <c r="AC2003" s="14"/>
      <c r="AD2003" s="14"/>
      <c r="AE2003" s="14"/>
      <c r="AF2003" s="14"/>
      <c r="AG2003" s="14"/>
      <c r="AH2003" s="14"/>
      <c r="AI2003" s="14"/>
      <c r="AJ2003" s="14"/>
      <c r="AK2003" s="14"/>
    </row>
    <row r="2005" spans="2:37" ht="14.25" thickBot="1" x14ac:dyDescent="0.3">
      <c r="B2005" s="338" t="s">
        <v>18</v>
      </c>
      <c r="C2005" s="339">
        <v>45278</v>
      </c>
      <c r="S2005" s="304"/>
      <c r="T2005" s="304"/>
      <c r="AA2005" s="14"/>
      <c r="AB2005" s="14"/>
      <c r="AC2005" s="14"/>
      <c r="AD2005" s="14"/>
      <c r="AE2005" s="14"/>
      <c r="AF2005" s="14"/>
      <c r="AG2005" s="14"/>
      <c r="AH2005" s="14"/>
      <c r="AI2005" s="14"/>
      <c r="AJ2005" s="14"/>
      <c r="AK2005" s="14"/>
    </row>
    <row r="2006" spans="2:37" ht="14.25" thickBot="1" x14ac:dyDescent="0.3">
      <c r="B2006" s="2" t="s">
        <v>0</v>
      </c>
      <c r="C2006" s="3" t="s">
        <v>1</v>
      </c>
      <c r="D2006" s="3" t="s">
        <v>2</v>
      </c>
      <c r="E2006" s="3" t="s">
        <v>3</v>
      </c>
      <c r="F2006" s="3"/>
      <c r="G2006" s="4" t="s">
        <v>4</v>
      </c>
      <c r="H2006" s="4"/>
      <c r="I2006" s="3" t="s">
        <v>279</v>
      </c>
      <c r="J2006" s="3"/>
      <c r="K2006" s="3" t="s">
        <v>278</v>
      </c>
      <c r="L2006" s="3" t="s">
        <v>280</v>
      </c>
      <c r="M2006" s="3"/>
      <c r="N2006" s="3" t="s">
        <v>130</v>
      </c>
      <c r="O2006" s="3"/>
      <c r="P2006" s="3" t="s">
        <v>268</v>
      </c>
      <c r="Q2006" s="3" t="s">
        <v>269</v>
      </c>
      <c r="R2006" s="217" t="s">
        <v>274</v>
      </c>
      <c r="AA2006" s="14"/>
      <c r="AB2006" s="14"/>
      <c r="AC2006" s="14"/>
      <c r="AD2006" s="14"/>
      <c r="AE2006" s="14"/>
      <c r="AF2006" s="14"/>
      <c r="AG2006" s="14"/>
      <c r="AH2006" s="14"/>
      <c r="AI2006" s="14"/>
      <c r="AJ2006" s="14"/>
      <c r="AK2006" s="14"/>
    </row>
    <row r="2007" spans="2:37" ht="14.25" thickBot="1" x14ac:dyDescent="0.3">
      <c r="B2007" s="5">
        <v>273664</v>
      </c>
      <c r="C2007" s="6">
        <v>1135749</v>
      </c>
      <c r="D2007" s="6" t="s">
        <v>7</v>
      </c>
      <c r="E2007" s="6">
        <v>6060050026</v>
      </c>
      <c r="F2007" s="6"/>
      <c r="G2007" s="7">
        <v>8</v>
      </c>
      <c r="H2007" s="7"/>
      <c r="I2007" s="7">
        <v>6</v>
      </c>
      <c r="J2007" s="7"/>
      <c r="K2007" s="7">
        <v>1</v>
      </c>
      <c r="L2007" s="7">
        <v>10</v>
      </c>
      <c r="M2007" s="7"/>
      <c r="N2007" s="7">
        <f>L2007-G2007</f>
        <v>2</v>
      </c>
      <c r="O2007" s="7"/>
      <c r="P2007" s="7">
        <f>IF((G2015-G2007)&gt;0,G2015-G2007,0)</f>
        <v>0</v>
      </c>
      <c r="Q2007" s="7">
        <f>IF((G2007-G2023)&gt;0,G2007-G2023,0)</f>
        <v>0</v>
      </c>
      <c r="R2007" s="218">
        <f>I2007-G2007</f>
        <v>-2</v>
      </c>
      <c r="AA2007" s="14"/>
      <c r="AB2007" s="14"/>
      <c r="AC2007" s="14"/>
      <c r="AD2007" s="14"/>
      <c r="AE2007" s="14"/>
      <c r="AF2007" s="14"/>
      <c r="AG2007" s="14"/>
      <c r="AH2007" s="14"/>
      <c r="AI2007" s="14"/>
      <c r="AJ2007" s="14"/>
      <c r="AK2007" s="14"/>
    </row>
    <row r="2008" spans="2:37" ht="14.25" thickBot="1" x14ac:dyDescent="0.3">
      <c r="B2008" s="5">
        <v>273672</v>
      </c>
      <c r="C2008" s="6">
        <v>1135750</v>
      </c>
      <c r="D2008" s="6" t="s">
        <v>9</v>
      </c>
      <c r="E2008" s="215">
        <v>204000000000</v>
      </c>
      <c r="F2008" s="215"/>
      <c r="G2008" s="7">
        <v>21</v>
      </c>
      <c r="H2008" s="7"/>
      <c r="I2008" s="7">
        <v>18</v>
      </c>
      <c r="J2008" s="7"/>
      <c r="K2008" s="7">
        <v>7</v>
      </c>
      <c r="L2008" s="7">
        <f>18+13</f>
        <v>31</v>
      </c>
      <c r="M2008" s="7"/>
      <c r="N2008" s="7">
        <f>L2008-G2008</f>
        <v>10</v>
      </c>
      <c r="O2008" s="7"/>
      <c r="P2008" s="7">
        <f>IF((G2016-G2008)&gt;0,G2016-G2008,0)</f>
        <v>0</v>
      </c>
      <c r="Q2008" s="7">
        <f>IF((G2008-G2024)&gt;0,G2008-G2024,0)</f>
        <v>0</v>
      </c>
      <c r="R2008" s="218">
        <f>I2008-G2008</f>
        <v>-3</v>
      </c>
      <c r="S2008" s="14"/>
      <c r="T2008" s="14"/>
      <c r="U2008" s="14"/>
      <c r="V2008" s="14"/>
      <c r="W2008" s="14"/>
      <c r="X2008" s="14"/>
      <c r="Y2008" s="14"/>
      <c r="Z2008" s="14"/>
      <c r="AA2008" s="14"/>
      <c r="AB2008" s="14"/>
      <c r="AC2008" s="14"/>
      <c r="AD2008" s="14"/>
      <c r="AE2008" s="14"/>
      <c r="AF2008" s="14"/>
      <c r="AG2008" s="14"/>
      <c r="AH2008" s="14"/>
      <c r="AI2008" s="14"/>
      <c r="AJ2008" s="14"/>
      <c r="AK2008" s="14"/>
    </row>
    <row r="2009" spans="2:37" ht="14.25" thickBot="1" x14ac:dyDescent="0.3">
      <c r="B2009" s="5">
        <v>273702</v>
      </c>
      <c r="C2009" s="6">
        <v>1135753</v>
      </c>
      <c r="D2009" s="6" t="s">
        <v>10</v>
      </c>
      <c r="E2009" s="215">
        <v>301000000000</v>
      </c>
      <c r="F2009" s="215"/>
      <c r="G2009" s="7">
        <v>2</v>
      </c>
      <c r="H2009" s="7"/>
      <c r="I2009" s="7">
        <v>2</v>
      </c>
      <c r="J2009" s="7"/>
      <c r="K2009" s="7">
        <v>1</v>
      </c>
      <c r="L2009" s="7">
        <v>2</v>
      </c>
      <c r="M2009" s="7"/>
      <c r="N2009" s="7">
        <f>L2009-G2009</f>
        <v>0</v>
      </c>
      <c r="O2009" s="7"/>
      <c r="P2009" s="7">
        <f>IF((G2017-G2009)&gt;0,G2017-G2009,0)</f>
        <v>0</v>
      </c>
      <c r="Q2009" s="7">
        <f>IF((G2009-G2025)&gt;0,G2009-G2025,0)</f>
        <v>0</v>
      </c>
      <c r="R2009" s="218">
        <f>I2009-G2009</f>
        <v>0</v>
      </c>
      <c r="S2009" s="14"/>
      <c r="T2009" s="14"/>
      <c r="U2009" s="14"/>
      <c r="V2009" s="14"/>
      <c r="W2009" s="14"/>
      <c r="X2009" s="14"/>
      <c r="Y2009" s="14"/>
      <c r="Z2009" s="14"/>
      <c r="AA2009" s="14"/>
      <c r="AB2009" s="14"/>
      <c r="AC2009" s="14"/>
      <c r="AD2009" s="14"/>
      <c r="AE2009" s="14"/>
      <c r="AF2009" s="14"/>
      <c r="AG2009" s="14"/>
      <c r="AH2009" s="14"/>
      <c r="AI2009" s="14"/>
      <c r="AJ2009" s="14"/>
      <c r="AK2009" s="14"/>
    </row>
    <row r="2010" spans="2:37" ht="14.25" thickBot="1" x14ac:dyDescent="0.3">
      <c r="B2010" s="5">
        <v>273698</v>
      </c>
      <c r="C2010" s="6">
        <v>1135752</v>
      </c>
      <c r="D2010" s="6" t="s">
        <v>11</v>
      </c>
      <c r="E2010" s="215">
        <v>701000000000</v>
      </c>
      <c r="F2010" s="215"/>
      <c r="G2010" s="7">
        <v>3</v>
      </c>
      <c r="H2010" s="7"/>
      <c r="I2010" s="7">
        <v>3</v>
      </c>
      <c r="J2010" s="7"/>
      <c r="K2010" s="7">
        <v>3</v>
      </c>
      <c r="L2010" s="7">
        <f>5+3</f>
        <v>8</v>
      </c>
      <c r="M2010" s="7"/>
      <c r="N2010" s="7">
        <f>L2010-G2010</f>
        <v>5</v>
      </c>
      <c r="O2010" s="7"/>
      <c r="P2010" s="7">
        <f>IF((G2018-G2010)&gt;0,G2018-G2010,0)</f>
        <v>0</v>
      </c>
      <c r="Q2010" s="7">
        <f>IF((G2010-G2026)&gt;0,G2010-G2026,0)</f>
        <v>0</v>
      </c>
      <c r="R2010" s="218">
        <f>I2010-G2010</f>
        <v>0</v>
      </c>
      <c r="S2010" s="14"/>
      <c r="T2010" s="14"/>
      <c r="U2010" s="14"/>
      <c r="V2010" s="14"/>
      <c r="W2010" s="14"/>
      <c r="X2010" s="14"/>
      <c r="Y2010" s="14"/>
      <c r="Z2010" s="14"/>
      <c r="AA2010" s="14"/>
      <c r="AB2010" s="14"/>
      <c r="AC2010" s="14"/>
      <c r="AD2010" s="14"/>
      <c r="AE2010" s="14"/>
      <c r="AF2010" s="14"/>
      <c r="AG2010" s="14"/>
      <c r="AH2010" s="14"/>
      <c r="AI2010" s="14"/>
      <c r="AJ2010" s="14"/>
      <c r="AK2010" s="14"/>
    </row>
    <row r="2011" spans="2:37" ht="14.25" thickBot="1" x14ac:dyDescent="0.3">
      <c r="B2011" s="5">
        <v>273680</v>
      </c>
      <c r="C2011" s="6">
        <v>1135751</v>
      </c>
      <c r="D2011" s="6" t="s">
        <v>12</v>
      </c>
      <c r="E2011" s="6" t="s">
        <v>13</v>
      </c>
      <c r="F2011" s="6"/>
      <c r="G2011" s="7">
        <v>11</v>
      </c>
      <c r="H2011" s="7"/>
      <c r="I2011" s="7">
        <v>11</v>
      </c>
      <c r="J2011" s="7"/>
      <c r="K2011" s="7">
        <v>10</v>
      </c>
      <c r="L2011" s="7">
        <f>6+11</f>
        <v>17</v>
      </c>
      <c r="M2011" s="7"/>
      <c r="N2011" s="7">
        <f>L2011-G2011</f>
        <v>6</v>
      </c>
      <c r="O2011" s="7"/>
      <c r="P2011" s="7">
        <f>IF((G2019-G2011)&gt;0,G2019-G2011,0)</f>
        <v>0</v>
      </c>
      <c r="Q2011" s="7">
        <f>IF((G2011-G2027)&gt;0,G2011-G2027,0)</f>
        <v>0</v>
      </c>
      <c r="R2011" s="218">
        <f>I2011-G2011</f>
        <v>0</v>
      </c>
      <c r="S2011" s="14"/>
      <c r="T2011" s="14"/>
      <c r="U2011" s="14"/>
      <c r="V2011" s="14"/>
      <c r="W2011" s="14"/>
      <c r="X2011" s="14"/>
      <c r="Y2011" s="14"/>
      <c r="Z2011" s="14"/>
      <c r="AA2011" s="14"/>
      <c r="AB2011" s="14"/>
      <c r="AC2011" s="14"/>
      <c r="AD2011" s="14"/>
      <c r="AE2011" s="14"/>
      <c r="AF2011" s="14"/>
      <c r="AG2011" s="14"/>
      <c r="AH2011" s="14"/>
      <c r="AI2011" s="14"/>
      <c r="AJ2011" s="14"/>
      <c r="AK2011" s="14"/>
    </row>
    <row r="2013" spans="2:37" ht="14.25" thickBot="1" x14ac:dyDescent="0.3">
      <c r="B2013" s="338" t="s">
        <v>18</v>
      </c>
      <c r="C2013" s="339">
        <v>45271</v>
      </c>
      <c r="S2013" s="14"/>
      <c r="T2013" s="14"/>
      <c r="U2013" s="14"/>
      <c r="V2013" s="14"/>
      <c r="W2013" s="14"/>
      <c r="X2013" s="14"/>
      <c r="Y2013" s="14"/>
      <c r="Z2013" s="14"/>
      <c r="AA2013" s="14"/>
      <c r="AB2013" s="14"/>
      <c r="AC2013" s="14"/>
      <c r="AD2013" s="14"/>
      <c r="AE2013" s="14"/>
      <c r="AF2013" s="14"/>
      <c r="AG2013" s="14"/>
      <c r="AH2013" s="14"/>
      <c r="AI2013" s="14"/>
      <c r="AJ2013" s="14"/>
      <c r="AK2013" s="14"/>
    </row>
    <row r="2014" spans="2:37" ht="14.25" thickBot="1" x14ac:dyDescent="0.3">
      <c r="B2014" s="2" t="s">
        <v>0</v>
      </c>
      <c r="C2014" s="3" t="s">
        <v>1</v>
      </c>
      <c r="D2014" s="3" t="s">
        <v>2</v>
      </c>
      <c r="E2014" s="3" t="s">
        <v>3</v>
      </c>
      <c r="F2014" s="3"/>
      <c r="G2014" s="4" t="s">
        <v>4</v>
      </c>
      <c r="H2014" s="4"/>
      <c r="I2014" s="3" t="s">
        <v>279</v>
      </c>
      <c r="J2014" s="3"/>
      <c r="K2014" s="3" t="s">
        <v>278</v>
      </c>
      <c r="L2014" s="3" t="s">
        <v>280</v>
      </c>
      <c r="M2014" s="3"/>
      <c r="N2014" s="3" t="s">
        <v>130</v>
      </c>
      <c r="O2014" s="3"/>
      <c r="P2014" s="3" t="s">
        <v>268</v>
      </c>
      <c r="Q2014" s="3" t="s">
        <v>269</v>
      </c>
      <c r="R2014" s="217" t="s">
        <v>274</v>
      </c>
      <c r="S2014" s="14"/>
      <c r="T2014" s="14"/>
      <c r="U2014" s="14"/>
      <c r="V2014" s="14"/>
      <c r="W2014" s="14"/>
      <c r="X2014" s="14"/>
      <c r="Y2014" s="14"/>
      <c r="Z2014" s="14"/>
      <c r="AA2014" s="14"/>
      <c r="AB2014" s="14"/>
      <c r="AC2014" s="14"/>
      <c r="AD2014" s="14"/>
      <c r="AE2014" s="14"/>
      <c r="AF2014" s="14"/>
      <c r="AG2014" s="14"/>
      <c r="AH2014" s="14"/>
      <c r="AI2014" s="14"/>
      <c r="AJ2014" s="14"/>
      <c r="AK2014" s="14"/>
    </row>
    <row r="2015" spans="2:37" ht="14.25" thickBot="1" x14ac:dyDescent="0.3">
      <c r="B2015" s="5">
        <v>273664</v>
      </c>
      <c r="C2015" s="6">
        <v>1135749</v>
      </c>
      <c r="D2015" s="6" t="s">
        <v>7</v>
      </c>
      <c r="E2015" s="6">
        <v>6060050026</v>
      </c>
      <c r="F2015" s="6"/>
      <c r="G2015" s="7">
        <v>8</v>
      </c>
      <c r="H2015" s="7"/>
      <c r="I2015" s="7">
        <v>6</v>
      </c>
      <c r="J2015" s="7"/>
      <c r="K2015" s="7">
        <v>1</v>
      </c>
      <c r="L2015" s="7">
        <v>10</v>
      </c>
      <c r="M2015" s="7"/>
      <c r="N2015" s="7">
        <f>L2015-G2015</f>
        <v>2</v>
      </c>
      <c r="O2015" s="7"/>
      <c r="P2015" s="7">
        <f>IF((G2023-G2015)&gt;0,G2023-G2015,0)</f>
        <v>0</v>
      </c>
      <c r="Q2015" s="7">
        <f>IF((G2015-G2023)&gt;0,G2015-G2023,0)</f>
        <v>0</v>
      </c>
      <c r="R2015" s="218">
        <f>I2015-G2015</f>
        <v>-2</v>
      </c>
      <c r="S2015" s="14"/>
      <c r="T2015" s="14"/>
      <c r="U2015" s="14"/>
      <c r="V2015" s="14"/>
      <c r="W2015" s="14"/>
      <c r="X2015" s="14"/>
      <c r="Y2015" s="14"/>
      <c r="Z2015" s="14"/>
      <c r="AA2015" s="14"/>
      <c r="AB2015" s="14"/>
      <c r="AC2015" s="14"/>
      <c r="AD2015" s="14"/>
      <c r="AE2015" s="14"/>
      <c r="AF2015" s="14"/>
      <c r="AG2015" s="14"/>
      <c r="AH2015" s="14"/>
      <c r="AI2015" s="14"/>
      <c r="AJ2015" s="14"/>
      <c r="AK2015" s="14"/>
    </row>
    <row r="2016" spans="2:37" ht="14.25" thickBot="1" x14ac:dyDescent="0.3">
      <c r="B2016" s="5">
        <v>273672</v>
      </c>
      <c r="C2016" s="6">
        <v>1135750</v>
      </c>
      <c r="D2016" s="6" t="s">
        <v>9</v>
      </c>
      <c r="E2016" s="215">
        <v>204000000000</v>
      </c>
      <c r="F2016" s="215"/>
      <c r="G2016" s="7">
        <v>21</v>
      </c>
      <c r="H2016" s="7"/>
      <c r="I2016" s="7">
        <v>18</v>
      </c>
      <c r="J2016" s="7"/>
      <c r="K2016" s="7">
        <v>7</v>
      </c>
      <c r="L2016" s="7">
        <f>18+13</f>
        <v>31</v>
      </c>
      <c r="M2016" s="7"/>
      <c r="N2016" s="7">
        <f>L2016-G2016</f>
        <v>10</v>
      </c>
      <c r="O2016" s="7"/>
      <c r="P2016" s="7">
        <f>IF((G2024-G2016)&gt;0,G2024-G2016,0)</f>
        <v>6</v>
      </c>
      <c r="Q2016" s="7">
        <f>IF((G2016-G2024)&gt;0,G2016-G2024,0)</f>
        <v>0</v>
      </c>
      <c r="R2016" s="218">
        <f>I2016-G2016</f>
        <v>-3</v>
      </c>
      <c r="S2016" s="14"/>
      <c r="T2016" s="14"/>
      <c r="U2016" s="14"/>
      <c r="V2016" s="14"/>
      <c r="W2016" s="14"/>
      <c r="X2016" s="14"/>
      <c r="Y2016" s="14"/>
      <c r="Z2016" s="14"/>
      <c r="AA2016" s="14"/>
      <c r="AB2016" s="14"/>
      <c r="AC2016" s="14"/>
      <c r="AD2016" s="14"/>
      <c r="AE2016" s="14"/>
      <c r="AF2016" s="14"/>
      <c r="AG2016" s="14"/>
      <c r="AH2016" s="14"/>
      <c r="AI2016" s="14"/>
      <c r="AJ2016" s="14"/>
      <c r="AK2016" s="14"/>
    </row>
    <row r="2017" spans="2:37" ht="14.25" thickBot="1" x14ac:dyDescent="0.3">
      <c r="B2017" s="5">
        <v>273702</v>
      </c>
      <c r="C2017" s="6">
        <v>1135753</v>
      </c>
      <c r="D2017" s="6" t="s">
        <v>10</v>
      </c>
      <c r="E2017" s="215">
        <v>301000000000</v>
      </c>
      <c r="F2017" s="215"/>
      <c r="G2017" s="7">
        <v>2</v>
      </c>
      <c r="H2017" s="7"/>
      <c r="I2017" s="7">
        <v>2</v>
      </c>
      <c r="J2017" s="7"/>
      <c r="K2017" s="7">
        <v>1</v>
      </c>
      <c r="L2017" s="7">
        <v>2</v>
      </c>
      <c r="M2017" s="7"/>
      <c r="N2017" s="7">
        <f>L2017-G2017</f>
        <v>0</v>
      </c>
      <c r="O2017" s="7"/>
      <c r="P2017" s="7">
        <f>IF((G2025-G2017)&gt;0,G2025-G2017,0)</f>
        <v>0</v>
      </c>
      <c r="Q2017" s="7">
        <f>IF((G2017-G2025)&gt;0,G2017-G2025,0)</f>
        <v>0</v>
      </c>
      <c r="R2017" s="218">
        <f>I2017-G2017</f>
        <v>0</v>
      </c>
      <c r="S2017" s="14"/>
      <c r="T2017" s="14"/>
      <c r="U2017" s="14"/>
      <c r="V2017" s="14"/>
      <c r="W2017" s="14"/>
      <c r="X2017" s="14"/>
      <c r="Y2017" s="14"/>
      <c r="Z2017" s="14"/>
      <c r="AA2017" s="14"/>
      <c r="AB2017" s="14"/>
      <c r="AC2017" s="14"/>
      <c r="AD2017" s="14"/>
      <c r="AE2017" s="14"/>
      <c r="AF2017" s="14"/>
      <c r="AG2017" s="14"/>
      <c r="AH2017" s="14"/>
      <c r="AI2017" s="14"/>
      <c r="AJ2017" s="14"/>
      <c r="AK2017" s="14"/>
    </row>
    <row r="2018" spans="2:37" ht="14.25" thickBot="1" x14ac:dyDescent="0.3">
      <c r="B2018" s="5">
        <v>273698</v>
      </c>
      <c r="C2018" s="6">
        <v>1135752</v>
      </c>
      <c r="D2018" s="6" t="s">
        <v>11</v>
      </c>
      <c r="E2018" s="215">
        <v>701000000000</v>
      </c>
      <c r="F2018" s="215"/>
      <c r="G2018" s="7">
        <v>3</v>
      </c>
      <c r="H2018" s="7"/>
      <c r="I2018" s="7">
        <v>3</v>
      </c>
      <c r="J2018" s="7"/>
      <c r="K2018" s="7">
        <v>3</v>
      </c>
      <c r="L2018" s="7">
        <f>5+3</f>
        <v>8</v>
      </c>
      <c r="M2018" s="7"/>
      <c r="N2018" s="7">
        <f>L2018-G2018</f>
        <v>5</v>
      </c>
      <c r="O2018" s="7"/>
      <c r="P2018" s="7">
        <f>IF((G2026-G2018)&gt;0,G2026-G2018,0)</f>
        <v>0</v>
      </c>
      <c r="Q2018" s="7">
        <f>IF((G2018-G2026)&gt;0,G2018-G2026,0)</f>
        <v>0</v>
      </c>
      <c r="R2018" s="218">
        <f>I2018-G2018</f>
        <v>0</v>
      </c>
      <c r="S2018" s="14"/>
      <c r="T2018" s="14"/>
      <c r="U2018" s="14"/>
      <c r="V2018" s="14"/>
      <c r="W2018" s="14"/>
      <c r="X2018" s="14"/>
      <c r="Y2018" s="14"/>
      <c r="Z2018" s="14"/>
      <c r="AA2018" s="14"/>
      <c r="AB2018" s="14"/>
      <c r="AC2018" s="14"/>
      <c r="AD2018" s="14"/>
      <c r="AE2018" s="14"/>
      <c r="AF2018" s="14"/>
      <c r="AG2018" s="14"/>
      <c r="AH2018" s="14"/>
      <c r="AI2018" s="14"/>
      <c r="AJ2018" s="14"/>
      <c r="AK2018" s="14"/>
    </row>
    <row r="2019" spans="2:37" ht="14.25" thickBot="1" x14ac:dyDescent="0.3">
      <c r="B2019" s="5">
        <v>273680</v>
      </c>
      <c r="C2019" s="6">
        <v>1135751</v>
      </c>
      <c r="D2019" s="6" t="s">
        <v>12</v>
      </c>
      <c r="E2019" s="6" t="s">
        <v>13</v>
      </c>
      <c r="F2019" s="6"/>
      <c r="G2019" s="7">
        <v>11</v>
      </c>
      <c r="H2019" s="7"/>
      <c r="I2019" s="7">
        <v>11</v>
      </c>
      <c r="J2019" s="7"/>
      <c r="K2019" s="7">
        <v>10</v>
      </c>
      <c r="L2019" s="7">
        <f>6+11</f>
        <v>17</v>
      </c>
      <c r="M2019" s="7"/>
      <c r="N2019" s="7">
        <f>L2019-G2019</f>
        <v>6</v>
      </c>
      <c r="O2019" s="7"/>
      <c r="P2019" s="7">
        <f>IF((G2027-G2019)&gt;0,G2027-G2019,0)</f>
        <v>0</v>
      </c>
      <c r="Q2019" s="7">
        <f>IF((G2019-G2027)&gt;0,G2019-G2027,0)</f>
        <v>0</v>
      </c>
      <c r="R2019" s="218">
        <f>I2019-G2019</f>
        <v>0</v>
      </c>
      <c r="S2019" s="14"/>
      <c r="T2019" s="14"/>
      <c r="U2019" s="14"/>
      <c r="V2019" s="14"/>
      <c r="W2019" s="14"/>
      <c r="X2019" s="14"/>
      <c r="Y2019" s="14"/>
      <c r="Z2019" s="14"/>
      <c r="AA2019" s="14"/>
      <c r="AB2019" s="14"/>
      <c r="AC2019" s="14"/>
      <c r="AD2019" s="14"/>
      <c r="AE2019" s="14"/>
      <c r="AF2019" s="14"/>
      <c r="AG2019" s="14"/>
      <c r="AH2019" s="14"/>
      <c r="AI2019" s="14"/>
      <c r="AJ2019" s="14"/>
      <c r="AK2019" s="14"/>
    </row>
    <row r="2021" spans="2:37" ht="14.25" thickBot="1" x14ac:dyDescent="0.3">
      <c r="B2021" s="338" t="s">
        <v>18</v>
      </c>
      <c r="C2021" s="339">
        <v>45264</v>
      </c>
      <c r="S2021" s="14"/>
      <c r="T2021" s="14"/>
      <c r="U2021" s="14"/>
      <c r="V2021" s="14"/>
      <c r="W2021" s="14"/>
      <c r="X2021" s="14"/>
      <c r="Y2021" s="14"/>
      <c r="Z2021" s="14"/>
      <c r="AA2021" s="14"/>
      <c r="AB2021" s="14"/>
      <c r="AC2021" s="14"/>
      <c r="AD2021" s="14"/>
      <c r="AE2021" s="14"/>
      <c r="AF2021" s="14"/>
      <c r="AG2021" s="14"/>
      <c r="AH2021" s="14"/>
      <c r="AI2021" s="14"/>
      <c r="AJ2021" s="14"/>
      <c r="AK2021" s="14"/>
    </row>
    <row r="2022" spans="2:37" ht="14.25" thickBot="1" x14ac:dyDescent="0.3">
      <c r="B2022" s="2" t="s">
        <v>0</v>
      </c>
      <c r="C2022" s="3" t="s">
        <v>1</v>
      </c>
      <c r="D2022" s="3" t="s">
        <v>2</v>
      </c>
      <c r="E2022" s="3" t="s">
        <v>3</v>
      </c>
      <c r="F2022" s="3"/>
      <c r="G2022" s="4" t="s">
        <v>4</v>
      </c>
      <c r="H2022" s="4"/>
      <c r="I2022" s="3" t="s">
        <v>5</v>
      </c>
      <c r="J2022" s="3"/>
      <c r="K2022" s="3" t="s">
        <v>273</v>
      </c>
      <c r="L2022" s="3" t="s">
        <v>272</v>
      </c>
      <c r="M2022" s="3"/>
      <c r="N2022" s="3" t="s">
        <v>130</v>
      </c>
      <c r="O2022" s="3"/>
      <c r="P2022" s="3" t="s">
        <v>268</v>
      </c>
      <c r="Q2022" s="3" t="s">
        <v>269</v>
      </c>
      <c r="R2022" s="217" t="s">
        <v>274</v>
      </c>
      <c r="S2022" s="14"/>
      <c r="T2022" s="14"/>
      <c r="U2022" s="14"/>
      <c r="V2022" s="14"/>
      <c r="W2022" s="14"/>
      <c r="X2022" s="14"/>
      <c r="Y2022" s="14"/>
      <c r="Z2022" s="14"/>
      <c r="AA2022" s="14"/>
      <c r="AB2022" s="14"/>
      <c r="AC2022" s="14"/>
      <c r="AD2022" s="14"/>
      <c r="AE2022" s="14"/>
      <c r="AF2022" s="14"/>
      <c r="AG2022" s="14"/>
      <c r="AH2022" s="14"/>
      <c r="AI2022" s="14"/>
      <c r="AJ2022" s="14"/>
      <c r="AK2022" s="14"/>
    </row>
    <row r="2023" spans="2:37" ht="14.25" thickBot="1" x14ac:dyDescent="0.3">
      <c r="B2023" s="5">
        <v>273664</v>
      </c>
      <c r="C2023" s="6">
        <v>1135749</v>
      </c>
      <c r="D2023" s="6" t="s">
        <v>7</v>
      </c>
      <c r="E2023" s="6">
        <v>6060050026</v>
      </c>
      <c r="F2023" s="6"/>
      <c r="G2023" s="7">
        <v>8</v>
      </c>
      <c r="H2023" s="7"/>
      <c r="I2023" s="7"/>
      <c r="J2023" s="7"/>
      <c r="K2023" s="7">
        <v>5</v>
      </c>
      <c r="L2023" s="7">
        <v>10</v>
      </c>
      <c r="M2023" s="7"/>
      <c r="N2023" s="7">
        <f>L2023-G2023</f>
        <v>2</v>
      </c>
      <c r="O2023" s="7"/>
      <c r="P2023" s="7">
        <f>IF((G2031-G2023)&gt;0,G2031-G2023,0)</f>
        <v>0</v>
      </c>
      <c r="Q2023" s="7">
        <f>IF((G2023-G2031)&gt;0,G2023-G2031,0)</f>
        <v>0</v>
      </c>
      <c r="R2023" s="218">
        <f>I2023-G2023</f>
        <v>-8</v>
      </c>
      <c r="S2023" s="14"/>
      <c r="T2023" s="14"/>
      <c r="U2023" s="14"/>
      <c r="V2023" s="14"/>
      <c r="W2023" s="14"/>
      <c r="X2023" s="14"/>
      <c r="Y2023" s="14"/>
      <c r="Z2023" s="14"/>
      <c r="AA2023" s="14"/>
      <c r="AB2023" s="14"/>
      <c r="AC2023" s="14"/>
      <c r="AD2023" s="14"/>
      <c r="AE2023" s="14"/>
      <c r="AF2023" s="14"/>
      <c r="AG2023" s="14"/>
      <c r="AH2023" s="14"/>
      <c r="AI2023" s="14"/>
      <c r="AJ2023" s="14"/>
      <c r="AK2023" s="14"/>
    </row>
    <row r="2024" spans="2:37" ht="14.25" thickBot="1" x14ac:dyDescent="0.3">
      <c r="B2024" s="5">
        <v>273672</v>
      </c>
      <c r="C2024" s="6">
        <v>1135750</v>
      </c>
      <c r="D2024" s="6" t="s">
        <v>9</v>
      </c>
      <c r="E2024" s="215">
        <v>204000000000</v>
      </c>
      <c r="F2024" s="215"/>
      <c r="G2024" s="7">
        <v>27</v>
      </c>
      <c r="H2024" s="7"/>
      <c r="I2024" s="7"/>
      <c r="J2024" s="7"/>
      <c r="K2024" s="7">
        <v>11</v>
      </c>
      <c r="L2024" s="7">
        <f>18+13</f>
        <v>31</v>
      </c>
      <c r="M2024" s="7"/>
      <c r="N2024" s="7">
        <f>L2024-G2024</f>
        <v>4</v>
      </c>
      <c r="O2024" s="7"/>
      <c r="P2024" s="7">
        <f>IF((G2032-G2024)&gt;0,G2032-G2024,0)</f>
        <v>0</v>
      </c>
      <c r="Q2024" s="7">
        <f>IF((G2024-G2032)&gt;0,G2024-G2032,0)</f>
        <v>0</v>
      </c>
      <c r="R2024" s="218">
        <f>I2024-G2024</f>
        <v>-27</v>
      </c>
      <c r="T2024" s="14"/>
      <c r="U2024" s="14"/>
      <c r="V2024" s="14"/>
      <c r="W2024" s="14"/>
      <c r="X2024" s="14"/>
      <c r="Y2024" s="14"/>
      <c r="Z2024" s="14"/>
      <c r="AA2024" s="14"/>
      <c r="AB2024" s="14"/>
      <c r="AC2024" s="14"/>
      <c r="AD2024" s="14"/>
      <c r="AE2024" s="14"/>
      <c r="AF2024" s="14"/>
      <c r="AG2024" s="14"/>
      <c r="AH2024" s="14"/>
      <c r="AI2024" s="14"/>
      <c r="AJ2024" s="14"/>
      <c r="AK2024" s="14"/>
    </row>
    <row r="2025" spans="2:37" ht="14.25" thickBot="1" x14ac:dyDescent="0.3">
      <c r="B2025" s="5">
        <v>273702</v>
      </c>
      <c r="C2025" s="6">
        <v>1135753</v>
      </c>
      <c r="D2025" s="6" t="s">
        <v>10</v>
      </c>
      <c r="E2025" s="215">
        <v>301000000000</v>
      </c>
      <c r="F2025" s="215"/>
      <c r="G2025" s="7">
        <v>2</v>
      </c>
      <c r="H2025" s="7"/>
      <c r="I2025" s="7"/>
      <c r="J2025" s="7"/>
      <c r="K2025" s="7">
        <v>2</v>
      </c>
      <c r="L2025" s="7">
        <v>0</v>
      </c>
      <c r="M2025" s="7"/>
      <c r="N2025" s="7">
        <f>L2025-G2025</f>
        <v>-2</v>
      </c>
      <c r="O2025" s="7"/>
      <c r="P2025" s="7">
        <f>IF((G2033-G2025)&gt;0,G2033-G2025,0)</f>
        <v>0</v>
      </c>
      <c r="Q2025" s="7">
        <f>IF((G2025-G2033)&gt;0,G2025-G2033,0)</f>
        <v>2</v>
      </c>
      <c r="R2025" s="218">
        <f>I2025-G2025</f>
        <v>-2</v>
      </c>
      <c r="T2025" s="14"/>
      <c r="U2025" s="14"/>
      <c r="V2025" s="14"/>
      <c r="W2025" s="14"/>
      <c r="X2025" s="14"/>
      <c r="Y2025" s="14"/>
      <c r="Z2025" s="14"/>
      <c r="AA2025" s="14"/>
      <c r="AB2025" s="14"/>
      <c r="AC2025" s="14"/>
      <c r="AD2025" s="14"/>
      <c r="AE2025" s="14"/>
      <c r="AF2025" s="14"/>
      <c r="AG2025" s="14"/>
      <c r="AH2025" s="14"/>
      <c r="AI2025" s="14"/>
      <c r="AJ2025" s="14"/>
      <c r="AK2025" s="14"/>
    </row>
    <row r="2026" spans="2:37" ht="14.25" thickBot="1" x14ac:dyDescent="0.3">
      <c r="B2026" s="5">
        <v>273698</v>
      </c>
      <c r="C2026" s="6">
        <v>1135752</v>
      </c>
      <c r="D2026" s="6" t="s">
        <v>11</v>
      </c>
      <c r="E2026" s="215">
        <v>701000000000</v>
      </c>
      <c r="F2026" s="215"/>
      <c r="G2026" s="7">
        <v>3</v>
      </c>
      <c r="H2026" s="7"/>
      <c r="I2026" s="7"/>
      <c r="J2026" s="7"/>
      <c r="K2026" s="7">
        <v>2</v>
      </c>
      <c r="L2026" s="7">
        <v>8</v>
      </c>
      <c r="M2026" s="7"/>
      <c r="N2026" s="7">
        <f>L2026-G2026</f>
        <v>5</v>
      </c>
      <c r="O2026" s="7"/>
      <c r="P2026" s="7">
        <f>IF((G2034-G2026)&gt;0,G2034-G2026,0)</f>
        <v>4</v>
      </c>
      <c r="Q2026" s="7">
        <f>IF((G2026-G2034)&gt;0,G2026-G2034,0)</f>
        <v>0</v>
      </c>
      <c r="R2026" s="218">
        <f>I2026-G2026</f>
        <v>-3</v>
      </c>
      <c r="T2026" s="14"/>
      <c r="U2026" s="14"/>
      <c r="V2026" s="14"/>
      <c r="W2026" s="14"/>
      <c r="X2026" s="14"/>
      <c r="Y2026" s="14"/>
      <c r="Z2026" s="14"/>
      <c r="AA2026" s="14"/>
      <c r="AB2026" s="14"/>
      <c r="AC2026" s="14"/>
      <c r="AD2026" s="14"/>
      <c r="AE2026" s="14"/>
      <c r="AF2026" s="14"/>
      <c r="AG2026" s="14"/>
      <c r="AH2026" s="14"/>
      <c r="AI2026" s="14"/>
      <c r="AJ2026" s="14"/>
      <c r="AK2026" s="14"/>
    </row>
    <row r="2027" spans="2:37" ht="14.25" thickBot="1" x14ac:dyDescent="0.3">
      <c r="B2027" s="5">
        <v>273680</v>
      </c>
      <c r="C2027" s="6">
        <v>1135751</v>
      </c>
      <c r="D2027" s="6" t="s">
        <v>12</v>
      </c>
      <c r="E2027" s="6" t="s">
        <v>13</v>
      </c>
      <c r="F2027" s="6"/>
      <c r="G2027" s="7">
        <v>11</v>
      </c>
      <c r="H2027" s="7"/>
      <c r="I2027" s="7"/>
      <c r="J2027" s="7"/>
      <c r="K2027" s="7">
        <v>10</v>
      </c>
      <c r="L2027" s="7">
        <v>17</v>
      </c>
      <c r="M2027" s="7"/>
      <c r="N2027" s="7">
        <f>L2027-G2027</f>
        <v>6</v>
      </c>
      <c r="O2027" s="7"/>
      <c r="P2027" s="7">
        <f>IF((G2035-G2027)&gt;0,G2035-G2027,0)</f>
        <v>0</v>
      </c>
      <c r="Q2027" s="7">
        <f>IF((G2027-G2035)&gt;0,G2027-G2035,0)</f>
        <v>0</v>
      </c>
      <c r="R2027" s="218">
        <f>I2027-G2027</f>
        <v>-11</v>
      </c>
      <c r="T2027" s="14"/>
      <c r="U2027" s="14"/>
      <c r="V2027" s="14"/>
      <c r="W2027" s="14"/>
      <c r="X2027" s="14"/>
      <c r="Y2027" s="14"/>
      <c r="Z2027" s="14"/>
      <c r="AA2027" s="14"/>
      <c r="AB2027" s="14"/>
      <c r="AC2027" s="14"/>
      <c r="AD2027" s="14"/>
      <c r="AE2027" s="14"/>
      <c r="AF2027" s="14"/>
      <c r="AG2027" s="14"/>
      <c r="AH2027" s="14"/>
      <c r="AI2027" s="14"/>
      <c r="AJ2027" s="14"/>
      <c r="AK2027" s="14"/>
    </row>
    <row r="2029" spans="2:37" ht="14.25" thickBot="1" x14ac:dyDescent="0.3">
      <c r="B2029" s="338" t="s">
        <v>18</v>
      </c>
      <c r="C2029" s="339">
        <v>45257</v>
      </c>
      <c r="T2029" s="14"/>
      <c r="U2029" s="14"/>
      <c r="V2029" s="14"/>
      <c r="W2029" s="14"/>
      <c r="X2029" s="14"/>
      <c r="Y2029" s="14"/>
      <c r="Z2029" s="14"/>
      <c r="AA2029" s="14"/>
      <c r="AB2029" s="14"/>
      <c r="AC2029" s="14"/>
      <c r="AD2029" s="14"/>
      <c r="AE2029" s="14"/>
      <c r="AF2029" s="14"/>
      <c r="AG2029" s="14"/>
      <c r="AH2029" s="14"/>
      <c r="AI2029" s="14"/>
      <c r="AJ2029" s="14"/>
      <c r="AK2029" s="14"/>
    </row>
    <row r="2030" spans="2:37" ht="14.25" thickBot="1" x14ac:dyDescent="0.3">
      <c r="B2030" s="2" t="s">
        <v>0</v>
      </c>
      <c r="C2030" s="3" t="s">
        <v>1</v>
      </c>
      <c r="D2030" s="3" t="s">
        <v>2</v>
      </c>
      <c r="E2030" s="3" t="s">
        <v>3</v>
      </c>
      <c r="F2030" s="3"/>
      <c r="G2030" s="4" t="s">
        <v>4</v>
      </c>
      <c r="H2030" s="4"/>
      <c r="I2030" s="3" t="s">
        <v>5</v>
      </c>
      <c r="J2030" s="3"/>
      <c r="K2030" s="3" t="s">
        <v>273</v>
      </c>
      <c r="L2030" s="3" t="s">
        <v>272</v>
      </c>
      <c r="M2030" s="3"/>
      <c r="N2030" s="3" t="s">
        <v>130</v>
      </c>
      <c r="O2030" s="3"/>
      <c r="P2030" s="3" t="s">
        <v>268</v>
      </c>
      <c r="Q2030" s="3" t="s">
        <v>269</v>
      </c>
      <c r="R2030" s="217" t="s">
        <v>274</v>
      </c>
      <c r="T2030" s="14"/>
      <c r="U2030" s="14"/>
      <c r="V2030" s="14"/>
      <c r="W2030" s="14"/>
      <c r="X2030" s="14"/>
      <c r="Y2030" s="14"/>
      <c r="Z2030" s="14"/>
      <c r="AA2030" s="14"/>
      <c r="AB2030" s="14"/>
      <c r="AC2030" s="14"/>
      <c r="AD2030" s="14"/>
      <c r="AE2030" s="14"/>
      <c r="AF2030" s="14"/>
      <c r="AG2030" s="14"/>
      <c r="AH2030" s="14"/>
      <c r="AI2030" s="14"/>
      <c r="AJ2030" s="14"/>
      <c r="AK2030" s="14"/>
    </row>
    <row r="2031" spans="2:37" ht="14.25" thickBot="1" x14ac:dyDescent="0.3">
      <c r="B2031" s="5">
        <v>273664</v>
      </c>
      <c r="C2031" s="6">
        <v>1135749</v>
      </c>
      <c r="D2031" s="6" t="s">
        <v>7</v>
      </c>
      <c r="E2031" s="6">
        <v>6060050026</v>
      </c>
      <c r="F2031" s="6"/>
      <c r="G2031" s="7">
        <v>8</v>
      </c>
      <c r="H2031" s="7"/>
      <c r="I2031" s="7"/>
      <c r="J2031" s="7"/>
      <c r="K2031" s="7">
        <v>5</v>
      </c>
      <c r="L2031" s="7">
        <v>10</v>
      </c>
      <c r="M2031" s="7"/>
      <c r="N2031" s="7">
        <f>L2031-G2031</f>
        <v>2</v>
      </c>
      <c r="O2031" s="7"/>
      <c r="P2031" s="7">
        <f>IF((G2039-G2031)&gt;0,G2039-G2031,0)</f>
        <v>0</v>
      </c>
      <c r="Q2031" s="7">
        <f>IF((G2031-G2039)&gt;0,G2031-G2039,0)</f>
        <v>0</v>
      </c>
      <c r="R2031" s="218">
        <f>I2031-G2031</f>
        <v>-8</v>
      </c>
      <c r="T2031" s="14"/>
      <c r="U2031" s="14"/>
      <c r="V2031" s="14"/>
      <c r="W2031" s="14"/>
      <c r="X2031" s="14"/>
      <c r="Y2031" s="14"/>
      <c r="Z2031" s="14"/>
      <c r="AA2031" s="14"/>
      <c r="AB2031" s="14"/>
      <c r="AC2031" s="14"/>
      <c r="AD2031" s="14"/>
      <c r="AE2031" s="14"/>
      <c r="AF2031" s="14"/>
      <c r="AG2031" s="14"/>
      <c r="AH2031" s="14"/>
      <c r="AI2031" s="14"/>
      <c r="AJ2031" s="14"/>
      <c r="AK2031" s="14"/>
    </row>
    <row r="2032" spans="2:37" ht="14.25" thickBot="1" x14ac:dyDescent="0.3">
      <c r="B2032" s="5">
        <v>273672</v>
      </c>
      <c r="C2032" s="6">
        <v>1135750</v>
      </c>
      <c r="D2032" s="6" t="s">
        <v>9</v>
      </c>
      <c r="E2032" s="215">
        <v>204000000000</v>
      </c>
      <c r="F2032" s="215"/>
      <c r="G2032" s="7">
        <v>27</v>
      </c>
      <c r="H2032" s="7"/>
      <c r="I2032" s="7"/>
      <c r="J2032" s="7"/>
      <c r="K2032" s="7">
        <v>11</v>
      </c>
      <c r="L2032" s="7">
        <f>18+13</f>
        <v>31</v>
      </c>
      <c r="M2032" s="7"/>
      <c r="N2032" s="7">
        <f>L2032-G2032</f>
        <v>4</v>
      </c>
      <c r="O2032" s="7"/>
      <c r="P2032" s="7">
        <f>IF((G2040-G2032)&gt;0,G2040-G2032,0)</f>
        <v>0</v>
      </c>
      <c r="Q2032" s="7">
        <f>IF((G2032-G2040)&gt;0,G2032-G2040,0)</f>
        <v>0</v>
      </c>
      <c r="R2032" s="218">
        <f>I2032-G2032</f>
        <v>-27</v>
      </c>
      <c r="T2032" s="14"/>
      <c r="U2032" s="14"/>
      <c r="V2032" s="14"/>
      <c r="W2032" s="14"/>
      <c r="X2032" s="14"/>
      <c r="Y2032" s="14"/>
      <c r="Z2032" s="14"/>
      <c r="AA2032" s="14"/>
      <c r="AB2032" s="14"/>
      <c r="AC2032" s="14"/>
      <c r="AD2032" s="14"/>
      <c r="AE2032" s="14"/>
      <c r="AF2032" s="14"/>
      <c r="AG2032" s="14"/>
      <c r="AH2032" s="14"/>
      <c r="AI2032" s="14"/>
      <c r="AJ2032" s="14"/>
      <c r="AK2032" s="14"/>
    </row>
    <row r="2033" spans="2:37" ht="14.25" thickBot="1" x14ac:dyDescent="0.3">
      <c r="B2033" s="5">
        <v>273702</v>
      </c>
      <c r="C2033" s="6">
        <v>1135753</v>
      </c>
      <c r="D2033" s="6" t="s">
        <v>10</v>
      </c>
      <c r="E2033" s="215">
        <v>301000000000</v>
      </c>
      <c r="F2033" s="215"/>
      <c r="G2033" s="7">
        <v>0</v>
      </c>
      <c r="H2033" s="7"/>
      <c r="I2033" s="7"/>
      <c r="J2033" s="7"/>
      <c r="K2033" s="7">
        <v>2</v>
      </c>
      <c r="L2033" s="7">
        <v>0</v>
      </c>
      <c r="M2033" s="7"/>
      <c r="N2033" s="7">
        <f>L2033-G2033</f>
        <v>0</v>
      </c>
      <c r="O2033" s="7"/>
      <c r="P2033" s="7">
        <f>IF((G2041-G2033)&gt;0,G2041-G2033,0)</f>
        <v>0</v>
      </c>
      <c r="Q2033" s="7">
        <f>IF((G2033-G2041)&gt;0,G2033-G2041,0)</f>
        <v>0</v>
      </c>
      <c r="R2033" s="218">
        <f>I2033-G2033</f>
        <v>0</v>
      </c>
      <c r="S2033" s="290" t="s">
        <v>271</v>
      </c>
      <c r="T2033" s="14"/>
      <c r="U2033" s="14"/>
      <c r="V2033" s="14"/>
      <c r="W2033" s="14"/>
      <c r="X2033" s="14"/>
      <c r="Y2033" s="14"/>
      <c r="Z2033" s="14"/>
      <c r="AA2033" s="14"/>
      <c r="AB2033" s="14"/>
      <c r="AC2033" s="14"/>
      <c r="AD2033" s="14"/>
      <c r="AE2033" s="14"/>
      <c r="AF2033" s="14"/>
      <c r="AG2033" s="14"/>
      <c r="AH2033" s="14"/>
      <c r="AI2033" s="14"/>
      <c r="AJ2033" s="14"/>
      <c r="AK2033" s="14"/>
    </row>
    <row r="2034" spans="2:37" ht="14.25" thickBot="1" x14ac:dyDescent="0.3">
      <c r="B2034" s="5">
        <v>273698</v>
      </c>
      <c r="C2034" s="6">
        <v>1135752</v>
      </c>
      <c r="D2034" s="6" t="s">
        <v>11</v>
      </c>
      <c r="E2034" s="215">
        <v>701000000000</v>
      </c>
      <c r="F2034" s="215"/>
      <c r="G2034" s="7">
        <v>7</v>
      </c>
      <c r="H2034" s="7"/>
      <c r="I2034" s="7"/>
      <c r="J2034" s="7"/>
      <c r="K2034" s="7">
        <v>2</v>
      </c>
      <c r="L2034" s="7">
        <v>8</v>
      </c>
      <c r="M2034" s="7"/>
      <c r="N2034" s="7">
        <f>L2034-G2034</f>
        <v>1</v>
      </c>
      <c r="O2034" s="7"/>
      <c r="P2034" s="7">
        <f>IF((G2042-G2034)&gt;0,G2042-G2034,0)</f>
        <v>0</v>
      </c>
      <c r="Q2034" s="7">
        <f>IF((G2034-G2042)&gt;0,G2034-G2042,0)</f>
        <v>0</v>
      </c>
      <c r="R2034" s="218">
        <f>I2034-G2034</f>
        <v>-7</v>
      </c>
      <c r="T2034" s="14"/>
      <c r="U2034" s="14"/>
      <c r="V2034" s="14"/>
      <c r="W2034" s="14"/>
      <c r="X2034" s="14"/>
      <c r="Y2034" s="14"/>
      <c r="Z2034" s="14"/>
      <c r="AA2034" s="14"/>
      <c r="AB2034" s="14"/>
      <c r="AC2034" s="14"/>
      <c r="AD2034" s="14"/>
      <c r="AE2034" s="14"/>
      <c r="AF2034" s="14"/>
      <c r="AG2034" s="14"/>
      <c r="AH2034" s="14"/>
      <c r="AI2034" s="14"/>
      <c r="AJ2034" s="14"/>
      <c r="AK2034" s="14"/>
    </row>
    <row r="2035" spans="2:37" ht="14.25" thickBot="1" x14ac:dyDescent="0.3">
      <c r="B2035" s="5">
        <v>273680</v>
      </c>
      <c r="C2035" s="6">
        <v>1135751</v>
      </c>
      <c r="D2035" s="6" t="s">
        <v>12</v>
      </c>
      <c r="E2035" s="6" t="s">
        <v>13</v>
      </c>
      <c r="F2035" s="6"/>
      <c r="G2035" s="7">
        <v>11</v>
      </c>
      <c r="H2035" s="7"/>
      <c r="I2035" s="7"/>
      <c r="J2035" s="7"/>
      <c r="K2035" s="7">
        <v>10</v>
      </c>
      <c r="L2035" s="7">
        <v>17</v>
      </c>
      <c r="M2035" s="7"/>
      <c r="N2035" s="7">
        <f>L2035-G2035</f>
        <v>6</v>
      </c>
      <c r="O2035" s="7"/>
      <c r="P2035" s="7">
        <f>IF((G2043-G2035)&gt;0,G2043-G2035,0)</f>
        <v>0</v>
      </c>
      <c r="Q2035" s="7">
        <f>IF((G2035-G2043)&gt;0,G2035-G2043,0)</f>
        <v>0</v>
      </c>
      <c r="R2035" s="218">
        <f>I2035-G2035</f>
        <v>-11</v>
      </c>
      <c r="T2035" s="14"/>
      <c r="U2035" s="14"/>
      <c r="V2035" s="14"/>
      <c r="W2035" s="14"/>
      <c r="X2035" s="14"/>
      <c r="Y2035" s="14"/>
      <c r="Z2035" s="14"/>
      <c r="AA2035" s="14"/>
      <c r="AB2035" s="14"/>
      <c r="AC2035" s="14"/>
      <c r="AD2035" s="14"/>
      <c r="AE2035" s="14"/>
      <c r="AF2035" s="14"/>
      <c r="AG2035" s="14"/>
      <c r="AH2035" s="14"/>
      <c r="AI2035" s="14"/>
      <c r="AJ2035" s="14"/>
      <c r="AK2035" s="14"/>
    </row>
    <row r="2037" spans="2:37" ht="14.25" thickBot="1" x14ac:dyDescent="0.3">
      <c r="B2037" s="338" t="s">
        <v>18</v>
      </c>
      <c r="C2037" s="339">
        <v>45250</v>
      </c>
      <c r="T2037" s="14"/>
      <c r="U2037" s="14"/>
      <c r="V2037" s="14"/>
      <c r="W2037" s="14"/>
      <c r="X2037" s="14"/>
      <c r="Y2037" s="14"/>
      <c r="Z2037" s="14"/>
      <c r="AA2037" s="14"/>
      <c r="AB2037" s="14"/>
      <c r="AC2037" s="14"/>
      <c r="AD2037" s="14"/>
      <c r="AE2037" s="14"/>
      <c r="AF2037" s="14"/>
      <c r="AG2037" s="14"/>
      <c r="AH2037" s="14"/>
      <c r="AI2037" s="14"/>
      <c r="AJ2037" s="14"/>
      <c r="AK2037" s="14"/>
    </row>
    <row r="2038" spans="2:37" ht="14.25" thickBot="1" x14ac:dyDescent="0.3">
      <c r="B2038" s="2" t="s">
        <v>0</v>
      </c>
      <c r="C2038" s="3" t="s">
        <v>1</v>
      </c>
      <c r="D2038" s="3" t="s">
        <v>2</v>
      </c>
      <c r="E2038" s="3" t="s">
        <v>3</v>
      </c>
      <c r="F2038" s="3"/>
      <c r="G2038" s="4" t="s">
        <v>4</v>
      </c>
      <c r="H2038" s="4"/>
      <c r="I2038" s="3" t="s">
        <v>277</v>
      </c>
      <c r="J2038" s="3"/>
      <c r="K2038" s="3" t="s">
        <v>273</v>
      </c>
      <c r="L2038" s="3" t="s">
        <v>272</v>
      </c>
      <c r="M2038" s="3"/>
      <c r="N2038" s="3" t="s">
        <v>130</v>
      </c>
      <c r="O2038" s="3"/>
      <c r="P2038" s="3" t="s">
        <v>268</v>
      </c>
      <c r="Q2038" s="3" t="s">
        <v>269</v>
      </c>
      <c r="R2038" s="217" t="s">
        <v>274</v>
      </c>
      <c r="T2038" s="14"/>
      <c r="U2038" s="14"/>
      <c r="V2038" s="14"/>
      <c r="W2038" s="14"/>
      <c r="X2038" s="14"/>
      <c r="Y2038" s="14"/>
      <c r="Z2038" s="14"/>
      <c r="AA2038" s="14"/>
      <c r="AB2038" s="14"/>
      <c r="AC2038" s="14"/>
      <c r="AD2038" s="14"/>
      <c r="AE2038" s="14"/>
      <c r="AF2038" s="14"/>
      <c r="AG2038" s="14"/>
      <c r="AH2038" s="14"/>
      <c r="AI2038" s="14"/>
      <c r="AJ2038" s="14"/>
      <c r="AK2038" s="14"/>
    </row>
    <row r="2039" spans="2:37" ht="14.25" thickBot="1" x14ac:dyDescent="0.3">
      <c r="B2039" s="5">
        <v>273664</v>
      </c>
      <c r="C2039" s="6">
        <v>1135749</v>
      </c>
      <c r="D2039" s="6" t="s">
        <v>7</v>
      </c>
      <c r="E2039" s="6">
        <v>6060050026</v>
      </c>
      <c r="F2039" s="6"/>
      <c r="G2039" s="7">
        <v>8</v>
      </c>
      <c r="H2039" s="7"/>
      <c r="I2039" s="7"/>
      <c r="J2039" s="7"/>
      <c r="K2039" s="7">
        <v>5</v>
      </c>
      <c r="L2039" s="7">
        <v>10</v>
      </c>
      <c r="M2039" s="7"/>
      <c r="N2039" s="7">
        <f>L2039-G2039</f>
        <v>2</v>
      </c>
      <c r="O2039" s="7"/>
      <c r="P2039" s="7">
        <f>IF((G2047-G2039)&gt;0,G2047-G2039,0)</f>
        <v>0</v>
      </c>
      <c r="Q2039" s="7">
        <f>IF((G2039-G2047)&gt;0,G2039-G2047,0)</f>
        <v>0</v>
      </c>
      <c r="R2039" s="218">
        <f>I2039-G2039</f>
        <v>-8</v>
      </c>
      <c r="T2039" s="14"/>
      <c r="U2039" s="14"/>
      <c r="V2039" s="14"/>
      <c r="W2039" s="14"/>
      <c r="X2039" s="14"/>
      <c r="Y2039" s="14"/>
      <c r="Z2039" s="14"/>
      <c r="AA2039" s="14"/>
      <c r="AB2039" s="14"/>
      <c r="AC2039" s="14"/>
      <c r="AD2039" s="14"/>
      <c r="AE2039" s="14"/>
      <c r="AF2039" s="14"/>
      <c r="AG2039" s="14"/>
      <c r="AH2039" s="14"/>
      <c r="AI2039" s="14"/>
      <c r="AJ2039" s="14"/>
      <c r="AK2039" s="14"/>
    </row>
    <row r="2040" spans="2:37" ht="14.25" thickBot="1" x14ac:dyDescent="0.3">
      <c r="B2040" s="5">
        <v>273672</v>
      </c>
      <c r="C2040" s="6">
        <v>1135750</v>
      </c>
      <c r="D2040" s="6" t="s">
        <v>9</v>
      </c>
      <c r="E2040" s="215">
        <v>204000000000</v>
      </c>
      <c r="F2040" s="215"/>
      <c r="G2040" s="7">
        <v>27</v>
      </c>
      <c r="H2040" s="7"/>
      <c r="I2040" s="7"/>
      <c r="J2040" s="7"/>
      <c r="K2040" s="7">
        <v>11</v>
      </c>
      <c r="L2040" s="7">
        <f>18+13</f>
        <v>31</v>
      </c>
      <c r="M2040" s="7"/>
      <c r="N2040" s="7">
        <f>L2040-G2040</f>
        <v>4</v>
      </c>
      <c r="O2040" s="7"/>
      <c r="P2040" s="7">
        <f>IF((G2048-G2040)&gt;0,G2048-G2040,0)</f>
        <v>0</v>
      </c>
      <c r="Q2040" s="7">
        <f>IF((G2040-G2048)&gt;0,G2040-G2048,0)</f>
        <v>0</v>
      </c>
      <c r="R2040" s="218">
        <f>I2040-G2040</f>
        <v>-27</v>
      </c>
      <c r="S2040" s="14"/>
      <c r="T2040" s="14"/>
      <c r="U2040" s="14"/>
      <c r="V2040" s="14"/>
      <c r="W2040" s="14"/>
      <c r="X2040" s="14"/>
      <c r="Y2040" s="14"/>
      <c r="Z2040" s="14"/>
      <c r="AA2040" s="14"/>
      <c r="AB2040" s="14"/>
      <c r="AC2040" s="14"/>
      <c r="AD2040" s="14"/>
      <c r="AE2040" s="14"/>
      <c r="AF2040" s="14"/>
      <c r="AG2040" s="14"/>
      <c r="AH2040" s="14"/>
      <c r="AI2040" s="14"/>
      <c r="AJ2040" s="14"/>
      <c r="AK2040" s="14"/>
    </row>
    <row r="2041" spans="2:37" ht="14.25" thickBot="1" x14ac:dyDescent="0.3">
      <c r="B2041" s="5">
        <v>273702</v>
      </c>
      <c r="C2041" s="6">
        <v>1135753</v>
      </c>
      <c r="D2041" s="6" t="s">
        <v>10</v>
      </c>
      <c r="E2041" s="215">
        <v>301000000000</v>
      </c>
      <c r="F2041" s="215"/>
      <c r="G2041" s="7">
        <v>0</v>
      </c>
      <c r="H2041" s="7"/>
      <c r="I2041" s="7"/>
      <c r="J2041" s="7"/>
      <c r="K2041" s="7">
        <v>2</v>
      </c>
      <c r="L2041" s="7">
        <v>0</v>
      </c>
      <c r="M2041" s="7"/>
      <c r="N2041" s="7">
        <f>L2041-G2041</f>
        <v>0</v>
      </c>
      <c r="O2041" s="7"/>
      <c r="P2041" s="7">
        <f>IF((G2049-G2041)&gt;0,G2049-G2041,0)</f>
        <v>0</v>
      </c>
      <c r="Q2041" s="7">
        <f>IF((G2041-G2049)&gt;0,G2041-G2049,0)</f>
        <v>0</v>
      </c>
      <c r="R2041" s="218">
        <f>I2041-G2041</f>
        <v>0</v>
      </c>
      <c r="S2041" s="14"/>
      <c r="T2041" s="14"/>
      <c r="U2041" s="14"/>
      <c r="V2041" s="14"/>
      <c r="W2041" s="14"/>
      <c r="X2041" s="14"/>
      <c r="Y2041" s="14"/>
      <c r="Z2041" s="14"/>
      <c r="AA2041" s="14"/>
      <c r="AB2041" s="14"/>
      <c r="AC2041" s="14"/>
      <c r="AD2041" s="14"/>
      <c r="AE2041" s="14"/>
      <c r="AF2041" s="14"/>
      <c r="AG2041" s="14"/>
      <c r="AH2041" s="14"/>
      <c r="AI2041" s="14"/>
      <c r="AJ2041" s="14"/>
      <c r="AK2041" s="14"/>
    </row>
    <row r="2042" spans="2:37" ht="14.25" thickBot="1" x14ac:dyDescent="0.3">
      <c r="B2042" s="5">
        <v>273698</v>
      </c>
      <c r="C2042" s="6">
        <v>1135752</v>
      </c>
      <c r="D2042" s="6" t="s">
        <v>11</v>
      </c>
      <c r="E2042" s="215">
        <v>701000000000</v>
      </c>
      <c r="F2042" s="215"/>
      <c r="G2042" s="7">
        <v>7</v>
      </c>
      <c r="H2042" s="7"/>
      <c r="I2042" s="7"/>
      <c r="J2042" s="7"/>
      <c r="K2042" s="7">
        <v>2</v>
      </c>
      <c r="L2042" s="7">
        <v>8</v>
      </c>
      <c r="M2042" s="7"/>
      <c r="N2042" s="7">
        <f>L2042-G2042</f>
        <v>1</v>
      </c>
      <c r="O2042" s="7"/>
      <c r="P2042" s="7">
        <f>IF((G2050-G2042)&gt;0,G2050-G2042,0)</f>
        <v>0</v>
      </c>
      <c r="Q2042" s="7">
        <f>IF((G2042-G2050)&gt;0,G2042-G2050,0)</f>
        <v>0</v>
      </c>
      <c r="R2042" s="218">
        <f>I2042-G2042</f>
        <v>-7</v>
      </c>
      <c r="S2042" s="14"/>
      <c r="T2042" s="14"/>
      <c r="U2042" s="14"/>
      <c r="V2042" s="14"/>
      <c r="W2042" s="14"/>
      <c r="X2042" s="14"/>
      <c r="Y2042" s="14"/>
      <c r="Z2042" s="14"/>
      <c r="AA2042" s="14"/>
      <c r="AB2042" s="14"/>
      <c r="AC2042" s="14"/>
      <c r="AD2042" s="14"/>
      <c r="AE2042" s="14"/>
      <c r="AF2042" s="14"/>
      <c r="AG2042" s="14"/>
      <c r="AH2042" s="14"/>
      <c r="AI2042" s="14"/>
      <c r="AJ2042" s="14"/>
      <c r="AK2042" s="14"/>
    </row>
    <row r="2043" spans="2:37" ht="14.25" thickBot="1" x14ac:dyDescent="0.3">
      <c r="B2043" s="5">
        <v>273680</v>
      </c>
      <c r="C2043" s="6">
        <v>1135751</v>
      </c>
      <c r="D2043" s="6" t="s">
        <v>12</v>
      </c>
      <c r="E2043" s="6" t="s">
        <v>13</v>
      </c>
      <c r="F2043" s="6"/>
      <c r="G2043" s="7">
        <v>11</v>
      </c>
      <c r="H2043" s="7"/>
      <c r="I2043" s="7"/>
      <c r="J2043" s="7"/>
      <c r="K2043" s="7">
        <v>10</v>
      </c>
      <c r="L2043" s="7">
        <v>17</v>
      </c>
      <c r="M2043" s="7"/>
      <c r="N2043" s="7">
        <f>L2043-G2043</f>
        <v>6</v>
      </c>
      <c r="O2043" s="7"/>
      <c r="P2043" s="7">
        <f>IF((G2051-G2043)&gt;0,G2051-G2043,0)</f>
        <v>0</v>
      </c>
      <c r="Q2043" s="7">
        <f>IF((G2043-G2051)&gt;0,G2043-G2051,0)</f>
        <v>0</v>
      </c>
      <c r="R2043" s="218">
        <f>I2043-G2043</f>
        <v>-11</v>
      </c>
      <c r="S2043" s="14"/>
      <c r="T2043" s="14"/>
      <c r="U2043" s="14"/>
      <c r="V2043" s="14"/>
      <c r="W2043" s="14"/>
      <c r="X2043" s="14"/>
      <c r="Y2043" s="14"/>
      <c r="Z2043" s="14"/>
      <c r="AA2043" s="14"/>
      <c r="AB2043" s="14"/>
      <c r="AC2043" s="14"/>
      <c r="AD2043" s="14"/>
      <c r="AE2043" s="14"/>
      <c r="AF2043" s="14"/>
      <c r="AG2043" s="14"/>
      <c r="AH2043" s="14"/>
      <c r="AI2043" s="14"/>
      <c r="AJ2043" s="14"/>
      <c r="AK2043" s="14"/>
    </row>
    <row r="2045" spans="2:37" ht="14.25" thickBot="1" x14ac:dyDescent="0.3">
      <c r="B2045" s="338" t="s">
        <v>18</v>
      </c>
      <c r="C2045" s="339">
        <v>45243</v>
      </c>
      <c r="G2045" s="340"/>
      <c r="H2045" s="340"/>
      <c r="I2045" s="340"/>
      <c r="J2045" s="340"/>
      <c r="S2045" s="14"/>
      <c r="T2045" s="14"/>
      <c r="U2045" s="14"/>
      <c r="V2045" s="14"/>
      <c r="W2045" s="14"/>
      <c r="X2045" s="14"/>
      <c r="Y2045" s="14"/>
      <c r="Z2045" s="14"/>
      <c r="AA2045" s="14"/>
      <c r="AB2045" s="14"/>
      <c r="AC2045" s="14"/>
      <c r="AD2045" s="14"/>
      <c r="AE2045" s="14"/>
      <c r="AF2045" s="14"/>
      <c r="AG2045" s="14"/>
      <c r="AH2045" s="14"/>
      <c r="AI2045" s="14"/>
      <c r="AJ2045" s="14"/>
      <c r="AK2045" s="14"/>
    </row>
    <row r="2046" spans="2:37" ht="14.25" thickBot="1" x14ac:dyDescent="0.3">
      <c r="B2046" s="2" t="s">
        <v>0</v>
      </c>
      <c r="C2046" s="3" t="s">
        <v>1</v>
      </c>
      <c r="D2046" s="3" t="s">
        <v>2</v>
      </c>
      <c r="E2046" s="3" t="s">
        <v>3</v>
      </c>
      <c r="F2046" s="3"/>
      <c r="G2046" s="4" t="s">
        <v>4</v>
      </c>
      <c r="H2046" s="4"/>
      <c r="I2046" s="3" t="s">
        <v>277</v>
      </c>
      <c r="J2046" s="3"/>
      <c r="K2046" s="3" t="s">
        <v>273</v>
      </c>
      <c r="L2046" s="3" t="s">
        <v>272</v>
      </c>
      <c r="M2046" s="3"/>
      <c r="N2046" s="3" t="s">
        <v>130</v>
      </c>
      <c r="O2046" s="3"/>
      <c r="P2046" s="3" t="s">
        <v>268</v>
      </c>
      <c r="Q2046" s="3" t="s">
        <v>269</v>
      </c>
      <c r="R2046" s="217" t="s">
        <v>274</v>
      </c>
      <c r="S2046" s="14"/>
      <c r="T2046" s="14"/>
      <c r="U2046" s="14"/>
      <c r="V2046" s="14"/>
      <c r="W2046" s="14"/>
      <c r="X2046" s="14"/>
      <c r="Y2046" s="14"/>
      <c r="Z2046" s="14"/>
      <c r="AA2046" s="14"/>
      <c r="AB2046" s="14"/>
      <c r="AC2046" s="14"/>
      <c r="AD2046" s="14"/>
      <c r="AE2046" s="14"/>
      <c r="AF2046" s="14"/>
      <c r="AG2046" s="14"/>
      <c r="AH2046" s="14"/>
      <c r="AI2046" s="14"/>
      <c r="AJ2046" s="14"/>
      <c r="AK2046" s="14"/>
    </row>
    <row r="2047" spans="2:37" ht="14.25" thickBot="1" x14ac:dyDescent="0.3">
      <c r="B2047" s="5">
        <v>273664</v>
      </c>
      <c r="C2047" s="6">
        <v>1135749</v>
      </c>
      <c r="D2047" s="6" t="s">
        <v>7</v>
      </c>
      <c r="E2047" s="6">
        <v>6060050026</v>
      </c>
      <c r="F2047" s="6"/>
      <c r="G2047" s="7">
        <v>8</v>
      </c>
      <c r="H2047" s="7"/>
      <c r="I2047" s="7">
        <v>6</v>
      </c>
      <c r="J2047" s="7"/>
      <c r="K2047" s="7">
        <v>5</v>
      </c>
      <c r="L2047" s="7">
        <v>10</v>
      </c>
      <c r="M2047" s="7"/>
      <c r="N2047" s="7">
        <f>L2047-G2047</f>
        <v>2</v>
      </c>
      <c r="O2047" s="7"/>
      <c r="P2047" s="7">
        <f>IF((G2055-G2047)&gt;0,G2055-G2047,0)</f>
        <v>0</v>
      </c>
      <c r="Q2047" s="7">
        <f>IF((G2047-G2055)&gt;0,G2047-G2055,0)</f>
        <v>0</v>
      </c>
      <c r="R2047" s="218">
        <f>I2047-G2047</f>
        <v>-2</v>
      </c>
      <c r="S2047" s="14"/>
      <c r="T2047" s="14"/>
      <c r="U2047" s="14"/>
      <c r="V2047" s="14"/>
      <c r="W2047" s="14"/>
      <c r="X2047" s="14"/>
      <c r="Y2047" s="14"/>
      <c r="Z2047" s="14"/>
      <c r="AA2047" s="14"/>
      <c r="AB2047" s="14"/>
      <c r="AC2047" s="14"/>
      <c r="AD2047" s="14"/>
      <c r="AE2047" s="14"/>
      <c r="AF2047" s="14"/>
      <c r="AG2047" s="14"/>
      <c r="AH2047" s="14"/>
      <c r="AI2047" s="14"/>
      <c r="AJ2047" s="14"/>
      <c r="AK2047" s="14"/>
    </row>
    <row r="2048" spans="2:37" ht="14.25" thickBot="1" x14ac:dyDescent="0.3">
      <c r="B2048" s="5">
        <v>273672</v>
      </c>
      <c r="C2048" s="6">
        <v>1135750</v>
      </c>
      <c r="D2048" s="6" t="s">
        <v>9</v>
      </c>
      <c r="E2048" s="215">
        <v>204000000000</v>
      </c>
      <c r="F2048" s="215"/>
      <c r="G2048" s="7">
        <v>27</v>
      </c>
      <c r="H2048" s="7"/>
      <c r="I2048" s="7">
        <v>20</v>
      </c>
      <c r="J2048" s="7"/>
      <c r="K2048" s="7">
        <v>11</v>
      </c>
      <c r="L2048" s="7">
        <f>18+13</f>
        <v>31</v>
      </c>
      <c r="M2048" s="7"/>
      <c r="N2048" s="7">
        <f>L2048-G2048</f>
        <v>4</v>
      </c>
      <c r="O2048" s="7"/>
      <c r="P2048" s="7">
        <f>IF((G2056-G2048)&gt;0,G2056-G2048,0)</f>
        <v>0</v>
      </c>
      <c r="Q2048" s="7">
        <f>IF((G2048-G2056)&gt;0,G2048-G2056,0)</f>
        <v>0</v>
      </c>
      <c r="R2048" s="218">
        <f>I2048-G2048</f>
        <v>-7</v>
      </c>
      <c r="S2048" s="14"/>
      <c r="T2048" s="14"/>
      <c r="U2048" s="14"/>
      <c r="V2048" s="14"/>
      <c r="W2048" s="14"/>
      <c r="X2048" s="14"/>
      <c r="Y2048" s="14"/>
      <c r="Z2048" s="14"/>
      <c r="AA2048" s="14"/>
      <c r="AB2048" s="14"/>
      <c r="AC2048" s="14"/>
      <c r="AD2048" s="14"/>
      <c r="AE2048" s="14"/>
      <c r="AF2048" s="14"/>
      <c r="AG2048" s="14"/>
      <c r="AH2048" s="14"/>
      <c r="AI2048" s="14"/>
      <c r="AJ2048" s="14"/>
      <c r="AK2048" s="14"/>
    </row>
    <row r="2049" spans="2:37" ht="14.25" thickBot="1" x14ac:dyDescent="0.3">
      <c r="B2049" s="5">
        <v>273702</v>
      </c>
      <c r="C2049" s="6">
        <v>1135753</v>
      </c>
      <c r="D2049" s="6" t="s">
        <v>10</v>
      </c>
      <c r="E2049" s="215">
        <v>301000000000</v>
      </c>
      <c r="F2049" s="215"/>
      <c r="G2049" s="7">
        <v>0</v>
      </c>
      <c r="H2049" s="7"/>
      <c r="I2049" s="7">
        <v>0</v>
      </c>
      <c r="J2049" s="7"/>
      <c r="K2049" s="7">
        <v>2</v>
      </c>
      <c r="L2049" s="7">
        <v>1</v>
      </c>
      <c r="M2049" s="7"/>
      <c r="N2049" s="7">
        <f>L2049-G2049</f>
        <v>1</v>
      </c>
      <c r="O2049" s="7"/>
      <c r="P2049" s="7">
        <f>IF((G2057-G2049)&gt;0,G2057-G2049,0)</f>
        <v>0</v>
      </c>
      <c r="Q2049" s="7">
        <f>IF((G2049-G2057)&gt;0,G2049-G2057,0)</f>
        <v>0</v>
      </c>
      <c r="R2049" s="218">
        <f>I2049-G2049</f>
        <v>0</v>
      </c>
      <c r="S2049" s="14"/>
      <c r="T2049" s="14"/>
      <c r="U2049" s="14"/>
      <c r="V2049" s="14"/>
      <c r="W2049" s="14"/>
      <c r="X2049" s="14"/>
      <c r="Y2049" s="14"/>
      <c r="Z2049" s="14"/>
      <c r="AA2049" s="14"/>
      <c r="AB2049" s="14"/>
      <c r="AC2049" s="14"/>
      <c r="AD2049" s="14"/>
      <c r="AE2049" s="14"/>
      <c r="AF2049" s="14"/>
      <c r="AG2049" s="14"/>
      <c r="AH2049" s="14"/>
      <c r="AI2049" s="14"/>
      <c r="AJ2049" s="14"/>
      <c r="AK2049" s="14"/>
    </row>
    <row r="2050" spans="2:37" ht="14.25" thickBot="1" x14ac:dyDescent="0.3">
      <c r="B2050" s="5">
        <v>273698</v>
      </c>
      <c r="C2050" s="6">
        <v>1135752</v>
      </c>
      <c r="D2050" s="6" t="s">
        <v>11</v>
      </c>
      <c r="E2050" s="215">
        <v>701000000000</v>
      </c>
      <c r="F2050" s="215"/>
      <c r="G2050" s="7">
        <v>7</v>
      </c>
      <c r="H2050" s="7"/>
      <c r="I2050" s="7">
        <v>4</v>
      </c>
      <c r="J2050" s="7"/>
      <c r="K2050" s="7">
        <v>2</v>
      </c>
      <c r="L2050" s="7">
        <f>5+3</f>
        <v>8</v>
      </c>
      <c r="M2050" s="7"/>
      <c r="N2050" s="7">
        <f>L2050-G2050</f>
        <v>1</v>
      </c>
      <c r="O2050" s="7"/>
      <c r="P2050" s="7">
        <f>IF((G2058-G2050)&gt;0,G2058-G2050,0)</f>
        <v>0</v>
      </c>
      <c r="Q2050" s="7">
        <f>IF((G2050-G2058)&gt;0,G2050-G2058,0)</f>
        <v>0</v>
      </c>
      <c r="R2050" s="218">
        <f>I2050-G2050</f>
        <v>-3</v>
      </c>
      <c r="S2050" s="14"/>
      <c r="T2050" s="14"/>
      <c r="U2050" s="14"/>
      <c r="V2050" s="14"/>
      <c r="W2050" s="14"/>
      <c r="X2050" s="14"/>
      <c r="Y2050" s="14"/>
      <c r="Z2050" s="14"/>
      <c r="AA2050" s="14"/>
      <c r="AB2050" s="14"/>
      <c r="AC2050" s="14"/>
      <c r="AD2050" s="14"/>
      <c r="AE2050" s="14"/>
      <c r="AF2050" s="14"/>
      <c r="AG2050" s="14"/>
      <c r="AH2050" s="14"/>
      <c r="AI2050" s="14"/>
      <c r="AJ2050" s="14"/>
      <c r="AK2050" s="14"/>
    </row>
    <row r="2051" spans="2:37" ht="14.25" thickBot="1" x14ac:dyDescent="0.3">
      <c r="B2051" s="5">
        <v>273680</v>
      </c>
      <c r="C2051" s="6">
        <v>1135751</v>
      </c>
      <c r="D2051" s="6" t="s">
        <v>12</v>
      </c>
      <c r="E2051" s="6" t="s">
        <v>13</v>
      </c>
      <c r="F2051" s="6"/>
      <c r="G2051" s="7">
        <v>11</v>
      </c>
      <c r="H2051" s="7"/>
      <c r="I2051" s="7">
        <v>11</v>
      </c>
      <c r="J2051" s="7"/>
      <c r="K2051" s="7">
        <v>10</v>
      </c>
      <c r="L2051" s="7">
        <f>6+11</f>
        <v>17</v>
      </c>
      <c r="M2051" s="7"/>
      <c r="N2051" s="7">
        <f>L2051-G2051</f>
        <v>6</v>
      </c>
      <c r="O2051" s="7"/>
      <c r="P2051" s="7">
        <f>IF((G2059-G2051)&gt;0,G2059-G2051,0)</f>
        <v>0</v>
      </c>
      <c r="Q2051" s="7">
        <f>IF((G2051-G2059)&gt;0,G2051-G2059,0)</f>
        <v>0</v>
      </c>
      <c r="R2051" s="218">
        <f>I2051-G2051</f>
        <v>0</v>
      </c>
      <c r="S2051" s="14"/>
      <c r="T2051" s="14"/>
      <c r="U2051" s="14"/>
      <c r="V2051" s="14"/>
      <c r="W2051" s="14"/>
      <c r="X2051" s="14"/>
      <c r="Y2051" s="14"/>
      <c r="Z2051" s="14"/>
      <c r="AA2051" s="14"/>
      <c r="AB2051" s="14"/>
      <c r="AC2051" s="14"/>
      <c r="AD2051" s="14"/>
      <c r="AE2051" s="14"/>
      <c r="AF2051" s="14"/>
      <c r="AG2051" s="14"/>
      <c r="AH2051" s="14"/>
      <c r="AI2051" s="14"/>
      <c r="AJ2051" s="14"/>
      <c r="AK2051" s="14"/>
    </row>
    <row r="2053" spans="2:37" ht="14.25" thickBot="1" x14ac:dyDescent="0.3">
      <c r="B2053" s="338" t="s">
        <v>18</v>
      </c>
      <c r="C2053" s="339">
        <v>45236</v>
      </c>
      <c r="S2053" s="14"/>
      <c r="T2053" s="14"/>
      <c r="U2053" s="14"/>
      <c r="V2053" s="14"/>
      <c r="W2053" s="14"/>
      <c r="X2053" s="14"/>
      <c r="Y2053" s="14"/>
      <c r="Z2053" s="14"/>
      <c r="AA2053" s="14"/>
      <c r="AB2053" s="14"/>
      <c r="AC2053" s="14"/>
      <c r="AD2053" s="14"/>
      <c r="AE2053" s="14"/>
      <c r="AF2053" s="14"/>
      <c r="AG2053" s="14"/>
      <c r="AH2053" s="14"/>
      <c r="AI2053" s="14"/>
      <c r="AJ2053" s="14"/>
      <c r="AK2053" s="14"/>
    </row>
    <row r="2054" spans="2:37" ht="14.25" thickBot="1" x14ac:dyDescent="0.3">
      <c r="B2054" s="2" t="s">
        <v>0</v>
      </c>
      <c r="C2054" s="3" t="s">
        <v>1</v>
      </c>
      <c r="D2054" s="3" t="s">
        <v>2</v>
      </c>
      <c r="E2054" s="3" t="s">
        <v>3</v>
      </c>
      <c r="F2054" s="3"/>
      <c r="G2054" s="4" t="s">
        <v>4</v>
      </c>
      <c r="H2054" s="4"/>
      <c r="I2054" s="3" t="s">
        <v>5</v>
      </c>
      <c r="J2054" s="3"/>
      <c r="K2054" s="3" t="s">
        <v>262</v>
      </c>
      <c r="L2054" s="3" t="s">
        <v>267</v>
      </c>
      <c r="M2054" s="3"/>
      <c r="N2054" s="3" t="s">
        <v>130</v>
      </c>
      <c r="O2054" s="3"/>
      <c r="P2054" s="3" t="s">
        <v>268</v>
      </c>
      <c r="Q2054" s="3" t="s">
        <v>269</v>
      </c>
      <c r="R2054" s="217"/>
      <c r="S2054" s="14"/>
      <c r="T2054" s="14"/>
      <c r="U2054" s="14"/>
      <c r="V2054" s="14"/>
      <c r="W2054" s="14"/>
      <c r="X2054" s="14"/>
      <c r="Y2054" s="14"/>
      <c r="Z2054" s="14"/>
      <c r="AA2054" s="14"/>
      <c r="AB2054" s="14"/>
      <c r="AC2054" s="14"/>
      <c r="AD2054" s="14"/>
      <c r="AE2054" s="14"/>
      <c r="AF2054" s="14"/>
      <c r="AG2054" s="14"/>
      <c r="AH2054" s="14"/>
      <c r="AI2054" s="14"/>
      <c r="AJ2054" s="14"/>
      <c r="AK2054" s="14"/>
    </row>
    <row r="2055" spans="2:37" ht="14.25" thickBot="1" x14ac:dyDescent="0.3">
      <c r="B2055" s="5">
        <v>273664</v>
      </c>
      <c r="C2055" s="6">
        <v>1135749</v>
      </c>
      <c r="D2055" s="6" t="s">
        <v>7</v>
      </c>
      <c r="E2055" s="6">
        <v>6060050026</v>
      </c>
      <c r="F2055" s="6"/>
      <c r="G2055" s="7">
        <v>8</v>
      </c>
      <c r="H2055" s="7"/>
      <c r="I2055" s="7"/>
      <c r="J2055" s="7"/>
      <c r="K2055" s="7"/>
      <c r="L2055" s="7">
        <v>10</v>
      </c>
      <c r="M2055" s="7"/>
      <c r="N2055" s="7">
        <f>L2055-G2055</f>
        <v>2</v>
      </c>
      <c r="O2055" s="7"/>
      <c r="P2055" s="7">
        <f>IF((G2063-G2055)&gt;0,G2063-G2055,0)</f>
        <v>0</v>
      </c>
      <c r="Q2055" s="7">
        <f>IF((G2055-G2063)&gt;0,G2055-G2063,0)</f>
        <v>0</v>
      </c>
      <c r="R2055" s="218"/>
      <c r="S2055" s="14"/>
      <c r="T2055" s="14"/>
      <c r="U2055" s="14"/>
      <c r="V2055" s="14"/>
      <c r="W2055" s="14"/>
      <c r="X2055" s="14"/>
      <c r="Y2055" s="14"/>
      <c r="Z2055" s="14"/>
      <c r="AA2055" s="14"/>
      <c r="AB2055" s="14"/>
      <c r="AC2055" s="14"/>
      <c r="AD2055" s="14"/>
      <c r="AE2055" s="14"/>
      <c r="AF2055" s="14"/>
      <c r="AG2055" s="14"/>
      <c r="AH2055" s="14"/>
      <c r="AI2055" s="14"/>
      <c r="AJ2055" s="14"/>
      <c r="AK2055" s="14"/>
    </row>
    <row r="2056" spans="2:37" ht="14.25" thickBot="1" x14ac:dyDescent="0.3">
      <c r="B2056" s="5">
        <v>273672</v>
      </c>
      <c r="C2056" s="6">
        <v>1135750</v>
      </c>
      <c r="D2056" s="6" t="s">
        <v>9</v>
      </c>
      <c r="E2056" s="215">
        <v>204000000000</v>
      </c>
      <c r="F2056" s="215"/>
      <c r="G2056" s="7">
        <v>27</v>
      </c>
      <c r="H2056" s="7"/>
      <c r="I2056" s="7"/>
      <c r="J2056" s="7"/>
      <c r="K2056" s="7"/>
      <c r="L2056" s="7">
        <f>18+13</f>
        <v>31</v>
      </c>
      <c r="M2056" s="7"/>
      <c r="N2056" s="7">
        <f>L2056-G2056</f>
        <v>4</v>
      </c>
      <c r="O2056" s="7"/>
      <c r="P2056" s="7">
        <f>IF((G2064-G2056)&gt;0,G2064-G2056,0)</f>
        <v>0</v>
      </c>
      <c r="Q2056" s="7">
        <f>IF((G2056-G2064)&gt;0,G2056-G2064,0)</f>
        <v>0</v>
      </c>
      <c r="R2056" s="218"/>
      <c r="S2056" s="14"/>
      <c r="T2056" s="14"/>
      <c r="U2056" s="14"/>
      <c r="V2056" s="14"/>
      <c r="W2056" s="14"/>
      <c r="X2056" s="14"/>
      <c r="Y2056" s="14"/>
      <c r="Z2056" s="14"/>
      <c r="AA2056" s="14"/>
      <c r="AB2056" s="14"/>
      <c r="AC2056" s="14"/>
      <c r="AD2056" s="14"/>
      <c r="AE2056" s="14"/>
      <c r="AF2056" s="14"/>
      <c r="AG2056" s="14"/>
      <c r="AH2056" s="14"/>
      <c r="AI2056" s="14"/>
      <c r="AJ2056" s="14"/>
      <c r="AK2056" s="14"/>
    </row>
    <row r="2057" spans="2:37" ht="14.25" thickBot="1" x14ac:dyDescent="0.3">
      <c r="B2057" s="5">
        <v>273702</v>
      </c>
      <c r="C2057" s="6">
        <v>1135753</v>
      </c>
      <c r="D2057" s="6" t="s">
        <v>10</v>
      </c>
      <c r="E2057" s="215">
        <v>301000000000</v>
      </c>
      <c r="F2057" s="215"/>
      <c r="G2057" s="7">
        <v>0</v>
      </c>
      <c r="H2057" s="7"/>
      <c r="I2057" s="7"/>
      <c r="J2057" s="7"/>
      <c r="K2057" s="7"/>
      <c r="L2057" s="7">
        <v>1</v>
      </c>
      <c r="M2057" s="7"/>
      <c r="N2057" s="7">
        <f>L2057-G2057</f>
        <v>1</v>
      </c>
      <c r="O2057" s="7"/>
      <c r="P2057" s="7">
        <f>IF((G2065-G2057)&gt;0,G2065-G2057,0)</f>
        <v>0</v>
      </c>
      <c r="Q2057" s="7">
        <f>IF((G2057-G2065)&gt;0,G2057-G2065,0)</f>
        <v>0</v>
      </c>
      <c r="R2057" s="218"/>
      <c r="S2057" s="14"/>
      <c r="T2057" s="14"/>
      <c r="U2057" s="14"/>
      <c r="V2057" s="14"/>
      <c r="W2057" s="14"/>
      <c r="X2057" s="14"/>
      <c r="Y2057" s="14"/>
      <c r="Z2057" s="14"/>
      <c r="AA2057" s="14"/>
      <c r="AB2057" s="14"/>
      <c r="AC2057" s="14"/>
      <c r="AD2057" s="14"/>
      <c r="AE2057" s="14"/>
      <c r="AF2057" s="14"/>
      <c r="AG2057" s="14"/>
      <c r="AH2057" s="14"/>
      <c r="AI2057" s="14"/>
      <c r="AJ2057" s="14"/>
      <c r="AK2057" s="14"/>
    </row>
    <row r="2058" spans="2:37" ht="14.25" thickBot="1" x14ac:dyDescent="0.3">
      <c r="B2058" s="5">
        <v>273698</v>
      </c>
      <c r="C2058" s="6">
        <v>1135752</v>
      </c>
      <c r="D2058" s="6" t="s">
        <v>11</v>
      </c>
      <c r="E2058" s="215">
        <v>701000000000</v>
      </c>
      <c r="F2058" s="215"/>
      <c r="G2058" s="7">
        <v>7</v>
      </c>
      <c r="H2058" s="7"/>
      <c r="I2058" s="7"/>
      <c r="J2058" s="7"/>
      <c r="K2058" s="7"/>
      <c r="L2058" s="7">
        <f>5+3</f>
        <v>8</v>
      </c>
      <c r="M2058" s="7"/>
      <c r="N2058" s="7">
        <f>L2058-G2058</f>
        <v>1</v>
      </c>
      <c r="O2058" s="7"/>
      <c r="P2058" s="7">
        <f>IF((G2066-G2058)&gt;0,G2066-G2058,0)</f>
        <v>0</v>
      </c>
      <c r="Q2058" s="7">
        <f>IF((G2058-G2066)&gt;0,G2058-G2066,0)</f>
        <v>0</v>
      </c>
      <c r="R2058" s="218"/>
      <c r="S2058" s="14"/>
      <c r="T2058" s="14"/>
      <c r="U2058" s="14"/>
      <c r="V2058" s="14"/>
      <c r="W2058" s="14"/>
      <c r="X2058" s="14"/>
      <c r="Y2058" s="14"/>
      <c r="Z2058" s="14"/>
      <c r="AA2058" s="14"/>
      <c r="AB2058" s="14"/>
      <c r="AC2058" s="14"/>
      <c r="AD2058" s="14"/>
      <c r="AE2058" s="14"/>
      <c r="AF2058" s="14"/>
      <c r="AG2058" s="14"/>
      <c r="AH2058" s="14"/>
      <c r="AI2058" s="14"/>
      <c r="AJ2058" s="14"/>
      <c r="AK2058" s="14"/>
    </row>
    <row r="2059" spans="2:37" ht="14.25" thickBot="1" x14ac:dyDescent="0.3">
      <c r="B2059" s="5">
        <v>273680</v>
      </c>
      <c r="C2059" s="6">
        <v>1135751</v>
      </c>
      <c r="D2059" s="6" t="s">
        <v>12</v>
      </c>
      <c r="E2059" s="6" t="s">
        <v>13</v>
      </c>
      <c r="F2059" s="6"/>
      <c r="G2059" s="7">
        <v>11</v>
      </c>
      <c r="H2059" s="7"/>
      <c r="I2059" s="7"/>
      <c r="J2059" s="7"/>
      <c r="K2059" s="7"/>
      <c r="L2059" s="7">
        <f>6+11</f>
        <v>17</v>
      </c>
      <c r="M2059" s="7"/>
      <c r="N2059" s="7">
        <f>L2059-G2059</f>
        <v>6</v>
      </c>
      <c r="O2059" s="7"/>
      <c r="P2059" s="7">
        <f>IF((G2067-G2059)&gt;0,G2067-G2059,0)</f>
        <v>5</v>
      </c>
      <c r="Q2059" s="7">
        <f>IF((G2059-G2067)&gt;0,G2059-G2067,0)</f>
        <v>0</v>
      </c>
      <c r="R2059" s="218"/>
      <c r="S2059" s="14"/>
      <c r="T2059" s="14"/>
      <c r="U2059" s="14"/>
      <c r="V2059" s="14"/>
      <c r="W2059" s="14"/>
      <c r="X2059" s="14"/>
      <c r="Y2059" s="14"/>
      <c r="Z2059" s="14"/>
      <c r="AA2059" s="14"/>
      <c r="AB2059" s="14"/>
      <c r="AC2059" s="14"/>
      <c r="AD2059" s="14"/>
      <c r="AE2059" s="14"/>
      <c r="AF2059" s="14"/>
      <c r="AG2059" s="14"/>
      <c r="AH2059" s="14"/>
      <c r="AI2059" s="14"/>
      <c r="AJ2059" s="14"/>
      <c r="AK2059" s="14"/>
    </row>
    <row r="2061" spans="2:37" ht="14.25" thickBot="1" x14ac:dyDescent="0.3">
      <c r="B2061" s="338" t="s">
        <v>18</v>
      </c>
      <c r="C2061" s="339">
        <v>45229</v>
      </c>
      <c r="S2061" s="14"/>
      <c r="T2061" s="14"/>
      <c r="U2061" s="14"/>
      <c r="V2061" s="14"/>
      <c r="W2061" s="14"/>
      <c r="X2061" s="14"/>
      <c r="Y2061" s="14"/>
      <c r="Z2061" s="14"/>
      <c r="AA2061" s="14"/>
      <c r="AB2061" s="14"/>
      <c r="AC2061" s="14"/>
      <c r="AD2061" s="14"/>
      <c r="AE2061" s="14"/>
      <c r="AF2061" s="14"/>
      <c r="AG2061" s="14"/>
      <c r="AH2061" s="14"/>
      <c r="AI2061" s="14"/>
      <c r="AJ2061" s="14"/>
      <c r="AK2061" s="14"/>
    </row>
    <row r="2062" spans="2:37" ht="14.25" thickBot="1" x14ac:dyDescent="0.3">
      <c r="B2062" s="2" t="s">
        <v>0</v>
      </c>
      <c r="C2062" s="3" t="s">
        <v>1</v>
      </c>
      <c r="D2062" s="3" t="s">
        <v>2</v>
      </c>
      <c r="E2062" s="3" t="s">
        <v>3</v>
      </c>
      <c r="F2062" s="3"/>
      <c r="G2062" s="4" t="s">
        <v>4</v>
      </c>
      <c r="H2062" s="4"/>
      <c r="I2062" s="3" t="s">
        <v>5</v>
      </c>
      <c r="J2062" s="3"/>
      <c r="K2062" s="3" t="s">
        <v>262</v>
      </c>
      <c r="L2062" s="3" t="s">
        <v>266</v>
      </c>
      <c r="M2062" s="3"/>
      <c r="N2062" s="3" t="s">
        <v>130</v>
      </c>
      <c r="O2062" s="3"/>
      <c r="P2062" s="3" t="s">
        <v>268</v>
      </c>
      <c r="Q2062" s="3" t="s">
        <v>269</v>
      </c>
      <c r="R2062" s="217"/>
      <c r="S2062" s="14"/>
      <c r="T2062" s="14"/>
      <c r="U2062" s="14"/>
      <c r="V2062" s="14"/>
      <c r="W2062" s="14"/>
      <c r="X2062" s="14"/>
      <c r="Y2062" s="14"/>
      <c r="Z2062" s="14"/>
      <c r="AA2062" s="14"/>
      <c r="AB2062" s="14"/>
      <c r="AC2062" s="14"/>
      <c r="AD2062" s="14"/>
      <c r="AE2062" s="14"/>
      <c r="AF2062" s="14"/>
      <c r="AG2062" s="14"/>
      <c r="AH2062" s="14"/>
      <c r="AI2062" s="14"/>
      <c r="AJ2062" s="14"/>
      <c r="AK2062" s="14"/>
    </row>
    <row r="2063" spans="2:37" ht="14.25" thickBot="1" x14ac:dyDescent="0.3">
      <c r="B2063" s="5">
        <v>273664</v>
      </c>
      <c r="C2063" s="6">
        <v>1135749</v>
      </c>
      <c r="D2063" s="6" t="s">
        <v>7</v>
      </c>
      <c r="E2063" s="6">
        <v>6060050026</v>
      </c>
      <c r="F2063" s="6"/>
      <c r="G2063" s="7">
        <v>8</v>
      </c>
      <c r="H2063" s="7"/>
      <c r="I2063" s="7"/>
      <c r="J2063" s="7"/>
      <c r="K2063" s="7"/>
      <c r="L2063" s="7"/>
      <c r="M2063" s="7"/>
      <c r="N2063" s="7">
        <f>L2063-G2063</f>
        <v>-8</v>
      </c>
      <c r="O2063" s="7"/>
      <c r="P2063" s="7">
        <f>IF((G2071-G2063)&gt;0,G2071-G2063,0)</f>
        <v>0</v>
      </c>
      <c r="Q2063" s="7">
        <f>IF((G2063-G2071)&gt;0,G2063-G2071,0)</f>
        <v>0</v>
      </c>
      <c r="R2063" s="218"/>
      <c r="S2063" s="14"/>
      <c r="T2063" s="14"/>
      <c r="U2063" s="14"/>
      <c r="V2063" s="14"/>
      <c r="W2063" s="14"/>
      <c r="X2063" s="14"/>
      <c r="Y2063" s="14"/>
      <c r="Z2063" s="14"/>
      <c r="AA2063" s="14"/>
      <c r="AB2063" s="14"/>
      <c r="AC2063" s="14"/>
      <c r="AD2063" s="14"/>
      <c r="AE2063" s="14"/>
      <c r="AF2063" s="14"/>
      <c r="AG2063" s="14"/>
      <c r="AH2063" s="14"/>
      <c r="AI2063" s="14"/>
      <c r="AJ2063" s="14"/>
      <c r="AK2063" s="14"/>
    </row>
    <row r="2064" spans="2:37" ht="14.25" thickBot="1" x14ac:dyDescent="0.3">
      <c r="B2064" s="5">
        <v>273672</v>
      </c>
      <c r="C2064" s="6">
        <v>1135750</v>
      </c>
      <c r="D2064" s="6" t="s">
        <v>9</v>
      </c>
      <c r="E2064" s="215">
        <v>204000000000</v>
      </c>
      <c r="F2064" s="215"/>
      <c r="G2064" s="7">
        <v>27</v>
      </c>
      <c r="H2064" s="7"/>
      <c r="I2064" s="7"/>
      <c r="J2064" s="7"/>
      <c r="K2064" s="7"/>
      <c r="L2064" s="7"/>
      <c r="M2064" s="7"/>
      <c r="N2064" s="7">
        <f>L2064-G2064</f>
        <v>-27</v>
      </c>
      <c r="O2064" s="7"/>
      <c r="P2064" s="7">
        <f>IF((G2072-G2064)&gt;0,G2072-G2064,0)</f>
        <v>0</v>
      </c>
      <c r="Q2064" s="7">
        <f>IF((G2064-G2072)&gt;0,G2064-G2072,0)</f>
        <v>0</v>
      </c>
      <c r="R2064" s="218"/>
      <c r="S2064" s="14"/>
      <c r="T2064" s="14"/>
      <c r="U2064" s="14"/>
      <c r="V2064" s="14"/>
      <c r="W2064" s="14"/>
      <c r="X2064" s="14"/>
      <c r="Y2064" s="14"/>
      <c r="Z2064" s="14"/>
      <c r="AA2064" s="14"/>
      <c r="AB2064" s="14"/>
      <c r="AC2064" s="14"/>
      <c r="AD2064" s="14"/>
      <c r="AE2064" s="14"/>
      <c r="AF2064" s="14"/>
      <c r="AG2064" s="14"/>
      <c r="AH2064" s="14"/>
      <c r="AI2064" s="14"/>
      <c r="AJ2064" s="14"/>
      <c r="AK2064" s="14"/>
    </row>
    <row r="2065" spans="2:37" ht="14.25" thickBot="1" x14ac:dyDescent="0.3">
      <c r="B2065" s="5">
        <v>273702</v>
      </c>
      <c r="C2065" s="6">
        <v>1135753</v>
      </c>
      <c r="D2065" s="6" t="s">
        <v>10</v>
      </c>
      <c r="E2065" s="215">
        <v>301000000000</v>
      </c>
      <c r="F2065" s="215"/>
      <c r="G2065" s="7">
        <v>0</v>
      </c>
      <c r="H2065" s="7"/>
      <c r="I2065" s="7"/>
      <c r="J2065" s="7"/>
      <c r="K2065" s="7"/>
      <c r="L2065" s="7"/>
      <c r="M2065" s="7"/>
      <c r="N2065" s="7">
        <f>L2065-G2065</f>
        <v>0</v>
      </c>
      <c r="O2065" s="7"/>
      <c r="P2065" s="7">
        <f>IF((G2073-G2065)&gt;0,G2073-G2065,0)</f>
        <v>0</v>
      </c>
      <c r="Q2065" s="7">
        <f>IF((G2065-G2073)&gt;0,G2065-G2073,0)</f>
        <v>0</v>
      </c>
      <c r="R2065" s="218"/>
      <c r="S2065" s="14"/>
      <c r="T2065" s="14"/>
      <c r="U2065" s="14"/>
      <c r="V2065" s="14"/>
      <c r="W2065" s="14"/>
      <c r="X2065" s="14"/>
      <c r="Y2065" s="14"/>
      <c r="Z2065" s="14"/>
      <c r="AA2065" s="14"/>
      <c r="AB2065" s="14"/>
      <c r="AC2065" s="14"/>
      <c r="AD2065" s="14"/>
      <c r="AE2065" s="14"/>
      <c r="AF2065" s="14"/>
      <c r="AG2065" s="14"/>
      <c r="AH2065" s="14"/>
      <c r="AI2065" s="14"/>
      <c r="AJ2065" s="14"/>
      <c r="AK2065" s="14"/>
    </row>
    <row r="2066" spans="2:37" ht="14.25" thickBot="1" x14ac:dyDescent="0.3">
      <c r="B2066" s="5">
        <v>273698</v>
      </c>
      <c r="C2066" s="6">
        <v>1135752</v>
      </c>
      <c r="D2066" s="6" t="s">
        <v>11</v>
      </c>
      <c r="E2066" s="215">
        <v>701000000000</v>
      </c>
      <c r="F2066" s="215"/>
      <c r="G2066" s="7">
        <v>7</v>
      </c>
      <c r="H2066" s="7"/>
      <c r="I2066" s="7"/>
      <c r="J2066" s="7"/>
      <c r="K2066" s="7"/>
      <c r="L2066" s="7"/>
      <c r="M2066" s="7"/>
      <c r="N2066" s="7">
        <f>L2066-G2066</f>
        <v>-7</v>
      </c>
      <c r="O2066" s="7"/>
      <c r="P2066" s="7">
        <f>IF((G2074-G2066)&gt;0,G2074-G2066,0)</f>
        <v>0</v>
      </c>
      <c r="Q2066" s="7">
        <f>IF((G2066-G2074)&gt;0,G2066-G2074,0)</f>
        <v>0</v>
      </c>
      <c r="R2066" s="218"/>
      <c r="S2066" s="14"/>
      <c r="T2066" s="14"/>
      <c r="U2066" s="14"/>
      <c r="V2066" s="14"/>
      <c r="W2066" s="14"/>
      <c r="X2066" s="14"/>
      <c r="Y2066" s="14"/>
      <c r="Z2066" s="14"/>
      <c r="AA2066" s="14"/>
      <c r="AB2066" s="14"/>
      <c r="AC2066" s="14"/>
      <c r="AD2066" s="14"/>
      <c r="AE2066" s="14"/>
      <c r="AF2066" s="14"/>
      <c r="AG2066" s="14"/>
      <c r="AH2066" s="14"/>
      <c r="AI2066" s="14"/>
      <c r="AJ2066" s="14"/>
      <c r="AK2066" s="14"/>
    </row>
    <row r="2067" spans="2:37" ht="14.25" thickBot="1" x14ac:dyDescent="0.3">
      <c r="B2067" s="5">
        <v>273680</v>
      </c>
      <c r="C2067" s="6">
        <v>1135751</v>
      </c>
      <c r="D2067" s="6" t="s">
        <v>12</v>
      </c>
      <c r="E2067" s="6" t="s">
        <v>13</v>
      </c>
      <c r="F2067" s="6"/>
      <c r="G2067" s="7">
        <v>16</v>
      </c>
      <c r="H2067" s="7"/>
      <c r="I2067" s="7"/>
      <c r="J2067" s="7"/>
      <c r="K2067" s="7"/>
      <c r="L2067" s="7"/>
      <c r="M2067" s="7"/>
      <c r="N2067" s="7">
        <f>L2067-G2067</f>
        <v>-16</v>
      </c>
      <c r="O2067" s="7"/>
      <c r="P2067" s="7">
        <f>IF((G2075-G2067)&gt;0,G2075-G2067,0)</f>
        <v>0</v>
      </c>
      <c r="Q2067" s="7">
        <f>IF((G2067-G2075)&gt;0,G2067-G2075,0)</f>
        <v>0</v>
      </c>
      <c r="R2067" s="218"/>
      <c r="S2067" s="14"/>
      <c r="T2067" s="14"/>
      <c r="U2067" s="14"/>
      <c r="V2067" s="14"/>
      <c r="W2067" s="14"/>
      <c r="X2067" s="14"/>
      <c r="Y2067" s="14"/>
      <c r="Z2067" s="14"/>
      <c r="AA2067" s="14"/>
      <c r="AB2067" s="14"/>
      <c r="AC2067" s="14"/>
      <c r="AD2067" s="14"/>
      <c r="AE2067" s="14"/>
      <c r="AF2067" s="14"/>
      <c r="AG2067" s="14"/>
      <c r="AH2067" s="14"/>
      <c r="AI2067" s="14"/>
      <c r="AJ2067" s="14"/>
      <c r="AK2067" s="14"/>
    </row>
    <row r="2069" spans="2:37" ht="14.25" thickBot="1" x14ac:dyDescent="0.3">
      <c r="B2069" s="338" t="s">
        <v>18</v>
      </c>
      <c r="C2069" s="339">
        <v>45222</v>
      </c>
      <c r="S2069" s="14"/>
      <c r="T2069" s="14"/>
      <c r="U2069" s="14"/>
      <c r="V2069" s="14"/>
      <c r="W2069" s="14"/>
      <c r="X2069" s="14"/>
      <c r="Y2069" s="14"/>
      <c r="Z2069" s="14"/>
      <c r="AA2069" s="14"/>
      <c r="AB2069" s="14"/>
      <c r="AC2069" s="14"/>
      <c r="AD2069" s="14"/>
      <c r="AE2069" s="14"/>
      <c r="AF2069" s="14"/>
      <c r="AG2069" s="14"/>
      <c r="AH2069" s="14"/>
      <c r="AI2069" s="14"/>
      <c r="AJ2069" s="14"/>
      <c r="AK2069" s="14"/>
    </row>
    <row r="2070" spans="2:37" ht="14.25" thickBot="1" x14ac:dyDescent="0.3">
      <c r="B2070" s="2" t="s">
        <v>0</v>
      </c>
      <c r="C2070" s="3" t="s">
        <v>1</v>
      </c>
      <c r="D2070" s="3" t="s">
        <v>2</v>
      </c>
      <c r="E2070" s="3" t="s">
        <v>3</v>
      </c>
      <c r="F2070" s="3"/>
      <c r="G2070" s="4" t="s">
        <v>4</v>
      </c>
      <c r="H2070" s="4"/>
      <c r="I2070" s="3" t="s">
        <v>5</v>
      </c>
      <c r="J2070" s="3"/>
      <c r="K2070" s="3" t="s">
        <v>262</v>
      </c>
      <c r="L2070" s="3" t="s">
        <v>266</v>
      </c>
      <c r="M2070" s="3"/>
      <c r="N2070" s="3" t="s">
        <v>130</v>
      </c>
      <c r="O2070" s="3"/>
      <c r="P2070" s="3" t="s">
        <v>268</v>
      </c>
      <c r="Q2070" s="3" t="s">
        <v>269</v>
      </c>
      <c r="R2070" s="217"/>
      <c r="S2070" s="14"/>
      <c r="T2070" s="14"/>
      <c r="U2070" s="14"/>
      <c r="V2070" s="14"/>
      <c r="W2070" s="14"/>
      <c r="X2070" s="14"/>
      <c r="Y2070" s="14"/>
      <c r="Z2070" s="14"/>
      <c r="AA2070" s="14"/>
      <c r="AB2070" s="14"/>
      <c r="AC2070" s="14"/>
      <c r="AD2070" s="14"/>
      <c r="AE2070" s="14"/>
      <c r="AF2070" s="14"/>
      <c r="AG2070" s="14"/>
      <c r="AH2070" s="14"/>
      <c r="AI2070" s="14"/>
      <c r="AJ2070" s="14"/>
      <c r="AK2070" s="14"/>
    </row>
    <row r="2071" spans="2:37" ht="14.25" thickBot="1" x14ac:dyDescent="0.3">
      <c r="B2071" s="5">
        <v>273664</v>
      </c>
      <c r="C2071" s="6">
        <v>1135749</v>
      </c>
      <c r="D2071" s="6" t="s">
        <v>7</v>
      </c>
      <c r="E2071" s="6">
        <v>6060050026</v>
      </c>
      <c r="F2071" s="6"/>
      <c r="G2071" s="7">
        <v>8</v>
      </c>
      <c r="H2071" s="7"/>
      <c r="I2071" s="7"/>
      <c r="J2071" s="7"/>
      <c r="K2071" s="7"/>
      <c r="L2071" s="7">
        <v>10</v>
      </c>
      <c r="M2071" s="7"/>
      <c r="N2071" s="7">
        <f>L2071-G2071</f>
        <v>2</v>
      </c>
      <c r="O2071" s="7"/>
      <c r="P2071" s="7">
        <f>IF((G2079-G2071)&gt;0,G2079-G2071,0)</f>
        <v>0</v>
      </c>
      <c r="Q2071" s="7">
        <f>IF((G2071-G2079)&gt;0,G2071-G2079,0)</f>
        <v>0</v>
      </c>
      <c r="R2071" s="218"/>
      <c r="S2071" s="14"/>
      <c r="T2071" s="14"/>
      <c r="U2071" s="14"/>
      <c r="V2071" s="14"/>
      <c r="W2071" s="14"/>
      <c r="X2071" s="14"/>
      <c r="Y2071" s="14"/>
      <c r="Z2071" s="14"/>
      <c r="AA2071" s="14"/>
      <c r="AB2071" s="14"/>
      <c r="AC2071" s="14"/>
      <c r="AD2071" s="14"/>
      <c r="AE2071" s="14"/>
      <c r="AF2071" s="14"/>
      <c r="AG2071" s="14"/>
      <c r="AH2071" s="14"/>
      <c r="AI2071" s="14"/>
      <c r="AJ2071" s="14"/>
      <c r="AK2071" s="14"/>
    </row>
    <row r="2072" spans="2:37" ht="14.25" thickBot="1" x14ac:dyDescent="0.3">
      <c r="B2072" s="5">
        <v>273672</v>
      </c>
      <c r="C2072" s="6">
        <v>1135750</v>
      </c>
      <c r="D2072" s="6" t="s">
        <v>9</v>
      </c>
      <c r="E2072" s="215">
        <v>204000000000</v>
      </c>
      <c r="F2072" s="215"/>
      <c r="G2072" s="7">
        <v>27</v>
      </c>
      <c r="H2072" s="7"/>
      <c r="I2072" s="7"/>
      <c r="J2072" s="7"/>
      <c r="K2072" s="7"/>
      <c r="L2072" s="7">
        <f>18+13</f>
        <v>31</v>
      </c>
      <c r="M2072" s="7"/>
      <c r="N2072" s="7">
        <f>L2072-G2072</f>
        <v>4</v>
      </c>
      <c r="O2072" s="7"/>
      <c r="P2072" s="7">
        <f>IF((G2080-G2072)&gt;0,G2080-G2072,0)</f>
        <v>0</v>
      </c>
      <c r="Q2072" s="7">
        <f>IF((G2072-G2080)&gt;0,G2072-G2080,0)</f>
        <v>0</v>
      </c>
      <c r="R2072" s="218"/>
      <c r="S2072" s="14"/>
      <c r="T2072" s="14"/>
      <c r="U2072" s="14"/>
      <c r="V2072" s="14"/>
      <c r="W2072" s="14"/>
      <c r="X2072" s="14"/>
      <c r="Y2072" s="14"/>
      <c r="Z2072" s="14"/>
      <c r="AA2072" s="14"/>
      <c r="AB2072" s="14"/>
      <c r="AC2072" s="14"/>
      <c r="AD2072" s="14"/>
      <c r="AE2072" s="14"/>
      <c r="AF2072" s="14"/>
      <c r="AG2072" s="14"/>
      <c r="AH2072" s="14"/>
      <c r="AI2072" s="14"/>
      <c r="AJ2072" s="14"/>
      <c r="AK2072" s="14"/>
    </row>
    <row r="2073" spans="2:37" ht="14.25" thickBot="1" x14ac:dyDescent="0.3">
      <c r="B2073" s="5">
        <v>273702</v>
      </c>
      <c r="C2073" s="6">
        <v>1135753</v>
      </c>
      <c r="D2073" s="6" t="s">
        <v>10</v>
      </c>
      <c r="E2073" s="215">
        <v>301000000000</v>
      </c>
      <c r="F2073" s="215"/>
      <c r="G2073" s="7">
        <v>0</v>
      </c>
      <c r="H2073" s="7"/>
      <c r="I2073" s="7"/>
      <c r="J2073" s="7"/>
      <c r="K2073" s="7"/>
      <c r="L2073" s="7">
        <v>1</v>
      </c>
      <c r="M2073" s="7"/>
      <c r="N2073" s="7">
        <f>L2073-G2073</f>
        <v>1</v>
      </c>
      <c r="O2073" s="7"/>
      <c r="P2073" s="7">
        <f>IF((G2081-G2073)&gt;0,G2081-G2073,0)</f>
        <v>0</v>
      </c>
      <c r="Q2073" s="7">
        <f>IF((G2073-G2081)&gt;0,G2073-G2081,0)</f>
        <v>0</v>
      </c>
      <c r="R2073" s="218"/>
      <c r="S2073" s="14"/>
      <c r="T2073" s="14"/>
      <c r="U2073" s="14"/>
      <c r="V2073" s="14"/>
      <c r="W2073" s="14"/>
      <c r="X2073" s="14"/>
      <c r="Y2073" s="14"/>
      <c r="Z2073" s="14"/>
      <c r="AA2073" s="14"/>
      <c r="AB2073" s="14"/>
      <c r="AC2073" s="14"/>
      <c r="AD2073" s="14"/>
      <c r="AE2073" s="14"/>
      <c r="AF2073" s="14"/>
      <c r="AG2073" s="14"/>
      <c r="AH2073" s="14"/>
      <c r="AI2073" s="14"/>
      <c r="AJ2073" s="14"/>
      <c r="AK2073" s="14"/>
    </row>
    <row r="2074" spans="2:37" ht="14.25" thickBot="1" x14ac:dyDescent="0.3">
      <c r="B2074" s="5">
        <v>273698</v>
      </c>
      <c r="C2074" s="6">
        <v>1135752</v>
      </c>
      <c r="D2074" s="6" t="s">
        <v>11</v>
      </c>
      <c r="E2074" s="215">
        <v>701000000000</v>
      </c>
      <c r="F2074" s="215"/>
      <c r="G2074" s="7">
        <v>7</v>
      </c>
      <c r="H2074" s="7"/>
      <c r="I2074" s="7"/>
      <c r="J2074" s="7"/>
      <c r="K2074" s="7"/>
      <c r="L2074" s="7">
        <f>5+3</f>
        <v>8</v>
      </c>
      <c r="M2074" s="7"/>
      <c r="N2074" s="7">
        <f>L2074-G2074</f>
        <v>1</v>
      </c>
      <c r="O2074" s="7"/>
      <c r="P2074" s="7">
        <f>IF((G2082-G2074)&gt;0,G2082-G2074,0)</f>
        <v>0</v>
      </c>
      <c r="Q2074" s="7">
        <f>IF((G2074-G2082)&gt;0,G2074-G2082,0)</f>
        <v>0</v>
      </c>
      <c r="R2074" s="218"/>
      <c r="S2074" s="14"/>
      <c r="T2074" s="14"/>
      <c r="U2074" s="14"/>
      <c r="V2074" s="14"/>
      <c r="W2074" s="14"/>
      <c r="X2074" s="14"/>
      <c r="Y2074" s="14"/>
      <c r="Z2074" s="14"/>
      <c r="AA2074" s="14"/>
      <c r="AB2074" s="14"/>
      <c r="AC2074" s="14"/>
      <c r="AD2074" s="14"/>
      <c r="AE2074" s="14"/>
      <c r="AF2074" s="14"/>
      <c r="AG2074" s="14"/>
      <c r="AH2074" s="14"/>
      <c r="AI2074" s="14"/>
      <c r="AJ2074" s="14"/>
      <c r="AK2074" s="14"/>
    </row>
    <row r="2075" spans="2:37" ht="14.25" thickBot="1" x14ac:dyDescent="0.3">
      <c r="B2075" s="5">
        <v>273680</v>
      </c>
      <c r="C2075" s="6">
        <v>1135751</v>
      </c>
      <c r="D2075" s="6" t="s">
        <v>12</v>
      </c>
      <c r="E2075" s="6" t="s">
        <v>13</v>
      </c>
      <c r="F2075" s="6"/>
      <c r="G2075" s="7">
        <v>16</v>
      </c>
      <c r="H2075" s="7"/>
      <c r="I2075" s="7"/>
      <c r="J2075" s="7"/>
      <c r="K2075" s="7"/>
      <c r="L2075" s="7">
        <f>11+6</f>
        <v>17</v>
      </c>
      <c r="M2075" s="7"/>
      <c r="N2075" s="7">
        <f>L2075-G2075</f>
        <v>1</v>
      </c>
      <c r="O2075" s="7"/>
      <c r="P2075" s="7">
        <f>IF((G2083-G2075)&gt;0,G2083-G2075,0)</f>
        <v>0</v>
      </c>
      <c r="Q2075" s="7">
        <f>IF((G2075-G2083)&gt;0,G2075-G2083,0)</f>
        <v>0</v>
      </c>
      <c r="R2075" s="218"/>
      <c r="S2075" s="14"/>
      <c r="T2075" s="14"/>
      <c r="U2075" s="14"/>
      <c r="V2075" s="14"/>
      <c r="W2075" s="14"/>
      <c r="X2075" s="14"/>
      <c r="Y2075" s="14"/>
      <c r="Z2075" s="14"/>
      <c r="AA2075" s="14"/>
      <c r="AB2075" s="14"/>
      <c r="AC2075" s="14"/>
      <c r="AD2075" s="14"/>
      <c r="AE2075" s="14"/>
      <c r="AF2075" s="14"/>
      <c r="AG2075" s="14"/>
      <c r="AH2075" s="14"/>
      <c r="AI2075" s="14"/>
      <c r="AJ2075" s="14"/>
      <c r="AK2075" s="14"/>
    </row>
    <row r="2077" spans="2:37" ht="14.25" thickBot="1" x14ac:dyDescent="0.3">
      <c r="B2077" s="338" t="s">
        <v>18</v>
      </c>
      <c r="C2077" s="339">
        <v>45215</v>
      </c>
      <c r="S2077" s="14"/>
      <c r="T2077" s="14"/>
      <c r="U2077" s="14"/>
      <c r="V2077" s="14"/>
      <c r="W2077" s="14"/>
      <c r="X2077" s="14"/>
      <c r="Y2077" s="14"/>
      <c r="Z2077" s="14"/>
      <c r="AA2077" s="14"/>
      <c r="AB2077" s="14"/>
      <c r="AC2077" s="14"/>
      <c r="AD2077" s="14"/>
      <c r="AE2077" s="14"/>
      <c r="AF2077" s="14"/>
      <c r="AG2077" s="14"/>
      <c r="AH2077" s="14"/>
      <c r="AI2077" s="14"/>
      <c r="AJ2077" s="14"/>
      <c r="AK2077" s="14"/>
    </row>
    <row r="2078" spans="2:37" ht="14.25" thickBot="1" x14ac:dyDescent="0.3">
      <c r="B2078" s="2" t="s">
        <v>0</v>
      </c>
      <c r="C2078" s="3" t="s">
        <v>1</v>
      </c>
      <c r="D2078" s="3" t="s">
        <v>2</v>
      </c>
      <c r="E2078" s="3" t="s">
        <v>3</v>
      </c>
      <c r="F2078" s="3"/>
      <c r="G2078" s="4" t="s">
        <v>4</v>
      </c>
      <c r="H2078" s="4"/>
      <c r="I2078" s="3" t="s">
        <v>5</v>
      </c>
      <c r="J2078" s="3"/>
      <c r="K2078" s="3" t="s">
        <v>262</v>
      </c>
      <c r="L2078" s="3" t="s">
        <v>266</v>
      </c>
      <c r="M2078" s="3"/>
      <c r="N2078" s="3" t="s">
        <v>130</v>
      </c>
      <c r="O2078" s="3"/>
      <c r="P2078" s="3" t="s">
        <v>268</v>
      </c>
      <c r="Q2078" s="3" t="s">
        <v>269</v>
      </c>
      <c r="R2078" s="217"/>
      <c r="S2078" s="14"/>
      <c r="T2078" s="14"/>
      <c r="U2078" s="14"/>
      <c r="V2078" s="14"/>
      <c r="W2078" s="14"/>
      <c r="X2078" s="14"/>
      <c r="Y2078" s="14"/>
      <c r="Z2078" s="14"/>
      <c r="AA2078" s="14"/>
      <c r="AB2078" s="14"/>
      <c r="AC2078" s="14"/>
      <c r="AD2078" s="14"/>
      <c r="AE2078" s="14"/>
      <c r="AF2078" s="14"/>
      <c r="AG2078" s="14"/>
      <c r="AH2078" s="14"/>
      <c r="AI2078" s="14"/>
      <c r="AJ2078" s="14"/>
      <c r="AK2078" s="14"/>
    </row>
    <row r="2079" spans="2:37" ht="14.25" thickBot="1" x14ac:dyDescent="0.3">
      <c r="B2079" s="5">
        <v>273664</v>
      </c>
      <c r="C2079" s="6">
        <v>1135749</v>
      </c>
      <c r="D2079" s="6" t="s">
        <v>7</v>
      </c>
      <c r="E2079" s="6">
        <v>6060050026</v>
      </c>
      <c r="F2079" s="6"/>
      <c r="G2079" s="7">
        <v>8</v>
      </c>
      <c r="H2079" s="7"/>
      <c r="I2079" s="7"/>
      <c r="J2079" s="7"/>
      <c r="K2079" s="7">
        <v>4</v>
      </c>
      <c r="L2079" s="7">
        <v>10</v>
      </c>
      <c r="M2079" s="7"/>
      <c r="N2079" s="7">
        <f>L2079-G2079</f>
        <v>2</v>
      </c>
      <c r="O2079" s="7"/>
      <c r="P2079" s="7">
        <f>IF((G2087-G2079)&gt;0,G2087-G2079,0)</f>
        <v>0</v>
      </c>
      <c r="Q2079" s="7">
        <f>IF((G2079-G2087)&gt;0,G2079-G2087,0)</f>
        <v>0</v>
      </c>
      <c r="R2079" s="218"/>
      <c r="S2079" s="14"/>
      <c r="T2079" s="14"/>
      <c r="U2079" s="14"/>
      <c r="V2079" s="14"/>
      <c r="W2079" s="14"/>
      <c r="X2079" s="14"/>
      <c r="Y2079" s="14"/>
      <c r="Z2079" s="14"/>
      <c r="AA2079" s="14"/>
      <c r="AB2079" s="14"/>
      <c r="AC2079" s="14"/>
      <c r="AD2079" s="14"/>
      <c r="AE2079" s="14"/>
      <c r="AF2079" s="14"/>
      <c r="AG2079" s="14"/>
      <c r="AH2079" s="14"/>
      <c r="AI2079" s="14"/>
      <c r="AJ2079" s="14"/>
      <c r="AK2079" s="14"/>
    </row>
    <row r="2080" spans="2:37" ht="14.25" thickBot="1" x14ac:dyDescent="0.3">
      <c r="B2080" s="5">
        <v>273672</v>
      </c>
      <c r="C2080" s="6">
        <v>1135750</v>
      </c>
      <c r="D2080" s="6" t="s">
        <v>9</v>
      </c>
      <c r="E2080" s="215">
        <v>204000000000</v>
      </c>
      <c r="F2080" s="215"/>
      <c r="G2080" s="7">
        <v>27</v>
      </c>
      <c r="H2080" s="7"/>
      <c r="I2080" s="7"/>
      <c r="J2080" s="7"/>
      <c r="K2080" s="7">
        <v>12</v>
      </c>
      <c r="L2080" s="7">
        <f>18+13</f>
        <v>31</v>
      </c>
      <c r="M2080" s="7"/>
      <c r="N2080" s="7">
        <f>L2080-G2080</f>
        <v>4</v>
      </c>
      <c r="O2080" s="7"/>
      <c r="P2080" s="7">
        <f>IF((G2088-G2080)&gt;0,G2088-G2080,0)</f>
        <v>0</v>
      </c>
      <c r="Q2080" s="7">
        <f>IF((G2080-G2088)&gt;0,G2080-G2088,0)</f>
        <v>0</v>
      </c>
      <c r="R2080" s="218"/>
      <c r="S2080" s="14"/>
      <c r="T2080" s="14"/>
      <c r="U2080" s="14"/>
      <c r="V2080" s="14"/>
      <c r="W2080" s="14"/>
      <c r="X2080" s="14"/>
      <c r="Y2080" s="14"/>
      <c r="Z2080" s="14"/>
      <c r="AA2080" s="14"/>
      <c r="AB2080" s="14"/>
      <c r="AC2080" s="14"/>
      <c r="AD2080" s="14"/>
      <c r="AE2080" s="14"/>
      <c r="AF2080" s="14"/>
      <c r="AG2080" s="14"/>
      <c r="AH2080" s="14"/>
      <c r="AI2080" s="14"/>
      <c r="AJ2080" s="14"/>
      <c r="AK2080" s="14"/>
    </row>
    <row r="2081" spans="2:37" ht="14.25" thickBot="1" x14ac:dyDescent="0.3">
      <c r="B2081" s="5">
        <v>273702</v>
      </c>
      <c r="C2081" s="6">
        <v>1135753</v>
      </c>
      <c r="D2081" s="6" t="s">
        <v>10</v>
      </c>
      <c r="E2081" s="215">
        <v>301000000000</v>
      </c>
      <c r="F2081" s="215"/>
      <c r="G2081" s="7">
        <v>0</v>
      </c>
      <c r="H2081" s="7"/>
      <c r="I2081" s="7"/>
      <c r="J2081" s="7"/>
      <c r="K2081" s="7">
        <v>2</v>
      </c>
      <c r="L2081" s="7">
        <v>1</v>
      </c>
      <c r="M2081" s="7"/>
      <c r="N2081" s="7">
        <f>L2081-G2081</f>
        <v>1</v>
      </c>
      <c r="O2081" s="7"/>
      <c r="P2081" s="7">
        <f>IF((G2089-G2081)&gt;0,G2089-G2081,0)</f>
        <v>0</v>
      </c>
      <c r="Q2081" s="7">
        <f>IF((G2081-G2089)&gt;0,G2081-G2089,0)</f>
        <v>0</v>
      </c>
      <c r="R2081" s="218"/>
      <c r="S2081" s="14"/>
      <c r="T2081" s="14"/>
      <c r="U2081" s="14"/>
      <c r="V2081" s="14"/>
      <c r="W2081" s="14"/>
      <c r="X2081" s="14"/>
      <c r="Y2081" s="14"/>
      <c r="Z2081" s="14"/>
      <c r="AA2081" s="14"/>
      <c r="AB2081" s="14"/>
      <c r="AC2081" s="14"/>
      <c r="AD2081" s="14"/>
      <c r="AE2081" s="14"/>
      <c r="AF2081" s="14"/>
      <c r="AG2081" s="14"/>
      <c r="AH2081" s="14"/>
      <c r="AI2081" s="14"/>
      <c r="AJ2081" s="14"/>
      <c r="AK2081" s="14"/>
    </row>
    <row r="2082" spans="2:37" ht="14.25" thickBot="1" x14ac:dyDescent="0.3">
      <c r="B2082" s="5">
        <v>273698</v>
      </c>
      <c r="C2082" s="6">
        <v>1135752</v>
      </c>
      <c r="D2082" s="6" t="s">
        <v>11</v>
      </c>
      <c r="E2082" s="215">
        <v>701000000000</v>
      </c>
      <c r="F2082" s="215"/>
      <c r="G2082" s="7">
        <v>7</v>
      </c>
      <c r="H2082" s="7"/>
      <c r="I2082" s="7"/>
      <c r="J2082" s="7"/>
      <c r="K2082" s="7">
        <v>2</v>
      </c>
      <c r="L2082" s="7">
        <f>5+3</f>
        <v>8</v>
      </c>
      <c r="M2082" s="7"/>
      <c r="N2082" s="7">
        <f>L2082-G2082</f>
        <v>1</v>
      </c>
      <c r="O2082" s="7"/>
      <c r="P2082" s="7">
        <f>IF((G2090-G2082)&gt;0,G2090-G2082,0)</f>
        <v>0</v>
      </c>
      <c r="Q2082" s="7">
        <f>IF((G2082-G2090)&gt;0,G2082-G2090,0)</f>
        <v>0</v>
      </c>
      <c r="R2082" s="218"/>
      <c r="S2082" s="14"/>
      <c r="T2082" s="14"/>
      <c r="U2082" s="14"/>
      <c r="V2082" s="14"/>
      <c r="W2082" s="14"/>
      <c r="X2082" s="14"/>
      <c r="Y2082" s="14"/>
      <c r="Z2082" s="14"/>
      <c r="AA2082" s="14"/>
      <c r="AB2082" s="14"/>
      <c r="AC2082" s="14"/>
      <c r="AD2082" s="14"/>
      <c r="AE2082" s="14"/>
      <c r="AF2082" s="14"/>
      <c r="AG2082" s="14"/>
      <c r="AH2082" s="14"/>
      <c r="AI2082" s="14"/>
      <c r="AJ2082" s="14"/>
      <c r="AK2082" s="14"/>
    </row>
    <row r="2083" spans="2:37" ht="14.25" thickBot="1" x14ac:dyDescent="0.3">
      <c r="B2083" s="5">
        <v>273680</v>
      </c>
      <c r="C2083" s="6">
        <v>1135751</v>
      </c>
      <c r="D2083" s="6" t="s">
        <v>12</v>
      </c>
      <c r="E2083" s="6" t="s">
        <v>13</v>
      </c>
      <c r="F2083" s="6"/>
      <c r="G2083" s="7">
        <v>16</v>
      </c>
      <c r="H2083" s="7"/>
      <c r="I2083" s="7"/>
      <c r="J2083" s="7"/>
      <c r="K2083" s="7">
        <v>10</v>
      </c>
      <c r="L2083" s="7">
        <f>11+6</f>
        <v>17</v>
      </c>
      <c r="M2083" s="7"/>
      <c r="N2083" s="7">
        <f>L2083-G2083</f>
        <v>1</v>
      </c>
      <c r="O2083" s="7"/>
      <c r="P2083" s="7">
        <f>IF((G2091-G2083)&gt;0,G2091-G2083,0)</f>
        <v>0</v>
      </c>
      <c r="Q2083" s="7">
        <f>IF((G2083-G2091)&gt;0,G2083-G2091,0)</f>
        <v>0</v>
      </c>
      <c r="R2083" s="218"/>
      <c r="S2083" s="14"/>
      <c r="T2083" s="14"/>
      <c r="U2083" s="14"/>
      <c r="V2083" s="14"/>
      <c r="W2083" s="14"/>
      <c r="X2083" s="14"/>
      <c r="Y2083" s="14"/>
      <c r="Z2083" s="14"/>
      <c r="AA2083" s="14"/>
      <c r="AB2083" s="14"/>
      <c r="AC2083" s="14"/>
      <c r="AD2083" s="14"/>
      <c r="AE2083" s="14"/>
      <c r="AF2083" s="14"/>
      <c r="AG2083" s="14"/>
      <c r="AH2083" s="14"/>
      <c r="AI2083" s="14"/>
      <c r="AJ2083" s="14"/>
      <c r="AK2083" s="14"/>
    </row>
    <row r="2085" spans="2:37" ht="14.25" thickBot="1" x14ac:dyDescent="0.3">
      <c r="B2085" s="338" t="s">
        <v>0</v>
      </c>
      <c r="C2085" s="339">
        <v>45208</v>
      </c>
      <c r="S2085" s="14"/>
      <c r="T2085" s="14"/>
      <c r="U2085" s="14"/>
      <c r="V2085" s="14"/>
      <c r="W2085" s="14"/>
      <c r="X2085" s="14"/>
      <c r="Y2085" s="14"/>
      <c r="Z2085" s="14"/>
      <c r="AA2085" s="14"/>
      <c r="AB2085" s="14"/>
      <c r="AC2085" s="14"/>
      <c r="AD2085" s="14"/>
      <c r="AE2085" s="14"/>
      <c r="AF2085" s="14"/>
      <c r="AG2085" s="14"/>
      <c r="AH2085" s="14"/>
      <c r="AI2085" s="14"/>
      <c r="AJ2085" s="14"/>
      <c r="AK2085" s="14"/>
    </row>
    <row r="2086" spans="2:37" ht="14.25" thickBot="1" x14ac:dyDescent="0.3">
      <c r="B2086" s="2" t="s">
        <v>0</v>
      </c>
      <c r="C2086" s="3" t="s">
        <v>1</v>
      </c>
      <c r="D2086" s="3" t="s">
        <v>2</v>
      </c>
      <c r="E2086" s="3" t="s">
        <v>3</v>
      </c>
      <c r="F2086" s="3"/>
      <c r="G2086" s="4" t="s">
        <v>4</v>
      </c>
      <c r="H2086" s="4"/>
      <c r="I2086" s="3" t="s">
        <v>5</v>
      </c>
      <c r="J2086" s="3"/>
      <c r="K2086" s="3" t="s">
        <v>262</v>
      </c>
      <c r="L2086" s="3" t="s">
        <v>266</v>
      </c>
      <c r="M2086" s="3"/>
      <c r="N2086" s="3" t="s">
        <v>130</v>
      </c>
      <c r="O2086" s="3"/>
      <c r="P2086" s="3" t="s">
        <v>268</v>
      </c>
      <c r="Q2086" s="3" t="s">
        <v>269</v>
      </c>
      <c r="R2086" s="217"/>
      <c r="S2086" s="14"/>
      <c r="T2086" s="14"/>
      <c r="U2086" s="14"/>
      <c r="V2086" s="14"/>
      <c r="W2086" s="14"/>
      <c r="X2086" s="14"/>
      <c r="Y2086" s="14"/>
      <c r="Z2086" s="14"/>
      <c r="AA2086" s="14"/>
      <c r="AB2086" s="14"/>
      <c r="AC2086" s="14"/>
      <c r="AD2086" s="14"/>
      <c r="AE2086" s="14"/>
      <c r="AF2086" s="14"/>
      <c r="AG2086" s="14"/>
      <c r="AH2086" s="14"/>
      <c r="AI2086" s="14"/>
      <c r="AJ2086" s="14"/>
      <c r="AK2086" s="14"/>
    </row>
    <row r="2087" spans="2:37" ht="14.25" thickBot="1" x14ac:dyDescent="0.3">
      <c r="B2087" s="5">
        <v>273664</v>
      </c>
      <c r="C2087" s="6">
        <v>1135749</v>
      </c>
      <c r="D2087" s="6" t="s">
        <v>7</v>
      </c>
      <c r="E2087" s="6">
        <v>6060050026</v>
      </c>
      <c r="F2087" s="6"/>
      <c r="G2087" s="7">
        <v>8</v>
      </c>
      <c r="H2087" s="7"/>
      <c r="I2087" s="7"/>
      <c r="J2087" s="7"/>
      <c r="K2087" s="7"/>
      <c r="L2087" s="7"/>
      <c r="M2087" s="7"/>
      <c r="N2087" s="7">
        <f>L2087-G2087</f>
        <v>-8</v>
      </c>
      <c r="O2087" s="7"/>
      <c r="P2087" s="7">
        <f>IF((G2095-G2087)&gt;0,G2095-G2087,0)</f>
        <v>0</v>
      </c>
      <c r="Q2087" s="7">
        <f>IF((G2087-G2095)&gt;0,G2087-G2095,0)</f>
        <v>0</v>
      </c>
      <c r="R2087" s="218"/>
      <c r="S2087" s="14"/>
      <c r="T2087" s="14"/>
      <c r="U2087" s="14"/>
      <c r="V2087" s="14"/>
      <c r="W2087" s="14"/>
      <c r="X2087" s="14"/>
      <c r="Y2087" s="14"/>
      <c r="Z2087" s="14"/>
      <c r="AA2087" s="14"/>
      <c r="AB2087" s="14"/>
      <c r="AC2087" s="14"/>
      <c r="AD2087" s="14"/>
      <c r="AE2087" s="14"/>
      <c r="AF2087" s="14"/>
      <c r="AG2087" s="14"/>
      <c r="AH2087" s="14"/>
      <c r="AI2087" s="14"/>
      <c r="AJ2087" s="14"/>
      <c r="AK2087" s="14"/>
    </row>
    <row r="2088" spans="2:37" ht="14.25" thickBot="1" x14ac:dyDescent="0.3">
      <c r="B2088" s="5">
        <v>273672</v>
      </c>
      <c r="C2088" s="6">
        <v>1135750</v>
      </c>
      <c r="D2088" s="6" t="s">
        <v>9</v>
      </c>
      <c r="E2088" s="215">
        <v>204000000000</v>
      </c>
      <c r="F2088" s="215"/>
      <c r="G2088" s="7">
        <v>27</v>
      </c>
      <c r="H2088" s="7"/>
      <c r="I2088" s="7"/>
      <c r="J2088" s="7"/>
      <c r="K2088" s="7"/>
      <c r="L2088" s="7"/>
      <c r="M2088" s="7"/>
      <c r="N2088" s="7">
        <f>L2088-G2088</f>
        <v>-27</v>
      </c>
      <c r="O2088" s="7"/>
      <c r="P2088" s="7">
        <f>IF((G2096-G2088)&gt;0,G2096-G2088,0)</f>
        <v>0</v>
      </c>
      <c r="Q2088" s="7">
        <f>IF((G2088-G2096)&gt;0,G2088-G2096,0)</f>
        <v>0</v>
      </c>
      <c r="R2088" s="218"/>
      <c r="S2088" s="14"/>
      <c r="T2088" s="14"/>
      <c r="U2088" s="14"/>
      <c r="V2088" s="14"/>
      <c r="W2088" s="14"/>
      <c r="X2088" s="14"/>
      <c r="Y2088" s="14"/>
      <c r="Z2088" s="14"/>
      <c r="AA2088" s="14"/>
      <c r="AB2088" s="14"/>
      <c r="AC2088" s="14"/>
      <c r="AD2088" s="14"/>
      <c r="AE2088" s="14"/>
      <c r="AF2088" s="14"/>
      <c r="AG2088" s="14"/>
      <c r="AH2088" s="14"/>
      <c r="AI2088" s="14"/>
      <c r="AJ2088" s="14"/>
      <c r="AK2088" s="14"/>
    </row>
    <row r="2089" spans="2:37" ht="14.25" thickBot="1" x14ac:dyDescent="0.3">
      <c r="B2089" s="5">
        <v>273702</v>
      </c>
      <c r="C2089" s="6">
        <v>1135753</v>
      </c>
      <c r="D2089" s="6" t="s">
        <v>10</v>
      </c>
      <c r="E2089" s="215">
        <v>301000000000</v>
      </c>
      <c r="F2089" s="215"/>
      <c r="G2089" s="7">
        <v>0</v>
      </c>
      <c r="H2089" s="7"/>
      <c r="I2089" s="7"/>
      <c r="J2089" s="7"/>
      <c r="K2089" s="7"/>
      <c r="L2089" s="7"/>
      <c r="M2089" s="7"/>
      <c r="N2089" s="7">
        <f>L2089-G2089</f>
        <v>0</v>
      </c>
      <c r="O2089" s="7"/>
      <c r="P2089" s="7">
        <f>IF((G2097-G2089)&gt;0,G2097-G2089,0)</f>
        <v>1</v>
      </c>
      <c r="Q2089" s="7">
        <f>IF((G2089-G2097)&gt;0,G2089-G2097,0)</f>
        <v>0</v>
      </c>
      <c r="R2089" s="218"/>
      <c r="S2089" s="14"/>
      <c r="T2089" s="14"/>
      <c r="U2089" s="14"/>
      <c r="V2089" s="14"/>
      <c r="W2089" s="14"/>
      <c r="X2089" s="14"/>
      <c r="Y2089" s="14"/>
      <c r="Z2089" s="14"/>
      <c r="AA2089" s="14"/>
      <c r="AB2089" s="14"/>
      <c r="AC2089" s="14"/>
      <c r="AD2089" s="14"/>
      <c r="AE2089" s="14"/>
      <c r="AF2089" s="14"/>
      <c r="AG2089" s="14"/>
      <c r="AH2089" s="14"/>
      <c r="AI2089" s="14"/>
      <c r="AJ2089" s="14"/>
      <c r="AK2089" s="14"/>
    </row>
    <row r="2090" spans="2:37" ht="14.25" thickBot="1" x14ac:dyDescent="0.3">
      <c r="B2090" s="5">
        <v>273698</v>
      </c>
      <c r="C2090" s="6">
        <v>1135752</v>
      </c>
      <c r="D2090" s="6" t="s">
        <v>11</v>
      </c>
      <c r="E2090" s="215">
        <v>701000000000</v>
      </c>
      <c r="F2090" s="215"/>
      <c r="G2090" s="7">
        <v>7</v>
      </c>
      <c r="H2090" s="7"/>
      <c r="I2090" s="7"/>
      <c r="J2090" s="7"/>
      <c r="K2090" s="7"/>
      <c r="L2090" s="7"/>
      <c r="M2090" s="7"/>
      <c r="N2090" s="7">
        <f>L2090-G2090</f>
        <v>-7</v>
      </c>
      <c r="O2090" s="7"/>
      <c r="P2090" s="7">
        <f>IF((G2098-G2090)&gt;0,G2098-G2090,0)</f>
        <v>0</v>
      </c>
      <c r="Q2090" s="7">
        <f>IF((G2090-G2098)&gt;0,G2090-G2098,0)</f>
        <v>0</v>
      </c>
      <c r="R2090" s="218"/>
      <c r="S2090" s="14"/>
      <c r="T2090" s="14"/>
      <c r="U2090" s="14"/>
      <c r="V2090" s="14"/>
      <c r="W2090" s="14"/>
      <c r="X2090" s="14"/>
      <c r="Y2090" s="14"/>
      <c r="Z2090" s="14"/>
      <c r="AA2090" s="14"/>
      <c r="AB2090" s="14"/>
      <c r="AC2090" s="14"/>
      <c r="AD2090" s="14"/>
      <c r="AE2090" s="14"/>
      <c r="AF2090" s="14"/>
      <c r="AG2090" s="14"/>
      <c r="AH2090" s="14"/>
      <c r="AI2090" s="14"/>
      <c r="AJ2090" s="14"/>
      <c r="AK2090" s="14"/>
    </row>
    <row r="2091" spans="2:37" ht="14.25" thickBot="1" x14ac:dyDescent="0.3">
      <c r="B2091" s="5">
        <v>273680</v>
      </c>
      <c r="C2091" s="6">
        <v>1135751</v>
      </c>
      <c r="D2091" s="6" t="s">
        <v>12</v>
      </c>
      <c r="E2091" s="6" t="s">
        <v>13</v>
      </c>
      <c r="F2091" s="6"/>
      <c r="G2091" s="7">
        <v>16</v>
      </c>
      <c r="H2091" s="7"/>
      <c r="I2091" s="7"/>
      <c r="J2091" s="7"/>
      <c r="K2091" s="7"/>
      <c r="L2091" s="7"/>
      <c r="M2091" s="7"/>
      <c r="N2091" s="7">
        <f>L2091-G2091</f>
        <v>-16</v>
      </c>
      <c r="O2091" s="7"/>
      <c r="P2091" s="7">
        <f>IF((G2099-G2091)&gt;0,G2099-G2091,0)</f>
        <v>0</v>
      </c>
      <c r="Q2091" s="7">
        <f>IF((G2091-G2099)&gt;0,G2091-G2099,0)</f>
        <v>0</v>
      </c>
      <c r="R2091" s="218"/>
      <c r="S2091" s="14"/>
      <c r="T2091" s="14"/>
      <c r="U2091" s="14"/>
      <c r="V2091" s="14"/>
      <c r="W2091" s="14"/>
      <c r="X2091" s="14"/>
      <c r="Y2091" s="14"/>
      <c r="Z2091" s="14"/>
      <c r="AA2091" s="14"/>
      <c r="AB2091" s="14"/>
      <c r="AC2091" s="14"/>
      <c r="AD2091" s="14"/>
      <c r="AE2091" s="14"/>
      <c r="AF2091" s="14"/>
      <c r="AG2091" s="14"/>
      <c r="AH2091" s="14"/>
      <c r="AI2091" s="14"/>
      <c r="AJ2091" s="14"/>
      <c r="AK2091" s="14"/>
    </row>
    <row r="2093" spans="2:37" ht="14.25" thickBot="1" x14ac:dyDescent="0.3">
      <c r="B2093" s="338" t="s">
        <v>0</v>
      </c>
      <c r="C2093" s="339">
        <v>45201</v>
      </c>
      <c r="S2093" s="14"/>
      <c r="T2093" s="14"/>
      <c r="U2093" s="14"/>
      <c r="V2093" s="14"/>
      <c r="W2093" s="14"/>
      <c r="X2093" s="14"/>
      <c r="Y2093" s="14"/>
      <c r="Z2093" s="14"/>
      <c r="AA2093" s="14"/>
      <c r="AB2093" s="14"/>
      <c r="AC2093" s="14"/>
      <c r="AD2093" s="14"/>
      <c r="AE2093" s="14"/>
      <c r="AF2093" s="14"/>
      <c r="AG2093" s="14"/>
      <c r="AH2093" s="14"/>
      <c r="AI2093" s="14"/>
      <c r="AJ2093" s="14"/>
      <c r="AK2093" s="14"/>
    </row>
    <row r="2094" spans="2:37" ht="14.25" thickBot="1" x14ac:dyDescent="0.3">
      <c r="B2094" s="2" t="s">
        <v>0</v>
      </c>
      <c r="C2094" s="3" t="s">
        <v>1</v>
      </c>
      <c r="D2094" s="3" t="s">
        <v>2</v>
      </c>
      <c r="E2094" s="3" t="s">
        <v>3</v>
      </c>
      <c r="F2094" s="3"/>
      <c r="G2094" s="4" t="s">
        <v>4</v>
      </c>
      <c r="H2094" s="4"/>
      <c r="I2094" s="3" t="s">
        <v>262</v>
      </c>
      <c r="J2094" s="3"/>
      <c r="K2094" s="3" t="s">
        <v>262</v>
      </c>
      <c r="L2094" s="3" t="s">
        <v>266</v>
      </c>
      <c r="M2094" s="3"/>
      <c r="N2094" s="3" t="s">
        <v>130</v>
      </c>
      <c r="O2094" s="3"/>
      <c r="P2094" s="3" t="s">
        <v>268</v>
      </c>
      <c r="Q2094" s="3" t="s">
        <v>269</v>
      </c>
      <c r="R2094" s="217"/>
      <c r="S2094" s="14"/>
      <c r="T2094" s="14"/>
      <c r="U2094" s="14"/>
      <c r="V2094" s="14"/>
      <c r="W2094" s="14"/>
      <c r="X2094" s="14"/>
      <c r="Y2094" s="14"/>
      <c r="Z2094" s="14"/>
      <c r="AA2094" s="14"/>
      <c r="AB2094" s="14"/>
      <c r="AC2094" s="14"/>
      <c r="AD2094" s="14"/>
      <c r="AE2094" s="14"/>
      <c r="AF2094" s="14"/>
      <c r="AG2094" s="14"/>
      <c r="AH2094" s="14"/>
      <c r="AI2094" s="14"/>
      <c r="AJ2094" s="14"/>
      <c r="AK2094" s="14"/>
    </row>
    <row r="2095" spans="2:37" ht="14.25" thickBot="1" x14ac:dyDescent="0.3">
      <c r="B2095" s="5">
        <v>273664</v>
      </c>
      <c r="C2095" s="6">
        <v>1135749</v>
      </c>
      <c r="D2095" s="6" t="s">
        <v>7</v>
      </c>
      <c r="E2095" s="6">
        <v>6060050026</v>
      </c>
      <c r="F2095" s="6"/>
      <c r="G2095" s="7">
        <v>8</v>
      </c>
      <c r="H2095" s="7"/>
      <c r="I2095" s="7">
        <v>5</v>
      </c>
      <c r="J2095" s="7"/>
      <c r="K2095" s="7"/>
      <c r="L2095" s="7"/>
      <c r="M2095" s="7"/>
      <c r="N2095" s="7">
        <f>L2095-G2095</f>
        <v>-8</v>
      </c>
      <c r="O2095" s="7"/>
      <c r="P2095" s="7">
        <f>IF((G2103-G2095)&gt;0,G2103-G2095,0)</f>
        <v>0</v>
      </c>
      <c r="Q2095" s="7">
        <f>IF((G2095-G2103)&gt;0,G2095-G2103,0)</f>
        <v>0</v>
      </c>
      <c r="R2095" s="218"/>
      <c r="S2095" s="14"/>
      <c r="T2095" s="14"/>
      <c r="U2095" s="14"/>
      <c r="V2095" s="14"/>
      <c r="W2095" s="14"/>
      <c r="X2095" s="14"/>
      <c r="Y2095" s="14"/>
      <c r="Z2095" s="14"/>
      <c r="AA2095" s="14"/>
      <c r="AB2095" s="14"/>
      <c r="AC2095" s="14"/>
      <c r="AD2095" s="14"/>
      <c r="AE2095" s="14"/>
      <c r="AF2095" s="14"/>
      <c r="AG2095" s="14"/>
      <c r="AH2095" s="14"/>
      <c r="AI2095" s="14"/>
      <c r="AJ2095" s="14"/>
      <c r="AK2095" s="14"/>
    </row>
    <row r="2096" spans="2:37" ht="14.25" thickBot="1" x14ac:dyDescent="0.3">
      <c r="B2096" s="5">
        <v>273672</v>
      </c>
      <c r="C2096" s="6">
        <v>1135750</v>
      </c>
      <c r="D2096" s="6" t="s">
        <v>9</v>
      </c>
      <c r="E2096" s="215">
        <v>204000000000</v>
      </c>
      <c r="F2096" s="215"/>
      <c r="G2096" s="7">
        <v>27</v>
      </c>
      <c r="H2096" s="7"/>
      <c r="I2096" s="7">
        <v>13</v>
      </c>
      <c r="J2096" s="7"/>
      <c r="K2096" s="7"/>
      <c r="L2096" s="7"/>
      <c r="M2096" s="7"/>
      <c r="N2096" s="7">
        <f>L2096-G2096</f>
        <v>-27</v>
      </c>
      <c r="O2096" s="7"/>
      <c r="P2096" s="7">
        <f>IF((G2104-G2096)&gt;0,G2104-G2096,0)</f>
        <v>0</v>
      </c>
      <c r="Q2096" s="7">
        <f>IF((G2096-G2104)&gt;0,G2096-G2104,0)</f>
        <v>0</v>
      </c>
      <c r="R2096" s="218"/>
      <c r="S2096" s="14"/>
      <c r="T2096" s="14"/>
      <c r="U2096" s="14"/>
      <c r="V2096" s="14"/>
      <c r="W2096" s="14"/>
      <c r="X2096" s="14"/>
      <c r="Y2096" s="14"/>
      <c r="Z2096" s="14"/>
      <c r="AA2096" s="14"/>
      <c r="AB2096" s="14"/>
      <c r="AC2096" s="14"/>
      <c r="AD2096" s="14"/>
      <c r="AE2096" s="14"/>
      <c r="AF2096" s="14"/>
      <c r="AG2096" s="14"/>
      <c r="AH2096" s="14"/>
      <c r="AI2096" s="14"/>
      <c r="AJ2096" s="14"/>
      <c r="AK2096" s="14"/>
    </row>
    <row r="2097" spans="2:37" ht="14.25" thickBot="1" x14ac:dyDescent="0.3">
      <c r="B2097" s="5">
        <v>273702</v>
      </c>
      <c r="C2097" s="6">
        <v>1135753</v>
      </c>
      <c r="D2097" s="6" t="s">
        <v>10</v>
      </c>
      <c r="E2097" s="215">
        <v>301000000000</v>
      </c>
      <c r="F2097" s="215"/>
      <c r="G2097" s="7">
        <v>1</v>
      </c>
      <c r="H2097" s="7"/>
      <c r="I2097" s="7">
        <v>2</v>
      </c>
      <c r="J2097" s="7"/>
      <c r="K2097" s="7"/>
      <c r="L2097" s="7"/>
      <c r="M2097" s="7"/>
      <c r="N2097" s="7">
        <f>L2097-G2097</f>
        <v>-1</v>
      </c>
      <c r="O2097" s="7"/>
      <c r="P2097" s="7">
        <f>IF((G2105-G2097)&gt;0,G2105-G2097,0)</f>
        <v>0</v>
      </c>
      <c r="Q2097" s="7">
        <f>IF((G2097-G2105)&gt;0,G2097-G2105,0)</f>
        <v>0</v>
      </c>
      <c r="R2097" s="218"/>
      <c r="S2097" s="14"/>
      <c r="T2097" s="14"/>
      <c r="U2097" s="14"/>
      <c r="V2097" s="14"/>
      <c r="W2097" s="14"/>
      <c r="X2097" s="14"/>
      <c r="Y2097" s="14"/>
      <c r="Z2097" s="14"/>
      <c r="AA2097" s="14"/>
      <c r="AB2097" s="14"/>
      <c r="AC2097" s="14"/>
      <c r="AD2097" s="14"/>
      <c r="AE2097" s="14"/>
      <c r="AF2097" s="14"/>
      <c r="AG2097" s="14"/>
      <c r="AH2097" s="14"/>
      <c r="AI2097" s="14"/>
      <c r="AJ2097" s="14"/>
      <c r="AK2097" s="14"/>
    </row>
    <row r="2098" spans="2:37" ht="14.25" thickBot="1" x14ac:dyDescent="0.3">
      <c r="B2098" s="5">
        <v>273698</v>
      </c>
      <c r="C2098" s="6">
        <v>1135752</v>
      </c>
      <c r="D2098" s="6" t="s">
        <v>11</v>
      </c>
      <c r="E2098" s="215">
        <v>701000000000</v>
      </c>
      <c r="F2098" s="215"/>
      <c r="G2098" s="7">
        <v>7</v>
      </c>
      <c r="H2098" s="7"/>
      <c r="I2098" s="7">
        <v>2</v>
      </c>
      <c r="J2098" s="7"/>
      <c r="K2098" s="7"/>
      <c r="L2098" s="7"/>
      <c r="M2098" s="7"/>
      <c r="N2098" s="7">
        <f>L2098-G2098</f>
        <v>-7</v>
      </c>
      <c r="O2098" s="7"/>
      <c r="P2098" s="7">
        <f>IF((G2106-G2098)&gt;0,G2106-G2098,0)</f>
        <v>0</v>
      </c>
      <c r="Q2098" s="7">
        <f>IF((G2098-G2106)&gt;0,G2098-G2106,0)</f>
        <v>0</v>
      </c>
      <c r="R2098" s="218"/>
      <c r="S2098" s="14"/>
      <c r="T2098" s="14"/>
      <c r="U2098" s="14"/>
      <c r="V2098" s="14"/>
      <c r="W2098" s="14"/>
      <c r="X2098" s="14"/>
      <c r="Y2098" s="14"/>
      <c r="Z2098" s="14"/>
      <c r="AA2098" s="14"/>
      <c r="AB2098" s="14"/>
      <c r="AC2098" s="14"/>
      <c r="AD2098" s="14"/>
      <c r="AE2098" s="14"/>
      <c r="AF2098" s="14"/>
      <c r="AG2098" s="14"/>
      <c r="AH2098" s="14"/>
      <c r="AI2098" s="14"/>
      <c r="AJ2098" s="14"/>
      <c r="AK2098" s="14"/>
    </row>
    <row r="2099" spans="2:37" ht="14.25" thickBot="1" x14ac:dyDescent="0.3">
      <c r="B2099" s="5">
        <v>273680</v>
      </c>
      <c r="C2099" s="6">
        <v>1135751</v>
      </c>
      <c r="D2099" s="6" t="s">
        <v>12</v>
      </c>
      <c r="E2099" s="6" t="s">
        <v>13</v>
      </c>
      <c r="F2099" s="6"/>
      <c r="G2099" s="7">
        <v>16</v>
      </c>
      <c r="H2099" s="7"/>
      <c r="I2099" s="7">
        <v>10</v>
      </c>
      <c r="J2099" s="7"/>
      <c r="K2099" s="7"/>
      <c r="L2099" s="7"/>
      <c r="M2099" s="7"/>
      <c r="N2099" s="7">
        <f>L2099-G2099</f>
        <v>-16</v>
      </c>
      <c r="O2099" s="7"/>
      <c r="P2099" s="7">
        <f>IF((G2107-G2099)&gt;0,G2107-G2099,0)</f>
        <v>0</v>
      </c>
      <c r="Q2099" s="7">
        <f>IF((G2099-G2107)&gt;0,G2099-G2107,0)</f>
        <v>0</v>
      </c>
      <c r="R2099" s="218"/>
      <c r="S2099" s="14"/>
      <c r="T2099" s="14"/>
      <c r="U2099" s="14"/>
      <c r="V2099" s="14"/>
      <c r="W2099" s="14"/>
      <c r="X2099" s="14"/>
      <c r="Y2099" s="14"/>
      <c r="Z2099" s="14"/>
      <c r="AA2099" s="14"/>
      <c r="AB2099" s="14"/>
      <c r="AC2099" s="14"/>
      <c r="AD2099" s="14"/>
      <c r="AE2099" s="14"/>
      <c r="AF2099" s="14"/>
      <c r="AG2099" s="14"/>
      <c r="AH2099" s="14"/>
      <c r="AI2099" s="14"/>
      <c r="AJ2099" s="14"/>
      <c r="AK2099" s="14"/>
    </row>
    <row r="2101" spans="2:37" ht="14.25" thickBot="1" x14ac:dyDescent="0.3">
      <c r="B2101" s="338" t="s">
        <v>18</v>
      </c>
      <c r="C2101" s="339">
        <v>45194</v>
      </c>
      <c r="S2101" s="14"/>
      <c r="T2101" s="14"/>
      <c r="U2101" s="14"/>
      <c r="V2101" s="14"/>
      <c r="W2101" s="14"/>
      <c r="X2101" s="14"/>
      <c r="Y2101" s="14"/>
      <c r="Z2101" s="14"/>
      <c r="AA2101" s="14"/>
      <c r="AB2101" s="14"/>
      <c r="AC2101" s="14"/>
      <c r="AD2101" s="14"/>
      <c r="AE2101" s="14"/>
      <c r="AF2101" s="14"/>
      <c r="AG2101" s="14"/>
      <c r="AH2101" s="14"/>
      <c r="AI2101" s="14"/>
      <c r="AJ2101" s="14"/>
      <c r="AK2101" s="14"/>
    </row>
    <row r="2102" spans="2:37" ht="14.25" thickBot="1" x14ac:dyDescent="0.3">
      <c r="B2102" s="2" t="s">
        <v>0</v>
      </c>
      <c r="C2102" s="3" t="s">
        <v>1</v>
      </c>
      <c r="D2102" s="3" t="s">
        <v>2</v>
      </c>
      <c r="E2102" s="3" t="s">
        <v>3</v>
      </c>
      <c r="F2102" s="3"/>
      <c r="G2102" s="4" t="s">
        <v>4</v>
      </c>
      <c r="H2102" s="4"/>
      <c r="I2102" s="3" t="s">
        <v>5</v>
      </c>
      <c r="J2102" s="3"/>
      <c r="K2102" s="3" t="s">
        <v>262</v>
      </c>
      <c r="L2102" s="3" t="s">
        <v>266</v>
      </c>
      <c r="M2102" s="3"/>
      <c r="N2102" s="3" t="s">
        <v>130</v>
      </c>
      <c r="O2102" s="3"/>
      <c r="P2102" s="3" t="s">
        <v>268</v>
      </c>
      <c r="Q2102" s="3" t="s">
        <v>269</v>
      </c>
      <c r="R2102" s="217"/>
      <c r="S2102" s="14"/>
      <c r="T2102" s="14"/>
      <c r="U2102" s="14"/>
      <c r="V2102" s="14"/>
      <c r="W2102" s="14"/>
      <c r="X2102" s="14"/>
      <c r="Y2102" s="14"/>
      <c r="Z2102" s="14"/>
      <c r="AA2102" s="14"/>
      <c r="AB2102" s="14"/>
      <c r="AC2102" s="14"/>
      <c r="AD2102" s="14"/>
      <c r="AE2102" s="14"/>
      <c r="AF2102" s="14"/>
      <c r="AG2102" s="14"/>
      <c r="AH2102" s="14"/>
      <c r="AI2102" s="14"/>
      <c r="AJ2102" s="14"/>
      <c r="AK2102" s="14"/>
    </row>
    <row r="2103" spans="2:37" ht="14.25" thickBot="1" x14ac:dyDescent="0.3">
      <c r="B2103" s="5">
        <v>273664</v>
      </c>
      <c r="C2103" s="6">
        <v>1135749</v>
      </c>
      <c r="D2103" s="6" t="s">
        <v>7</v>
      </c>
      <c r="E2103" s="6">
        <v>6060050026</v>
      </c>
      <c r="F2103" s="6"/>
      <c r="G2103" s="7">
        <v>8</v>
      </c>
      <c r="H2103" s="7"/>
      <c r="I2103" s="7"/>
      <c r="J2103" s="7"/>
      <c r="K2103" s="7"/>
      <c r="L2103" s="7"/>
      <c r="M2103" s="7"/>
      <c r="N2103" s="7">
        <f>L2103-G2103</f>
        <v>-8</v>
      </c>
      <c r="O2103" s="7"/>
      <c r="P2103" s="7">
        <f>IF((G2111-G2103)&gt;0,G2111-G2103,0)</f>
        <v>0</v>
      </c>
      <c r="Q2103" s="7">
        <f>IF((G2103-G2111)&gt;0,G2103-G2111,0)</f>
        <v>0</v>
      </c>
      <c r="R2103" s="218"/>
      <c r="S2103" s="14"/>
      <c r="T2103" s="14"/>
      <c r="U2103" s="14"/>
      <c r="V2103" s="14"/>
      <c r="W2103" s="14"/>
      <c r="X2103" s="14"/>
      <c r="Y2103" s="14"/>
      <c r="Z2103" s="14"/>
      <c r="AA2103" s="14"/>
      <c r="AB2103" s="14"/>
      <c r="AC2103" s="14"/>
      <c r="AD2103" s="14"/>
      <c r="AE2103" s="14"/>
      <c r="AF2103" s="14"/>
      <c r="AG2103" s="14"/>
      <c r="AH2103" s="14"/>
      <c r="AI2103" s="14"/>
      <c r="AJ2103" s="14"/>
      <c r="AK2103" s="14"/>
    </row>
    <row r="2104" spans="2:37" ht="14.25" thickBot="1" x14ac:dyDescent="0.3">
      <c r="B2104" s="5">
        <v>273672</v>
      </c>
      <c r="C2104" s="6">
        <v>1135750</v>
      </c>
      <c r="D2104" s="6" t="s">
        <v>9</v>
      </c>
      <c r="E2104" s="215">
        <v>204000000000</v>
      </c>
      <c r="F2104" s="215"/>
      <c r="G2104" s="7">
        <v>27</v>
      </c>
      <c r="H2104" s="7"/>
      <c r="I2104" s="7"/>
      <c r="J2104" s="7"/>
      <c r="K2104" s="7"/>
      <c r="L2104" s="7"/>
      <c r="M2104" s="7"/>
      <c r="N2104" s="7">
        <f>L2104-G2104</f>
        <v>-27</v>
      </c>
      <c r="O2104" s="7"/>
      <c r="P2104" s="7">
        <f>IF((G2112-G2104)&gt;0,G2112-G2104,0)</f>
        <v>0</v>
      </c>
      <c r="Q2104" s="7">
        <f>IF((G2104-G2112)&gt;0,G2104-G2112,0)</f>
        <v>0</v>
      </c>
      <c r="R2104" s="218"/>
      <c r="S2104" s="14"/>
      <c r="T2104" s="14"/>
      <c r="U2104" s="14"/>
      <c r="V2104" s="14"/>
      <c r="W2104" s="14"/>
      <c r="X2104" s="14"/>
      <c r="Y2104" s="14"/>
      <c r="Z2104" s="14"/>
      <c r="AA2104" s="14"/>
      <c r="AB2104" s="14"/>
      <c r="AC2104" s="14"/>
      <c r="AD2104" s="14"/>
      <c r="AE2104" s="14"/>
      <c r="AF2104" s="14"/>
      <c r="AG2104" s="14"/>
      <c r="AH2104" s="14"/>
      <c r="AI2104" s="14"/>
      <c r="AJ2104" s="14"/>
      <c r="AK2104" s="14"/>
    </row>
    <row r="2105" spans="2:37" ht="14.25" thickBot="1" x14ac:dyDescent="0.3">
      <c r="B2105" s="5">
        <v>273702</v>
      </c>
      <c r="C2105" s="6">
        <v>1135753</v>
      </c>
      <c r="D2105" s="6" t="s">
        <v>10</v>
      </c>
      <c r="E2105" s="215">
        <v>301000000000</v>
      </c>
      <c r="F2105" s="215"/>
      <c r="G2105" s="7">
        <v>1</v>
      </c>
      <c r="H2105" s="7"/>
      <c r="I2105" s="7"/>
      <c r="J2105" s="7"/>
      <c r="K2105" s="7"/>
      <c r="L2105" s="7"/>
      <c r="M2105" s="7"/>
      <c r="N2105" s="7">
        <f>L2105-G2105</f>
        <v>-1</v>
      </c>
      <c r="O2105" s="7"/>
      <c r="P2105" s="7">
        <f>IF((G2113-G2105)&gt;0,G2113-G2105,0)</f>
        <v>0</v>
      </c>
      <c r="Q2105" s="7">
        <f>IF((G2105-G2113)&gt;0,G2105-G2113,0)</f>
        <v>0</v>
      </c>
      <c r="R2105" s="218"/>
      <c r="S2105" s="14"/>
      <c r="T2105" s="14"/>
      <c r="U2105" s="14"/>
      <c r="V2105" s="14"/>
      <c r="W2105" s="14"/>
      <c r="X2105" s="14"/>
      <c r="Y2105" s="14"/>
      <c r="Z2105" s="14"/>
      <c r="AA2105" s="14"/>
      <c r="AB2105" s="14"/>
      <c r="AC2105" s="14"/>
      <c r="AD2105" s="14"/>
      <c r="AE2105" s="14"/>
      <c r="AF2105" s="14"/>
      <c r="AG2105" s="14"/>
      <c r="AH2105" s="14"/>
      <c r="AI2105" s="14"/>
      <c r="AJ2105" s="14"/>
      <c r="AK2105" s="14"/>
    </row>
    <row r="2106" spans="2:37" ht="14.25" thickBot="1" x14ac:dyDescent="0.3">
      <c r="B2106" s="5">
        <v>273698</v>
      </c>
      <c r="C2106" s="6">
        <v>1135752</v>
      </c>
      <c r="D2106" s="6" t="s">
        <v>11</v>
      </c>
      <c r="E2106" s="215">
        <v>701000000000</v>
      </c>
      <c r="F2106" s="215"/>
      <c r="G2106" s="7">
        <v>7</v>
      </c>
      <c r="H2106" s="7"/>
      <c r="I2106" s="7"/>
      <c r="J2106" s="7"/>
      <c r="K2106" s="7"/>
      <c r="L2106" s="7"/>
      <c r="M2106" s="7"/>
      <c r="N2106" s="7">
        <f>L2106-G2106</f>
        <v>-7</v>
      </c>
      <c r="O2106" s="7"/>
      <c r="P2106" s="7">
        <f>IF((G2114-G2106)&gt;0,G2114-G2106,0)</f>
        <v>0</v>
      </c>
      <c r="Q2106" s="7">
        <f>IF((G2106-G2114)&gt;0,G2106-G2114,0)</f>
        <v>0</v>
      </c>
      <c r="R2106" s="218"/>
      <c r="S2106" s="14"/>
      <c r="T2106" s="14"/>
      <c r="U2106" s="14"/>
      <c r="V2106" s="14"/>
      <c r="W2106" s="14"/>
      <c r="X2106" s="14"/>
      <c r="Y2106" s="14"/>
      <c r="Z2106" s="14"/>
      <c r="AA2106" s="14"/>
      <c r="AB2106" s="14"/>
      <c r="AC2106" s="14"/>
      <c r="AD2106" s="14"/>
      <c r="AE2106" s="14"/>
      <c r="AF2106" s="14"/>
      <c r="AG2106" s="14"/>
      <c r="AH2106" s="14"/>
      <c r="AI2106" s="14"/>
      <c r="AJ2106" s="14"/>
      <c r="AK2106" s="14"/>
    </row>
    <row r="2107" spans="2:37" ht="14.25" thickBot="1" x14ac:dyDescent="0.3">
      <c r="B2107" s="5">
        <v>273680</v>
      </c>
      <c r="C2107" s="6">
        <v>1135751</v>
      </c>
      <c r="D2107" s="6" t="s">
        <v>12</v>
      </c>
      <c r="E2107" s="6" t="s">
        <v>13</v>
      </c>
      <c r="F2107" s="6"/>
      <c r="G2107" s="7">
        <v>16</v>
      </c>
      <c r="H2107" s="7"/>
      <c r="I2107" s="7"/>
      <c r="J2107" s="7"/>
      <c r="K2107" s="7"/>
      <c r="L2107" s="7"/>
      <c r="M2107" s="7"/>
      <c r="N2107" s="7">
        <f>L2107-G2107</f>
        <v>-16</v>
      </c>
      <c r="O2107" s="7"/>
      <c r="P2107" s="7">
        <f>IF((G2115-G2107)&gt;0,G2115-G2107,0)</f>
        <v>0</v>
      </c>
      <c r="Q2107" s="7">
        <f>IF((G2107-G2115)&gt;0,G2107-G2115,0)</f>
        <v>0</v>
      </c>
      <c r="R2107" s="218"/>
      <c r="S2107" s="14"/>
      <c r="T2107" s="14"/>
      <c r="U2107" s="14"/>
      <c r="V2107" s="14"/>
      <c r="W2107" s="14"/>
      <c r="X2107" s="14"/>
      <c r="Y2107" s="14"/>
      <c r="Z2107" s="14"/>
      <c r="AA2107" s="14"/>
      <c r="AB2107" s="14"/>
      <c r="AC2107" s="14"/>
      <c r="AD2107" s="14"/>
      <c r="AE2107" s="14"/>
      <c r="AF2107" s="14"/>
      <c r="AG2107" s="14"/>
      <c r="AH2107" s="14"/>
      <c r="AI2107" s="14"/>
      <c r="AJ2107" s="14"/>
      <c r="AK2107" s="14"/>
    </row>
    <row r="2109" spans="2:37" ht="14.25" thickBot="1" x14ac:dyDescent="0.3">
      <c r="B2109" s="338" t="s">
        <v>18</v>
      </c>
      <c r="C2109" s="339">
        <v>45180</v>
      </c>
      <c r="S2109" s="14"/>
      <c r="T2109" s="14"/>
      <c r="U2109" s="14"/>
      <c r="V2109" s="14"/>
      <c r="W2109" s="14"/>
      <c r="X2109" s="14"/>
      <c r="Y2109" s="14"/>
      <c r="Z2109" s="14"/>
      <c r="AA2109" s="14"/>
      <c r="AB2109" s="14"/>
      <c r="AC2109" s="14"/>
      <c r="AD2109" s="14"/>
      <c r="AE2109" s="14"/>
      <c r="AF2109" s="14"/>
      <c r="AG2109" s="14"/>
      <c r="AH2109" s="14"/>
      <c r="AI2109" s="14"/>
      <c r="AJ2109" s="14"/>
      <c r="AK2109" s="14"/>
    </row>
    <row r="2110" spans="2:37" ht="14.25" thickBot="1" x14ac:dyDescent="0.3">
      <c r="B2110" s="2" t="s">
        <v>0</v>
      </c>
      <c r="C2110" s="3" t="s">
        <v>1</v>
      </c>
      <c r="D2110" s="3" t="s">
        <v>2</v>
      </c>
      <c r="E2110" s="3" t="s">
        <v>3</v>
      </c>
      <c r="F2110" s="3"/>
      <c r="G2110" s="4" t="s">
        <v>4</v>
      </c>
      <c r="H2110" s="4"/>
      <c r="I2110" s="3" t="s">
        <v>262</v>
      </c>
      <c r="J2110" s="3"/>
      <c r="K2110" s="3" t="s">
        <v>262</v>
      </c>
      <c r="L2110" s="3" t="s">
        <v>266</v>
      </c>
      <c r="M2110" s="3"/>
      <c r="N2110" s="3" t="s">
        <v>130</v>
      </c>
      <c r="O2110" s="3"/>
      <c r="P2110" s="3" t="s">
        <v>268</v>
      </c>
      <c r="Q2110" s="3" t="s">
        <v>269</v>
      </c>
      <c r="R2110" s="217"/>
      <c r="S2110" s="14"/>
      <c r="T2110" s="14"/>
      <c r="U2110" s="14"/>
      <c r="V2110" s="14"/>
      <c r="W2110" s="14"/>
      <c r="X2110" s="14"/>
      <c r="Y2110" s="14"/>
      <c r="Z2110" s="14"/>
      <c r="AA2110" s="14"/>
      <c r="AB2110" s="14"/>
      <c r="AC2110" s="14"/>
      <c r="AD2110" s="14"/>
      <c r="AE2110" s="14"/>
      <c r="AF2110" s="14"/>
      <c r="AG2110" s="14"/>
      <c r="AH2110" s="14"/>
      <c r="AI2110" s="14"/>
      <c r="AJ2110" s="14"/>
      <c r="AK2110" s="14"/>
    </row>
    <row r="2111" spans="2:37" ht="14.25" thickBot="1" x14ac:dyDescent="0.3">
      <c r="B2111" s="5">
        <v>273664</v>
      </c>
      <c r="C2111" s="6">
        <v>1135749</v>
      </c>
      <c r="D2111" s="6" t="s">
        <v>7</v>
      </c>
      <c r="E2111" s="6">
        <v>6060050026</v>
      </c>
      <c r="F2111" s="6"/>
      <c r="G2111" s="7">
        <v>8</v>
      </c>
      <c r="H2111" s="7"/>
      <c r="I2111" s="7">
        <v>6</v>
      </c>
      <c r="J2111" s="7"/>
      <c r="K2111" s="7"/>
      <c r="L2111" s="7"/>
      <c r="M2111" s="7"/>
      <c r="N2111" s="7">
        <f>L2111-G2111</f>
        <v>-8</v>
      </c>
      <c r="O2111" s="7"/>
      <c r="P2111" s="7">
        <f>IF((G2119-G2111)&gt;0,G2119-G2111,0)</f>
        <v>0</v>
      </c>
      <c r="Q2111" s="7">
        <f>IF((G2111-G2119)&gt;0,G2111-G2119,0)</f>
        <v>0</v>
      </c>
      <c r="R2111" s="218"/>
      <c r="S2111" s="14"/>
      <c r="T2111" s="14"/>
      <c r="U2111" s="14"/>
      <c r="V2111" s="14"/>
      <c r="W2111" s="14"/>
      <c r="X2111" s="14"/>
      <c r="Y2111" s="14"/>
      <c r="Z2111" s="14"/>
      <c r="AA2111" s="14"/>
      <c r="AB2111" s="14"/>
      <c r="AC2111" s="14"/>
      <c r="AD2111" s="14"/>
      <c r="AE2111" s="14"/>
      <c r="AF2111" s="14"/>
      <c r="AG2111" s="14"/>
      <c r="AH2111" s="14"/>
      <c r="AI2111" s="14"/>
      <c r="AJ2111" s="14"/>
      <c r="AK2111" s="14"/>
    </row>
    <row r="2112" spans="2:37" ht="14.25" thickBot="1" x14ac:dyDescent="0.3">
      <c r="B2112" s="5">
        <v>273672</v>
      </c>
      <c r="C2112" s="6">
        <v>1135750</v>
      </c>
      <c r="D2112" s="6" t="s">
        <v>9</v>
      </c>
      <c r="E2112" s="6" t="s">
        <v>15</v>
      </c>
      <c r="F2112" s="6"/>
      <c r="G2112" s="7">
        <v>27</v>
      </c>
      <c r="H2112" s="7"/>
      <c r="I2112" s="7">
        <v>16</v>
      </c>
      <c r="J2112" s="7"/>
      <c r="K2112" s="7"/>
      <c r="L2112" s="7"/>
      <c r="M2112" s="7"/>
      <c r="N2112" s="7">
        <f>L2112-G2112</f>
        <v>-27</v>
      </c>
      <c r="O2112" s="7"/>
      <c r="P2112" s="7">
        <f>IF((G2120-G2112)&gt;0,G2120-G2112,0)</f>
        <v>0</v>
      </c>
      <c r="Q2112" s="7">
        <f>IF((G2112-G2120)&gt;0,G2112-G2120,0)</f>
        <v>0</v>
      </c>
      <c r="R2112" s="218"/>
      <c r="S2112" s="14"/>
      <c r="T2112" s="14"/>
      <c r="U2112" s="14"/>
      <c r="V2112" s="14"/>
      <c r="W2112" s="14"/>
      <c r="X2112" s="14"/>
      <c r="Y2112" s="14"/>
      <c r="Z2112" s="14"/>
      <c r="AA2112" s="14"/>
      <c r="AB2112" s="14"/>
      <c r="AC2112" s="14"/>
      <c r="AD2112" s="14"/>
      <c r="AE2112" s="14"/>
      <c r="AF2112" s="14"/>
      <c r="AG2112" s="14"/>
      <c r="AH2112" s="14"/>
      <c r="AI2112" s="14"/>
      <c r="AJ2112" s="14"/>
      <c r="AK2112" s="14"/>
    </row>
    <row r="2113" spans="2:37" ht="14.25" thickBot="1" x14ac:dyDescent="0.3">
      <c r="B2113" s="5">
        <v>273702</v>
      </c>
      <c r="C2113" s="6">
        <v>1135753</v>
      </c>
      <c r="D2113" s="6" t="s">
        <v>10</v>
      </c>
      <c r="E2113" s="6" t="s">
        <v>16</v>
      </c>
      <c r="F2113" s="6"/>
      <c r="G2113" s="7">
        <v>1</v>
      </c>
      <c r="H2113" s="7"/>
      <c r="I2113" s="7">
        <v>2</v>
      </c>
      <c r="J2113" s="7"/>
      <c r="K2113" s="7"/>
      <c r="L2113" s="7"/>
      <c r="M2113" s="7"/>
      <c r="N2113" s="7">
        <f>L2113-G2113</f>
        <v>-1</v>
      </c>
      <c r="O2113" s="7"/>
      <c r="P2113" s="7">
        <f>IF((G2121-G2113)&gt;0,G2121-G2113,0)</f>
        <v>0</v>
      </c>
      <c r="Q2113" s="7">
        <f>IF((G2113-G2121)&gt;0,G2113-G2121,0)</f>
        <v>0</v>
      </c>
      <c r="R2113" s="218"/>
      <c r="S2113" s="14"/>
      <c r="T2113" s="14"/>
      <c r="U2113" s="14"/>
      <c r="V2113" s="14"/>
      <c r="W2113" s="14"/>
      <c r="X2113" s="14"/>
      <c r="Y2113" s="14"/>
      <c r="Z2113" s="14"/>
      <c r="AA2113" s="14"/>
      <c r="AB2113" s="14"/>
      <c r="AC2113" s="14"/>
      <c r="AD2113" s="14"/>
      <c r="AE2113" s="14"/>
      <c r="AF2113" s="14"/>
      <c r="AG2113" s="14"/>
      <c r="AH2113" s="14"/>
      <c r="AI2113" s="14"/>
      <c r="AJ2113" s="14"/>
      <c r="AK2113" s="14"/>
    </row>
    <row r="2114" spans="2:37" ht="14.25" thickBot="1" x14ac:dyDescent="0.3">
      <c r="B2114" s="5">
        <v>273698</v>
      </c>
      <c r="C2114" s="6">
        <v>1135752</v>
      </c>
      <c r="D2114" s="6" t="s">
        <v>11</v>
      </c>
      <c r="E2114" s="6" t="s">
        <v>17</v>
      </c>
      <c r="F2114" s="6"/>
      <c r="G2114" s="7">
        <v>7</v>
      </c>
      <c r="H2114" s="7"/>
      <c r="I2114" s="7">
        <v>2</v>
      </c>
      <c r="J2114" s="7"/>
      <c r="K2114" s="7"/>
      <c r="L2114" s="7"/>
      <c r="M2114" s="7"/>
      <c r="N2114" s="7">
        <f>L2114-G2114</f>
        <v>-7</v>
      </c>
      <c r="O2114" s="7"/>
      <c r="P2114" s="7">
        <f>IF((G2122-G2114)&gt;0,G2122-G2114,0)</f>
        <v>0</v>
      </c>
      <c r="Q2114" s="7">
        <f>IF((G2114-G2122)&gt;0,G2114-G2122,0)</f>
        <v>0</v>
      </c>
      <c r="R2114" s="218"/>
      <c r="S2114" s="14"/>
      <c r="T2114" s="14"/>
      <c r="U2114" s="14"/>
      <c r="V2114" s="14"/>
      <c r="W2114" s="14"/>
      <c r="X2114" s="14"/>
      <c r="Y2114" s="14"/>
      <c r="Z2114" s="14"/>
      <c r="AA2114" s="14"/>
      <c r="AB2114" s="14"/>
      <c r="AC2114" s="14"/>
      <c r="AD2114" s="14"/>
      <c r="AE2114" s="14"/>
      <c r="AF2114" s="14"/>
      <c r="AG2114" s="14"/>
      <c r="AH2114" s="14"/>
      <c r="AI2114" s="14"/>
      <c r="AJ2114" s="14"/>
      <c r="AK2114" s="14"/>
    </row>
    <row r="2115" spans="2:37" ht="14.25" thickBot="1" x14ac:dyDescent="0.3">
      <c r="B2115" s="5">
        <v>273680</v>
      </c>
      <c r="C2115" s="6">
        <v>1135751</v>
      </c>
      <c r="D2115" s="6" t="s">
        <v>12</v>
      </c>
      <c r="E2115" s="6" t="s">
        <v>13</v>
      </c>
      <c r="F2115" s="6"/>
      <c r="G2115" s="7">
        <v>16</v>
      </c>
      <c r="H2115" s="7"/>
      <c r="I2115" s="7">
        <v>10</v>
      </c>
      <c r="J2115" s="7"/>
      <c r="K2115" s="7"/>
      <c r="L2115" s="7"/>
      <c r="M2115" s="7"/>
      <c r="N2115" s="7">
        <f>L2115-G2115</f>
        <v>-16</v>
      </c>
      <c r="O2115" s="7"/>
      <c r="P2115" s="7">
        <f>IF((G2123-G2115)&gt;0,G2123-G2115,0)</f>
        <v>0</v>
      </c>
      <c r="Q2115" s="7">
        <f>IF((G2115-G2123)&gt;0,G2115-G2123,0)</f>
        <v>11</v>
      </c>
      <c r="R2115" s="218"/>
      <c r="S2115" s="14"/>
      <c r="T2115" s="14"/>
      <c r="U2115" s="14"/>
      <c r="V2115" s="14"/>
      <c r="W2115" s="14"/>
      <c r="X2115" s="14"/>
      <c r="Y2115" s="14"/>
      <c r="Z2115" s="14"/>
      <c r="AA2115" s="14"/>
      <c r="AB2115" s="14"/>
      <c r="AC2115" s="14"/>
      <c r="AD2115" s="14"/>
      <c r="AE2115" s="14"/>
      <c r="AF2115" s="14"/>
      <c r="AG2115" s="14"/>
      <c r="AH2115" s="14"/>
      <c r="AI2115" s="14"/>
      <c r="AJ2115" s="14"/>
      <c r="AK2115" s="14"/>
    </row>
    <row r="2117" spans="2:37" ht="14.25" thickBot="1" x14ac:dyDescent="0.3">
      <c r="B2117" s="338" t="s">
        <v>18</v>
      </c>
      <c r="C2117" s="339">
        <v>45173</v>
      </c>
      <c r="S2117" s="14"/>
      <c r="T2117" s="14"/>
      <c r="U2117" s="14"/>
      <c r="V2117" s="14"/>
      <c r="W2117" s="14"/>
      <c r="X2117" s="14"/>
      <c r="Y2117" s="14"/>
      <c r="Z2117" s="14"/>
      <c r="AA2117" s="14"/>
      <c r="AB2117" s="14"/>
      <c r="AC2117" s="14"/>
      <c r="AD2117" s="14"/>
      <c r="AE2117" s="14"/>
      <c r="AF2117" s="14"/>
      <c r="AG2117" s="14"/>
      <c r="AH2117" s="14"/>
      <c r="AI2117" s="14"/>
      <c r="AJ2117" s="14"/>
      <c r="AK2117" s="14"/>
    </row>
    <row r="2118" spans="2:37" ht="14.25" thickBot="1" x14ac:dyDescent="0.3">
      <c r="B2118" s="2" t="s">
        <v>0</v>
      </c>
      <c r="C2118" s="3" t="s">
        <v>1</v>
      </c>
      <c r="D2118" s="3" t="s">
        <v>2</v>
      </c>
      <c r="E2118" s="3" t="s">
        <v>3</v>
      </c>
      <c r="F2118" s="3"/>
      <c r="G2118" s="4" t="s">
        <v>4</v>
      </c>
      <c r="H2118" s="4"/>
      <c r="I2118" s="3" t="s">
        <v>5</v>
      </c>
      <c r="J2118" s="217"/>
      <c r="P2118" s="3" t="s">
        <v>268</v>
      </c>
      <c r="Q2118" s="3" t="s">
        <v>269</v>
      </c>
      <c r="R2118" s="217"/>
      <c r="S2118" s="14"/>
      <c r="T2118" s="14"/>
      <c r="U2118" s="14"/>
      <c r="V2118" s="14"/>
      <c r="W2118" s="14"/>
      <c r="X2118" s="14"/>
      <c r="Y2118" s="14"/>
      <c r="Z2118" s="14"/>
      <c r="AA2118" s="14"/>
      <c r="AB2118" s="14"/>
      <c r="AC2118" s="14"/>
      <c r="AD2118" s="14"/>
      <c r="AE2118" s="14"/>
      <c r="AF2118" s="14"/>
      <c r="AG2118" s="14"/>
      <c r="AH2118" s="14"/>
      <c r="AI2118" s="14"/>
      <c r="AJ2118" s="14"/>
      <c r="AK2118" s="14"/>
    </row>
    <row r="2119" spans="2:37" ht="14.25" thickBot="1" x14ac:dyDescent="0.3">
      <c r="B2119" s="5">
        <v>273664</v>
      </c>
      <c r="C2119" s="6">
        <v>1135749</v>
      </c>
      <c r="D2119" s="6" t="s">
        <v>7</v>
      </c>
      <c r="E2119" s="6">
        <v>6060050026</v>
      </c>
      <c r="F2119" s="6"/>
      <c r="G2119" s="7">
        <v>8</v>
      </c>
      <c r="H2119" s="7"/>
      <c r="I2119" s="7"/>
      <c r="J2119" s="218"/>
      <c r="P2119" s="7">
        <f>IF((G2127-G2119)&gt;0,G2127-G2119,0)</f>
        <v>0</v>
      </c>
      <c r="Q2119" s="7">
        <f>IF((G2119-G2127)&gt;0,G2119-G2127,0)</f>
        <v>0</v>
      </c>
      <c r="R2119" s="218"/>
      <c r="S2119" s="14"/>
      <c r="T2119" s="14"/>
      <c r="U2119" s="14"/>
      <c r="V2119" s="14"/>
      <c r="W2119" s="14"/>
      <c r="X2119" s="14"/>
      <c r="Y2119" s="14"/>
      <c r="Z2119" s="14"/>
      <c r="AA2119" s="14"/>
      <c r="AB2119" s="14"/>
      <c r="AC2119" s="14"/>
      <c r="AD2119" s="14"/>
      <c r="AE2119" s="14"/>
      <c r="AF2119" s="14"/>
      <c r="AG2119" s="14"/>
      <c r="AH2119" s="14"/>
      <c r="AI2119" s="14"/>
      <c r="AJ2119" s="14"/>
      <c r="AK2119" s="14"/>
    </row>
    <row r="2120" spans="2:37" ht="14.25" thickBot="1" x14ac:dyDescent="0.3">
      <c r="B2120" s="5">
        <v>273672</v>
      </c>
      <c r="C2120" s="6">
        <v>1135750</v>
      </c>
      <c r="D2120" s="6" t="s">
        <v>9</v>
      </c>
      <c r="E2120" s="6" t="s">
        <v>15</v>
      </c>
      <c r="F2120" s="6"/>
      <c r="G2120" s="7">
        <v>27</v>
      </c>
      <c r="H2120" s="7"/>
      <c r="I2120" s="7"/>
      <c r="J2120" s="218"/>
      <c r="P2120" s="7">
        <f>IF((G2128-G2120)&gt;0,G2128-G2120,0)</f>
        <v>0</v>
      </c>
      <c r="Q2120" s="7">
        <f>IF((G2120-G2128)&gt;0,G2120-G2128,0)</f>
        <v>0</v>
      </c>
      <c r="R2120" s="218"/>
      <c r="S2120" s="14"/>
      <c r="T2120" s="14"/>
      <c r="U2120" s="14"/>
      <c r="V2120" s="14"/>
      <c r="W2120" s="14"/>
      <c r="X2120" s="14"/>
      <c r="Y2120" s="14"/>
      <c r="Z2120" s="14"/>
      <c r="AA2120" s="14"/>
      <c r="AB2120" s="14"/>
      <c r="AC2120" s="14"/>
      <c r="AD2120" s="14"/>
      <c r="AE2120" s="14"/>
      <c r="AF2120" s="14"/>
      <c r="AG2120" s="14"/>
      <c r="AH2120" s="14"/>
      <c r="AI2120" s="14"/>
      <c r="AJ2120" s="14"/>
      <c r="AK2120" s="14"/>
    </row>
    <row r="2121" spans="2:37" ht="14.25" thickBot="1" x14ac:dyDescent="0.3">
      <c r="B2121" s="5">
        <v>273702</v>
      </c>
      <c r="C2121" s="6">
        <v>1135753</v>
      </c>
      <c r="D2121" s="6" t="s">
        <v>10</v>
      </c>
      <c r="E2121" s="6" t="s">
        <v>16</v>
      </c>
      <c r="F2121" s="6"/>
      <c r="G2121" s="7">
        <v>1</v>
      </c>
      <c r="H2121" s="7"/>
      <c r="I2121" s="7"/>
      <c r="J2121" s="218"/>
      <c r="P2121" s="7">
        <f>IF((G2129-G2121)&gt;0,G2129-G2121,0)</f>
        <v>0</v>
      </c>
      <c r="Q2121" s="7">
        <f>IF((G2121-G2129)&gt;0,G2121-G2129,0)</f>
        <v>0</v>
      </c>
      <c r="R2121" s="218"/>
      <c r="S2121" s="14"/>
      <c r="T2121" s="14"/>
      <c r="U2121" s="14"/>
      <c r="V2121" s="14"/>
      <c r="W2121" s="14"/>
      <c r="X2121" s="14"/>
      <c r="Y2121" s="14"/>
      <c r="Z2121" s="14"/>
      <c r="AA2121" s="14"/>
      <c r="AB2121" s="14"/>
      <c r="AC2121" s="14"/>
      <c r="AD2121" s="14"/>
      <c r="AE2121" s="14"/>
      <c r="AF2121" s="14"/>
      <c r="AG2121" s="14"/>
      <c r="AH2121" s="14"/>
      <c r="AI2121" s="14"/>
      <c r="AJ2121" s="14"/>
      <c r="AK2121" s="14"/>
    </row>
    <row r="2122" spans="2:37" ht="14.25" thickBot="1" x14ac:dyDescent="0.3">
      <c r="B2122" s="5">
        <v>273698</v>
      </c>
      <c r="C2122" s="6">
        <v>1135752</v>
      </c>
      <c r="D2122" s="6" t="s">
        <v>11</v>
      </c>
      <c r="E2122" s="6" t="s">
        <v>17</v>
      </c>
      <c r="F2122" s="6"/>
      <c r="G2122" s="7">
        <v>7</v>
      </c>
      <c r="H2122" s="7"/>
      <c r="I2122" s="7"/>
      <c r="J2122" s="218"/>
      <c r="P2122" s="7">
        <f>IF((G2130-G2122)&gt;0,G2130-G2122,0)</f>
        <v>0</v>
      </c>
      <c r="Q2122" s="7">
        <f>IF((G2122-G2130)&gt;0,G2122-G2130,0)</f>
        <v>0</v>
      </c>
      <c r="R2122" s="218"/>
      <c r="S2122" s="14"/>
      <c r="T2122" s="14"/>
      <c r="U2122" s="14"/>
      <c r="V2122" s="14"/>
      <c r="W2122" s="14"/>
      <c r="X2122" s="14"/>
      <c r="Y2122" s="14"/>
      <c r="Z2122" s="14"/>
      <c r="AA2122" s="14"/>
      <c r="AB2122" s="14"/>
      <c r="AC2122" s="14"/>
      <c r="AD2122" s="14"/>
      <c r="AE2122" s="14"/>
      <c r="AF2122" s="14"/>
      <c r="AG2122" s="14"/>
      <c r="AH2122" s="14"/>
      <c r="AI2122" s="14"/>
      <c r="AJ2122" s="14"/>
      <c r="AK2122" s="14"/>
    </row>
    <row r="2123" spans="2:37" ht="14.25" thickBot="1" x14ac:dyDescent="0.3">
      <c r="B2123" s="5">
        <v>273680</v>
      </c>
      <c r="C2123" s="6">
        <v>1135751</v>
      </c>
      <c r="D2123" s="6" t="s">
        <v>12</v>
      </c>
      <c r="E2123" s="6" t="s">
        <v>13</v>
      </c>
      <c r="F2123" s="6"/>
      <c r="G2123" s="7">
        <v>5</v>
      </c>
      <c r="H2123" s="7"/>
      <c r="I2123" s="7"/>
      <c r="J2123" s="218"/>
      <c r="P2123" s="7">
        <f>IF((G2131-G2123)&gt;0,G2131-G2123,0)</f>
        <v>0</v>
      </c>
      <c r="Q2123" s="7">
        <f>IF((G2123-G2131)&gt;0,G2123-G2131,0)</f>
        <v>0</v>
      </c>
      <c r="R2123" s="218"/>
      <c r="S2123" s="14"/>
      <c r="T2123" s="14"/>
      <c r="U2123" s="14"/>
      <c r="V2123" s="14"/>
      <c r="W2123" s="14"/>
      <c r="X2123" s="14"/>
      <c r="Y2123" s="14"/>
      <c r="Z2123" s="14"/>
      <c r="AA2123" s="14"/>
      <c r="AB2123" s="14"/>
      <c r="AC2123" s="14"/>
      <c r="AD2123" s="14"/>
      <c r="AE2123" s="14"/>
      <c r="AF2123" s="14"/>
      <c r="AG2123" s="14"/>
      <c r="AH2123" s="14"/>
      <c r="AI2123" s="14"/>
      <c r="AJ2123" s="14"/>
      <c r="AK2123" s="14"/>
    </row>
    <row r="2125" spans="2:37" ht="14.25" thickBot="1" x14ac:dyDescent="0.3">
      <c r="B2125" s="338" t="s">
        <v>18</v>
      </c>
      <c r="C2125" s="339">
        <v>45166</v>
      </c>
      <c r="S2125" s="14"/>
      <c r="T2125" s="14"/>
      <c r="U2125" s="14"/>
      <c r="V2125" s="14"/>
      <c r="W2125" s="14"/>
      <c r="X2125" s="14"/>
      <c r="Y2125" s="14"/>
      <c r="Z2125" s="14"/>
      <c r="AA2125" s="14"/>
      <c r="AB2125" s="14"/>
      <c r="AC2125" s="14"/>
      <c r="AD2125" s="14"/>
      <c r="AE2125" s="14"/>
      <c r="AF2125" s="14"/>
      <c r="AG2125" s="14"/>
      <c r="AH2125" s="14"/>
      <c r="AI2125" s="14"/>
      <c r="AJ2125" s="14"/>
      <c r="AK2125" s="14"/>
    </row>
    <row r="2126" spans="2:37" ht="14.25" thickBot="1" x14ac:dyDescent="0.3">
      <c r="B2126" s="2" t="s">
        <v>0</v>
      </c>
      <c r="C2126" s="3" t="s">
        <v>1</v>
      </c>
      <c r="D2126" s="3" t="s">
        <v>2</v>
      </c>
      <c r="E2126" s="3" t="s">
        <v>3</v>
      </c>
      <c r="F2126" s="3"/>
      <c r="G2126" s="4" t="s">
        <v>4</v>
      </c>
      <c r="H2126" s="4"/>
      <c r="I2126" s="3" t="s">
        <v>5</v>
      </c>
      <c r="J2126" s="217"/>
      <c r="P2126" s="3" t="s">
        <v>268</v>
      </c>
      <c r="Q2126" s="3" t="s">
        <v>269</v>
      </c>
      <c r="R2126" s="217"/>
      <c r="S2126" s="14"/>
      <c r="T2126" s="14"/>
      <c r="U2126" s="14"/>
      <c r="V2126" s="14"/>
      <c r="W2126" s="14"/>
      <c r="X2126" s="14"/>
      <c r="Y2126" s="14"/>
      <c r="Z2126" s="14"/>
      <c r="AA2126" s="14"/>
      <c r="AB2126" s="14"/>
      <c r="AC2126" s="14"/>
      <c r="AD2126" s="14"/>
      <c r="AE2126" s="14"/>
      <c r="AF2126" s="14"/>
      <c r="AG2126" s="14"/>
      <c r="AH2126" s="14"/>
      <c r="AI2126" s="14"/>
      <c r="AJ2126" s="14"/>
      <c r="AK2126" s="14"/>
    </row>
    <row r="2127" spans="2:37" ht="14.25" thickBot="1" x14ac:dyDescent="0.3">
      <c r="B2127" s="5">
        <v>273664</v>
      </c>
      <c r="C2127" s="6">
        <v>1135749</v>
      </c>
      <c r="D2127" s="6" t="s">
        <v>7</v>
      </c>
      <c r="E2127" s="6">
        <v>6060050026</v>
      </c>
      <c r="F2127" s="6"/>
      <c r="G2127" s="7">
        <v>8</v>
      </c>
      <c r="H2127" s="7"/>
      <c r="I2127" s="7"/>
      <c r="J2127" s="218"/>
      <c r="P2127" s="7">
        <f>IF((G2135-G2127)&gt;0,G2135-G2127,0)</f>
        <v>0</v>
      </c>
      <c r="Q2127" s="7">
        <f>IF((G2127-G2135)&gt;0,G2127-G2135,0)</f>
        <v>0</v>
      </c>
      <c r="R2127" s="218"/>
      <c r="S2127" s="14"/>
      <c r="T2127" s="14"/>
      <c r="U2127" s="14"/>
      <c r="V2127" s="14"/>
      <c r="W2127" s="14"/>
      <c r="X2127" s="14"/>
      <c r="Y2127" s="14"/>
      <c r="Z2127" s="14"/>
      <c r="AA2127" s="14"/>
      <c r="AB2127" s="14"/>
      <c r="AC2127" s="14"/>
      <c r="AD2127" s="14"/>
      <c r="AE2127" s="14"/>
      <c r="AF2127" s="14"/>
      <c r="AG2127" s="14"/>
      <c r="AH2127" s="14"/>
      <c r="AI2127" s="14"/>
      <c r="AJ2127" s="14"/>
      <c r="AK2127" s="14"/>
    </row>
    <row r="2128" spans="2:37" ht="14.25" thickBot="1" x14ac:dyDescent="0.3">
      <c r="B2128" s="5">
        <v>273672</v>
      </c>
      <c r="C2128" s="6">
        <v>1135750</v>
      </c>
      <c r="D2128" s="6" t="s">
        <v>9</v>
      </c>
      <c r="E2128" s="6" t="s">
        <v>15</v>
      </c>
      <c r="F2128" s="6"/>
      <c r="G2128" s="7">
        <v>27</v>
      </c>
      <c r="H2128" s="7"/>
      <c r="I2128" s="7"/>
      <c r="J2128" s="218"/>
      <c r="P2128" s="7">
        <f>IF((G2136-G2128)&gt;0,G2136-G2128,0)</f>
        <v>0</v>
      </c>
      <c r="Q2128" s="7">
        <f>IF((G2128-G2136)&gt;0,G2128-G2136,0)</f>
        <v>0</v>
      </c>
      <c r="R2128" s="218"/>
      <c r="S2128" s="14"/>
      <c r="T2128" s="14"/>
      <c r="U2128" s="14"/>
      <c r="V2128" s="14"/>
      <c r="W2128" s="14"/>
      <c r="X2128" s="14"/>
      <c r="Y2128" s="14"/>
      <c r="Z2128" s="14"/>
      <c r="AA2128" s="14"/>
      <c r="AB2128" s="14"/>
      <c r="AC2128" s="14"/>
      <c r="AD2128" s="14"/>
      <c r="AE2128" s="14"/>
      <c r="AF2128" s="14"/>
      <c r="AG2128" s="14"/>
      <c r="AH2128" s="14"/>
      <c r="AI2128" s="14"/>
      <c r="AJ2128" s="14"/>
      <c r="AK2128" s="14"/>
    </row>
    <row r="2129" spans="2:37" ht="14.25" thickBot="1" x14ac:dyDescent="0.3">
      <c r="B2129" s="5">
        <v>273702</v>
      </c>
      <c r="C2129" s="6">
        <v>1135753</v>
      </c>
      <c r="D2129" s="6" t="s">
        <v>10</v>
      </c>
      <c r="E2129" s="6" t="s">
        <v>16</v>
      </c>
      <c r="F2129" s="6"/>
      <c r="G2129" s="7">
        <v>1</v>
      </c>
      <c r="H2129" s="7"/>
      <c r="I2129" s="7"/>
      <c r="J2129" s="218"/>
      <c r="P2129" s="7">
        <f>IF((G2137-G2129)&gt;0,G2137-G2129,0)</f>
        <v>0</v>
      </c>
      <c r="Q2129" s="7">
        <f>IF((G2129-G2137)&gt;0,G2129-G2137,0)</f>
        <v>0</v>
      </c>
      <c r="R2129" s="218"/>
      <c r="S2129" s="14"/>
      <c r="T2129" s="14"/>
      <c r="U2129" s="14"/>
      <c r="V2129" s="14"/>
      <c r="W2129" s="14"/>
      <c r="X2129" s="14"/>
      <c r="Y2129" s="14"/>
      <c r="Z2129" s="14"/>
      <c r="AA2129" s="14"/>
      <c r="AB2129" s="14"/>
      <c r="AC2129" s="14"/>
      <c r="AD2129" s="14"/>
      <c r="AE2129" s="14"/>
      <c r="AF2129" s="14"/>
      <c r="AG2129" s="14"/>
      <c r="AH2129" s="14"/>
      <c r="AI2129" s="14"/>
      <c r="AJ2129" s="14"/>
      <c r="AK2129" s="14"/>
    </row>
    <row r="2130" spans="2:37" ht="14.25" thickBot="1" x14ac:dyDescent="0.3">
      <c r="B2130" s="5">
        <v>273698</v>
      </c>
      <c r="C2130" s="6">
        <v>1135752</v>
      </c>
      <c r="D2130" s="6" t="s">
        <v>11</v>
      </c>
      <c r="E2130" s="6" t="s">
        <v>17</v>
      </c>
      <c r="F2130" s="6"/>
      <c r="G2130" s="7">
        <v>7</v>
      </c>
      <c r="H2130" s="7"/>
      <c r="I2130" s="7"/>
      <c r="J2130" s="218"/>
      <c r="P2130" s="7">
        <f>IF((G2138-G2130)&gt;0,G2138-G2130,0)</f>
        <v>0</v>
      </c>
      <c r="Q2130" s="7">
        <f>IF((G2130-G2138)&gt;0,G2130-G2138,0)</f>
        <v>0</v>
      </c>
      <c r="R2130" s="218"/>
      <c r="S2130" s="14"/>
      <c r="T2130" s="14"/>
      <c r="U2130" s="14"/>
      <c r="V2130" s="14"/>
      <c r="W2130" s="14"/>
      <c r="X2130" s="14"/>
      <c r="Y2130" s="14"/>
      <c r="Z2130" s="14"/>
      <c r="AA2130" s="14"/>
      <c r="AB2130" s="14"/>
      <c r="AC2130" s="14"/>
      <c r="AD2130" s="14"/>
      <c r="AE2130" s="14"/>
      <c r="AF2130" s="14"/>
      <c r="AG2130" s="14"/>
      <c r="AH2130" s="14"/>
      <c r="AI2130" s="14"/>
      <c r="AJ2130" s="14"/>
      <c r="AK2130" s="14"/>
    </row>
    <row r="2131" spans="2:37" ht="14.25" thickBot="1" x14ac:dyDescent="0.3">
      <c r="B2131" s="5">
        <v>273680</v>
      </c>
      <c r="C2131" s="6">
        <v>1135751</v>
      </c>
      <c r="D2131" s="6" t="s">
        <v>12</v>
      </c>
      <c r="E2131" s="6" t="s">
        <v>13</v>
      </c>
      <c r="F2131" s="6"/>
      <c r="G2131" s="7">
        <v>5</v>
      </c>
      <c r="H2131" s="7"/>
      <c r="I2131" s="7"/>
      <c r="J2131" s="218"/>
      <c r="P2131" s="7">
        <f>IF((G2139-G2131)&gt;0,G2139-G2131,0)</f>
        <v>0</v>
      </c>
      <c r="Q2131" s="7">
        <f>IF((G2131-G2139)&gt;0,G2131-G2139,0)</f>
        <v>0</v>
      </c>
      <c r="R2131" s="218"/>
      <c r="S2131" s="14"/>
      <c r="T2131" s="14"/>
      <c r="U2131" s="14"/>
      <c r="V2131" s="14"/>
      <c r="W2131" s="14"/>
      <c r="X2131" s="14"/>
      <c r="Y2131" s="14"/>
      <c r="Z2131" s="14"/>
      <c r="AA2131" s="14"/>
      <c r="AB2131" s="14"/>
      <c r="AC2131" s="14"/>
      <c r="AD2131" s="14"/>
      <c r="AE2131" s="14"/>
      <c r="AF2131" s="14"/>
      <c r="AG2131" s="14"/>
      <c r="AH2131" s="14"/>
      <c r="AI2131" s="14"/>
      <c r="AJ2131" s="14"/>
      <c r="AK2131" s="14"/>
    </row>
    <row r="2133" spans="2:37" ht="14.25" thickBot="1" x14ac:dyDescent="0.3">
      <c r="B2133" s="338" t="s">
        <v>18</v>
      </c>
      <c r="C2133" s="339">
        <v>45145</v>
      </c>
      <c r="S2133" s="14"/>
      <c r="T2133" s="14"/>
      <c r="U2133" s="14"/>
      <c r="V2133" s="14"/>
      <c r="W2133" s="14"/>
      <c r="X2133" s="14"/>
      <c r="Y2133" s="14"/>
      <c r="Z2133" s="14"/>
      <c r="AA2133" s="14"/>
      <c r="AB2133" s="14"/>
      <c r="AC2133" s="14"/>
      <c r="AD2133" s="14"/>
      <c r="AE2133" s="14"/>
      <c r="AF2133" s="14"/>
      <c r="AG2133" s="14"/>
      <c r="AH2133" s="14"/>
      <c r="AI2133" s="14"/>
      <c r="AJ2133" s="14"/>
      <c r="AK2133" s="14"/>
    </row>
    <row r="2134" spans="2:37" ht="14.25" thickBot="1" x14ac:dyDescent="0.3">
      <c r="B2134" s="2" t="s">
        <v>0</v>
      </c>
      <c r="C2134" s="3" t="s">
        <v>1</v>
      </c>
      <c r="D2134" s="3" t="s">
        <v>2</v>
      </c>
      <c r="E2134" s="3" t="s">
        <v>3</v>
      </c>
      <c r="F2134" s="3"/>
      <c r="G2134" s="4" t="s">
        <v>4</v>
      </c>
      <c r="H2134" s="4"/>
      <c r="I2134" s="3" t="s">
        <v>247</v>
      </c>
      <c r="J2134" s="217"/>
      <c r="P2134" s="3" t="s">
        <v>268</v>
      </c>
      <c r="Q2134" s="3" t="s">
        <v>269</v>
      </c>
      <c r="R2134" s="217"/>
      <c r="S2134" s="14"/>
      <c r="T2134" s="14"/>
      <c r="U2134" s="14"/>
      <c r="V2134" s="14"/>
      <c r="W2134" s="14"/>
      <c r="X2134" s="14"/>
      <c r="Y2134" s="14"/>
      <c r="Z2134" s="14"/>
      <c r="AA2134" s="14"/>
      <c r="AB2134" s="14"/>
      <c r="AC2134" s="14"/>
      <c r="AD2134" s="14"/>
      <c r="AE2134" s="14"/>
      <c r="AF2134" s="14"/>
      <c r="AG2134" s="14"/>
      <c r="AH2134" s="14"/>
      <c r="AI2134" s="14"/>
      <c r="AJ2134" s="14"/>
      <c r="AK2134" s="14"/>
    </row>
    <row r="2135" spans="2:37" ht="14.25" thickBot="1" x14ac:dyDescent="0.3">
      <c r="B2135" s="5">
        <v>273664</v>
      </c>
      <c r="C2135" s="6">
        <v>1135749</v>
      </c>
      <c r="D2135" s="6" t="s">
        <v>7</v>
      </c>
      <c r="E2135" s="6">
        <v>6060050026</v>
      </c>
      <c r="F2135" s="6"/>
      <c r="G2135" s="7">
        <v>8</v>
      </c>
      <c r="H2135" s="7"/>
      <c r="I2135" s="7">
        <v>7</v>
      </c>
      <c r="J2135" s="218"/>
      <c r="P2135" s="7">
        <f>IF((G2143-G2135)&gt;0,G2143-G2135,0)</f>
        <v>0</v>
      </c>
      <c r="Q2135" s="7">
        <f>IF((G2135-G2143)&gt;0,G2135-G2143,0)</f>
        <v>0</v>
      </c>
      <c r="R2135" s="218"/>
      <c r="S2135" s="14"/>
      <c r="T2135" s="14"/>
      <c r="U2135" s="14"/>
      <c r="V2135" s="14"/>
      <c r="W2135" s="14"/>
      <c r="X2135" s="14"/>
      <c r="Y2135" s="14"/>
      <c r="Z2135" s="14"/>
      <c r="AA2135" s="14"/>
      <c r="AB2135" s="14"/>
      <c r="AC2135" s="14"/>
      <c r="AD2135" s="14"/>
      <c r="AE2135" s="14"/>
      <c r="AF2135" s="14"/>
      <c r="AG2135" s="14"/>
      <c r="AH2135" s="14"/>
      <c r="AI2135" s="14"/>
      <c r="AJ2135" s="14"/>
      <c r="AK2135" s="14"/>
    </row>
    <row r="2136" spans="2:37" ht="14.25" thickBot="1" x14ac:dyDescent="0.3">
      <c r="B2136" s="5">
        <v>273672</v>
      </c>
      <c r="C2136" s="6">
        <v>1135750</v>
      </c>
      <c r="D2136" s="6" t="s">
        <v>9</v>
      </c>
      <c r="E2136" s="6" t="s">
        <v>15</v>
      </c>
      <c r="F2136" s="6"/>
      <c r="G2136" s="7">
        <v>27</v>
      </c>
      <c r="H2136" s="7"/>
      <c r="I2136" s="7">
        <v>18</v>
      </c>
      <c r="J2136" s="218"/>
      <c r="P2136" s="7">
        <f>IF((G2144-G2136)&gt;0,G2144-G2136,0)</f>
        <v>0</v>
      </c>
      <c r="Q2136" s="7">
        <f>IF((G2136-G2144)&gt;0,G2136-G2144,0)</f>
        <v>0</v>
      </c>
      <c r="R2136" s="218"/>
      <c r="S2136" s="14"/>
      <c r="T2136" s="14"/>
      <c r="U2136" s="14"/>
      <c r="V2136" s="14"/>
      <c r="W2136" s="14"/>
      <c r="X2136" s="14"/>
      <c r="Y2136" s="14"/>
      <c r="Z2136" s="14"/>
      <c r="AA2136" s="14"/>
      <c r="AB2136" s="14"/>
      <c r="AC2136" s="14"/>
      <c r="AD2136" s="14"/>
      <c r="AE2136" s="14"/>
      <c r="AF2136" s="14"/>
      <c r="AG2136" s="14"/>
      <c r="AH2136" s="14"/>
      <c r="AI2136" s="14"/>
      <c r="AJ2136" s="14"/>
      <c r="AK2136" s="14"/>
    </row>
    <row r="2137" spans="2:37" ht="14.25" thickBot="1" x14ac:dyDescent="0.3">
      <c r="B2137" s="5">
        <v>273702</v>
      </c>
      <c r="C2137" s="6">
        <v>1135753</v>
      </c>
      <c r="D2137" s="6" t="s">
        <v>10</v>
      </c>
      <c r="E2137" s="6" t="s">
        <v>16</v>
      </c>
      <c r="F2137" s="6"/>
      <c r="G2137" s="7">
        <v>1</v>
      </c>
      <c r="H2137" s="7"/>
      <c r="I2137" s="7">
        <v>1</v>
      </c>
      <c r="J2137" s="218"/>
      <c r="P2137" s="7">
        <f>IF((G2145-G2137)&gt;0,G2145-G2137,0)</f>
        <v>0</v>
      </c>
      <c r="Q2137" s="7">
        <f>IF((G2137-G2145)&gt;0,G2137-G2145,0)</f>
        <v>0</v>
      </c>
      <c r="R2137" s="218"/>
      <c r="S2137" s="14"/>
      <c r="T2137" s="14"/>
      <c r="U2137" s="14"/>
      <c r="V2137" s="14"/>
      <c r="W2137" s="14"/>
      <c r="X2137" s="14"/>
      <c r="Y2137" s="14"/>
      <c r="Z2137" s="14"/>
      <c r="AA2137" s="14"/>
      <c r="AB2137" s="14"/>
      <c r="AC2137" s="14"/>
      <c r="AD2137" s="14"/>
      <c r="AE2137" s="14"/>
      <c r="AF2137" s="14"/>
      <c r="AG2137" s="14"/>
      <c r="AH2137" s="14"/>
      <c r="AI2137" s="14"/>
      <c r="AJ2137" s="14"/>
      <c r="AK2137" s="14"/>
    </row>
    <row r="2138" spans="2:37" ht="14.25" thickBot="1" x14ac:dyDescent="0.3">
      <c r="B2138" s="5">
        <v>273698</v>
      </c>
      <c r="C2138" s="6">
        <v>1135752</v>
      </c>
      <c r="D2138" s="6" t="s">
        <v>11</v>
      </c>
      <c r="E2138" s="6" t="s">
        <v>17</v>
      </c>
      <c r="F2138" s="6"/>
      <c r="G2138" s="7">
        <v>7</v>
      </c>
      <c r="H2138" s="7"/>
      <c r="I2138" s="7">
        <v>3</v>
      </c>
      <c r="J2138" s="218"/>
      <c r="P2138" s="7">
        <f>IF((G2146-G2138)&gt;0,G2146-G2138,0)</f>
        <v>0</v>
      </c>
      <c r="Q2138" s="7">
        <f>IF((G2138-G2146)&gt;0,G2138-G2146,0)</f>
        <v>0</v>
      </c>
      <c r="R2138" s="218"/>
      <c r="S2138" s="14"/>
      <c r="T2138" s="14"/>
      <c r="U2138" s="14"/>
      <c r="V2138" s="14"/>
      <c r="W2138" s="14"/>
      <c r="X2138" s="14"/>
      <c r="Y2138" s="14"/>
      <c r="Z2138" s="14"/>
      <c r="AA2138" s="14"/>
      <c r="AB2138" s="14"/>
      <c r="AC2138" s="14"/>
      <c r="AD2138" s="14"/>
      <c r="AE2138" s="14"/>
      <c r="AF2138" s="14"/>
      <c r="AG2138" s="14"/>
      <c r="AH2138" s="14"/>
      <c r="AI2138" s="14"/>
      <c r="AJ2138" s="14"/>
      <c r="AK2138" s="14"/>
    </row>
    <row r="2139" spans="2:37" ht="14.25" thickBot="1" x14ac:dyDescent="0.3">
      <c r="B2139" s="5">
        <v>273680</v>
      </c>
      <c r="C2139" s="6">
        <v>1135751</v>
      </c>
      <c r="D2139" s="6" t="s">
        <v>12</v>
      </c>
      <c r="E2139" s="6" t="s">
        <v>13</v>
      </c>
      <c r="F2139" s="6"/>
      <c r="G2139" s="7">
        <v>5</v>
      </c>
      <c r="H2139" s="7"/>
      <c r="I2139" s="7">
        <v>15</v>
      </c>
      <c r="J2139" s="218"/>
      <c r="P2139" s="7">
        <f>IF((G2147-G2139)&gt;0,G2147-G2139,0)</f>
        <v>0</v>
      </c>
      <c r="Q2139" s="7">
        <f>IF((G2139-G2147)&gt;0,G2139-G2147,0)</f>
        <v>0</v>
      </c>
      <c r="R2139" s="218"/>
      <c r="S2139" s="14"/>
      <c r="T2139" s="14"/>
      <c r="U2139" s="14"/>
      <c r="V2139" s="14"/>
      <c r="W2139" s="14"/>
      <c r="X2139" s="14"/>
      <c r="Y2139" s="14"/>
      <c r="Z2139" s="14"/>
      <c r="AA2139" s="14"/>
      <c r="AB2139" s="14"/>
      <c r="AC2139" s="14"/>
      <c r="AD2139" s="14"/>
      <c r="AE2139" s="14"/>
      <c r="AF2139" s="14"/>
      <c r="AG2139" s="14"/>
      <c r="AH2139" s="14"/>
      <c r="AI2139" s="14"/>
      <c r="AJ2139" s="14"/>
      <c r="AK2139" s="14"/>
    </row>
    <row r="2141" spans="2:37" ht="14.25" thickBot="1" x14ac:dyDescent="0.3">
      <c r="B2141" s="338" t="s">
        <v>18</v>
      </c>
      <c r="C2141" s="339">
        <v>45138</v>
      </c>
      <c r="S2141" s="14"/>
      <c r="T2141" s="14"/>
      <c r="U2141" s="14"/>
      <c r="V2141" s="14"/>
      <c r="W2141" s="14"/>
      <c r="X2141" s="14"/>
      <c r="Y2141" s="14"/>
      <c r="Z2141" s="14"/>
      <c r="AA2141" s="14"/>
      <c r="AB2141" s="14"/>
      <c r="AC2141" s="14"/>
      <c r="AD2141" s="14"/>
      <c r="AE2141" s="14"/>
      <c r="AF2141" s="14"/>
      <c r="AG2141" s="14"/>
      <c r="AH2141" s="14"/>
      <c r="AI2141" s="14"/>
      <c r="AJ2141" s="14"/>
      <c r="AK2141" s="14"/>
    </row>
    <row r="2142" spans="2:37" ht="14.25" thickBot="1" x14ac:dyDescent="0.3">
      <c r="B2142" s="2" t="s">
        <v>0</v>
      </c>
      <c r="C2142" s="3" t="s">
        <v>1</v>
      </c>
      <c r="D2142" s="3" t="s">
        <v>2</v>
      </c>
      <c r="E2142" s="3" t="s">
        <v>3</v>
      </c>
      <c r="F2142" s="3"/>
      <c r="G2142" s="4" t="s">
        <v>4</v>
      </c>
      <c r="H2142" s="4"/>
      <c r="I2142" s="3" t="s">
        <v>5</v>
      </c>
      <c r="J2142" s="217"/>
      <c r="P2142" s="3" t="s">
        <v>268</v>
      </c>
      <c r="Q2142" s="3" t="s">
        <v>269</v>
      </c>
      <c r="R2142" s="217"/>
      <c r="S2142" s="14"/>
      <c r="T2142" s="14"/>
      <c r="U2142" s="14"/>
      <c r="V2142" s="14"/>
      <c r="W2142" s="14"/>
      <c r="X2142" s="14"/>
      <c r="Y2142" s="14"/>
      <c r="Z2142" s="14"/>
      <c r="AA2142" s="14"/>
      <c r="AB2142" s="14"/>
      <c r="AC2142" s="14"/>
      <c r="AD2142" s="14"/>
      <c r="AE2142" s="14"/>
      <c r="AF2142" s="14"/>
      <c r="AG2142" s="14"/>
      <c r="AH2142" s="14"/>
      <c r="AI2142" s="14"/>
      <c r="AJ2142" s="14"/>
      <c r="AK2142" s="14"/>
    </row>
    <row r="2143" spans="2:37" ht="14.25" thickBot="1" x14ac:dyDescent="0.3">
      <c r="B2143" s="5">
        <v>273664</v>
      </c>
      <c r="C2143" s="6">
        <v>1135749</v>
      </c>
      <c r="D2143" s="6" t="s">
        <v>7</v>
      </c>
      <c r="E2143" s="6">
        <v>6060050026</v>
      </c>
      <c r="F2143" s="6"/>
      <c r="G2143" s="7">
        <v>8</v>
      </c>
      <c r="H2143" s="7"/>
      <c r="I2143" s="7"/>
      <c r="J2143" s="218"/>
      <c r="P2143" s="7">
        <f>IF((G2151-G2143)&gt;0,G2151-G2143,0)</f>
        <v>5</v>
      </c>
      <c r="Q2143" s="7">
        <f>IF((G2143-G2151)&gt;0,G2143-G2151,0)</f>
        <v>0</v>
      </c>
      <c r="R2143" s="218"/>
      <c r="S2143" s="14"/>
      <c r="T2143" s="14"/>
      <c r="U2143" s="14"/>
      <c r="V2143" s="14"/>
      <c r="W2143" s="14"/>
      <c r="X2143" s="14"/>
      <c r="Y2143" s="14"/>
      <c r="Z2143" s="14"/>
      <c r="AA2143" s="14"/>
      <c r="AB2143" s="14"/>
      <c r="AC2143" s="14"/>
      <c r="AD2143" s="14"/>
      <c r="AE2143" s="14"/>
      <c r="AF2143" s="14"/>
      <c r="AG2143" s="14"/>
      <c r="AH2143" s="14"/>
      <c r="AI2143" s="14"/>
      <c r="AJ2143" s="14"/>
      <c r="AK2143" s="14"/>
    </row>
    <row r="2144" spans="2:37" ht="14.25" thickBot="1" x14ac:dyDescent="0.3">
      <c r="B2144" s="5">
        <v>273672</v>
      </c>
      <c r="C2144" s="6">
        <v>1135750</v>
      </c>
      <c r="D2144" s="6" t="s">
        <v>9</v>
      </c>
      <c r="E2144" s="6" t="s">
        <v>15</v>
      </c>
      <c r="F2144" s="6"/>
      <c r="G2144" s="7">
        <v>27</v>
      </c>
      <c r="H2144" s="7"/>
      <c r="I2144" s="7"/>
      <c r="J2144" s="218"/>
      <c r="P2144" s="7">
        <f>IF((G2152-G2144)&gt;0,G2152-G2144,0)</f>
        <v>15</v>
      </c>
      <c r="Q2144" s="7">
        <f>IF((G2144-G2152)&gt;0,G2144-G2152,0)</f>
        <v>0</v>
      </c>
      <c r="R2144" s="218"/>
      <c r="S2144" s="14"/>
      <c r="T2144" s="14"/>
      <c r="U2144" s="14"/>
      <c r="V2144" s="14"/>
      <c r="W2144" s="14"/>
      <c r="X2144" s="14"/>
      <c r="Y2144" s="14"/>
      <c r="Z2144" s="14"/>
      <c r="AA2144" s="14"/>
      <c r="AB2144" s="14"/>
      <c r="AC2144" s="14"/>
      <c r="AD2144" s="14"/>
      <c r="AE2144" s="14"/>
      <c r="AF2144" s="14"/>
      <c r="AG2144" s="14"/>
      <c r="AH2144" s="14"/>
      <c r="AI2144" s="14"/>
      <c r="AJ2144" s="14"/>
      <c r="AK2144" s="14"/>
    </row>
    <row r="2145" spans="2:37" ht="14.25" thickBot="1" x14ac:dyDescent="0.3">
      <c r="B2145" s="5">
        <v>273702</v>
      </c>
      <c r="C2145" s="6">
        <v>1135753</v>
      </c>
      <c r="D2145" s="6" t="s">
        <v>10</v>
      </c>
      <c r="E2145" s="6" t="s">
        <v>16</v>
      </c>
      <c r="F2145" s="6"/>
      <c r="G2145" s="7">
        <v>1</v>
      </c>
      <c r="H2145" s="7"/>
      <c r="I2145" s="7"/>
      <c r="J2145" s="218"/>
      <c r="P2145" s="7">
        <f>IF((G2153-G2145)&gt;0,G2153-G2145,0)</f>
        <v>1</v>
      </c>
      <c r="Q2145" s="7">
        <f>IF((G2145-G2153)&gt;0,G2145-G2153,0)</f>
        <v>0</v>
      </c>
      <c r="R2145" s="218"/>
      <c r="S2145" s="14"/>
      <c r="T2145" s="14"/>
      <c r="U2145" s="14"/>
      <c r="V2145" s="14"/>
      <c r="W2145" s="14"/>
      <c r="X2145" s="14"/>
      <c r="Y2145" s="14"/>
      <c r="Z2145" s="14"/>
      <c r="AA2145" s="14"/>
      <c r="AB2145" s="14"/>
      <c r="AC2145" s="14"/>
      <c r="AD2145" s="14"/>
      <c r="AE2145" s="14"/>
      <c r="AF2145" s="14"/>
      <c r="AG2145" s="14"/>
      <c r="AH2145" s="14"/>
      <c r="AI2145" s="14"/>
      <c r="AJ2145" s="14"/>
      <c r="AK2145" s="14"/>
    </row>
    <row r="2146" spans="2:37" ht="14.25" thickBot="1" x14ac:dyDescent="0.3">
      <c r="B2146" s="5">
        <v>273698</v>
      </c>
      <c r="C2146" s="6">
        <v>1135752</v>
      </c>
      <c r="D2146" s="6" t="s">
        <v>11</v>
      </c>
      <c r="E2146" s="6" t="s">
        <v>17</v>
      </c>
      <c r="F2146" s="6"/>
      <c r="G2146" s="7">
        <v>7</v>
      </c>
      <c r="H2146" s="7"/>
      <c r="I2146" s="7"/>
      <c r="J2146" s="218"/>
      <c r="P2146" s="7">
        <f>IF((G2154-G2146)&gt;0,G2154-G2146,0)</f>
        <v>0</v>
      </c>
      <c r="Q2146" s="7">
        <f>IF((G2146-G2154)&gt;0,G2146-G2154,0)</f>
        <v>0</v>
      </c>
      <c r="R2146" s="218"/>
      <c r="S2146" s="14"/>
      <c r="T2146" s="14"/>
      <c r="U2146" s="14"/>
      <c r="V2146" s="14"/>
      <c r="W2146" s="14"/>
      <c r="X2146" s="14"/>
      <c r="Y2146" s="14"/>
      <c r="Z2146" s="14"/>
      <c r="AA2146" s="14"/>
      <c r="AB2146" s="14"/>
      <c r="AC2146" s="14"/>
      <c r="AD2146" s="14"/>
      <c r="AE2146" s="14"/>
      <c r="AF2146" s="14"/>
      <c r="AG2146" s="14"/>
      <c r="AH2146" s="14"/>
      <c r="AI2146" s="14"/>
      <c r="AJ2146" s="14"/>
      <c r="AK2146" s="14"/>
    </row>
    <row r="2147" spans="2:37" ht="14.25" thickBot="1" x14ac:dyDescent="0.3">
      <c r="B2147" s="5">
        <v>273680</v>
      </c>
      <c r="C2147" s="6">
        <v>1135751</v>
      </c>
      <c r="D2147" s="6" t="s">
        <v>12</v>
      </c>
      <c r="E2147" s="6" t="s">
        <v>13</v>
      </c>
      <c r="F2147" s="6"/>
      <c r="G2147" s="7">
        <v>5</v>
      </c>
      <c r="H2147" s="7"/>
      <c r="I2147" s="7"/>
      <c r="J2147" s="218"/>
      <c r="P2147" s="7">
        <f>IF((G2155-G2147)&gt;0,G2155-G2147,0)</f>
        <v>0</v>
      </c>
      <c r="Q2147" s="7">
        <f>IF((G2147-G2155)&gt;0,G2147-G2155,0)</f>
        <v>0</v>
      </c>
      <c r="R2147" s="218"/>
      <c r="S2147" s="14"/>
      <c r="T2147" s="14"/>
      <c r="U2147" s="14"/>
      <c r="V2147" s="14"/>
      <c r="W2147" s="14"/>
      <c r="X2147" s="14"/>
      <c r="Y2147" s="14"/>
      <c r="Z2147" s="14"/>
      <c r="AA2147" s="14"/>
      <c r="AB2147" s="14"/>
      <c r="AC2147" s="14"/>
      <c r="AD2147" s="14"/>
      <c r="AE2147" s="14"/>
      <c r="AF2147" s="14"/>
      <c r="AG2147" s="14"/>
      <c r="AH2147" s="14"/>
      <c r="AI2147" s="14"/>
      <c r="AJ2147" s="14"/>
      <c r="AK2147" s="14"/>
    </row>
    <row r="2149" spans="2:37" ht="14.25" thickBot="1" x14ac:dyDescent="0.3">
      <c r="B2149" s="338" t="s">
        <v>18</v>
      </c>
      <c r="C2149" s="339">
        <v>45118</v>
      </c>
      <c r="S2149" s="14"/>
      <c r="T2149" s="14"/>
      <c r="U2149" s="14"/>
      <c r="V2149" s="14"/>
      <c r="W2149" s="14"/>
      <c r="X2149" s="14"/>
      <c r="Y2149" s="14"/>
      <c r="Z2149" s="14"/>
      <c r="AA2149" s="14"/>
      <c r="AB2149" s="14"/>
      <c r="AC2149" s="14"/>
      <c r="AD2149" s="14"/>
      <c r="AE2149" s="14"/>
      <c r="AF2149" s="14"/>
      <c r="AG2149" s="14"/>
      <c r="AH2149" s="14"/>
      <c r="AI2149" s="14"/>
      <c r="AJ2149" s="14"/>
      <c r="AK2149" s="14"/>
    </row>
    <row r="2150" spans="2:37" ht="14.25" thickBot="1" x14ac:dyDescent="0.3">
      <c r="B2150" s="63" t="s">
        <v>0</v>
      </c>
      <c r="C2150" s="64" t="s">
        <v>1</v>
      </c>
      <c r="D2150" s="64" t="s">
        <v>2</v>
      </c>
      <c r="E2150" s="64" t="s">
        <v>3</v>
      </c>
      <c r="F2150" s="64"/>
      <c r="G2150" s="65" t="s">
        <v>4</v>
      </c>
      <c r="H2150" s="65"/>
      <c r="I2150" s="3" t="s">
        <v>247</v>
      </c>
      <c r="J2150" s="217"/>
      <c r="P2150" s="3" t="s">
        <v>268</v>
      </c>
      <c r="Q2150" s="3" t="s">
        <v>269</v>
      </c>
      <c r="R2150" s="217"/>
      <c r="S2150" s="14"/>
      <c r="T2150" s="14"/>
      <c r="U2150" s="14"/>
      <c r="V2150" s="14"/>
      <c r="W2150" s="14"/>
      <c r="X2150" s="14"/>
      <c r="Y2150" s="14"/>
      <c r="Z2150" s="14"/>
      <c r="AA2150" s="14"/>
      <c r="AB2150" s="14"/>
      <c r="AC2150" s="14"/>
      <c r="AD2150" s="14"/>
      <c r="AE2150" s="14"/>
      <c r="AF2150" s="14"/>
      <c r="AG2150" s="14"/>
      <c r="AH2150" s="14"/>
      <c r="AI2150" s="14"/>
      <c r="AJ2150" s="14"/>
      <c r="AK2150" s="14"/>
    </row>
    <row r="2151" spans="2:37" ht="14.25" thickBot="1" x14ac:dyDescent="0.3">
      <c r="B2151" s="66">
        <v>273664</v>
      </c>
      <c r="C2151" s="67">
        <v>1135749</v>
      </c>
      <c r="D2151" s="67" t="s">
        <v>7</v>
      </c>
      <c r="E2151" s="67">
        <v>6060050026</v>
      </c>
      <c r="F2151" s="67"/>
      <c r="G2151" s="68">
        <v>13</v>
      </c>
      <c r="H2151" s="68"/>
      <c r="I2151" s="7">
        <v>4</v>
      </c>
      <c r="J2151" s="218"/>
      <c r="P2151" s="7">
        <f>IF((G2159-G2151)&gt;0,G2159-G2151,0)</f>
        <v>0</v>
      </c>
      <c r="Q2151" s="7">
        <f>IF((G2151-G2159)&gt;0,G2151-G2159,0)</f>
        <v>0</v>
      </c>
      <c r="R2151" s="218"/>
      <c r="S2151" s="14"/>
      <c r="T2151" s="14"/>
      <c r="U2151" s="14"/>
      <c r="V2151" s="14"/>
      <c r="W2151" s="14"/>
      <c r="X2151" s="14"/>
      <c r="Y2151" s="14"/>
      <c r="Z2151" s="14"/>
      <c r="AA2151" s="14"/>
      <c r="AB2151" s="14"/>
      <c r="AC2151" s="14"/>
      <c r="AD2151" s="14"/>
      <c r="AE2151" s="14"/>
      <c r="AF2151" s="14"/>
      <c r="AG2151" s="14"/>
      <c r="AH2151" s="14"/>
      <c r="AI2151" s="14"/>
      <c r="AJ2151" s="14"/>
      <c r="AK2151" s="14"/>
    </row>
    <row r="2152" spans="2:37" ht="14.25" thickBot="1" x14ac:dyDescent="0.3">
      <c r="B2152" s="66">
        <v>273672</v>
      </c>
      <c r="C2152" s="67">
        <v>1135750</v>
      </c>
      <c r="D2152" s="67" t="s">
        <v>9</v>
      </c>
      <c r="E2152" s="67" t="s">
        <v>15</v>
      </c>
      <c r="F2152" s="67"/>
      <c r="G2152" s="68">
        <v>42</v>
      </c>
      <c r="H2152" s="68"/>
      <c r="I2152" s="7">
        <v>8</v>
      </c>
      <c r="J2152" s="218"/>
      <c r="P2152" s="7">
        <f>IF((G2160-G2152)&gt;0,G2160-G2152,0)</f>
        <v>0</v>
      </c>
      <c r="Q2152" s="7">
        <f>IF((G2152-G2160)&gt;0,G2152-G2160,0)</f>
        <v>0</v>
      </c>
      <c r="R2152" s="218"/>
      <c r="S2152" s="14"/>
      <c r="T2152" s="14"/>
      <c r="U2152" s="14"/>
      <c r="V2152" s="14"/>
      <c r="W2152" s="14"/>
      <c r="X2152" s="14"/>
      <c r="Y2152" s="14"/>
      <c r="Z2152" s="14"/>
      <c r="AA2152" s="14"/>
      <c r="AB2152" s="14"/>
      <c r="AC2152" s="14"/>
      <c r="AD2152" s="14"/>
      <c r="AE2152" s="14"/>
      <c r="AF2152" s="14"/>
      <c r="AG2152" s="14"/>
      <c r="AH2152" s="14"/>
      <c r="AI2152" s="14"/>
      <c r="AJ2152" s="14"/>
      <c r="AK2152" s="14"/>
    </row>
    <row r="2153" spans="2:37" ht="14.25" thickBot="1" x14ac:dyDescent="0.3">
      <c r="B2153" s="66">
        <v>273702</v>
      </c>
      <c r="C2153" s="67">
        <v>1135753</v>
      </c>
      <c r="D2153" s="67" t="s">
        <v>10</v>
      </c>
      <c r="E2153" s="67" t="s">
        <v>16</v>
      </c>
      <c r="F2153" s="67"/>
      <c r="G2153" s="68">
        <v>2</v>
      </c>
      <c r="H2153" s="68"/>
      <c r="I2153" s="7">
        <v>1</v>
      </c>
      <c r="J2153" s="218"/>
      <c r="P2153" s="7">
        <f>IF((G2161-G2153)&gt;0,G2161-G2153,0)</f>
        <v>0</v>
      </c>
      <c r="Q2153" s="7">
        <f>IF((G2153-G2161)&gt;0,G2153-G2161,0)</f>
        <v>0</v>
      </c>
      <c r="R2153" s="218"/>
      <c r="S2153" s="14"/>
      <c r="T2153" s="14"/>
      <c r="U2153" s="14"/>
      <c r="V2153" s="14"/>
      <c r="W2153" s="14"/>
      <c r="X2153" s="14"/>
      <c r="Y2153" s="14"/>
      <c r="Z2153" s="14"/>
      <c r="AA2153" s="14"/>
      <c r="AB2153" s="14"/>
      <c r="AC2153" s="14"/>
      <c r="AD2153" s="14"/>
      <c r="AE2153" s="14"/>
      <c r="AF2153" s="14"/>
      <c r="AG2153" s="14"/>
      <c r="AH2153" s="14"/>
      <c r="AI2153" s="14"/>
      <c r="AJ2153" s="14"/>
      <c r="AK2153" s="14"/>
    </row>
    <row r="2154" spans="2:37" ht="14.25" thickBot="1" x14ac:dyDescent="0.3">
      <c r="B2154" s="66">
        <v>273698</v>
      </c>
      <c r="C2154" s="67">
        <v>1135752</v>
      </c>
      <c r="D2154" s="67" t="s">
        <v>11</v>
      </c>
      <c r="E2154" s="67" t="s">
        <v>17</v>
      </c>
      <c r="F2154" s="67"/>
      <c r="G2154" s="68">
        <v>7</v>
      </c>
      <c r="H2154" s="68"/>
      <c r="I2154" s="7">
        <v>4</v>
      </c>
      <c r="J2154" s="218"/>
      <c r="L2154" s="290">
        <v>11</v>
      </c>
      <c r="N2154" s="290">
        <v>10</v>
      </c>
      <c r="P2154" s="7">
        <f>IF((G2162-G2154)&gt;0,G2162-G2154,0)</f>
        <v>0</v>
      </c>
      <c r="Q2154" s="7">
        <f>IF((G2154-G2162)&gt;0,G2154-G2162,0)</f>
        <v>0</v>
      </c>
      <c r="R2154" s="218"/>
      <c r="S2154" s="14"/>
      <c r="T2154" s="14"/>
      <c r="U2154" s="14"/>
      <c r="V2154" s="14"/>
      <c r="W2154" s="14"/>
      <c r="X2154" s="14"/>
      <c r="Y2154" s="14"/>
      <c r="Z2154" s="14"/>
      <c r="AA2154" s="14"/>
      <c r="AB2154" s="14"/>
      <c r="AC2154" s="14"/>
      <c r="AD2154" s="14"/>
      <c r="AE2154" s="14"/>
      <c r="AF2154" s="14"/>
      <c r="AG2154" s="14"/>
      <c r="AH2154" s="14"/>
      <c r="AI2154" s="14"/>
      <c r="AJ2154" s="14"/>
      <c r="AK2154" s="14"/>
    </row>
    <row r="2155" spans="2:37" ht="14.25" thickBot="1" x14ac:dyDescent="0.3">
      <c r="B2155" s="66">
        <v>273680</v>
      </c>
      <c r="C2155" s="67">
        <v>1135751</v>
      </c>
      <c r="D2155" s="67" t="s">
        <v>12</v>
      </c>
      <c r="E2155" s="67" t="s">
        <v>13</v>
      </c>
      <c r="F2155" s="67"/>
      <c r="G2155" s="68">
        <v>5</v>
      </c>
      <c r="H2155" s="68"/>
      <c r="I2155" s="7">
        <v>15</v>
      </c>
      <c r="J2155" s="218"/>
      <c r="L2155" s="290">
        <v>645</v>
      </c>
      <c r="N2155" s="290">
        <v>645</v>
      </c>
      <c r="P2155" s="7">
        <f>IF((G2163-G2155)&gt;0,G2163-G2155,0)</f>
        <v>0</v>
      </c>
      <c r="Q2155" s="7">
        <f>IF((G2155-G2163)&gt;0,G2155-G2163,0)</f>
        <v>0</v>
      </c>
      <c r="R2155" s="218"/>
      <c r="S2155" s="14"/>
      <c r="T2155" s="14"/>
      <c r="U2155" s="14"/>
      <c r="V2155" s="14"/>
      <c r="W2155" s="14"/>
      <c r="X2155" s="14"/>
      <c r="Y2155" s="14"/>
      <c r="Z2155" s="14"/>
      <c r="AA2155" s="14"/>
      <c r="AB2155" s="14"/>
      <c r="AC2155" s="14"/>
      <c r="AD2155" s="14"/>
      <c r="AE2155" s="14"/>
      <c r="AF2155" s="14"/>
      <c r="AG2155" s="14"/>
      <c r="AH2155" s="14"/>
      <c r="AI2155" s="14"/>
      <c r="AJ2155" s="14"/>
      <c r="AK2155" s="14"/>
    </row>
    <row r="2156" spans="2:37" x14ac:dyDescent="0.25">
      <c r="N2156" s="290">
        <v>725</v>
      </c>
      <c r="S2156" s="14"/>
      <c r="T2156" s="14"/>
      <c r="U2156" s="14"/>
      <c r="V2156" s="14"/>
      <c r="W2156" s="14"/>
      <c r="X2156" s="14"/>
      <c r="Y2156" s="14"/>
      <c r="Z2156" s="14"/>
      <c r="AA2156" s="14"/>
      <c r="AB2156" s="14"/>
      <c r="AC2156" s="14"/>
      <c r="AD2156" s="14"/>
      <c r="AE2156" s="14"/>
      <c r="AF2156" s="14"/>
      <c r="AG2156" s="14"/>
      <c r="AH2156" s="14"/>
      <c r="AI2156" s="14"/>
      <c r="AJ2156" s="14"/>
      <c r="AK2156" s="14"/>
    </row>
    <row r="2157" spans="2:37" ht="14.25" thickBot="1" x14ac:dyDescent="0.3">
      <c r="B2157" s="338" t="s">
        <v>18</v>
      </c>
      <c r="C2157" s="339">
        <v>45111</v>
      </c>
      <c r="S2157" s="14"/>
      <c r="T2157" s="14"/>
      <c r="U2157" s="14"/>
      <c r="V2157" s="14"/>
      <c r="W2157" s="14"/>
      <c r="X2157" s="14"/>
      <c r="Y2157" s="14"/>
      <c r="Z2157" s="14"/>
      <c r="AA2157" s="14"/>
      <c r="AB2157" s="14"/>
      <c r="AC2157" s="14"/>
      <c r="AD2157" s="14"/>
      <c r="AE2157" s="14"/>
      <c r="AF2157" s="14"/>
      <c r="AG2157" s="14"/>
      <c r="AH2157" s="14"/>
      <c r="AI2157" s="14"/>
      <c r="AJ2157" s="14"/>
      <c r="AK2157" s="14"/>
    </row>
    <row r="2158" spans="2:37" ht="14.25" thickBot="1" x14ac:dyDescent="0.3">
      <c r="B2158" s="63" t="s">
        <v>0</v>
      </c>
      <c r="C2158" s="64" t="s">
        <v>1</v>
      </c>
      <c r="D2158" s="64" t="s">
        <v>2</v>
      </c>
      <c r="E2158" s="64" t="s">
        <v>3</v>
      </c>
      <c r="F2158" s="64"/>
      <c r="G2158" s="65" t="s">
        <v>4</v>
      </c>
      <c r="H2158" s="387"/>
      <c r="P2158" s="3" t="s">
        <v>268</v>
      </c>
      <c r="Q2158" s="3" t="s">
        <v>269</v>
      </c>
      <c r="R2158" s="217"/>
      <c r="S2158" s="14"/>
      <c r="T2158" s="14"/>
      <c r="U2158" s="14"/>
      <c r="V2158" s="14"/>
      <c r="W2158" s="14"/>
      <c r="X2158" s="14"/>
      <c r="Y2158" s="14"/>
      <c r="Z2158" s="14"/>
      <c r="AA2158" s="14"/>
      <c r="AB2158" s="14"/>
      <c r="AC2158" s="14"/>
      <c r="AD2158" s="14"/>
      <c r="AE2158" s="14"/>
      <c r="AF2158" s="14"/>
      <c r="AG2158" s="14"/>
      <c r="AH2158" s="14"/>
      <c r="AI2158" s="14"/>
      <c r="AJ2158" s="14"/>
      <c r="AK2158" s="14"/>
    </row>
    <row r="2159" spans="2:37" ht="14.25" thickBot="1" x14ac:dyDescent="0.3">
      <c r="B2159" s="66">
        <v>273664</v>
      </c>
      <c r="C2159" s="67">
        <v>1135749</v>
      </c>
      <c r="D2159" s="67" t="s">
        <v>7</v>
      </c>
      <c r="E2159" s="67">
        <v>6060050026</v>
      </c>
      <c r="F2159" s="67"/>
      <c r="G2159" s="68">
        <v>13</v>
      </c>
      <c r="H2159" s="388"/>
      <c r="N2159" s="290">
        <v>715</v>
      </c>
      <c r="P2159" s="7">
        <f>IF((G2167-G2159)&gt;0,G2167-G2159,0)</f>
        <v>0</v>
      </c>
      <c r="Q2159" s="7">
        <f>IF((G2159-G2167)&gt;0,G2159-G2167,0)</f>
        <v>0</v>
      </c>
      <c r="R2159" s="218"/>
      <c r="S2159" s="14"/>
      <c r="T2159" s="14"/>
      <c r="U2159" s="14"/>
      <c r="V2159" s="14"/>
      <c r="W2159" s="14"/>
      <c r="X2159" s="14"/>
      <c r="Y2159" s="14"/>
      <c r="Z2159" s="14"/>
      <c r="AA2159" s="14"/>
      <c r="AB2159" s="14"/>
      <c r="AC2159" s="14"/>
      <c r="AD2159" s="14"/>
      <c r="AE2159" s="14"/>
      <c r="AF2159" s="14"/>
      <c r="AG2159" s="14"/>
      <c r="AH2159" s="14"/>
      <c r="AI2159" s="14"/>
      <c r="AJ2159" s="14"/>
      <c r="AK2159" s="14"/>
    </row>
    <row r="2160" spans="2:37" ht="14.25" thickBot="1" x14ac:dyDescent="0.3">
      <c r="B2160" s="66">
        <v>273672</v>
      </c>
      <c r="C2160" s="67">
        <v>1135750</v>
      </c>
      <c r="D2160" s="67" t="s">
        <v>9</v>
      </c>
      <c r="E2160" s="67" t="s">
        <v>15</v>
      </c>
      <c r="F2160" s="67"/>
      <c r="G2160" s="68">
        <v>42</v>
      </c>
      <c r="H2160" s="388"/>
      <c r="N2160" s="290">
        <v>725</v>
      </c>
      <c r="P2160" s="7">
        <f>IF((G2168-G2160)&gt;0,G2168-G2160,0)</f>
        <v>0</v>
      </c>
      <c r="Q2160" s="7">
        <f>IF((G2160-G2168)&gt;0,G2160-G2168,0)</f>
        <v>0</v>
      </c>
      <c r="R2160" s="218"/>
      <c r="S2160" s="14"/>
      <c r="T2160" s="14"/>
      <c r="U2160" s="14"/>
      <c r="V2160" s="14"/>
      <c r="W2160" s="14"/>
      <c r="X2160" s="14"/>
      <c r="Y2160" s="14"/>
      <c r="Z2160" s="14"/>
      <c r="AA2160" s="14"/>
      <c r="AB2160" s="14"/>
      <c r="AC2160" s="14"/>
      <c r="AD2160" s="14"/>
      <c r="AE2160" s="14"/>
      <c r="AF2160" s="14"/>
      <c r="AG2160" s="14"/>
      <c r="AH2160" s="14"/>
      <c r="AI2160" s="14"/>
      <c r="AJ2160" s="14"/>
      <c r="AK2160" s="14"/>
    </row>
    <row r="2161" spans="2:37" ht="14.25" thickBot="1" x14ac:dyDescent="0.3">
      <c r="B2161" s="66">
        <v>273702</v>
      </c>
      <c r="C2161" s="67">
        <v>1135753</v>
      </c>
      <c r="D2161" s="67" t="s">
        <v>10</v>
      </c>
      <c r="E2161" s="67" t="s">
        <v>16</v>
      </c>
      <c r="F2161" s="67"/>
      <c r="G2161" s="68">
        <v>2</v>
      </c>
      <c r="H2161" s="388"/>
      <c r="P2161" s="7">
        <f>IF((G2169-G2161)&gt;0,G2169-G2161,0)</f>
        <v>0</v>
      </c>
      <c r="Q2161" s="7">
        <f>IF((G2161-G2169)&gt;0,G2161-G2169,0)</f>
        <v>0</v>
      </c>
      <c r="R2161" s="218"/>
      <c r="S2161" s="14"/>
      <c r="T2161" s="14"/>
      <c r="U2161" s="14"/>
      <c r="V2161" s="14"/>
      <c r="W2161" s="14"/>
      <c r="X2161" s="14"/>
      <c r="Y2161" s="14"/>
      <c r="Z2161" s="14"/>
      <c r="AA2161" s="14"/>
      <c r="AB2161" s="14"/>
      <c r="AC2161" s="14"/>
      <c r="AD2161" s="14"/>
      <c r="AE2161" s="14"/>
      <c r="AF2161" s="14"/>
      <c r="AG2161" s="14"/>
      <c r="AH2161" s="14"/>
      <c r="AI2161" s="14"/>
      <c r="AJ2161" s="14"/>
      <c r="AK2161" s="14"/>
    </row>
    <row r="2162" spans="2:37" ht="14.25" thickBot="1" x14ac:dyDescent="0.3">
      <c r="B2162" s="66">
        <v>273698</v>
      </c>
      <c r="C2162" s="67">
        <v>1135752</v>
      </c>
      <c r="D2162" s="67" t="s">
        <v>11</v>
      </c>
      <c r="E2162" s="67" t="s">
        <v>17</v>
      </c>
      <c r="F2162" s="67"/>
      <c r="G2162" s="68">
        <v>7</v>
      </c>
      <c r="H2162" s="388"/>
      <c r="P2162" s="7">
        <f>IF((G2170-G2162)&gt;0,G2170-G2162,0)</f>
        <v>0</v>
      </c>
      <c r="Q2162" s="7">
        <f>IF((G2162-G2170)&gt;0,G2162-G2170,0)</f>
        <v>3</v>
      </c>
      <c r="R2162" s="218"/>
      <c r="S2162" s="14"/>
      <c r="T2162" s="14"/>
      <c r="U2162" s="14"/>
      <c r="V2162" s="14"/>
      <c r="W2162" s="14"/>
      <c r="X2162" s="14"/>
      <c r="Y2162" s="14"/>
      <c r="Z2162" s="14"/>
      <c r="AA2162" s="14"/>
      <c r="AB2162" s="14"/>
      <c r="AC2162" s="14"/>
      <c r="AD2162" s="14"/>
      <c r="AE2162" s="14"/>
      <c r="AF2162" s="14"/>
      <c r="AG2162" s="14"/>
      <c r="AH2162" s="14"/>
      <c r="AI2162" s="14"/>
      <c r="AJ2162" s="14"/>
      <c r="AK2162" s="14"/>
    </row>
    <row r="2163" spans="2:37" ht="14.25" thickBot="1" x14ac:dyDescent="0.3">
      <c r="B2163" s="66">
        <v>273680</v>
      </c>
      <c r="C2163" s="67">
        <v>1135751</v>
      </c>
      <c r="D2163" s="67" t="s">
        <v>12</v>
      </c>
      <c r="E2163" s="67" t="s">
        <v>13</v>
      </c>
      <c r="F2163" s="67"/>
      <c r="G2163" s="68">
        <v>5</v>
      </c>
      <c r="H2163" s="388"/>
      <c r="P2163" s="7">
        <f>IF((G2171-G2163)&gt;0,G2171-G2163,0)</f>
        <v>9</v>
      </c>
      <c r="Q2163" s="7">
        <f>IF((G2163-G2171)&gt;0,G2163-G2171,0)</f>
        <v>0</v>
      </c>
      <c r="R2163" s="218"/>
      <c r="S2163" s="14"/>
      <c r="T2163" s="14"/>
      <c r="U2163" s="14"/>
      <c r="V2163" s="14"/>
      <c r="W2163" s="14"/>
      <c r="X2163" s="14"/>
      <c r="Y2163" s="14"/>
      <c r="Z2163" s="14"/>
      <c r="AA2163" s="14"/>
      <c r="AB2163" s="14"/>
      <c r="AC2163" s="14"/>
      <c r="AD2163" s="14"/>
      <c r="AE2163" s="14"/>
      <c r="AF2163" s="14"/>
      <c r="AG2163" s="14"/>
      <c r="AH2163" s="14"/>
      <c r="AI2163" s="14"/>
      <c r="AJ2163" s="14"/>
      <c r="AK2163" s="14"/>
    </row>
    <row r="2165" spans="2:37" ht="14.25" thickBot="1" x14ac:dyDescent="0.3">
      <c r="B2165" s="338" t="s">
        <v>18</v>
      </c>
      <c r="C2165" s="339">
        <v>45103</v>
      </c>
      <c r="S2165" s="14"/>
      <c r="T2165" s="14"/>
      <c r="U2165" s="14"/>
      <c r="V2165" s="14"/>
      <c r="W2165" s="14"/>
      <c r="X2165" s="14"/>
      <c r="Y2165" s="14"/>
      <c r="Z2165" s="14"/>
      <c r="AA2165" s="14"/>
      <c r="AB2165" s="14"/>
      <c r="AC2165" s="14"/>
      <c r="AD2165" s="14"/>
      <c r="AE2165" s="14"/>
      <c r="AF2165" s="14"/>
      <c r="AG2165" s="14"/>
      <c r="AH2165" s="14"/>
      <c r="AI2165" s="14"/>
      <c r="AJ2165" s="14"/>
      <c r="AK2165" s="14"/>
    </row>
    <row r="2166" spans="2:37" ht="14.25" thickBot="1" x14ac:dyDescent="0.3">
      <c r="B2166" s="2" t="s">
        <v>0</v>
      </c>
      <c r="C2166" s="3" t="s">
        <v>1</v>
      </c>
      <c r="D2166" s="3" t="s">
        <v>2</v>
      </c>
      <c r="E2166" s="3" t="s">
        <v>3</v>
      </c>
      <c r="F2166" s="3"/>
      <c r="G2166" s="4" t="s">
        <v>4</v>
      </c>
      <c r="H2166" s="4"/>
      <c r="I2166" s="3" t="s">
        <v>247</v>
      </c>
      <c r="J2166" s="217"/>
      <c r="P2166" s="3" t="s">
        <v>268</v>
      </c>
      <c r="Q2166" s="3" t="s">
        <v>269</v>
      </c>
      <c r="R2166" s="217"/>
      <c r="S2166" s="14"/>
      <c r="T2166" s="14"/>
      <c r="U2166" s="14"/>
      <c r="V2166" s="14"/>
      <c r="W2166" s="14"/>
      <c r="X2166" s="14"/>
      <c r="Y2166" s="14"/>
      <c r="Z2166" s="14"/>
      <c r="AA2166" s="14"/>
      <c r="AB2166" s="14"/>
      <c r="AC2166" s="14"/>
      <c r="AD2166" s="14"/>
      <c r="AE2166" s="14"/>
      <c r="AF2166" s="14"/>
      <c r="AG2166" s="14"/>
      <c r="AH2166" s="14"/>
      <c r="AI2166" s="14"/>
      <c r="AJ2166" s="14"/>
      <c r="AK2166" s="14"/>
    </row>
    <row r="2167" spans="2:37" ht="14.25" thickBot="1" x14ac:dyDescent="0.3">
      <c r="B2167" s="5">
        <v>273664</v>
      </c>
      <c r="C2167" s="6">
        <v>1135749</v>
      </c>
      <c r="D2167" s="6" t="s">
        <v>7</v>
      </c>
      <c r="E2167" s="6">
        <v>6060050026</v>
      </c>
      <c r="F2167" s="6"/>
      <c r="G2167" s="7">
        <v>13</v>
      </c>
      <c r="H2167" s="7"/>
      <c r="I2167" s="7">
        <v>5</v>
      </c>
      <c r="J2167" s="218"/>
      <c r="P2167" s="7">
        <f>IF((G2175-G2167)&gt;0,G2175-G2167,0)</f>
        <v>0</v>
      </c>
      <c r="Q2167" s="7">
        <f>IF((G2167-G2175)&gt;0,G2167-G2175,0)</f>
        <v>0</v>
      </c>
      <c r="R2167" s="218"/>
      <c r="S2167" s="14"/>
      <c r="T2167" s="14"/>
      <c r="U2167" s="14"/>
      <c r="V2167" s="14"/>
      <c r="W2167" s="14"/>
      <c r="X2167" s="14"/>
      <c r="Y2167" s="14"/>
      <c r="Z2167" s="14"/>
      <c r="AA2167" s="14"/>
      <c r="AB2167" s="14"/>
      <c r="AC2167" s="14"/>
      <c r="AD2167" s="14"/>
      <c r="AE2167" s="14"/>
      <c r="AF2167" s="14"/>
      <c r="AG2167" s="14"/>
      <c r="AH2167" s="14"/>
      <c r="AI2167" s="14"/>
      <c r="AJ2167" s="14"/>
      <c r="AK2167" s="14"/>
    </row>
    <row r="2168" spans="2:37" ht="14.25" thickBot="1" x14ac:dyDescent="0.3">
      <c r="B2168" s="5">
        <v>273672</v>
      </c>
      <c r="C2168" s="6">
        <v>1135750</v>
      </c>
      <c r="D2168" s="6" t="s">
        <v>9</v>
      </c>
      <c r="E2168" s="6" t="s">
        <v>15</v>
      </c>
      <c r="F2168" s="6"/>
      <c r="G2168" s="7">
        <v>42</v>
      </c>
      <c r="H2168" s="7"/>
      <c r="I2168" s="7">
        <v>12</v>
      </c>
      <c r="J2168" s="218"/>
      <c r="P2168" s="7">
        <f>IF((G2176-G2168)&gt;0,G2176-G2168,0)</f>
        <v>0</v>
      </c>
      <c r="Q2168" s="7">
        <f>IF((G2168-G2176)&gt;0,G2168-G2176,0)</f>
        <v>0</v>
      </c>
      <c r="R2168" s="218"/>
      <c r="S2168" s="14"/>
      <c r="T2168" s="14"/>
      <c r="U2168" s="14"/>
      <c r="V2168" s="14"/>
      <c r="W2168" s="14"/>
      <c r="X2168" s="14"/>
      <c r="Y2168" s="14"/>
      <c r="Z2168" s="14"/>
      <c r="AA2168" s="14"/>
      <c r="AB2168" s="14"/>
      <c r="AC2168" s="14"/>
      <c r="AD2168" s="14"/>
      <c r="AE2168" s="14"/>
      <c r="AF2168" s="14"/>
      <c r="AG2168" s="14"/>
      <c r="AH2168" s="14"/>
      <c r="AI2168" s="14"/>
      <c r="AJ2168" s="14"/>
      <c r="AK2168" s="14"/>
    </row>
    <row r="2169" spans="2:37" ht="14.25" thickBot="1" x14ac:dyDescent="0.3">
      <c r="B2169" s="5">
        <v>273702</v>
      </c>
      <c r="C2169" s="6">
        <v>1135753</v>
      </c>
      <c r="D2169" s="6" t="s">
        <v>10</v>
      </c>
      <c r="E2169" s="6" t="s">
        <v>16</v>
      </c>
      <c r="F2169" s="6"/>
      <c r="G2169" s="7">
        <v>2</v>
      </c>
      <c r="H2169" s="7"/>
      <c r="I2169" s="7">
        <v>1</v>
      </c>
      <c r="J2169" s="218"/>
      <c r="P2169" s="7">
        <f>IF((G2177-G2169)&gt;0,G2177-G2169,0)</f>
        <v>0</v>
      </c>
      <c r="Q2169" s="7">
        <f>IF((G2169-G2177)&gt;0,G2169-G2177,0)</f>
        <v>2</v>
      </c>
      <c r="R2169" s="218"/>
      <c r="S2169" s="14"/>
      <c r="T2169" s="14"/>
      <c r="U2169" s="14"/>
      <c r="V2169" s="14"/>
      <c r="W2169" s="14"/>
      <c r="X2169" s="14"/>
      <c r="Y2169" s="14"/>
      <c r="Z2169" s="14"/>
      <c r="AA2169" s="14"/>
      <c r="AB2169" s="14"/>
      <c r="AC2169" s="14"/>
      <c r="AD2169" s="14"/>
      <c r="AE2169" s="14"/>
      <c r="AF2169" s="14"/>
      <c r="AG2169" s="14"/>
      <c r="AH2169" s="14"/>
      <c r="AI2169" s="14"/>
      <c r="AJ2169" s="14"/>
      <c r="AK2169" s="14"/>
    </row>
    <row r="2170" spans="2:37" ht="14.25" thickBot="1" x14ac:dyDescent="0.3">
      <c r="B2170" s="5">
        <v>273698</v>
      </c>
      <c r="C2170" s="6">
        <v>1135752</v>
      </c>
      <c r="D2170" s="6" t="s">
        <v>11</v>
      </c>
      <c r="E2170" s="6" t="s">
        <v>17</v>
      </c>
      <c r="F2170" s="6"/>
      <c r="G2170" s="7">
        <v>4</v>
      </c>
      <c r="H2170" s="7"/>
      <c r="I2170" s="7">
        <v>5</v>
      </c>
      <c r="J2170" s="218"/>
      <c r="P2170" s="7">
        <f>IF((G2178-G2170)&gt;0,G2178-G2170,0)</f>
        <v>0</v>
      </c>
      <c r="Q2170" s="7">
        <f>IF((G2170-G2178)&gt;0,G2170-G2178,0)</f>
        <v>0</v>
      </c>
      <c r="R2170" s="218"/>
      <c r="S2170" s="14"/>
      <c r="T2170" s="14"/>
      <c r="U2170" s="14"/>
      <c r="V2170" s="14"/>
      <c r="W2170" s="14"/>
      <c r="X2170" s="14"/>
      <c r="Y2170" s="14"/>
      <c r="Z2170" s="14"/>
      <c r="AA2170" s="14"/>
      <c r="AB2170" s="14"/>
      <c r="AC2170" s="14"/>
      <c r="AD2170" s="14"/>
      <c r="AE2170" s="14"/>
      <c r="AF2170" s="14"/>
      <c r="AG2170" s="14"/>
      <c r="AH2170" s="14"/>
      <c r="AI2170" s="14"/>
      <c r="AJ2170" s="14"/>
      <c r="AK2170" s="14"/>
    </row>
    <row r="2171" spans="2:37" ht="14.25" thickBot="1" x14ac:dyDescent="0.3">
      <c r="B2171" s="5">
        <v>273680</v>
      </c>
      <c r="C2171" s="6">
        <v>1135751</v>
      </c>
      <c r="D2171" s="6" t="s">
        <v>12</v>
      </c>
      <c r="E2171" s="6" t="s">
        <v>13</v>
      </c>
      <c r="F2171" s="6"/>
      <c r="G2171" s="7">
        <v>14</v>
      </c>
      <c r="H2171" s="7"/>
      <c r="I2171" s="7">
        <v>6</v>
      </c>
      <c r="J2171" s="218"/>
      <c r="P2171" s="7">
        <f>IF((G2179-G2171)&gt;0,G2179-G2171,0)</f>
        <v>0</v>
      </c>
      <c r="Q2171" s="7">
        <f>IF((G2171-G2179)&gt;0,G2171-G2179,0)</f>
        <v>14</v>
      </c>
      <c r="R2171" s="218"/>
      <c r="S2171" s="14"/>
      <c r="T2171" s="14"/>
      <c r="U2171" s="14"/>
      <c r="V2171" s="14"/>
      <c r="W2171" s="14"/>
      <c r="X2171" s="14"/>
      <c r="Y2171" s="14"/>
      <c r="Z2171" s="14"/>
      <c r="AA2171" s="14"/>
      <c r="AB2171" s="14"/>
      <c r="AC2171" s="14"/>
      <c r="AD2171" s="14"/>
      <c r="AE2171" s="14"/>
      <c r="AF2171" s="14"/>
      <c r="AG2171" s="14"/>
      <c r="AH2171" s="14"/>
      <c r="AI2171" s="14"/>
      <c r="AJ2171" s="14"/>
      <c r="AK2171" s="14"/>
    </row>
    <row r="2173" spans="2:37" ht="14.25" thickBot="1" x14ac:dyDescent="0.3">
      <c r="B2173" s="338" t="s">
        <v>18</v>
      </c>
      <c r="C2173" s="339">
        <v>45096</v>
      </c>
      <c r="S2173" s="14"/>
      <c r="T2173" s="14"/>
      <c r="U2173" s="14"/>
      <c r="V2173" s="14"/>
      <c r="W2173" s="14"/>
      <c r="X2173" s="14"/>
      <c r="Y2173" s="14"/>
      <c r="Z2173" s="14"/>
      <c r="AA2173" s="14"/>
      <c r="AB2173" s="14"/>
      <c r="AC2173" s="14"/>
      <c r="AD2173" s="14"/>
      <c r="AE2173" s="14"/>
      <c r="AF2173" s="14"/>
      <c r="AG2173" s="14"/>
      <c r="AH2173" s="14"/>
      <c r="AI2173" s="14"/>
      <c r="AJ2173" s="14"/>
      <c r="AK2173" s="14"/>
    </row>
    <row r="2174" spans="2:37" ht="14.25" thickBot="1" x14ac:dyDescent="0.3">
      <c r="B2174" s="2" t="s">
        <v>0</v>
      </c>
      <c r="C2174" s="3" t="s">
        <v>1</v>
      </c>
      <c r="D2174" s="3" t="s">
        <v>2</v>
      </c>
      <c r="E2174" s="3" t="s">
        <v>3</v>
      </c>
      <c r="F2174" s="3"/>
      <c r="G2174" s="4" t="s">
        <v>4</v>
      </c>
      <c r="H2174" s="4"/>
      <c r="I2174" s="3" t="s">
        <v>247</v>
      </c>
      <c r="J2174" s="217"/>
      <c r="P2174" s="3" t="s">
        <v>268</v>
      </c>
      <c r="Q2174" s="3" t="s">
        <v>269</v>
      </c>
      <c r="R2174" s="217"/>
      <c r="S2174" s="14"/>
      <c r="T2174" s="14"/>
      <c r="U2174" s="14"/>
      <c r="V2174" s="14"/>
      <c r="W2174" s="14"/>
      <c r="X2174" s="14"/>
      <c r="Y2174" s="14"/>
      <c r="Z2174" s="14"/>
      <c r="AA2174" s="14"/>
      <c r="AB2174" s="14"/>
      <c r="AC2174" s="14"/>
      <c r="AD2174" s="14"/>
      <c r="AE2174" s="14"/>
      <c r="AF2174" s="14"/>
      <c r="AG2174" s="14"/>
      <c r="AH2174" s="14"/>
      <c r="AI2174" s="14"/>
      <c r="AJ2174" s="14"/>
      <c r="AK2174" s="14"/>
    </row>
    <row r="2175" spans="2:37" ht="14.25" thickBot="1" x14ac:dyDescent="0.3">
      <c r="B2175" s="5">
        <v>273664</v>
      </c>
      <c r="C2175" s="6">
        <v>1135749</v>
      </c>
      <c r="D2175" s="6" t="s">
        <v>7</v>
      </c>
      <c r="E2175" s="6">
        <v>6060050026</v>
      </c>
      <c r="F2175" s="6"/>
      <c r="G2175" s="7">
        <v>13</v>
      </c>
      <c r="H2175" s="7"/>
      <c r="I2175" s="7">
        <v>5</v>
      </c>
      <c r="J2175" s="218"/>
      <c r="P2175" s="7">
        <f>IF((G2183-G2175)&gt;0,G2183-G2175,0)</f>
        <v>0</v>
      </c>
      <c r="Q2175" s="7">
        <f>IF((G2175-G2183)&gt;0,G2175-G2183,0)</f>
        <v>0</v>
      </c>
      <c r="R2175" s="218"/>
      <c r="S2175" s="14"/>
      <c r="T2175" s="14"/>
      <c r="U2175" s="14"/>
      <c r="V2175" s="14"/>
      <c r="W2175" s="14"/>
      <c r="X2175" s="14"/>
      <c r="Y2175" s="14"/>
      <c r="Z2175" s="14"/>
      <c r="AA2175" s="14"/>
      <c r="AB2175" s="14"/>
      <c r="AC2175" s="14"/>
      <c r="AD2175" s="14"/>
      <c r="AE2175" s="14"/>
      <c r="AF2175" s="14"/>
      <c r="AG2175" s="14"/>
      <c r="AH2175" s="14"/>
      <c r="AI2175" s="14"/>
      <c r="AJ2175" s="14"/>
      <c r="AK2175" s="14"/>
    </row>
    <row r="2176" spans="2:37" ht="14.25" thickBot="1" x14ac:dyDescent="0.3">
      <c r="B2176" s="5">
        <v>273672</v>
      </c>
      <c r="C2176" s="6">
        <v>1135750</v>
      </c>
      <c r="D2176" s="6" t="s">
        <v>9</v>
      </c>
      <c r="E2176" s="6" t="s">
        <v>15</v>
      </c>
      <c r="F2176" s="6"/>
      <c r="G2176" s="7">
        <v>42</v>
      </c>
      <c r="H2176" s="7"/>
      <c r="I2176" s="7">
        <v>12</v>
      </c>
      <c r="J2176" s="218"/>
      <c r="P2176" s="7">
        <f>IF((G2184-G2176)&gt;0,G2184-G2176,0)</f>
        <v>0</v>
      </c>
      <c r="Q2176" s="7">
        <f>IF((G2176-G2184)&gt;0,G2176-G2184,0)</f>
        <v>0</v>
      </c>
      <c r="R2176" s="218"/>
      <c r="S2176" s="14"/>
      <c r="T2176" s="14"/>
      <c r="U2176" s="14"/>
      <c r="V2176" s="14"/>
      <c r="W2176" s="14"/>
      <c r="X2176" s="14"/>
      <c r="Y2176" s="14"/>
      <c r="Z2176" s="14"/>
      <c r="AA2176" s="14"/>
      <c r="AB2176" s="14"/>
      <c r="AC2176" s="14"/>
      <c r="AD2176" s="14"/>
      <c r="AE2176" s="14"/>
      <c r="AF2176" s="14"/>
      <c r="AG2176" s="14"/>
      <c r="AH2176" s="14"/>
      <c r="AI2176" s="14"/>
      <c r="AJ2176" s="14"/>
      <c r="AK2176" s="14"/>
    </row>
    <row r="2177" spans="1:16384" ht="14.25" thickBot="1" x14ac:dyDescent="0.3">
      <c r="B2177" s="5">
        <v>273702</v>
      </c>
      <c r="C2177" s="6">
        <v>1135753</v>
      </c>
      <c r="D2177" s="6" t="s">
        <v>10</v>
      </c>
      <c r="E2177" s="6" t="s">
        <v>16</v>
      </c>
      <c r="F2177" s="6"/>
      <c r="G2177" s="7">
        <v>0</v>
      </c>
      <c r="H2177" s="7"/>
      <c r="I2177" s="7">
        <v>1</v>
      </c>
      <c r="J2177" s="218"/>
      <c r="P2177" s="7">
        <f>IF((G2185-G2177)&gt;0,G2185-G2177,0)</f>
        <v>0</v>
      </c>
      <c r="Q2177" s="7">
        <f>IF((G2177-G2185)&gt;0,G2177-G2185,0)</f>
        <v>0</v>
      </c>
      <c r="R2177" s="218"/>
      <c r="S2177" s="14"/>
      <c r="T2177" s="14"/>
      <c r="U2177" s="14"/>
      <c r="V2177" s="14"/>
      <c r="W2177" s="14"/>
      <c r="X2177" s="14"/>
      <c r="Y2177" s="14"/>
      <c r="Z2177" s="14"/>
      <c r="AA2177" s="14"/>
      <c r="AB2177" s="14"/>
      <c r="AC2177" s="14"/>
      <c r="AD2177" s="14"/>
      <c r="AE2177" s="14"/>
      <c r="AF2177" s="14"/>
      <c r="AG2177" s="14"/>
      <c r="AH2177" s="14"/>
      <c r="AI2177" s="14"/>
      <c r="AJ2177" s="14"/>
      <c r="AK2177" s="14"/>
    </row>
    <row r="2178" spans="1:16384" ht="14.25" thickBot="1" x14ac:dyDescent="0.3">
      <c r="B2178" s="5">
        <v>273698</v>
      </c>
      <c r="C2178" s="6">
        <v>1135752</v>
      </c>
      <c r="D2178" s="6" t="s">
        <v>11</v>
      </c>
      <c r="E2178" s="6" t="s">
        <v>17</v>
      </c>
      <c r="F2178" s="6"/>
      <c r="G2178" s="7">
        <v>4</v>
      </c>
      <c r="H2178" s="7"/>
      <c r="I2178" s="7">
        <v>5</v>
      </c>
      <c r="J2178" s="218"/>
      <c r="P2178" s="7">
        <f>IF((G2186-G2178)&gt;0,G2186-G2178,0)</f>
        <v>0</v>
      </c>
      <c r="Q2178" s="7">
        <f>IF((G2178-G2186)&gt;0,G2178-G2186,0)</f>
        <v>0</v>
      </c>
      <c r="R2178" s="218"/>
      <c r="S2178" s="14"/>
      <c r="T2178" s="14"/>
      <c r="U2178" s="14"/>
      <c r="V2178" s="14"/>
      <c r="W2178" s="14"/>
      <c r="X2178" s="14"/>
      <c r="Y2178" s="14"/>
      <c r="Z2178" s="14"/>
      <c r="AA2178" s="14"/>
      <c r="AB2178" s="14"/>
      <c r="AC2178" s="14"/>
      <c r="AD2178" s="14"/>
      <c r="AE2178" s="14"/>
      <c r="AF2178" s="14"/>
      <c r="AG2178" s="14"/>
      <c r="AH2178" s="14"/>
      <c r="AI2178" s="14"/>
      <c r="AJ2178" s="14"/>
      <c r="AK2178" s="14"/>
    </row>
    <row r="2179" spans="1:16384" ht="14.25" thickBot="1" x14ac:dyDescent="0.3">
      <c r="B2179" s="5">
        <v>273680</v>
      </c>
      <c r="C2179" s="6">
        <v>1135751</v>
      </c>
      <c r="D2179" s="6" t="s">
        <v>12</v>
      </c>
      <c r="E2179" s="6" t="s">
        <v>13</v>
      </c>
      <c r="F2179" s="6"/>
      <c r="G2179" s="7">
        <v>0</v>
      </c>
      <c r="H2179" s="7"/>
      <c r="I2179" s="7">
        <v>6</v>
      </c>
      <c r="J2179" s="218"/>
      <c r="P2179" s="7">
        <f>IF((G2187-G2179)&gt;0,G2187-G2179,0)</f>
        <v>0</v>
      </c>
      <c r="Q2179" s="7">
        <f>IF((G2179-G2187)&gt;0,G2179-G2187,0)</f>
        <v>0</v>
      </c>
      <c r="R2179" s="218"/>
      <c r="S2179" s="14"/>
      <c r="T2179" s="14"/>
      <c r="U2179" s="14"/>
      <c r="V2179" s="14"/>
      <c r="W2179" s="14"/>
      <c r="X2179" s="14"/>
      <c r="Y2179" s="14"/>
      <c r="Z2179" s="14"/>
      <c r="AA2179" s="14"/>
      <c r="AB2179" s="14"/>
      <c r="AC2179" s="14"/>
      <c r="AD2179" s="14"/>
      <c r="AE2179" s="14"/>
      <c r="AF2179" s="14"/>
      <c r="AG2179" s="14"/>
      <c r="AH2179" s="14"/>
      <c r="AI2179" s="14"/>
      <c r="AJ2179" s="14"/>
      <c r="AK2179" s="14"/>
    </row>
    <row r="2180" spans="1:16384" ht="15" x14ac:dyDescent="0.25">
      <c r="B2180" s="341"/>
      <c r="C2180" s="306"/>
      <c r="D2180" s="306"/>
      <c r="E2180" s="306"/>
      <c r="F2180" s="306"/>
      <c r="G2180" s="306"/>
      <c r="H2180" s="306"/>
      <c r="I2180" s="306"/>
      <c r="J2180" s="306"/>
      <c r="S2180" s="14"/>
      <c r="T2180" s="14"/>
      <c r="U2180" s="14"/>
      <c r="V2180" s="14"/>
      <c r="W2180" s="14"/>
      <c r="X2180" s="14"/>
      <c r="Y2180" s="14"/>
      <c r="Z2180" s="14"/>
      <c r="AA2180" s="14"/>
      <c r="AB2180" s="14"/>
      <c r="AC2180" s="14"/>
      <c r="AD2180" s="14"/>
      <c r="AE2180" s="14"/>
      <c r="AF2180" s="14"/>
      <c r="AG2180" s="14"/>
      <c r="AH2180" s="14"/>
      <c r="AI2180" s="14"/>
      <c r="AJ2180" s="14"/>
      <c r="AK2180" s="14"/>
    </row>
    <row r="2181" spans="1:16384" ht="14.25" thickBot="1" x14ac:dyDescent="0.3">
      <c r="B2181" s="338" t="s">
        <v>18</v>
      </c>
      <c r="C2181" s="339">
        <v>45082</v>
      </c>
      <c r="S2181" s="14"/>
      <c r="T2181" s="14"/>
      <c r="U2181" s="14"/>
      <c r="V2181" s="14"/>
      <c r="W2181" s="14"/>
      <c r="X2181" s="14"/>
      <c r="Y2181" s="14"/>
      <c r="Z2181" s="14"/>
      <c r="AA2181" s="14"/>
      <c r="AB2181" s="14"/>
      <c r="AC2181" s="14"/>
      <c r="AD2181" s="14"/>
      <c r="AE2181" s="14"/>
      <c r="AF2181" s="14"/>
      <c r="AG2181" s="14"/>
      <c r="AH2181" s="14"/>
      <c r="AI2181" s="14"/>
      <c r="AJ2181" s="14"/>
      <c r="AK2181" s="14"/>
    </row>
    <row r="2182" spans="1:16384" ht="14.25" thickBot="1" x14ac:dyDescent="0.3">
      <c r="B2182" s="2" t="s">
        <v>0</v>
      </c>
      <c r="C2182" s="3" t="s">
        <v>1</v>
      </c>
      <c r="D2182" s="3" t="s">
        <v>2</v>
      </c>
      <c r="E2182" s="3" t="s">
        <v>3</v>
      </c>
      <c r="F2182" s="3"/>
      <c r="G2182" s="4" t="s">
        <v>4</v>
      </c>
      <c r="H2182" s="219"/>
      <c r="P2182" s="3" t="s">
        <v>268</v>
      </c>
      <c r="Q2182" s="3" t="s">
        <v>269</v>
      </c>
      <c r="R2182" s="217"/>
      <c r="S2182" s="14"/>
      <c r="T2182" s="14"/>
      <c r="U2182" s="14"/>
      <c r="V2182" s="14"/>
      <c r="W2182" s="14"/>
      <c r="X2182" s="14"/>
      <c r="Y2182" s="14"/>
      <c r="Z2182" s="14"/>
      <c r="AA2182" s="14"/>
      <c r="AB2182" s="14"/>
      <c r="AC2182" s="14"/>
      <c r="AD2182" s="14"/>
      <c r="AE2182" s="14"/>
      <c r="AF2182" s="14"/>
      <c r="AG2182" s="14"/>
      <c r="AH2182" s="14"/>
      <c r="AI2182" s="14"/>
      <c r="AJ2182" s="14"/>
      <c r="AK2182" s="14"/>
    </row>
    <row r="2183" spans="1:16384" ht="14.25" thickBot="1" x14ac:dyDescent="0.3">
      <c r="B2183" s="5">
        <v>273664</v>
      </c>
      <c r="C2183" s="6">
        <v>1135749</v>
      </c>
      <c r="D2183" s="6" t="s">
        <v>7</v>
      </c>
      <c r="E2183" s="6">
        <v>6060050026</v>
      </c>
      <c r="F2183" s="6"/>
      <c r="G2183" s="7">
        <v>13</v>
      </c>
      <c r="H2183" s="218"/>
      <c r="P2183" s="7">
        <f>IF((G2191-G2183)&gt;0,G2191-G2183,0)</f>
        <v>0</v>
      </c>
      <c r="Q2183" s="7">
        <f>IF((G2183-G2191)&gt;0,G2183-G2191,0)</f>
        <v>0</v>
      </c>
      <c r="R2183" s="218"/>
      <c r="S2183" s="14"/>
      <c r="T2183" s="14"/>
      <c r="U2183" s="14"/>
      <c r="V2183" s="14"/>
      <c r="W2183" s="14"/>
      <c r="X2183" s="14"/>
      <c r="Y2183" s="14"/>
      <c r="Z2183" s="14"/>
      <c r="AA2183" s="14"/>
      <c r="AB2183" s="14"/>
      <c r="AC2183" s="14"/>
      <c r="AD2183" s="14"/>
      <c r="AE2183" s="14"/>
      <c r="AF2183" s="14"/>
      <c r="AG2183" s="14"/>
      <c r="AH2183" s="14"/>
      <c r="AI2183" s="14"/>
      <c r="AJ2183" s="14"/>
      <c r="AK2183" s="14"/>
    </row>
    <row r="2184" spans="1:16384" ht="14.25" thickBot="1" x14ac:dyDescent="0.3">
      <c r="B2184" s="5">
        <v>273672</v>
      </c>
      <c r="C2184" s="6">
        <v>1135750</v>
      </c>
      <c r="D2184" s="6" t="s">
        <v>9</v>
      </c>
      <c r="E2184" s="6" t="s">
        <v>15</v>
      </c>
      <c r="F2184" s="6"/>
      <c r="G2184" s="7">
        <v>42</v>
      </c>
      <c r="H2184" s="218"/>
      <c r="P2184" s="7">
        <f>IF((G2192-G2184)&gt;0,G2192-G2184,0)</f>
        <v>4</v>
      </c>
      <c r="Q2184" s="7">
        <f>IF((G2184-G2192)&gt;0,G2184-G2192,0)</f>
        <v>0</v>
      </c>
      <c r="R2184" s="218"/>
    </row>
    <row r="2185" spans="1:16384" ht="14.25" thickBot="1" x14ac:dyDescent="0.3">
      <c r="B2185" s="5">
        <v>273702</v>
      </c>
      <c r="C2185" s="6">
        <v>1135753</v>
      </c>
      <c r="D2185" s="6" t="s">
        <v>10</v>
      </c>
      <c r="E2185" s="6" t="s">
        <v>16</v>
      </c>
      <c r="F2185" s="6"/>
      <c r="G2185" s="7">
        <v>0</v>
      </c>
      <c r="H2185" s="218"/>
      <c r="P2185" s="7">
        <f>IF((G2193-G2185)&gt;0,G2193-G2185,0)</f>
        <v>0</v>
      </c>
      <c r="Q2185" s="7">
        <f>IF((G2185-G2193)&gt;0,G2185-G2193,0)</f>
        <v>0</v>
      </c>
      <c r="R2185" s="218"/>
    </row>
    <row r="2186" spans="1:16384" ht="14.25" thickBot="1" x14ac:dyDescent="0.3">
      <c r="B2186" s="5">
        <v>273698</v>
      </c>
      <c r="C2186" s="6">
        <v>1135752</v>
      </c>
      <c r="D2186" s="6" t="s">
        <v>11</v>
      </c>
      <c r="E2186" s="6" t="s">
        <v>17</v>
      </c>
      <c r="F2186" s="6"/>
      <c r="G2186" s="7">
        <v>4</v>
      </c>
      <c r="H2186" s="218"/>
      <c r="P2186" s="7">
        <f>IF((G2194-G2186)&gt;0,G2194-G2186,0)</f>
        <v>0</v>
      </c>
      <c r="Q2186" s="7">
        <f>IF((G2186-G2194)&gt;0,G2186-G2194,0)</f>
        <v>0</v>
      </c>
      <c r="R2186" s="218"/>
    </row>
    <row r="2187" spans="1:16384" ht="14.25" thickBot="1" x14ac:dyDescent="0.3">
      <c r="B2187" s="5">
        <v>273680</v>
      </c>
      <c r="C2187" s="6">
        <v>1135751</v>
      </c>
      <c r="D2187" s="6" t="s">
        <v>12</v>
      </c>
      <c r="E2187" s="6" t="s">
        <v>13</v>
      </c>
      <c r="F2187" s="6"/>
      <c r="G2187" s="7">
        <v>0</v>
      </c>
      <c r="H2187" s="218"/>
      <c r="P2187" s="7">
        <f>IF((G2195-G2187)&gt;0,G2195-G2187,0)</f>
        <v>0</v>
      </c>
      <c r="Q2187" s="7">
        <f>IF((G2187-G2195)&gt;0,G2187-G2195,0)</f>
        <v>0</v>
      </c>
      <c r="R2187" s="218"/>
    </row>
    <row r="2188" spans="1:16384" x14ac:dyDescent="0.25">
      <c r="A2188" s="69"/>
      <c r="S2188" s="338"/>
      <c r="T2188" s="338"/>
      <c r="U2188" s="339"/>
      <c r="V2188" s="338"/>
      <c r="W2188" s="338"/>
      <c r="X2188" s="338"/>
      <c r="Y2188" s="338"/>
      <c r="Z2188" s="338"/>
      <c r="AA2188" s="339"/>
      <c r="AB2188" s="338"/>
      <c r="AC2188" s="338"/>
      <c r="AD2188" s="339"/>
      <c r="AE2188" s="338"/>
      <c r="AF2188" s="339"/>
      <c r="AG2188" s="338"/>
      <c r="AH2188" s="339"/>
      <c r="AI2188" s="339"/>
      <c r="AJ2188" s="338"/>
      <c r="AK2188" s="339"/>
      <c r="AL2188" s="69"/>
      <c r="AM2188" s="70"/>
      <c r="AN2188" s="69"/>
      <c r="AO2188" s="70"/>
      <c r="AP2188" s="69"/>
      <c r="AQ2188" s="70"/>
      <c r="AR2188" s="69"/>
      <c r="AS2188" s="70"/>
      <c r="AT2188" s="69"/>
      <c r="AU2188" s="70"/>
      <c r="AV2188" s="69"/>
      <c r="AW2188" s="70"/>
      <c r="AX2188" s="69"/>
      <c r="AY2188" s="70"/>
      <c r="AZ2188" s="69"/>
      <c r="BA2188" s="70"/>
      <c r="BB2188" s="69"/>
      <c r="BC2188" s="70"/>
      <c r="BD2188" s="69"/>
      <c r="BE2188" s="70"/>
      <c r="BF2188" s="69"/>
      <c r="BG2188" s="70"/>
      <c r="BH2188" s="69"/>
      <c r="BI2188" s="70"/>
      <c r="BJ2188" s="69"/>
      <c r="BK2188" s="70"/>
      <c r="BL2188" s="69"/>
      <c r="BM2188" s="70"/>
      <c r="BN2188" s="69"/>
      <c r="BO2188" s="70"/>
      <c r="BP2188" s="69"/>
      <c r="BQ2188" s="70"/>
      <c r="BR2188" s="69"/>
      <c r="BS2188" s="70"/>
      <c r="BT2188" s="69"/>
      <c r="BU2188" s="70"/>
      <c r="BV2188" s="69"/>
      <c r="BW2188" s="70"/>
      <c r="BX2188" s="69"/>
      <c r="BY2188" s="70"/>
      <c r="BZ2188" s="69"/>
      <c r="CA2188" s="70"/>
      <c r="CB2188" s="69"/>
      <c r="CC2188" s="70"/>
      <c r="CD2188" s="69"/>
      <c r="CE2188" s="70"/>
      <c r="CF2188" s="69"/>
      <c r="CG2188" s="70"/>
      <c r="CH2188" s="69"/>
      <c r="CI2188" s="70"/>
      <c r="CJ2188" s="69"/>
      <c r="CK2188" s="70"/>
      <c r="CL2188" s="69"/>
      <c r="CM2188" s="70"/>
      <c r="CN2188" s="69"/>
      <c r="CO2188" s="70"/>
      <c r="CP2188" s="69"/>
      <c r="CQ2188" s="70"/>
      <c r="CR2188" s="69"/>
      <c r="CS2188" s="70"/>
      <c r="CT2188" s="69"/>
      <c r="CU2188" s="70"/>
      <c r="CV2188" s="69"/>
      <c r="CW2188" s="70"/>
      <c r="CX2188" s="69"/>
      <c r="CY2188" s="70"/>
      <c r="CZ2188" s="69"/>
      <c r="DA2188" s="70"/>
      <c r="DB2188" s="69"/>
      <c r="DC2188" s="70"/>
      <c r="DD2188" s="69"/>
      <c r="DE2188" s="70"/>
      <c r="DF2188" s="69"/>
      <c r="DG2188" s="70"/>
      <c r="DH2188" s="69"/>
      <c r="DI2188" s="70"/>
      <c r="DJ2188" s="69"/>
      <c r="DK2188" s="70"/>
      <c r="DL2188" s="69"/>
      <c r="DM2188" s="70"/>
      <c r="DN2188" s="69"/>
      <c r="DO2188" s="70"/>
      <c r="DP2188" s="69"/>
      <c r="DQ2188" s="70"/>
      <c r="DR2188" s="69"/>
      <c r="DS2188" s="70"/>
      <c r="DT2188" s="69"/>
      <c r="DU2188" s="70"/>
      <c r="DV2188" s="69"/>
      <c r="DW2188" s="70"/>
      <c r="DX2188" s="69"/>
      <c r="DY2188" s="70"/>
      <c r="DZ2188" s="69"/>
      <c r="EA2188" s="70"/>
      <c r="EB2188" s="69"/>
      <c r="EC2188" s="70"/>
      <c r="ED2188" s="69"/>
      <c r="EE2188" s="70"/>
      <c r="EF2188" s="69"/>
      <c r="EG2188" s="70"/>
      <c r="EH2188" s="69"/>
      <c r="EI2188" s="70"/>
      <c r="EJ2188" s="69"/>
      <c r="EK2188" s="70"/>
      <c r="EL2188" s="69"/>
      <c r="EM2188" s="70"/>
      <c r="EN2188" s="69"/>
      <c r="EO2188" s="70"/>
      <c r="EP2188" s="69"/>
      <c r="EQ2188" s="70"/>
      <c r="ER2188" s="69"/>
      <c r="ES2188" s="70"/>
      <c r="ET2188" s="69"/>
      <c r="EU2188" s="70"/>
      <c r="EV2188" s="69"/>
      <c r="EW2188" s="70"/>
      <c r="EX2188" s="69"/>
      <c r="EY2188" s="70"/>
      <c r="EZ2188" s="69"/>
      <c r="FA2188" s="70"/>
      <c r="FB2188" s="69"/>
      <c r="FC2188" s="70"/>
      <c r="FD2188" s="69"/>
      <c r="FE2188" s="70"/>
      <c r="FF2188" s="69"/>
      <c r="FG2188" s="70"/>
      <c r="FH2188" s="69"/>
      <c r="FI2188" s="70"/>
      <c r="FJ2188" s="69"/>
      <c r="FK2188" s="70"/>
      <c r="FL2188" s="69"/>
      <c r="FM2188" s="70"/>
      <c r="FN2188" s="69"/>
      <c r="FO2188" s="70"/>
      <c r="FP2188" s="69"/>
      <c r="FQ2188" s="70"/>
      <c r="FR2188" s="69"/>
      <c r="FS2188" s="70"/>
      <c r="FT2188" s="69"/>
      <c r="FU2188" s="70"/>
      <c r="FV2188" s="69"/>
      <c r="FW2188" s="70"/>
      <c r="FX2188" s="69"/>
      <c r="FY2188" s="70"/>
      <c r="FZ2188" s="69"/>
      <c r="GA2188" s="70"/>
      <c r="GB2188" s="69"/>
      <c r="GC2188" s="70"/>
      <c r="GD2188" s="69"/>
      <c r="GE2188" s="70"/>
      <c r="GF2188" s="69"/>
      <c r="GG2188" s="70"/>
      <c r="GH2188" s="69"/>
      <c r="GI2188" s="70"/>
      <c r="GJ2188" s="69"/>
      <c r="GK2188" s="70"/>
      <c r="GL2188" s="69"/>
      <c r="GM2188" s="70"/>
      <c r="GN2188" s="69"/>
      <c r="GO2188" s="70"/>
      <c r="GP2188" s="69"/>
      <c r="GQ2188" s="70"/>
      <c r="GR2188" s="69"/>
      <c r="GS2188" s="70"/>
      <c r="GT2188" s="69"/>
      <c r="GU2188" s="70"/>
      <c r="GV2188" s="69"/>
      <c r="GW2188" s="70"/>
      <c r="GX2188" s="69"/>
      <c r="GY2188" s="70"/>
      <c r="GZ2188" s="69"/>
      <c r="HA2188" s="70"/>
      <c r="HB2188" s="69"/>
      <c r="HC2188" s="70"/>
      <c r="HD2188" s="69"/>
      <c r="HE2188" s="70"/>
      <c r="HF2188" s="69"/>
      <c r="HG2188" s="70"/>
      <c r="HH2188" s="69"/>
      <c r="HI2188" s="70"/>
      <c r="HJ2188" s="69"/>
      <c r="HK2188" s="70"/>
      <c r="HL2188" s="69"/>
      <c r="HM2188" s="70"/>
      <c r="HN2188" s="69"/>
      <c r="HO2188" s="70"/>
      <c r="HP2188" s="69"/>
      <c r="HQ2188" s="70"/>
      <c r="HR2188" s="69"/>
      <c r="HS2188" s="70"/>
      <c r="HT2188" s="69"/>
      <c r="HU2188" s="70"/>
      <c r="HV2188" s="69"/>
      <c r="HW2188" s="70"/>
      <c r="HX2188" s="69"/>
      <c r="HY2188" s="70"/>
      <c r="HZ2188" s="69"/>
      <c r="IA2188" s="70"/>
      <c r="IB2188" s="69"/>
      <c r="IC2188" s="70"/>
      <c r="ID2188" s="69"/>
      <c r="IE2188" s="70"/>
      <c r="IF2188" s="69"/>
      <c r="IG2188" s="70"/>
      <c r="IH2188" s="69"/>
      <c r="II2188" s="70"/>
      <c r="IJ2188" s="69"/>
      <c r="IK2188" s="70"/>
      <c r="IL2188" s="69"/>
      <c r="IM2188" s="70"/>
      <c r="IN2188" s="69"/>
      <c r="IO2188" s="70"/>
      <c r="IP2188" s="69"/>
      <c r="IQ2188" s="70"/>
      <c r="IR2188" s="69"/>
      <c r="IS2188" s="70"/>
      <c r="IT2188" s="69"/>
      <c r="IU2188" s="70"/>
      <c r="IV2188" s="69"/>
      <c r="IW2188" s="70"/>
      <c r="IX2188" s="69"/>
      <c r="IY2188" s="70"/>
      <c r="IZ2188" s="69"/>
      <c r="JA2188" s="70"/>
      <c r="JB2188" s="69"/>
      <c r="JC2188" s="70"/>
      <c r="JD2188" s="69"/>
      <c r="JE2188" s="70"/>
      <c r="JF2188" s="69"/>
      <c r="JG2188" s="70"/>
      <c r="JH2188" s="69"/>
      <c r="JI2188" s="70"/>
      <c r="JJ2188" s="69"/>
      <c r="JK2188" s="70"/>
      <c r="JL2188" s="69"/>
      <c r="JM2188" s="70"/>
      <c r="JN2188" s="69"/>
      <c r="JO2188" s="70"/>
      <c r="JP2188" s="69"/>
      <c r="JQ2188" s="70"/>
      <c r="JR2188" s="69"/>
      <c r="JS2188" s="70"/>
      <c r="JT2188" s="69"/>
      <c r="JU2188" s="70"/>
      <c r="JV2188" s="69"/>
      <c r="JW2188" s="70"/>
      <c r="JX2188" s="69"/>
      <c r="JY2188" s="70"/>
      <c r="JZ2188" s="69"/>
      <c r="KA2188" s="70"/>
      <c r="KB2188" s="69"/>
      <c r="KC2188" s="70"/>
      <c r="KD2188" s="69"/>
      <c r="KE2188" s="70"/>
      <c r="KF2188" s="69"/>
      <c r="KG2188" s="70"/>
      <c r="KH2188" s="69"/>
      <c r="KI2188" s="70"/>
      <c r="KJ2188" s="69"/>
      <c r="KK2188" s="70"/>
      <c r="KL2188" s="69"/>
      <c r="KM2188" s="70"/>
      <c r="KN2188" s="69"/>
      <c r="KO2188" s="70"/>
      <c r="KP2188" s="69"/>
      <c r="KQ2188" s="70"/>
      <c r="KR2188" s="69"/>
      <c r="KS2188" s="70"/>
      <c r="KT2188" s="69"/>
      <c r="KU2188" s="70"/>
      <c r="KV2188" s="69"/>
      <c r="KW2188" s="70"/>
      <c r="KX2188" s="69"/>
      <c r="KY2188" s="70"/>
      <c r="KZ2188" s="69"/>
      <c r="LA2188" s="70"/>
      <c r="LB2188" s="69"/>
      <c r="LC2188" s="70"/>
      <c r="LD2188" s="69"/>
      <c r="LE2188" s="70"/>
      <c r="LF2188" s="69"/>
      <c r="LG2188" s="70"/>
      <c r="LH2188" s="69"/>
      <c r="LI2188" s="70"/>
      <c r="LJ2188" s="69"/>
      <c r="LK2188" s="70"/>
      <c r="LL2188" s="69"/>
      <c r="LM2188" s="70"/>
      <c r="LN2188" s="69"/>
      <c r="LO2188" s="70"/>
      <c r="LP2188" s="69"/>
      <c r="LQ2188" s="70"/>
      <c r="LR2188" s="69"/>
      <c r="LS2188" s="70"/>
      <c r="LT2188" s="69"/>
      <c r="LU2188" s="70"/>
      <c r="LV2188" s="69"/>
      <c r="LW2188" s="70"/>
      <c r="LX2188" s="69"/>
      <c r="LY2188" s="70"/>
      <c r="LZ2188" s="69"/>
      <c r="MA2188" s="70"/>
      <c r="MB2188" s="69"/>
      <c r="MC2188" s="70"/>
      <c r="MD2188" s="69"/>
      <c r="ME2188" s="70"/>
      <c r="MF2188" s="69"/>
      <c r="MG2188" s="70"/>
      <c r="MH2188" s="69"/>
      <c r="MI2188" s="70"/>
      <c r="MJ2188" s="69"/>
      <c r="MK2188" s="70"/>
      <c r="ML2188" s="69"/>
      <c r="MM2188" s="70"/>
      <c r="MN2188" s="69"/>
      <c r="MO2188" s="70"/>
      <c r="MP2188" s="69"/>
      <c r="MQ2188" s="70"/>
      <c r="MR2188" s="69"/>
      <c r="MS2188" s="70"/>
      <c r="MT2188" s="69"/>
      <c r="MU2188" s="70"/>
      <c r="MV2188" s="69"/>
      <c r="MW2188" s="70"/>
      <c r="MX2188" s="69"/>
      <c r="MY2188" s="70"/>
      <c r="MZ2188" s="69"/>
      <c r="NA2188" s="70"/>
      <c r="NB2188" s="69"/>
      <c r="NC2188" s="70"/>
      <c r="ND2188" s="69"/>
      <c r="NE2188" s="70"/>
      <c r="NF2188" s="69"/>
      <c r="NG2188" s="70"/>
      <c r="NH2188" s="69"/>
      <c r="NI2188" s="70"/>
      <c r="NJ2188" s="69"/>
      <c r="NK2188" s="70"/>
      <c r="NL2188" s="69"/>
      <c r="NM2188" s="70"/>
      <c r="NN2188" s="69"/>
      <c r="NO2188" s="70"/>
      <c r="NP2188" s="69"/>
      <c r="NQ2188" s="70"/>
      <c r="NR2188" s="69"/>
      <c r="NS2188" s="70"/>
      <c r="NT2188" s="69"/>
      <c r="NU2188" s="70"/>
      <c r="NV2188" s="69"/>
      <c r="NW2188" s="70"/>
      <c r="NX2188" s="69"/>
      <c r="NY2188" s="70"/>
      <c r="NZ2188" s="69"/>
      <c r="OA2188" s="70"/>
      <c r="OB2188" s="69"/>
      <c r="OC2188" s="70"/>
      <c r="OD2188" s="69"/>
      <c r="OE2188" s="70"/>
      <c r="OF2188" s="69"/>
      <c r="OG2188" s="70"/>
      <c r="OH2188" s="69"/>
      <c r="OI2188" s="70"/>
      <c r="OJ2188" s="69"/>
      <c r="OK2188" s="70"/>
      <c r="OL2188" s="69"/>
      <c r="OM2188" s="70"/>
      <c r="ON2188" s="69"/>
      <c r="OO2188" s="70"/>
      <c r="OP2188" s="69"/>
      <c r="OQ2188" s="70"/>
      <c r="OR2188" s="69"/>
      <c r="OS2188" s="70"/>
      <c r="OT2188" s="69"/>
      <c r="OU2188" s="70"/>
      <c r="OV2188" s="69"/>
      <c r="OW2188" s="70"/>
      <c r="OX2188" s="69"/>
      <c r="OY2188" s="70"/>
      <c r="OZ2188" s="69"/>
      <c r="PA2188" s="70"/>
      <c r="PB2188" s="69"/>
      <c r="PC2188" s="70"/>
      <c r="PD2188" s="69"/>
      <c r="PE2188" s="70"/>
      <c r="PF2188" s="69"/>
      <c r="PG2188" s="70"/>
      <c r="PH2188" s="69"/>
      <c r="PI2188" s="70"/>
      <c r="PJ2188" s="69"/>
      <c r="PK2188" s="70"/>
      <c r="PL2188" s="69"/>
      <c r="PM2188" s="70"/>
      <c r="PN2188" s="69"/>
      <c r="PO2188" s="70"/>
      <c r="PP2188" s="69"/>
      <c r="PQ2188" s="70"/>
      <c r="PR2188" s="69"/>
      <c r="PS2188" s="70"/>
      <c r="PT2188" s="69"/>
      <c r="PU2188" s="70"/>
      <c r="PV2188" s="69"/>
      <c r="PW2188" s="70"/>
      <c r="PX2188" s="69"/>
      <c r="PY2188" s="70"/>
      <c r="PZ2188" s="69"/>
      <c r="QA2188" s="70"/>
      <c r="QB2188" s="69"/>
      <c r="QC2188" s="70"/>
      <c r="QD2188" s="69"/>
      <c r="QE2188" s="70"/>
      <c r="QF2188" s="69"/>
      <c r="QG2188" s="70"/>
      <c r="QH2188" s="69"/>
      <c r="QI2188" s="70"/>
      <c r="QJ2188" s="69"/>
      <c r="QK2188" s="70"/>
      <c r="QL2188" s="69"/>
      <c r="QM2188" s="70"/>
      <c r="QN2188" s="69"/>
      <c r="QO2188" s="70"/>
      <c r="QP2188" s="69"/>
      <c r="QQ2188" s="70"/>
      <c r="QR2188" s="69"/>
      <c r="QS2188" s="70"/>
      <c r="QT2188" s="69"/>
      <c r="QU2188" s="70"/>
      <c r="QV2188" s="69"/>
      <c r="QW2188" s="70"/>
      <c r="QX2188" s="69"/>
      <c r="QY2188" s="70"/>
      <c r="QZ2188" s="69"/>
      <c r="RA2188" s="70"/>
      <c r="RB2188" s="69"/>
      <c r="RC2188" s="70"/>
      <c r="RD2188" s="69"/>
      <c r="RE2188" s="70"/>
      <c r="RF2188" s="69"/>
      <c r="RG2188" s="70"/>
      <c r="RH2188" s="69"/>
      <c r="RI2188" s="70"/>
      <c r="RJ2188" s="69"/>
      <c r="RK2188" s="70"/>
      <c r="RL2188" s="69"/>
      <c r="RM2188" s="70"/>
      <c r="RN2188" s="69"/>
      <c r="RO2188" s="70"/>
      <c r="RP2188" s="69"/>
      <c r="RQ2188" s="70"/>
      <c r="RR2188" s="69"/>
      <c r="RS2188" s="70"/>
      <c r="RT2188" s="69"/>
      <c r="RU2188" s="70"/>
      <c r="RV2188" s="69"/>
      <c r="RW2188" s="70"/>
      <c r="RX2188" s="69"/>
      <c r="RY2188" s="70"/>
      <c r="RZ2188" s="69"/>
      <c r="SA2188" s="70"/>
      <c r="SB2188" s="69"/>
      <c r="SC2188" s="70"/>
      <c r="SD2188" s="69"/>
      <c r="SE2188" s="70"/>
      <c r="SF2188" s="69"/>
      <c r="SG2188" s="70"/>
      <c r="SH2188" s="69"/>
      <c r="SI2188" s="70"/>
      <c r="SJ2188" s="69"/>
      <c r="SK2188" s="70"/>
      <c r="SL2188" s="69"/>
      <c r="SM2188" s="70"/>
      <c r="SN2188" s="69"/>
      <c r="SO2188" s="70"/>
      <c r="SP2188" s="69"/>
      <c r="SQ2188" s="70"/>
      <c r="SR2188" s="69"/>
      <c r="SS2188" s="70"/>
      <c r="ST2188" s="69"/>
      <c r="SU2188" s="70"/>
      <c r="SV2188" s="69"/>
      <c r="SW2188" s="70"/>
      <c r="SX2188" s="69"/>
      <c r="SY2188" s="70"/>
      <c r="SZ2188" s="69"/>
      <c r="TA2188" s="70"/>
      <c r="TB2188" s="69"/>
      <c r="TC2188" s="70"/>
      <c r="TD2188" s="69"/>
      <c r="TE2188" s="70"/>
      <c r="TF2188" s="69"/>
      <c r="TG2188" s="70"/>
      <c r="TH2188" s="69"/>
      <c r="TI2188" s="70"/>
      <c r="TJ2188" s="69"/>
      <c r="TK2188" s="70"/>
      <c r="TL2188" s="69"/>
      <c r="TM2188" s="70"/>
      <c r="TN2188" s="69"/>
      <c r="TO2188" s="70"/>
      <c r="TP2188" s="69"/>
      <c r="TQ2188" s="70"/>
      <c r="TR2188" s="69"/>
      <c r="TS2188" s="70"/>
      <c r="TT2188" s="69"/>
      <c r="TU2188" s="70"/>
      <c r="TV2188" s="69"/>
      <c r="TW2188" s="70"/>
      <c r="TX2188" s="69"/>
      <c r="TY2188" s="70"/>
      <c r="TZ2188" s="69"/>
      <c r="UA2188" s="70"/>
      <c r="UB2188" s="69"/>
      <c r="UC2188" s="70"/>
      <c r="UD2188" s="69"/>
      <c r="UE2188" s="70"/>
      <c r="UF2188" s="69"/>
      <c r="UG2188" s="70"/>
      <c r="UH2188" s="69"/>
      <c r="UI2188" s="70"/>
      <c r="UJ2188" s="69"/>
      <c r="UK2188" s="70"/>
      <c r="UL2188" s="69"/>
      <c r="UM2188" s="70"/>
      <c r="UN2188" s="69"/>
      <c r="UO2188" s="70"/>
      <c r="UP2188" s="69"/>
      <c r="UQ2188" s="70"/>
      <c r="UR2188" s="69"/>
      <c r="US2188" s="70"/>
      <c r="UT2188" s="69"/>
      <c r="UU2188" s="70"/>
      <c r="UV2188" s="69"/>
      <c r="UW2188" s="70"/>
      <c r="UX2188" s="69"/>
      <c r="UY2188" s="70"/>
      <c r="UZ2188" s="69"/>
      <c r="VA2188" s="70"/>
      <c r="VB2188" s="69"/>
      <c r="VC2188" s="70"/>
      <c r="VD2188" s="69"/>
      <c r="VE2188" s="70"/>
      <c r="VF2188" s="69"/>
      <c r="VG2188" s="70"/>
      <c r="VH2188" s="69"/>
      <c r="VI2188" s="70"/>
      <c r="VJ2188" s="69"/>
      <c r="VK2188" s="70"/>
      <c r="VL2188" s="69"/>
      <c r="VM2188" s="70"/>
      <c r="VN2188" s="69"/>
      <c r="VO2188" s="70"/>
      <c r="VP2188" s="69"/>
      <c r="VQ2188" s="70"/>
      <c r="VR2188" s="69"/>
      <c r="VS2188" s="70"/>
      <c r="VT2188" s="69"/>
      <c r="VU2188" s="70"/>
      <c r="VV2188" s="69"/>
      <c r="VW2188" s="70"/>
      <c r="VX2188" s="69"/>
      <c r="VY2188" s="70"/>
      <c r="VZ2188" s="69"/>
      <c r="WA2188" s="70"/>
      <c r="WB2188" s="69"/>
      <c r="WC2188" s="70"/>
      <c r="WD2188" s="69"/>
      <c r="WE2188" s="70"/>
      <c r="WF2188" s="69"/>
      <c r="WG2188" s="70"/>
      <c r="WH2188" s="69"/>
      <c r="WI2188" s="70"/>
      <c r="WJ2188" s="69"/>
      <c r="WK2188" s="70"/>
      <c r="WL2188" s="69"/>
      <c r="WM2188" s="70"/>
      <c r="WN2188" s="69"/>
      <c r="WO2188" s="70"/>
      <c r="WP2188" s="69"/>
      <c r="WQ2188" s="70"/>
      <c r="WR2188" s="69"/>
      <c r="WS2188" s="70"/>
      <c r="WT2188" s="69"/>
      <c r="WU2188" s="70"/>
      <c r="WV2188" s="69"/>
      <c r="WW2188" s="70"/>
      <c r="WX2188" s="69"/>
      <c r="WY2188" s="70"/>
      <c r="WZ2188" s="69"/>
      <c r="XA2188" s="70"/>
      <c r="XB2188" s="69"/>
      <c r="XC2188" s="70"/>
      <c r="XD2188" s="69"/>
      <c r="XE2188" s="70"/>
      <c r="XF2188" s="69"/>
      <c r="XG2188" s="70"/>
      <c r="XH2188" s="69"/>
      <c r="XI2188" s="70"/>
      <c r="XJ2188" s="69"/>
      <c r="XK2188" s="70"/>
      <c r="XL2188" s="69"/>
      <c r="XM2188" s="70"/>
      <c r="XN2188" s="69"/>
      <c r="XO2188" s="70"/>
      <c r="XP2188" s="69"/>
      <c r="XQ2188" s="70"/>
      <c r="XR2188" s="69"/>
      <c r="XS2188" s="70"/>
      <c r="XT2188" s="69"/>
      <c r="XU2188" s="70"/>
      <c r="XV2188" s="69"/>
      <c r="XW2188" s="70"/>
      <c r="XX2188" s="69"/>
      <c r="XY2188" s="70"/>
      <c r="XZ2188" s="69"/>
      <c r="YA2188" s="70"/>
      <c r="YB2188" s="69"/>
      <c r="YC2188" s="70"/>
      <c r="YD2188" s="69"/>
      <c r="YE2188" s="70"/>
      <c r="YF2188" s="69"/>
      <c r="YG2188" s="70"/>
      <c r="YH2188" s="69"/>
      <c r="YI2188" s="70"/>
      <c r="YJ2188" s="69"/>
      <c r="YK2188" s="70"/>
      <c r="YL2188" s="69"/>
      <c r="YM2188" s="70"/>
      <c r="YN2188" s="69"/>
      <c r="YO2188" s="70"/>
      <c r="YP2188" s="69"/>
      <c r="YQ2188" s="70"/>
      <c r="YR2188" s="69"/>
      <c r="YS2188" s="70"/>
      <c r="YT2188" s="69"/>
      <c r="YU2188" s="70"/>
      <c r="YV2188" s="69"/>
      <c r="YW2188" s="70"/>
      <c r="YX2188" s="69"/>
      <c r="YY2188" s="70"/>
      <c r="YZ2188" s="69"/>
      <c r="ZA2188" s="70"/>
      <c r="ZB2188" s="69"/>
      <c r="ZC2188" s="70"/>
      <c r="ZD2188" s="69"/>
      <c r="ZE2188" s="70"/>
      <c r="ZF2188" s="69"/>
      <c r="ZG2188" s="70"/>
      <c r="ZH2188" s="69"/>
      <c r="ZI2188" s="70"/>
      <c r="ZJ2188" s="69"/>
      <c r="ZK2188" s="70"/>
      <c r="ZL2188" s="69"/>
      <c r="ZM2188" s="70"/>
      <c r="ZN2188" s="69"/>
      <c r="ZO2188" s="70"/>
      <c r="ZP2188" s="69"/>
      <c r="ZQ2188" s="70"/>
      <c r="ZR2188" s="69"/>
      <c r="ZS2188" s="70"/>
      <c r="ZT2188" s="69"/>
      <c r="ZU2188" s="70"/>
      <c r="ZV2188" s="69"/>
      <c r="ZW2188" s="70"/>
      <c r="ZX2188" s="69"/>
      <c r="ZY2188" s="70"/>
      <c r="ZZ2188" s="69"/>
      <c r="AAA2188" s="70"/>
      <c r="AAB2188" s="69"/>
      <c r="AAC2188" s="70"/>
      <c r="AAD2188" s="69"/>
      <c r="AAE2188" s="70"/>
      <c r="AAF2188" s="69"/>
      <c r="AAG2188" s="70"/>
      <c r="AAH2188" s="69"/>
      <c r="AAI2188" s="70"/>
      <c r="AAJ2188" s="69"/>
      <c r="AAK2188" s="70"/>
      <c r="AAL2188" s="69"/>
      <c r="AAM2188" s="70"/>
      <c r="AAN2188" s="69"/>
      <c r="AAO2188" s="70"/>
      <c r="AAP2188" s="69"/>
      <c r="AAQ2188" s="70"/>
      <c r="AAR2188" s="69"/>
      <c r="AAS2188" s="70"/>
      <c r="AAT2188" s="69"/>
      <c r="AAU2188" s="70"/>
      <c r="AAV2188" s="69"/>
      <c r="AAW2188" s="70"/>
      <c r="AAX2188" s="69"/>
      <c r="AAY2188" s="70"/>
      <c r="AAZ2188" s="69"/>
      <c r="ABA2188" s="70"/>
      <c r="ABB2188" s="69"/>
      <c r="ABC2188" s="70"/>
      <c r="ABD2188" s="69"/>
      <c r="ABE2188" s="70"/>
      <c r="ABF2188" s="69"/>
      <c r="ABG2188" s="70"/>
      <c r="ABH2188" s="69"/>
      <c r="ABI2188" s="70"/>
      <c r="ABJ2188" s="69"/>
      <c r="ABK2188" s="70"/>
      <c r="ABL2188" s="69"/>
      <c r="ABM2188" s="70"/>
      <c r="ABN2188" s="69"/>
      <c r="ABO2188" s="70"/>
      <c r="ABP2188" s="69"/>
      <c r="ABQ2188" s="70"/>
      <c r="ABR2188" s="69"/>
      <c r="ABS2188" s="70"/>
      <c r="ABT2188" s="69"/>
      <c r="ABU2188" s="70"/>
      <c r="ABV2188" s="69"/>
      <c r="ABW2188" s="70"/>
      <c r="ABX2188" s="69"/>
      <c r="ABY2188" s="70"/>
      <c r="ABZ2188" s="69"/>
      <c r="ACA2188" s="70"/>
      <c r="ACB2188" s="69"/>
      <c r="ACC2188" s="70"/>
      <c r="ACD2188" s="69"/>
      <c r="ACE2188" s="70"/>
      <c r="ACF2188" s="69"/>
      <c r="ACG2188" s="70"/>
      <c r="ACH2188" s="69"/>
      <c r="ACI2188" s="70"/>
      <c r="ACJ2188" s="69"/>
      <c r="ACK2188" s="70"/>
      <c r="ACL2188" s="69"/>
      <c r="ACM2188" s="70"/>
      <c r="ACN2188" s="69"/>
      <c r="ACO2188" s="70"/>
      <c r="ACP2188" s="69"/>
      <c r="ACQ2188" s="70"/>
      <c r="ACR2188" s="69"/>
      <c r="ACS2188" s="70"/>
      <c r="ACT2188" s="69"/>
      <c r="ACU2188" s="70"/>
      <c r="ACV2188" s="69"/>
      <c r="ACW2188" s="70"/>
      <c r="ACX2188" s="69"/>
      <c r="ACY2188" s="70"/>
      <c r="ACZ2188" s="69"/>
      <c r="ADA2188" s="70"/>
      <c r="ADB2188" s="69"/>
      <c r="ADC2188" s="70"/>
      <c r="ADD2188" s="69"/>
      <c r="ADE2188" s="70"/>
      <c r="ADF2188" s="69"/>
      <c r="ADG2188" s="70"/>
      <c r="ADH2188" s="69"/>
      <c r="ADI2188" s="70"/>
      <c r="ADJ2188" s="69"/>
      <c r="ADK2188" s="70"/>
      <c r="ADL2188" s="69"/>
      <c r="ADM2188" s="70"/>
      <c r="ADN2188" s="69"/>
      <c r="ADO2188" s="70"/>
      <c r="ADP2188" s="69"/>
      <c r="ADQ2188" s="70"/>
      <c r="ADR2188" s="69"/>
      <c r="ADS2188" s="70"/>
      <c r="ADT2188" s="69"/>
      <c r="ADU2188" s="70"/>
      <c r="ADV2188" s="69"/>
      <c r="ADW2188" s="70"/>
      <c r="ADX2188" s="69"/>
      <c r="ADY2188" s="70"/>
      <c r="ADZ2188" s="69"/>
      <c r="AEA2188" s="70"/>
      <c r="AEB2188" s="69"/>
      <c r="AEC2188" s="70"/>
      <c r="AED2188" s="69"/>
      <c r="AEE2188" s="70"/>
      <c r="AEF2188" s="69"/>
      <c r="AEG2188" s="70"/>
      <c r="AEH2188" s="69"/>
      <c r="AEI2188" s="70"/>
      <c r="AEJ2188" s="69"/>
      <c r="AEK2188" s="70"/>
      <c r="AEL2188" s="69"/>
      <c r="AEM2188" s="70"/>
      <c r="AEN2188" s="69"/>
      <c r="AEO2188" s="70"/>
      <c r="AEP2188" s="69"/>
      <c r="AEQ2188" s="70"/>
      <c r="AER2188" s="69"/>
      <c r="AES2188" s="70"/>
      <c r="AET2188" s="69"/>
      <c r="AEU2188" s="70"/>
      <c r="AEV2188" s="69"/>
      <c r="AEW2188" s="70"/>
      <c r="AEX2188" s="69"/>
      <c r="AEY2188" s="70"/>
      <c r="AEZ2188" s="69"/>
      <c r="AFA2188" s="70"/>
      <c r="AFB2188" s="69"/>
      <c r="AFC2188" s="70"/>
      <c r="AFD2188" s="69"/>
      <c r="AFE2188" s="70"/>
      <c r="AFF2188" s="69"/>
      <c r="AFG2188" s="70"/>
      <c r="AFH2188" s="69"/>
      <c r="AFI2188" s="70"/>
      <c r="AFJ2188" s="69"/>
      <c r="AFK2188" s="70"/>
      <c r="AFL2188" s="69"/>
      <c r="AFM2188" s="70"/>
      <c r="AFN2188" s="69"/>
      <c r="AFO2188" s="70"/>
      <c r="AFP2188" s="69"/>
      <c r="AFQ2188" s="70"/>
      <c r="AFR2188" s="69"/>
      <c r="AFS2188" s="70"/>
      <c r="AFT2188" s="69"/>
      <c r="AFU2188" s="70"/>
      <c r="AFV2188" s="69"/>
      <c r="AFW2188" s="70"/>
      <c r="AFX2188" s="69"/>
      <c r="AFY2188" s="70"/>
      <c r="AFZ2188" s="69"/>
      <c r="AGA2188" s="70"/>
      <c r="AGB2188" s="69"/>
      <c r="AGC2188" s="70"/>
      <c r="AGD2188" s="69"/>
      <c r="AGE2188" s="70"/>
      <c r="AGF2188" s="69"/>
      <c r="AGG2188" s="70"/>
      <c r="AGH2188" s="69"/>
      <c r="AGI2188" s="70"/>
      <c r="AGJ2188" s="69"/>
      <c r="AGK2188" s="70"/>
      <c r="AGL2188" s="69"/>
      <c r="AGM2188" s="70"/>
      <c r="AGN2188" s="69"/>
      <c r="AGO2188" s="70"/>
      <c r="AGP2188" s="69"/>
      <c r="AGQ2188" s="70"/>
      <c r="AGR2188" s="69"/>
      <c r="AGS2188" s="70"/>
      <c r="AGT2188" s="69"/>
      <c r="AGU2188" s="70"/>
      <c r="AGV2188" s="69"/>
      <c r="AGW2188" s="70"/>
      <c r="AGX2188" s="69"/>
      <c r="AGY2188" s="70"/>
      <c r="AGZ2188" s="69"/>
      <c r="AHA2188" s="70"/>
      <c r="AHB2188" s="69"/>
      <c r="AHC2188" s="70"/>
      <c r="AHD2188" s="69"/>
      <c r="AHE2188" s="70"/>
      <c r="AHF2188" s="69"/>
      <c r="AHG2188" s="70"/>
      <c r="AHH2188" s="69"/>
      <c r="AHI2188" s="70"/>
      <c r="AHJ2188" s="69"/>
      <c r="AHK2188" s="70"/>
      <c r="AHL2188" s="69"/>
      <c r="AHM2188" s="70"/>
      <c r="AHN2188" s="69"/>
      <c r="AHO2188" s="70"/>
      <c r="AHP2188" s="69"/>
      <c r="AHQ2188" s="70"/>
      <c r="AHR2188" s="69"/>
      <c r="AHS2188" s="70"/>
      <c r="AHT2188" s="69"/>
      <c r="AHU2188" s="70"/>
      <c r="AHV2188" s="69"/>
      <c r="AHW2188" s="70"/>
      <c r="AHX2188" s="69"/>
      <c r="AHY2188" s="70"/>
      <c r="AHZ2188" s="69"/>
      <c r="AIA2188" s="70"/>
      <c r="AIB2188" s="69"/>
      <c r="AIC2188" s="70"/>
      <c r="AID2188" s="69"/>
      <c r="AIE2188" s="70"/>
      <c r="AIF2188" s="69"/>
      <c r="AIG2188" s="70"/>
      <c r="AIH2188" s="69"/>
      <c r="AII2188" s="70"/>
      <c r="AIJ2188" s="69"/>
      <c r="AIK2188" s="70"/>
      <c r="AIL2188" s="69"/>
      <c r="AIM2188" s="70"/>
      <c r="AIN2188" s="69"/>
      <c r="AIO2188" s="70"/>
      <c r="AIP2188" s="69"/>
      <c r="AIQ2188" s="70"/>
      <c r="AIR2188" s="69"/>
      <c r="AIS2188" s="70"/>
      <c r="AIT2188" s="69"/>
      <c r="AIU2188" s="70"/>
      <c r="AIV2188" s="69"/>
      <c r="AIW2188" s="70"/>
      <c r="AIX2188" s="69"/>
      <c r="AIY2188" s="70"/>
      <c r="AIZ2188" s="69"/>
      <c r="AJA2188" s="70"/>
      <c r="AJB2188" s="69"/>
      <c r="AJC2188" s="70"/>
      <c r="AJD2188" s="69"/>
      <c r="AJE2188" s="70"/>
      <c r="AJF2188" s="69"/>
      <c r="AJG2188" s="70"/>
      <c r="AJH2188" s="69"/>
      <c r="AJI2188" s="70"/>
      <c r="AJJ2188" s="69"/>
      <c r="AJK2188" s="70"/>
      <c r="AJL2188" s="69"/>
      <c r="AJM2188" s="70"/>
      <c r="AJN2188" s="69"/>
      <c r="AJO2188" s="70"/>
      <c r="AJP2188" s="69"/>
      <c r="AJQ2188" s="70"/>
      <c r="AJR2188" s="69"/>
      <c r="AJS2188" s="70"/>
      <c r="AJT2188" s="69"/>
      <c r="AJU2188" s="70"/>
      <c r="AJV2188" s="69"/>
      <c r="AJW2188" s="70"/>
      <c r="AJX2188" s="69"/>
      <c r="AJY2188" s="70"/>
      <c r="AJZ2188" s="69"/>
      <c r="AKA2188" s="70"/>
      <c r="AKB2188" s="69"/>
      <c r="AKC2188" s="70"/>
      <c r="AKD2188" s="69"/>
      <c r="AKE2188" s="70"/>
      <c r="AKF2188" s="69"/>
      <c r="AKG2188" s="70"/>
      <c r="AKH2188" s="69"/>
      <c r="AKI2188" s="70"/>
      <c r="AKJ2188" s="69"/>
      <c r="AKK2188" s="70"/>
      <c r="AKL2188" s="69"/>
      <c r="AKM2188" s="70"/>
      <c r="AKN2188" s="69"/>
      <c r="AKO2188" s="70"/>
      <c r="AKP2188" s="69"/>
      <c r="AKQ2188" s="70"/>
      <c r="AKR2188" s="69"/>
      <c r="AKS2188" s="70"/>
      <c r="AKT2188" s="69"/>
      <c r="AKU2188" s="70"/>
      <c r="AKV2188" s="69"/>
      <c r="AKW2188" s="70"/>
      <c r="AKX2188" s="69"/>
      <c r="AKY2188" s="70"/>
      <c r="AKZ2188" s="69"/>
      <c r="ALA2188" s="70"/>
      <c r="ALB2188" s="69"/>
      <c r="ALC2188" s="70"/>
      <c r="ALD2188" s="69"/>
      <c r="ALE2188" s="70"/>
      <c r="ALF2188" s="69"/>
      <c r="ALG2188" s="70"/>
      <c r="ALH2188" s="69"/>
      <c r="ALI2188" s="70"/>
      <c r="ALJ2188" s="69"/>
      <c r="ALK2188" s="70"/>
      <c r="ALL2188" s="69"/>
      <c r="ALM2188" s="70"/>
      <c r="ALN2188" s="69"/>
      <c r="ALO2188" s="70"/>
      <c r="ALP2188" s="69"/>
      <c r="ALQ2188" s="70"/>
      <c r="ALR2188" s="69"/>
      <c r="ALS2188" s="70"/>
      <c r="ALT2188" s="69"/>
      <c r="ALU2188" s="70"/>
      <c r="ALV2188" s="69"/>
      <c r="ALW2188" s="70"/>
      <c r="ALX2188" s="69"/>
      <c r="ALY2188" s="70"/>
      <c r="ALZ2188" s="69"/>
      <c r="AMA2188" s="70"/>
      <c r="AMB2188" s="69"/>
      <c r="AMC2188" s="70"/>
      <c r="AMD2188" s="69"/>
      <c r="AME2188" s="70"/>
      <c r="AMF2188" s="69"/>
      <c r="AMG2188" s="70"/>
      <c r="AMH2188" s="69"/>
      <c r="AMI2188" s="70"/>
      <c r="AMJ2188" s="69"/>
      <c r="AMK2188" s="70"/>
      <c r="AML2188" s="69"/>
      <c r="AMM2188" s="70"/>
      <c r="AMN2188" s="69"/>
      <c r="AMO2188" s="70"/>
      <c r="AMP2188" s="69"/>
      <c r="AMQ2188" s="70"/>
      <c r="AMR2188" s="69"/>
      <c r="AMS2188" s="70"/>
      <c r="AMT2188" s="69"/>
      <c r="AMU2188" s="70"/>
      <c r="AMV2188" s="69"/>
      <c r="AMW2188" s="70"/>
      <c r="AMX2188" s="69"/>
      <c r="AMY2188" s="70"/>
      <c r="AMZ2188" s="69"/>
      <c r="ANA2188" s="70"/>
      <c r="ANB2188" s="69"/>
      <c r="ANC2188" s="70"/>
      <c r="AND2188" s="69"/>
      <c r="ANE2188" s="70"/>
      <c r="ANF2188" s="69"/>
      <c r="ANG2188" s="70"/>
      <c r="ANH2188" s="69"/>
      <c r="ANI2188" s="70"/>
      <c r="ANJ2188" s="69"/>
      <c r="ANK2188" s="70"/>
      <c r="ANL2188" s="69"/>
      <c r="ANM2188" s="70"/>
      <c r="ANN2188" s="69"/>
      <c r="ANO2188" s="70"/>
      <c r="ANP2188" s="69"/>
      <c r="ANQ2188" s="70"/>
      <c r="ANR2188" s="69"/>
      <c r="ANS2188" s="70"/>
      <c r="ANT2188" s="69"/>
      <c r="ANU2188" s="70"/>
      <c r="ANV2188" s="69"/>
      <c r="ANW2188" s="70"/>
      <c r="ANX2188" s="69"/>
      <c r="ANY2188" s="70"/>
      <c r="ANZ2188" s="69"/>
      <c r="AOA2188" s="70"/>
      <c r="AOB2188" s="69"/>
      <c r="AOC2188" s="70"/>
      <c r="AOD2188" s="69"/>
      <c r="AOE2188" s="70"/>
      <c r="AOF2188" s="69"/>
      <c r="AOG2188" s="70"/>
      <c r="AOH2188" s="69"/>
      <c r="AOI2188" s="70"/>
      <c r="AOJ2188" s="69"/>
      <c r="AOK2188" s="70"/>
      <c r="AOL2188" s="69"/>
      <c r="AOM2188" s="70"/>
      <c r="AON2188" s="69"/>
      <c r="AOO2188" s="70"/>
      <c r="AOP2188" s="69"/>
      <c r="AOQ2188" s="70"/>
      <c r="AOR2188" s="69"/>
      <c r="AOS2188" s="70"/>
      <c r="AOT2188" s="69"/>
      <c r="AOU2188" s="70"/>
      <c r="AOV2188" s="69"/>
      <c r="AOW2188" s="70"/>
      <c r="AOX2188" s="69"/>
      <c r="AOY2188" s="70"/>
      <c r="AOZ2188" s="69"/>
      <c r="APA2188" s="70"/>
      <c r="APB2188" s="69"/>
      <c r="APC2188" s="70"/>
      <c r="APD2188" s="69"/>
      <c r="APE2188" s="70"/>
      <c r="APF2188" s="69"/>
      <c r="APG2188" s="70"/>
      <c r="APH2188" s="69"/>
      <c r="API2188" s="70"/>
      <c r="APJ2188" s="69"/>
      <c r="APK2188" s="70"/>
      <c r="APL2188" s="69"/>
      <c r="APM2188" s="70"/>
      <c r="APN2188" s="69"/>
      <c r="APO2188" s="70"/>
      <c r="APP2188" s="69"/>
      <c r="APQ2188" s="70"/>
      <c r="APR2188" s="69"/>
      <c r="APS2188" s="70"/>
      <c r="APT2188" s="69"/>
      <c r="APU2188" s="70"/>
      <c r="APV2188" s="69"/>
      <c r="APW2188" s="70"/>
      <c r="APX2188" s="69"/>
      <c r="APY2188" s="70"/>
      <c r="APZ2188" s="69"/>
      <c r="AQA2188" s="70"/>
      <c r="AQB2188" s="69"/>
      <c r="AQC2188" s="70"/>
      <c r="AQD2188" s="69"/>
      <c r="AQE2188" s="70"/>
      <c r="AQF2188" s="69"/>
      <c r="AQG2188" s="70"/>
      <c r="AQH2188" s="69"/>
      <c r="AQI2188" s="70"/>
      <c r="AQJ2188" s="69"/>
      <c r="AQK2188" s="70"/>
      <c r="AQL2188" s="69"/>
      <c r="AQM2188" s="70"/>
      <c r="AQN2188" s="69"/>
      <c r="AQO2188" s="70"/>
      <c r="AQP2188" s="69"/>
      <c r="AQQ2188" s="70"/>
      <c r="AQR2188" s="69"/>
      <c r="AQS2188" s="70"/>
      <c r="AQT2188" s="69"/>
      <c r="AQU2188" s="70"/>
      <c r="AQV2188" s="69"/>
      <c r="AQW2188" s="70"/>
      <c r="AQX2188" s="69"/>
      <c r="AQY2188" s="70"/>
      <c r="AQZ2188" s="69"/>
      <c r="ARA2188" s="70"/>
      <c r="ARB2188" s="69"/>
      <c r="ARC2188" s="70"/>
      <c r="ARD2188" s="69"/>
      <c r="ARE2188" s="70"/>
      <c r="ARF2188" s="69"/>
      <c r="ARG2188" s="70"/>
      <c r="ARH2188" s="69"/>
      <c r="ARI2188" s="70"/>
      <c r="ARJ2188" s="69"/>
      <c r="ARK2188" s="70"/>
      <c r="ARL2188" s="69"/>
      <c r="ARM2188" s="70"/>
      <c r="ARN2188" s="69"/>
      <c r="ARO2188" s="70"/>
      <c r="ARP2188" s="69"/>
      <c r="ARQ2188" s="70"/>
      <c r="ARR2188" s="69"/>
      <c r="ARS2188" s="70"/>
      <c r="ART2188" s="69"/>
      <c r="ARU2188" s="70"/>
      <c r="ARV2188" s="69"/>
      <c r="ARW2188" s="70"/>
      <c r="ARX2188" s="69"/>
      <c r="ARY2188" s="70"/>
      <c r="ARZ2188" s="69"/>
      <c r="ASA2188" s="70"/>
      <c r="ASB2188" s="69"/>
      <c r="ASC2188" s="70"/>
      <c r="ASD2188" s="69"/>
      <c r="ASE2188" s="70"/>
      <c r="ASF2188" s="69"/>
      <c r="ASG2188" s="70"/>
      <c r="ASH2188" s="69"/>
      <c r="ASI2188" s="70"/>
      <c r="ASJ2188" s="69"/>
      <c r="ASK2188" s="70"/>
      <c r="ASL2188" s="69"/>
      <c r="ASM2188" s="70"/>
      <c r="ASN2188" s="69"/>
      <c r="ASO2188" s="70"/>
      <c r="ASP2188" s="69"/>
      <c r="ASQ2188" s="70"/>
      <c r="ASR2188" s="69"/>
      <c r="ASS2188" s="70"/>
      <c r="AST2188" s="69"/>
      <c r="ASU2188" s="70"/>
      <c r="ASV2188" s="69"/>
      <c r="ASW2188" s="70"/>
      <c r="ASX2188" s="69"/>
      <c r="ASY2188" s="70"/>
      <c r="ASZ2188" s="69"/>
      <c r="ATA2188" s="70"/>
      <c r="ATB2188" s="69"/>
      <c r="ATC2188" s="70"/>
      <c r="ATD2188" s="69"/>
      <c r="ATE2188" s="70"/>
      <c r="ATF2188" s="69"/>
      <c r="ATG2188" s="70"/>
      <c r="ATH2188" s="69"/>
      <c r="ATI2188" s="70"/>
      <c r="ATJ2188" s="69"/>
      <c r="ATK2188" s="70"/>
      <c r="ATL2188" s="69"/>
      <c r="ATM2188" s="70"/>
      <c r="ATN2188" s="69"/>
      <c r="ATO2188" s="70"/>
      <c r="ATP2188" s="69"/>
      <c r="ATQ2188" s="70"/>
      <c r="ATR2188" s="69"/>
      <c r="ATS2188" s="70"/>
      <c r="ATT2188" s="69"/>
      <c r="ATU2188" s="70"/>
      <c r="ATV2188" s="69"/>
      <c r="ATW2188" s="70"/>
      <c r="ATX2188" s="69"/>
      <c r="ATY2188" s="70"/>
      <c r="ATZ2188" s="69"/>
      <c r="AUA2188" s="70"/>
      <c r="AUB2188" s="69"/>
      <c r="AUC2188" s="70"/>
      <c r="AUD2188" s="69"/>
      <c r="AUE2188" s="70"/>
      <c r="AUF2188" s="69"/>
      <c r="AUG2188" s="70"/>
      <c r="AUH2188" s="69"/>
      <c r="AUI2188" s="70"/>
      <c r="AUJ2188" s="69"/>
      <c r="AUK2188" s="70"/>
      <c r="AUL2188" s="69"/>
      <c r="AUM2188" s="70"/>
      <c r="AUN2188" s="69"/>
      <c r="AUO2188" s="70"/>
      <c r="AUP2188" s="69"/>
      <c r="AUQ2188" s="70"/>
      <c r="AUR2188" s="69"/>
      <c r="AUS2188" s="70"/>
      <c r="AUT2188" s="69"/>
      <c r="AUU2188" s="70"/>
      <c r="AUV2188" s="69"/>
      <c r="AUW2188" s="70"/>
      <c r="AUX2188" s="69"/>
      <c r="AUY2188" s="70"/>
      <c r="AUZ2188" s="69"/>
      <c r="AVA2188" s="70"/>
      <c r="AVB2188" s="69"/>
      <c r="AVC2188" s="70"/>
      <c r="AVD2188" s="69"/>
      <c r="AVE2188" s="70"/>
      <c r="AVF2188" s="69"/>
      <c r="AVG2188" s="70"/>
      <c r="AVH2188" s="69"/>
      <c r="AVI2188" s="70"/>
      <c r="AVJ2188" s="69"/>
      <c r="AVK2188" s="70"/>
      <c r="AVL2188" s="69"/>
      <c r="AVM2188" s="70"/>
      <c r="AVN2188" s="69"/>
      <c r="AVO2188" s="70"/>
      <c r="AVP2188" s="69"/>
      <c r="AVQ2188" s="70"/>
      <c r="AVR2188" s="69"/>
      <c r="AVS2188" s="70"/>
      <c r="AVT2188" s="69"/>
      <c r="AVU2188" s="70"/>
      <c r="AVV2188" s="69"/>
      <c r="AVW2188" s="70"/>
      <c r="AVX2188" s="69"/>
      <c r="AVY2188" s="70"/>
      <c r="AVZ2188" s="69"/>
      <c r="AWA2188" s="70"/>
      <c r="AWB2188" s="69"/>
      <c r="AWC2188" s="70"/>
      <c r="AWD2188" s="69"/>
      <c r="AWE2188" s="70"/>
      <c r="AWF2188" s="69"/>
      <c r="AWG2188" s="70"/>
      <c r="AWH2188" s="69"/>
      <c r="AWI2188" s="70"/>
      <c r="AWJ2188" s="69"/>
      <c r="AWK2188" s="70"/>
      <c r="AWL2188" s="69"/>
      <c r="AWM2188" s="70"/>
      <c r="AWN2188" s="69"/>
      <c r="AWO2188" s="70"/>
      <c r="AWP2188" s="69"/>
      <c r="AWQ2188" s="70"/>
      <c r="AWR2188" s="69"/>
      <c r="AWS2188" s="70"/>
      <c r="AWT2188" s="69"/>
      <c r="AWU2188" s="70"/>
      <c r="AWV2188" s="69"/>
      <c r="AWW2188" s="70"/>
      <c r="AWX2188" s="69"/>
      <c r="AWY2188" s="70"/>
      <c r="AWZ2188" s="69"/>
      <c r="AXA2188" s="70"/>
      <c r="AXB2188" s="69"/>
      <c r="AXC2188" s="70"/>
      <c r="AXD2188" s="69"/>
      <c r="AXE2188" s="70"/>
      <c r="AXF2188" s="69"/>
      <c r="AXG2188" s="70"/>
      <c r="AXH2188" s="69"/>
      <c r="AXI2188" s="70"/>
      <c r="AXJ2188" s="69"/>
      <c r="AXK2188" s="70"/>
      <c r="AXL2188" s="69"/>
      <c r="AXM2188" s="70"/>
      <c r="AXN2188" s="69"/>
      <c r="AXO2188" s="70"/>
      <c r="AXP2188" s="69"/>
      <c r="AXQ2188" s="70"/>
      <c r="AXR2188" s="69"/>
      <c r="AXS2188" s="70"/>
      <c r="AXT2188" s="69"/>
      <c r="AXU2188" s="70"/>
      <c r="AXV2188" s="69"/>
      <c r="AXW2188" s="70"/>
      <c r="AXX2188" s="69"/>
      <c r="AXY2188" s="70"/>
      <c r="AXZ2188" s="69"/>
      <c r="AYA2188" s="70"/>
      <c r="AYB2188" s="69"/>
      <c r="AYC2188" s="70"/>
      <c r="AYD2188" s="69"/>
      <c r="AYE2188" s="70"/>
      <c r="AYF2188" s="69"/>
      <c r="AYG2188" s="70"/>
      <c r="AYH2188" s="69"/>
      <c r="AYI2188" s="70"/>
      <c r="AYJ2188" s="69"/>
      <c r="AYK2188" s="70"/>
      <c r="AYL2188" s="69"/>
      <c r="AYM2188" s="70"/>
      <c r="AYN2188" s="69"/>
      <c r="AYO2188" s="70"/>
      <c r="AYP2188" s="69"/>
      <c r="AYQ2188" s="70"/>
      <c r="AYR2188" s="69"/>
      <c r="AYS2188" s="70"/>
      <c r="AYT2188" s="69"/>
      <c r="AYU2188" s="70"/>
      <c r="AYV2188" s="69"/>
      <c r="AYW2188" s="70"/>
      <c r="AYX2188" s="69"/>
      <c r="AYY2188" s="70"/>
      <c r="AYZ2188" s="69"/>
      <c r="AZA2188" s="70"/>
      <c r="AZB2188" s="69"/>
      <c r="AZC2188" s="70"/>
      <c r="AZD2188" s="69"/>
      <c r="AZE2188" s="70"/>
      <c r="AZF2188" s="69"/>
      <c r="AZG2188" s="70"/>
      <c r="AZH2188" s="69"/>
      <c r="AZI2188" s="70"/>
      <c r="AZJ2188" s="69"/>
      <c r="AZK2188" s="70"/>
      <c r="AZL2188" s="69"/>
      <c r="AZM2188" s="70"/>
      <c r="AZN2188" s="69"/>
      <c r="AZO2188" s="70"/>
      <c r="AZP2188" s="69"/>
      <c r="AZQ2188" s="70"/>
      <c r="AZR2188" s="69"/>
      <c r="AZS2188" s="70"/>
      <c r="AZT2188" s="69"/>
      <c r="AZU2188" s="70"/>
      <c r="AZV2188" s="69"/>
      <c r="AZW2188" s="70"/>
      <c r="AZX2188" s="69"/>
      <c r="AZY2188" s="70"/>
      <c r="AZZ2188" s="69"/>
      <c r="BAA2188" s="70"/>
      <c r="BAB2188" s="69"/>
      <c r="BAC2188" s="70"/>
      <c r="BAD2188" s="69"/>
      <c r="BAE2188" s="70"/>
      <c r="BAF2188" s="69"/>
      <c r="BAG2188" s="70"/>
      <c r="BAH2188" s="69"/>
      <c r="BAI2188" s="70"/>
      <c r="BAJ2188" s="69"/>
      <c r="BAK2188" s="70"/>
      <c r="BAL2188" s="69"/>
      <c r="BAM2188" s="70"/>
      <c r="BAN2188" s="69"/>
      <c r="BAO2188" s="70"/>
      <c r="BAP2188" s="69"/>
      <c r="BAQ2188" s="70"/>
      <c r="BAR2188" s="69"/>
      <c r="BAS2188" s="70"/>
      <c r="BAT2188" s="69"/>
      <c r="BAU2188" s="70"/>
      <c r="BAV2188" s="69"/>
      <c r="BAW2188" s="70"/>
      <c r="BAX2188" s="69"/>
      <c r="BAY2188" s="70"/>
      <c r="BAZ2188" s="69"/>
      <c r="BBA2188" s="70"/>
      <c r="BBB2188" s="69"/>
      <c r="BBC2188" s="70"/>
      <c r="BBD2188" s="69"/>
      <c r="BBE2188" s="70"/>
      <c r="BBF2188" s="69"/>
      <c r="BBG2188" s="70"/>
      <c r="BBH2188" s="69"/>
      <c r="BBI2188" s="70"/>
      <c r="BBJ2188" s="69"/>
      <c r="BBK2188" s="70"/>
      <c r="BBL2188" s="69"/>
      <c r="BBM2188" s="70"/>
      <c r="BBN2188" s="69"/>
      <c r="BBO2188" s="70"/>
      <c r="BBP2188" s="69"/>
      <c r="BBQ2188" s="70"/>
      <c r="BBR2188" s="69"/>
      <c r="BBS2188" s="70"/>
      <c r="BBT2188" s="69"/>
      <c r="BBU2188" s="70"/>
      <c r="BBV2188" s="69"/>
      <c r="BBW2188" s="70"/>
      <c r="BBX2188" s="69"/>
      <c r="BBY2188" s="70"/>
      <c r="BBZ2188" s="69"/>
      <c r="BCA2188" s="70"/>
      <c r="BCB2188" s="69"/>
      <c r="BCC2188" s="70"/>
      <c r="BCD2188" s="69"/>
      <c r="BCE2188" s="70"/>
      <c r="BCF2188" s="69"/>
      <c r="BCG2188" s="70"/>
      <c r="BCH2188" s="69"/>
      <c r="BCI2188" s="70"/>
      <c r="BCJ2188" s="69"/>
      <c r="BCK2188" s="70"/>
      <c r="BCL2188" s="69"/>
      <c r="BCM2188" s="70"/>
      <c r="BCN2188" s="69"/>
      <c r="BCO2188" s="70"/>
      <c r="BCP2188" s="69"/>
      <c r="BCQ2188" s="70"/>
      <c r="BCR2188" s="69"/>
      <c r="BCS2188" s="70"/>
      <c r="BCT2188" s="69"/>
      <c r="BCU2188" s="70"/>
      <c r="BCV2188" s="69"/>
      <c r="BCW2188" s="70"/>
      <c r="BCX2188" s="69"/>
      <c r="BCY2188" s="70"/>
      <c r="BCZ2188" s="69"/>
      <c r="BDA2188" s="70"/>
      <c r="BDB2188" s="69"/>
      <c r="BDC2188" s="70"/>
      <c r="BDD2188" s="69"/>
      <c r="BDE2188" s="70"/>
      <c r="BDF2188" s="69"/>
      <c r="BDG2188" s="70"/>
      <c r="BDH2188" s="69"/>
      <c r="BDI2188" s="70"/>
      <c r="BDJ2188" s="69"/>
      <c r="BDK2188" s="70"/>
      <c r="BDL2188" s="69"/>
      <c r="BDM2188" s="70"/>
      <c r="BDN2188" s="69"/>
      <c r="BDO2188" s="70"/>
      <c r="BDP2188" s="69"/>
      <c r="BDQ2188" s="70"/>
      <c r="BDR2188" s="69"/>
      <c r="BDS2188" s="70"/>
      <c r="BDT2188" s="69"/>
      <c r="BDU2188" s="70"/>
      <c r="BDV2188" s="69"/>
      <c r="BDW2188" s="70"/>
      <c r="BDX2188" s="69"/>
      <c r="BDY2188" s="70"/>
      <c r="BDZ2188" s="69"/>
      <c r="BEA2188" s="70"/>
      <c r="BEB2188" s="69"/>
      <c r="BEC2188" s="70"/>
      <c r="BED2188" s="69"/>
      <c r="BEE2188" s="70"/>
      <c r="BEF2188" s="69"/>
      <c r="BEG2188" s="70"/>
      <c r="BEH2188" s="69"/>
      <c r="BEI2188" s="70"/>
      <c r="BEJ2188" s="69"/>
      <c r="BEK2188" s="70"/>
      <c r="BEL2188" s="69"/>
      <c r="BEM2188" s="70"/>
      <c r="BEN2188" s="69"/>
      <c r="BEO2188" s="70"/>
      <c r="BEP2188" s="69"/>
      <c r="BEQ2188" s="70"/>
      <c r="BER2188" s="69"/>
      <c r="BES2188" s="70"/>
      <c r="BET2188" s="69"/>
      <c r="BEU2188" s="70"/>
      <c r="BEV2188" s="69"/>
      <c r="BEW2188" s="70"/>
      <c r="BEX2188" s="69"/>
      <c r="BEY2188" s="70"/>
      <c r="BEZ2188" s="69"/>
      <c r="BFA2188" s="70"/>
      <c r="BFB2188" s="69"/>
      <c r="BFC2188" s="70"/>
      <c r="BFD2188" s="69"/>
      <c r="BFE2188" s="70"/>
      <c r="BFF2188" s="69"/>
      <c r="BFG2188" s="70"/>
      <c r="BFH2188" s="69"/>
      <c r="BFI2188" s="70"/>
      <c r="BFJ2188" s="69"/>
      <c r="BFK2188" s="70"/>
      <c r="BFL2188" s="69"/>
      <c r="BFM2188" s="70"/>
      <c r="BFN2188" s="69"/>
      <c r="BFO2188" s="70"/>
      <c r="BFP2188" s="69"/>
      <c r="BFQ2188" s="70"/>
      <c r="BFR2188" s="69"/>
      <c r="BFS2188" s="70"/>
      <c r="BFT2188" s="69"/>
      <c r="BFU2188" s="70"/>
      <c r="BFV2188" s="69"/>
      <c r="BFW2188" s="70"/>
      <c r="BFX2188" s="69"/>
      <c r="BFY2188" s="70"/>
      <c r="BFZ2188" s="69"/>
      <c r="BGA2188" s="70"/>
      <c r="BGB2188" s="69"/>
      <c r="BGC2188" s="70"/>
      <c r="BGD2188" s="69"/>
      <c r="BGE2188" s="70"/>
      <c r="BGF2188" s="69"/>
      <c r="BGG2188" s="70"/>
      <c r="BGH2188" s="69"/>
      <c r="BGI2188" s="70"/>
      <c r="BGJ2188" s="69"/>
      <c r="BGK2188" s="70"/>
      <c r="BGL2188" s="69"/>
      <c r="BGM2188" s="70"/>
      <c r="BGN2188" s="69"/>
      <c r="BGO2188" s="70"/>
      <c r="BGP2188" s="69"/>
      <c r="BGQ2188" s="70"/>
      <c r="BGR2188" s="69"/>
      <c r="BGS2188" s="70"/>
      <c r="BGT2188" s="69"/>
      <c r="BGU2188" s="70"/>
      <c r="BGV2188" s="69"/>
      <c r="BGW2188" s="70"/>
      <c r="BGX2188" s="69"/>
      <c r="BGY2188" s="70"/>
      <c r="BGZ2188" s="69"/>
      <c r="BHA2188" s="70"/>
      <c r="BHB2188" s="69"/>
      <c r="BHC2188" s="70"/>
      <c r="BHD2188" s="69"/>
      <c r="BHE2188" s="70"/>
      <c r="BHF2188" s="69"/>
      <c r="BHG2188" s="70"/>
      <c r="BHH2188" s="69"/>
      <c r="BHI2188" s="70"/>
      <c r="BHJ2188" s="69"/>
      <c r="BHK2188" s="70"/>
      <c r="BHL2188" s="69"/>
      <c r="BHM2188" s="70"/>
      <c r="BHN2188" s="69"/>
      <c r="BHO2188" s="70"/>
      <c r="BHP2188" s="69"/>
      <c r="BHQ2188" s="70"/>
      <c r="BHR2188" s="69"/>
      <c r="BHS2188" s="70"/>
      <c r="BHT2188" s="69"/>
      <c r="BHU2188" s="70"/>
      <c r="BHV2188" s="69"/>
      <c r="BHW2188" s="70"/>
      <c r="BHX2188" s="69"/>
      <c r="BHY2188" s="70"/>
      <c r="BHZ2188" s="69"/>
      <c r="BIA2188" s="70"/>
      <c r="BIB2188" s="69"/>
      <c r="BIC2188" s="70"/>
      <c r="BID2188" s="69"/>
      <c r="BIE2188" s="70"/>
      <c r="BIF2188" s="69"/>
      <c r="BIG2188" s="70"/>
      <c r="BIH2188" s="69"/>
      <c r="BII2188" s="70"/>
      <c r="BIJ2188" s="69"/>
      <c r="BIK2188" s="70"/>
      <c r="BIL2188" s="69"/>
      <c r="BIM2188" s="70"/>
      <c r="BIN2188" s="69"/>
      <c r="BIO2188" s="70"/>
      <c r="BIP2188" s="69"/>
      <c r="BIQ2188" s="70"/>
      <c r="BIR2188" s="69"/>
      <c r="BIS2188" s="70"/>
      <c r="BIT2188" s="69"/>
      <c r="BIU2188" s="70"/>
      <c r="BIV2188" s="69"/>
      <c r="BIW2188" s="70"/>
      <c r="BIX2188" s="69"/>
      <c r="BIY2188" s="70"/>
      <c r="BIZ2188" s="69"/>
      <c r="BJA2188" s="70"/>
      <c r="BJB2188" s="69"/>
      <c r="BJC2188" s="70"/>
      <c r="BJD2188" s="69"/>
      <c r="BJE2188" s="70"/>
      <c r="BJF2188" s="69"/>
      <c r="BJG2188" s="70"/>
      <c r="BJH2188" s="69"/>
      <c r="BJI2188" s="70"/>
      <c r="BJJ2188" s="69"/>
      <c r="BJK2188" s="70"/>
      <c r="BJL2188" s="69"/>
      <c r="BJM2188" s="70"/>
      <c r="BJN2188" s="69"/>
      <c r="BJO2188" s="70"/>
      <c r="BJP2188" s="69"/>
      <c r="BJQ2188" s="70"/>
      <c r="BJR2188" s="69"/>
      <c r="BJS2188" s="70"/>
      <c r="BJT2188" s="69"/>
      <c r="BJU2188" s="70"/>
      <c r="BJV2188" s="69"/>
      <c r="BJW2188" s="70"/>
      <c r="BJX2188" s="69"/>
      <c r="BJY2188" s="70"/>
      <c r="BJZ2188" s="69"/>
      <c r="BKA2188" s="70"/>
      <c r="BKB2188" s="69"/>
      <c r="BKC2188" s="70"/>
      <c r="BKD2188" s="69"/>
      <c r="BKE2188" s="70"/>
      <c r="BKF2188" s="69"/>
      <c r="BKG2188" s="70"/>
      <c r="BKH2188" s="69"/>
      <c r="BKI2188" s="70"/>
      <c r="BKJ2188" s="69"/>
      <c r="BKK2188" s="70"/>
      <c r="BKL2188" s="69"/>
      <c r="BKM2188" s="70"/>
      <c r="BKN2188" s="69"/>
      <c r="BKO2188" s="70"/>
      <c r="BKP2188" s="69"/>
      <c r="BKQ2188" s="70"/>
      <c r="BKR2188" s="69"/>
      <c r="BKS2188" s="70"/>
      <c r="BKT2188" s="69"/>
      <c r="BKU2188" s="70"/>
      <c r="BKV2188" s="69"/>
      <c r="BKW2188" s="70"/>
      <c r="BKX2188" s="69"/>
      <c r="BKY2188" s="70"/>
      <c r="BKZ2188" s="69"/>
      <c r="BLA2188" s="70"/>
      <c r="BLB2188" s="69"/>
      <c r="BLC2188" s="70"/>
      <c r="BLD2188" s="69"/>
      <c r="BLE2188" s="70"/>
      <c r="BLF2188" s="69"/>
      <c r="BLG2188" s="70"/>
      <c r="BLH2188" s="69"/>
      <c r="BLI2188" s="70"/>
      <c r="BLJ2188" s="69"/>
      <c r="BLK2188" s="70"/>
      <c r="BLL2188" s="69"/>
      <c r="BLM2188" s="70"/>
      <c r="BLN2188" s="69"/>
      <c r="BLO2188" s="70"/>
      <c r="BLP2188" s="69"/>
      <c r="BLQ2188" s="70"/>
      <c r="BLR2188" s="69"/>
      <c r="BLS2188" s="70"/>
      <c r="BLT2188" s="69"/>
      <c r="BLU2188" s="70"/>
      <c r="BLV2188" s="69"/>
      <c r="BLW2188" s="70"/>
      <c r="BLX2188" s="69"/>
      <c r="BLY2188" s="70"/>
      <c r="BLZ2188" s="69"/>
      <c r="BMA2188" s="70"/>
      <c r="BMB2188" s="69"/>
      <c r="BMC2188" s="70"/>
      <c r="BMD2188" s="69"/>
      <c r="BME2188" s="70"/>
      <c r="BMF2188" s="69"/>
      <c r="BMG2188" s="70"/>
      <c r="BMH2188" s="69"/>
      <c r="BMI2188" s="70"/>
      <c r="BMJ2188" s="69"/>
      <c r="BMK2188" s="70"/>
      <c r="BML2188" s="69"/>
      <c r="BMM2188" s="70"/>
      <c r="BMN2188" s="69"/>
      <c r="BMO2188" s="70"/>
      <c r="BMP2188" s="69"/>
      <c r="BMQ2188" s="70"/>
      <c r="BMR2188" s="69"/>
      <c r="BMS2188" s="70"/>
      <c r="BMT2188" s="69"/>
      <c r="BMU2188" s="70"/>
      <c r="BMV2188" s="69"/>
      <c r="BMW2188" s="70"/>
      <c r="BMX2188" s="69"/>
      <c r="BMY2188" s="70"/>
      <c r="BMZ2188" s="69"/>
      <c r="BNA2188" s="70"/>
      <c r="BNB2188" s="69"/>
      <c r="BNC2188" s="70"/>
      <c r="BND2188" s="69"/>
      <c r="BNE2188" s="70"/>
      <c r="BNF2188" s="69"/>
      <c r="BNG2188" s="70"/>
      <c r="BNH2188" s="69"/>
      <c r="BNI2188" s="70"/>
      <c r="BNJ2188" s="69"/>
      <c r="BNK2188" s="70"/>
      <c r="BNL2188" s="69"/>
      <c r="BNM2188" s="70"/>
      <c r="BNN2188" s="69"/>
      <c r="BNO2188" s="70"/>
      <c r="BNP2188" s="69"/>
      <c r="BNQ2188" s="70"/>
      <c r="BNR2188" s="69"/>
      <c r="BNS2188" s="70"/>
      <c r="BNT2188" s="69"/>
      <c r="BNU2188" s="70"/>
      <c r="BNV2188" s="69"/>
      <c r="BNW2188" s="70"/>
      <c r="BNX2188" s="69"/>
      <c r="BNY2188" s="70"/>
      <c r="BNZ2188" s="69"/>
      <c r="BOA2188" s="70"/>
      <c r="BOB2188" s="69"/>
      <c r="BOC2188" s="70"/>
      <c r="BOD2188" s="69"/>
      <c r="BOE2188" s="70"/>
      <c r="BOF2188" s="69"/>
      <c r="BOG2188" s="70"/>
      <c r="BOH2188" s="69"/>
      <c r="BOI2188" s="70"/>
      <c r="BOJ2188" s="69"/>
      <c r="BOK2188" s="70"/>
      <c r="BOL2188" s="69"/>
      <c r="BOM2188" s="70"/>
      <c r="BON2188" s="69"/>
      <c r="BOO2188" s="70"/>
      <c r="BOP2188" s="69"/>
      <c r="BOQ2188" s="70"/>
      <c r="BOR2188" s="69"/>
      <c r="BOS2188" s="70"/>
      <c r="BOT2188" s="69"/>
      <c r="BOU2188" s="70"/>
      <c r="BOV2188" s="69"/>
      <c r="BOW2188" s="70"/>
      <c r="BOX2188" s="69"/>
      <c r="BOY2188" s="70"/>
      <c r="BOZ2188" s="69"/>
      <c r="BPA2188" s="70"/>
      <c r="BPB2188" s="69"/>
      <c r="BPC2188" s="70"/>
      <c r="BPD2188" s="69"/>
      <c r="BPE2188" s="70"/>
      <c r="BPF2188" s="69"/>
      <c r="BPG2188" s="70"/>
      <c r="BPH2188" s="69"/>
      <c r="BPI2188" s="70"/>
      <c r="BPJ2188" s="69"/>
      <c r="BPK2188" s="70"/>
      <c r="BPL2188" s="69"/>
      <c r="BPM2188" s="70"/>
      <c r="BPN2188" s="69"/>
      <c r="BPO2188" s="70"/>
      <c r="BPP2188" s="69"/>
      <c r="BPQ2188" s="70"/>
      <c r="BPR2188" s="69"/>
      <c r="BPS2188" s="70"/>
      <c r="BPT2188" s="69"/>
      <c r="BPU2188" s="70"/>
      <c r="BPV2188" s="69"/>
      <c r="BPW2188" s="70"/>
      <c r="BPX2188" s="69"/>
      <c r="BPY2188" s="70"/>
      <c r="BPZ2188" s="69"/>
      <c r="BQA2188" s="70"/>
      <c r="BQB2188" s="69"/>
      <c r="BQC2188" s="70"/>
      <c r="BQD2188" s="69"/>
      <c r="BQE2188" s="70"/>
      <c r="BQF2188" s="69"/>
      <c r="BQG2188" s="70"/>
      <c r="BQH2188" s="69"/>
      <c r="BQI2188" s="70"/>
      <c r="BQJ2188" s="69"/>
      <c r="BQK2188" s="70"/>
      <c r="BQL2188" s="69"/>
      <c r="BQM2188" s="70"/>
      <c r="BQN2188" s="69"/>
      <c r="BQO2188" s="70"/>
      <c r="BQP2188" s="69"/>
      <c r="BQQ2188" s="70"/>
      <c r="BQR2188" s="69"/>
      <c r="BQS2188" s="70"/>
      <c r="BQT2188" s="69"/>
      <c r="BQU2188" s="70"/>
      <c r="BQV2188" s="69"/>
      <c r="BQW2188" s="70"/>
      <c r="BQX2188" s="69"/>
      <c r="BQY2188" s="70"/>
      <c r="BQZ2188" s="69"/>
      <c r="BRA2188" s="70"/>
      <c r="BRB2188" s="69"/>
      <c r="BRC2188" s="70"/>
      <c r="BRD2188" s="69"/>
      <c r="BRE2188" s="70"/>
      <c r="BRF2188" s="69"/>
      <c r="BRG2188" s="70"/>
      <c r="BRH2188" s="69"/>
      <c r="BRI2188" s="70"/>
      <c r="BRJ2188" s="69"/>
      <c r="BRK2188" s="70"/>
      <c r="BRL2188" s="69"/>
      <c r="BRM2188" s="70"/>
      <c r="BRN2188" s="69"/>
      <c r="BRO2188" s="70"/>
      <c r="BRP2188" s="69"/>
      <c r="BRQ2188" s="70"/>
      <c r="BRR2188" s="69"/>
      <c r="BRS2188" s="70"/>
      <c r="BRT2188" s="69"/>
      <c r="BRU2188" s="70"/>
      <c r="BRV2188" s="69"/>
      <c r="BRW2188" s="70"/>
      <c r="BRX2188" s="69"/>
      <c r="BRY2188" s="70"/>
      <c r="BRZ2188" s="69"/>
      <c r="BSA2188" s="70"/>
      <c r="BSB2188" s="69"/>
      <c r="BSC2188" s="70"/>
      <c r="BSD2188" s="69"/>
      <c r="BSE2188" s="70"/>
      <c r="BSF2188" s="69"/>
      <c r="BSG2188" s="70"/>
      <c r="BSH2188" s="69"/>
      <c r="BSI2188" s="70"/>
      <c r="BSJ2188" s="69"/>
      <c r="BSK2188" s="70"/>
      <c r="BSL2188" s="69"/>
      <c r="BSM2188" s="70"/>
      <c r="BSN2188" s="69"/>
      <c r="BSO2188" s="70"/>
      <c r="BSP2188" s="69"/>
      <c r="BSQ2188" s="70"/>
      <c r="BSR2188" s="69"/>
      <c r="BSS2188" s="70"/>
      <c r="BST2188" s="69"/>
      <c r="BSU2188" s="70"/>
      <c r="BSV2188" s="69"/>
      <c r="BSW2188" s="70"/>
      <c r="BSX2188" s="69"/>
      <c r="BSY2188" s="70"/>
      <c r="BSZ2188" s="69"/>
      <c r="BTA2188" s="70"/>
      <c r="BTB2188" s="69"/>
      <c r="BTC2188" s="70"/>
      <c r="BTD2188" s="69"/>
      <c r="BTE2188" s="70"/>
      <c r="BTF2188" s="69"/>
      <c r="BTG2188" s="70"/>
      <c r="BTH2188" s="69"/>
      <c r="BTI2188" s="70"/>
      <c r="BTJ2188" s="69"/>
      <c r="BTK2188" s="70"/>
      <c r="BTL2188" s="69"/>
      <c r="BTM2188" s="70"/>
      <c r="BTN2188" s="69"/>
      <c r="BTO2188" s="70"/>
      <c r="BTP2188" s="69"/>
      <c r="BTQ2188" s="70"/>
      <c r="BTR2188" s="69"/>
      <c r="BTS2188" s="70"/>
      <c r="BTT2188" s="69"/>
      <c r="BTU2188" s="70"/>
      <c r="BTV2188" s="69"/>
      <c r="BTW2188" s="70"/>
      <c r="BTX2188" s="69"/>
      <c r="BTY2188" s="70"/>
      <c r="BTZ2188" s="69"/>
      <c r="BUA2188" s="70"/>
      <c r="BUB2188" s="69"/>
      <c r="BUC2188" s="70"/>
      <c r="BUD2188" s="69"/>
      <c r="BUE2188" s="70"/>
      <c r="BUF2188" s="69"/>
      <c r="BUG2188" s="70"/>
      <c r="BUH2188" s="69"/>
      <c r="BUI2188" s="70"/>
      <c r="BUJ2188" s="69"/>
      <c r="BUK2188" s="70"/>
      <c r="BUL2188" s="69"/>
      <c r="BUM2188" s="70"/>
      <c r="BUN2188" s="69"/>
      <c r="BUO2188" s="70"/>
      <c r="BUP2188" s="69"/>
      <c r="BUQ2188" s="70"/>
      <c r="BUR2188" s="69"/>
      <c r="BUS2188" s="70"/>
      <c r="BUT2188" s="69"/>
      <c r="BUU2188" s="70"/>
      <c r="BUV2188" s="69"/>
      <c r="BUW2188" s="70"/>
      <c r="BUX2188" s="69"/>
      <c r="BUY2188" s="70"/>
      <c r="BUZ2188" s="69"/>
      <c r="BVA2188" s="70"/>
      <c r="BVB2188" s="69"/>
      <c r="BVC2188" s="70"/>
      <c r="BVD2188" s="69"/>
      <c r="BVE2188" s="70"/>
      <c r="BVF2188" s="69"/>
      <c r="BVG2188" s="70"/>
      <c r="BVH2188" s="69"/>
      <c r="BVI2188" s="70"/>
      <c r="BVJ2188" s="69"/>
      <c r="BVK2188" s="70"/>
      <c r="BVL2188" s="69"/>
      <c r="BVM2188" s="70"/>
      <c r="BVN2188" s="69"/>
      <c r="BVO2188" s="70"/>
      <c r="BVP2188" s="69"/>
      <c r="BVQ2188" s="70"/>
      <c r="BVR2188" s="69"/>
      <c r="BVS2188" s="70"/>
      <c r="BVT2188" s="69"/>
      <c r="BVU2188" s="70"/>
      <c r="BVV2188" s="69"/>
      <c r="BVW2188" s="70"/>
      <c r="BVX2188" s="69"/>
      <c r="BVY2188" s="70"/>
      <c r="BVZ2188" s="69"/>
      <c r="BWA2188" s="70"/>
      <c r="BWB2188" s="69"/>
      <c r="BWC2188" s="70"/>
      <c r="BWD2188" s="69"/>
      <c r="BWE2188" s="70"/>
      <c r="BWF2188" s="69"/>
      <c r="BWG2188" s="70"/>
      <c r="BWH2188" s="69"/>
      <c r="BWI2188" s="70"/>
      <c r="BWJ2188" s="69"/>
      <c r="BWK2188" s="70"/>
      <c r="BWL2188" s="69"/>
      <c r="BWM2188" s="70"/>
      <c r="BWN2188" s="69"/>
      <c r="BWO2188" s="70"/>
      <c r="BWP2188" s="69"/>
      <c r="BWQ2188" s="70"/>
      <c r="BWR2188" s="69"/>
      <c r="BWS2188" s="70"/>
      <c r="BWT2188" s="69"/>
      <c r="BWU2188" s="70"/>
      <c r="BWV2188" s="69"/>
      <c r="BWW2188" s="70"/>
      <c r="BWX2188" s="69"/>
      <c r="BWY2188" s="70"/>
      <c r="BWZ2188" s="69"/>
      <c r="BXA2188" s="70"/>
      <c r="BXB2188" s="69"/>
      <c r="BXC2188" s="70"/>
      <c r="BXD2188" s="69"/>
      <c r="BXE2188" s="70"/>
      <c r="BXF2188" s="69"/>
      <c r="BXG2188" s="70"/>
      <c r="BXH2188" s="69"/>
      <c r="BXI2188" s="70"/>
      <c r="BXJ2188" s="69"/>
      <c r="BXK2188" s="70"/>
      <c r="BXL2188" s="69"/>
      <c r="BXM2188" s="70"/>
      <c r="BXN2188" s="69"/>
      <c r="BXO2188" s="70"/>
      <c r="BXP2188" s="69"/>
      <c r="BXQ2188" s="70"/>
      <c r="BXR2188" s="69"/>
      <c r="BXS2188" s="70"/>
      <c r="BXT2188" s="69"/>
      <c r="BXU2188" s="70"/>
      <c r="BXV2188" s="69"/>
      <c r="BXW2188" s="70"/>
      <c r="BXX2188" s="69"/>
      <c r="BXY2188" s="70"/>
      <c r="BXZ2188" s="69"/>
      <c r="BYA2188" s="70"/>
      <c r="BYB2188" s="69"/>
      <c r="BYC2188" s="70"/>
      <c r="BYD2188" s="69"/>
      <c r="BYE2188" s="70"/>
      <c r="BYF2188" s="69"/>
      <c r="BYG2188" s="70"/>
      <c r="BYH2188" s="69"/>
      <c r="BYI2188" s="70"/>
      <c r="BYJ2188" s="69"/>
      <c r="BYK2188" s="70"/>
      <c r="BYL2188" s="69"/>
      <c r="BYM2188" s="70"/>
      <c r="BYN2188" s="69"/>
      <c r="BYO2188" s="70"/>
      <c r="BYP2188" s="69"/>
      <c r="BYQ2188" s="70"/>
      <c r="BYR2188" s="69"/>
      <c r="BYS2188" s="70"/>
      <c r="BYT2188" s="69"/>
      <c r="BYU2188" s="70"/>
      <c r="BYV2188" s="69"/>
      <c r="BYW2188" s="70"/>
      <c r="BYX2188" s="69"/>
      <c r="BYY2188" s="70"/>
      <c r="BYZ2188" s="69"/>
      <c r="BZA2188" s="70"/>
      <c r="BZB2188" s="69"/>
      <c r="BZC2188" s="70"/>
      <c r="BZD2188" s="69"/>
      <c r="BZE2188" s="70"/>
      <c r="BZF2188" s="69"/>
      <c r="BZG2188" s="70"/>
      <c r="BZH2188" s="69"/>
      <c r="BZI2188" s="70"/>
      <c r="BZJ2188" s="69"/>
      <c r="BZK2188" s="70"/>
      <c r="BZL2188" s="69"/>
      <c r="BZM2188" s="70"/>
      <c r="BZN2188" s="69"/>
      <c r="BZO2188" s="70"/>
      <c r="BZP2188" s="69"/>
      <c r="BZQ2188" s="70"/>
      <c r="BZR2188" s="69"/>
      <c r="BZS2188" s="70"/>
      <c r="BZT2188" s="69"/>
      <c r="BZU2188" s="70"/>
      <c r="BZV2188" s="69"/>
      <c r="BZW2188" s="70"/>
      <c r="BZX2188" s="69"/>
      <c r="BZY2188" s="70"/>
      <c r="BZZ2188" s="69"/>
      <c r="CAA2188" s="70"/>
      <c r="CAB2188" s="69"/>
      <c r="CAC2188" s="70"/>
      <c r="CAD2188" s="69"/>
      <c r="CAE2188" s="70"/>
      <c r="CAF2188" s="69"/>
      <c r="CAG2188" s="70"/>
      <c r="CAH2188" s="69"/>
      <c r="CAI2188" s="70"/>
      <c r="CAJ2188" s="69"/>
      <c r="CAK2188" s="70"/>
      <c r="CAL2188" s="69"/>
      <c r="CAM2188" s="70"/>
      <c r="CAN2188" s="69"/>
      <c r="CAO2188" s="70"/>
      <c r="CAP2188" s="69"/>
      <c r="CAQ2188" s="70"/>
      <c r="CAR2188" s="69"/>
      <c r="CAS2188" s="70"/>
      <c r="CAT2188" s="69"/>
      <c r="CAU2188" s="70"/>
      <c r="CAV2188" s="69"/>
      <c r="CAW2188" s="70"/>
      <c r="CAX2188" s="69"/>
      <c r="CAY2188" s="70"/>
      <c r="CAZ2188" s="69"/>
      <c r="CBA2188" s="70"/>
      <c r="CBB2188" s="69"/>
      <c r="CBC2188" s="70"/>
      <c r="CBD2188" s="69"/>
      <c r="CBE2188" s="70"/>
      <c r="CBF2188" s="69"/>
      <c r="CBG2188" s="70"/>
      <c r="CBH2188" s="69"/>
      <c r="CBI2188" s="70"/>
      <c r="CBJ2188" s="69"/>
      <c r="CBK2188" s="70"/>
      <c r="CBL2188" s="69"/>
      <c r="CBM2188" s="70"/>
      <c r="CBN2188" s="69"/>
      <c r="CBO2188" s="70"/>
      <c r="CBP2188" s="69"/>
      <c r="CBQ2188" s="70"/>
      <c r="CBR2188" s="69"/>
      <c r="CBS2188" s="70"/>
      <c r="CBT2188" s="69"/>
      <c r="CBU2188" s="70"/>
      <c r="CBV2188" s="69"/>
      <c r="CBW2188" s="70"/>
      <c r="CBX2188" s="69"/>
      <c r="CBY2188" s="70"/>
      <c r="CBZ2188" s="69"/>
      <c r="CCA2188" s="70"/>
      <c r="CCB2188" s="69"/>
      <c r="CCC2188" s="70"/>
      <c r="CCD2188" s="69"/>
      <c r="CCE2188" s="70"/>
      <c r="CCF2188" s="69"/>
      <c r="CCG2188" s="70"/>
      <c r="CCH2188" s="69"/>
      <c r="CCI2188" s="70"/>
      <c r="CCJ2188" s="69"/>
      <c r="CCK2188" s="70"/>
      <c r="CCL2188" s="69"/>
      <c r="CCM2188" s="70"/>
      <c r="CCN2188" s="69"/>
      <c r="CCO2188" s="70"/>
      <c r="CCP2188" s="69"/>
      <c r="CCQ2188" s="70"/>
      <c r="CCR2188" s="69"/>
      <c r="CCS2188" s="70"/>
      <c r="CCT2188" s="69"/>
      <c r="CCU2188" s="70"/>
      <c r="CCV2188" s="69"/>
      <c r="CCW2188" s="70"/>
      <c r="CCX2188" s="69"/>
      <c r="CCY2188" s="70"/>
      <c r="CCZ2188" s="69"/>
      <c r="CDA2188" s="70"/>
      <c r="CDB2188" s="69"/>
      <c r="CDC2188" s="70"/>
      <c r="CDD2188" s="69"/>
      <c r="CDE2188" s="70"/>
      <c r="CDF2188" s="69"/>
      <c r="CDG2188" s="70"/>
      <c r="CDH2188" s="69"/>
      <c r="CDI2188" s="70"/>
      <c r="CDJ2188" s="69"/>
      <c r="CDK2188" s="70"/>
      <c r="CDL2188" s="69"/>
      <c r="CDM2188" s="70"/>
      <c r="CDN2188" s="69"/>
      <c r="CDO2188" s="70"/>
      <c r="CDP2188" s="69"/>
      <c r="CDQ2188" s="70"/>
      <c r="CDR2188" s="69"/>
      <c r="CDS2188" s="70"/>
      <c r="CDT2188" s="69"/>
      <c r="CDU2188" s="70"/>
      <c r="CDV2188" s="69"/>
      <c r="CDW2188" s="70"/>
      <c r="CDX2188" s="69"/>
      <c r="CDY2188" s="70"/>
      <c r="CDZ2188" s="69"/>
      <c r="CEA2188" s="70"/>
      <c r="CEB2188" s="69"/>
      <c r="CEC2188" s="70"/>
      <c r="CED2188" s="69"/>
      <c r="CEE2188" s="70"/>
      <c r="CEF2188" s="69"/>
      <c r="CEG2188" s="70"/>
      <c r="CEH2188" s="69"/>
      <c r="CEI2188" s="70"/>
      <c r="CEJ2188" s="69"/>
      <c r="CEK2188" s="70"/>
      <c r="CEL2188" s="69"/>
      <c r="CEM2188" s="70"/>
      <c r="CEN2188" s="69"/>
      <c r="CEO2188" s="70"/>
      <c r="CEP2188" s="69"/>
      <c r="CEQ2188" s="70"/>
      <c r="CER2188" s="69"/>
      <c r="CES2188" s="70"/>
      <c r="CET2188" s="69"/>
      <c r="CEU2188" s="70"/>
      <c r="CEV2188" s="69"/>
      <c r="CEW2188" s="70"/>
      <c r="CEX2188" s="69"/>
      <c r="CEY2188" s="70"/>
      <c r="CEZ2188" s="69"/>
      <c r="CFA2188" s="70"/>
      <c r="CFB2188" s="69"/>
      <c r="CFC2188" s="70"/>
      <c r="CFD2188" s="69"/>
      <c r="CFE2188" s="70"/>
      <c r="CFF2188" s="69"/>
      <c r="CFG2188" s="70"/>
      <c r="CFH2188" s="69"/>
      <c r="CFI2188" s="70"/>
      <c r="CFJ2188" s="69"/>
      <c r="CFK2188" s="70"/>
      <c r="CFL2188" s="69"/>
      <c r="CFM2188" s="70"/>
      <c r="CFN2188" s="69"/>
      <c r="CFO2188" s="70"/>
      <c r="CFP2188" s="69"/>
      <c r="CFQ2188" s="70"/>
      <c r="CFR2188" s="69"/>
      <c r="CFS2188" s="70"/>
      <c r="CFT2188" s="69"/>
      <c r="CFU2188" s="70"/>
      <c r="CFV2188" s="69"/>
      <c r="CFW2188" s="70"/>
      <c r="CFX2188" s="69"/>
      <c r="CFY2188" s="70"/>
      <c r="CFZ2188" s="69"/>
      <c r="CGA2188" s="70"/>
      <c r="CGB2188" s="69"/>
      <c r="CGC2188" s="70"/>
      <c r="CGD2188" s="69"/>
      <c r="CGE2188" s="70"/>
      <c r="CGF2188" s="69"/>
      <c r="CGG2188" s="70"/>
      <c r="CGH2188" s="69"/>
      <c r="CGI2188" s="70"/>
      <c r="CGJ2188" s="69"/>
      <c r="CGK2188" s="70"/>
      <c r="CGL2188" s="69"/>
      <c r="CGM2188" s="70"/>
      <c r="CGN2188" s="69"/>
      <c r="CGO2188" s="70"/>
      <c r="CGP2188" s="69"/>
      <c r="CGQ2188" s="70"/>
      <c r="CGR2188" s="69"/>
      <c r="CGS2188" s="70"/>
      <c r="CGT2188" s="69"/>
      <c r="CGU2188" s="70"/>
      <c r="CGV2188" s="69"/>
      <c r="CGW2188" s="70"/>
      <c r="CGX2188" s="69"/>
      <c r="CGY2188" s="70"/>
      <c r="CGZ2188" s="69"/>
      <c r="CHA2188" s="70"/>
      <c r="CHB2188" s="69"/>
      <c r="CHC2188" s="70"/>
      <c r="CHD2188" s="69"/>
      <c r="CHE2188" s="70"/>
      <c r="CHF2188" s="69"/>
      <c r="CHG2188" s="70"/>
      <c r="CHH2188" s="69"/>
      <c r="CHI2188" s="70"/>
      <c r="CHJ2188" s="69"/>
      <c r="CHK2188" s="70"/>
      <c r="CHL2188" s="69"/>
      <c r="CHM2188" s="70"/>
      <c r="CHN2188" s="69"/>
      <c r="CHO2188" s="70"/>
      <c r="CHP2188" s="69"/>
      <c r="CHQ2188" s="70"/>
      <c r="CHR2188" s="69"/>
      <c r="CHS2188" s="70"/>
      <c r="CHT2188" s="69"/>
      <c r="CHU2188" s="70"/>
      <c r="CHV2188" s="69"/>
      <c r="CHW2188" s="70"/>
      <c r="CHX2188" s="69"/>
      <c r="CHY2188" s="70"/>
      <c r="CHZ2188" s="69"/>
      <c r="CIA2188" s="70"/>
      <c r="CIB2188" s="69"/>
      <c r="CIC2188" s="70"/>
      <c r="CID2188" s="69"/>
      <c r="CIE2188" s="70"/>
      <c r="CIF2188" s="69"/>
      <c r="CIG2188" s="70"/>
      <c r="CIH2188" s="69"/>
      <c r="CII2188" s="70"/>
      <c r="CIJ2188" s="69"/>
      <c r="CIK2188" s="70"/>
      <c r="CIL2188" s="69"/>
      <c r="CIM2188" s="70"/>
      <c r="CIN2188" s="69"/>
      <c r="CIO2188" s="70"/>
      <c r="CIP2188" s="69"/>
      <c r="CIQ2188" s="70"/>
      <c r="CIR2188" s="69"/>
      <c r="CIS2188" s="70"/>
      <c r="CIT2188" s="69"/>
      <c r="CIU2188" s="70"/>
      <c r="CIV2188" s="69"/>
      <c r="CIW2188" s="70"/>
      <c r="CIX2188" s="69"/>
      <c r="CIY2188" s="70"/>
      <c r="CIZ2188" s="69"/>
      <c r="CJA2188" s="70"/>
      <c r="CJB2188" s="69"/>
      <c r="CJC2188" s="70"/>
      <c r="CJD2188" s="69"/>
      <c r="CJE2188" s="70"/>
      <c r="CJF2188" s="69"/>
      <c r="CJG2188" s="70"/>
      <c r="CJH2188" s="69"/>
      <c r="CJI2188" s="70"/>
      <c r="CJJ2188" s="69"/>
      <c r="CJK2188" s="70"/>
      <c r="CJL2188" s="69"/>
      <c r="CJM2188" s="70"/>
      <c r="CJN2188" s="69"/>
      <c r="CJO2188" s="70"/>
      <c r="CJP2188" s="69"/>
      <c r="CJQ2188" s="70"/>
      <c r="CJR2188" s="69"/>
      <c r="CJS2188" s="70"/>
      <c r="CJT2188" s="69"/>
      <c r="CJU2188" s="70"/>
      <c r="CJV2188" s="69"/>
      <c r="CJW2188" s="70"/>
      <c r="CJX2188" s="69"/>
      <c r="CJY2188" s="70"/>
      <c r="CJZ2188" s="69"/>
      <c r="CKA2188" s="70"/>
      <c r="CKB2188" s="69"/>
      <c r="CKC2188" s="70"/>
      <c r="CKD2188" s="69"/>
      <c r="CKE2188" s="70"/>
      <c r="CKF2188" s="69"/>
      <c r="CKG2188" s="70"/>
      <c r="CKH2188" s="69"/>
      <c r="CKI2188" s="70"/>
      <c r="CKJ2188" s="69"/>
      <c r="CKK2188" s="70"/>
      <c r="CKL2188" s="69"/>
      <c r="CKM2188" s="70"/>
      <c r="CKN2188" s="69"/>
      <c r="CKO2188" s="70"/>
      <c r="CKP2188" s="69"/>
      <c r="CKQ2188" s="70"/>
      <c r="CKR2188" s="69"/>
      <c r="CKS2188" s="70"/>
      <c r="CKT2188" s="69"/>
      <c r="CKU2188" s="70"/>
      <c r="CKV2188" s="69"/>
      <c r="CKW2188" s="70"/>
      <c r="CKX2188" s="69"/>
      <c r="CKY2188" s="70"/>
      <c r="CKZ2188" s="69"/>
      <c r="CLA2188" s="70"/>
      <c r="CLB2188" s="69"/>
      <c r="CLC2188" s="70"/>
      <c r="CLD2188" s="69"/>
      <c r="CLE2188" s="70"/>
      <c r="CLF2188" s="69"/>
      <c r="CLG2188" s="70"/>
      <c r="CLH2188" s="69"/>
      <c r="CLI2188" s="70"/>
      <c r="CLJ2188" s="69"/>
      <c r="CLK2188" s="70"/>
      <c r="CLL2188" s="69"/>
      <c r="CLM2188" s="70"/>
      <c r="CLN2188" s="69"/>
      <c r="CLO2188" s="70"/>
      <c r="CLP2188" s="69"/>
      <c r="CLQ2188" s="70"/>
      <c r="CLR2188" s="69"/>
      <c r="CLS2188" s="70"/>
      <c r="CLT2188" s="69"/>
      <c r="CLU2188" s="70"/>
      <c r="CLV2188" s="69"/>
      <c r="CLW2188" s="70"/>
      <c r="CLX2188" s="69"/>
      <c r="CLY2188" s="70"/>
      <c r="CLZ2188" s="69"/>
      <c r="CMA2188" s="70"/>
      <c r="CMB2188" s="69"/>
      <c r="CMC2188" s="70"/>
      <c r="CMD2188" s="69"/>
      <c r="CME2188" s="70"/>
      <c r="CMF2188" s="69"/>
      <c r="CMG2188" s="70"/>
      <c r="CMH2188" s="69"/>
      <c r="CMI2188" s="70"/>
      <c r="CMJ2188" s="69"/>
      <c r="CMK2188" s="70"/>
      <c r="CML2188" s="69"/>
      <c r="CMM2188" s="70"/>
      <c r="CMN2188" s="69"/>
      <c r="CMO2188" s="70"/>
      <c r="CMP2188" s="69"/>
      <c r="CMQ2188" s="70"/>
      <c r="CMR2188" s="69"/>
      <c r="CMS2188" s="70"/>
      <c r="CMT2188" s="69"/>
      <c r="CMU2188" s="70"/>
      <c r="CMV2188" s="69"/>
      <c r="CMW2188" s="70"/>
      <c r="CMX2188" s="69"/>
      <c r="CMY2188" s="70"/>
      <c r="CMZ2188" s="69"/>
      <c r="CNA2188" s="70"/>
      <c r="CNB2188" s="69"/>
      <c r="CNC2188" s="70"/>
      <c r="CND2188" s="69"/>
      <c r="CNE2188" s="70"/>
      <c r="CNF2188" s="69"/>
      <c r="CNG2188" s="70"/>
      <c r="CNH2188" s="69"/>
      <c r="CNI2188" s="70"/>
      <c r="CNJ2188" s="69"/>
      <c r="CNK2188" s="70"/>
      <c r="CNL2188" s="69"/>
      <c r="CNM2188" s="70"/>
      <c r="CNN2188" s="69"/>
      <c r="CNO2188" s="70"/>
      <c r="CNP2188" s="69"/>
      <c r="CNQ2188" s="70"/>
      <c r="CNR2188" s="69"/>
      <c r="CNS2188" s="70"/>
      <c r="CNT2188" s="69"/>
      <c r="CNU2188" s="70"/>
      <c r="CNV2188" s="69"/>
      <c r="CNW2188" s="70"/>
      <c r="CNX2188" s="69"/>
      <c r="CNY2188" s="70"/>
      <c r="CNZ2188" s="69"/>
      <c r="COA2188" s="70"/>
      <c r="COB2188" s="69"/>
      <c r="COC2188" s="70"/>
      <c r="COD2188" s="69"/>
      <c r="COE2188" s="70"/>
      <c r="COF2188" s="69"/>
      <c r="COG2188" s="70"/>
      <c r="COH2188" s="69"/>
      <c r="COI2188" s="70"/>
      <c r="COJ2188" s="69"/>
      <c r="COK2188" s="70"/>
      <c r="COL2188" s="69"/>
      <c r="COM2188" s="70"/>
      <c r="CON2188" s="69"/>
      <c r="COO2188" s="70"/>
      <c r="COP2188" s="69"/>
      <c r="COQ2188" s="70"/>
      <c r="COR2188" s="69"/>
      <c r="COS2188" s="70"/>
      <c r="COT2188" s="69"/>
      <c r="COU2188" s="70"/>
      <c r="COV2188" s="69"/>
      <c r="COW2188" s="70"/>
      <c r="COX2188" s="69"/>
      <c r="COY2188" s="70"/>
      <c r="COZ2188" s="69"/>
      <c r="CPA2188" s="70"/>
      <c r="CPB2188" s="69"/>
      <c r="CPC2188" s="70"/>
      <c r="CPD2188" s="69"/>
      <c r="CPE2188" s="70"/>
      <c r="CPF2188" s="69"/>
      <c r="CPG2188" s="70"/>
      <c r="CPH2188" s="69"/>
      <c r="CPI2188" s="70"/>
      <c r="CPJ2188" s="69"/>
      <c r="CPK2188" s="70"/>
      <c r="CPL2188" s="69"/>
      <c r="CPM2188" s="70"/>
      <c r="CPN2188" s="69"/>
      <c r="CPO2188" s="70"/>
      <c r="CPP2188" s="69"/>
      <c r="CPQ2188" s="70"/>
      <c r="CPR2188" s="69"/>
      <c r="CPS2188" s="70"/>
      <c r="CPT2188" s="69"/>
      <c r="CPU2188" s="70"/>
      <c r="CPV2188" s="69"/>
      <c r="CPW2188" s="70"/>
      <c r="CPX2188" s="69"/>
      <c r="CPY2188" s="70"/>
      <c r="CPZ2188" s="69"/>
      <c r="CQA2188" s="70"/>
      <c r="CQB2188" s="69"/>
      <c r="CQC2188" s="70"/>
      <c r="CQD2188" s="69"/>
      <c r="CQE2188" s="70"/>
      <c r="CQF2188" s="69"/>
      <c r="CQG2188" s="70"/>
      <c r="CQH2188" s="69"/>
      <c r="CQI2188" s="70"/>
      <c r="CQJ2188" s="69"/>
      <c r="CQK2188" s="70"/>
      <c r="CQL2188" s="69"/>
      <c r="CQM2188" s="70"/>
      <c r="CQN2188" s="69"/>
      <c r="CQO2188" s="70"/>
      <c r="CQP2188" s="69"/>
      <c r="CQQ2188" s="70"/>
      <c r="CQR2188" s="69"/>
      <c r="CQS2188" s="70"/>
      <c r="CQT2188" s="69"/>
      <c r="CQU2188" s="70"/>
      <c r="CQV2188" s="69"/>
      <c r="CQW2188" s="70"/>
      <c r="CQX2188" s="69"/>
      <c r="CQY2188" s="70"/>
      <c r="CQZ2188" s="69"/>
      <c r="CRA2188" s="70"/>
      <c r="CRB2188" s="69"/>
      <c r="CRC2188" s="70"/>
      <c r="CRD2188" s="69"/>
      <c r="CRE2188" s="70"/>
      <c r="CRF2188" s="69"/>
      <c r="CRG2188" s="70"/>
      <c r="CRH2188" s="69"/>
      <c r="CRI2188" s="70"/>
      <c r="CRJ2188" s="69"/>
      <c r="CRK2188" s="70"/>
      <c r="CRL2188" s="69"/>
      <c r="CRM2188" s="70"/>
      <c r="CRN2188" s="69"/>
      <c r="CRO2188" s="70"/>
      <c r="CRP2188" s="69"/>
      <c r="CRQ2188" s="70"/>
      <c r="CRR2188" s="69"/>
      <c r="CRS2188" s="70"/>
      <c r="CRT2188" s="69"/>
      <c r="CRU2188" s="70"/>
      <c r="CRV2188" s="69"/>
      <c r="CRW2188" s="70"/>
      <c r="CRX2188" s="69"/>
      <c r="CRY2188" s="70"/>
      <c r="CRZ2188" s="69"/>
      <c r="CSA2188" s="70"/>
      <c r="CSB2188" s="69"/>
      <c r="CSC2188" s="70"/>
      <c r="CSD2188" s="69"/>
      <c r="CSE2188" s="70"/>
      <c r="CSF2188" s="69"/>
      <c r="CSG2188" s="70"/>
      <c r="CSH2188" s="69"/>
      <c r="CSI2188" s="70"/>
      <c r="CSJ2188" s="69"/>
      <c r="CSK2188" s="70"/>
      <c r="CSL2188" s="69"/>
      <c r="CSM2188" s="70"/>
      <c r="CSN2188" s="69"/>
      <c r="CSO2188" s="70"/>
      <c r="CSP2188" s="69"/>
      <c r="CSQ2188" s="70"/>
      <c r="CSR2188" s="69"/>
      <c r="CSS2188" s="70"/>
      <c r="CST2188" s="69"/>
      <c r="CSU2188" s="70"/>
      <c r="CSV2188" s="69"/>
      <c r="CSW2188" s="70"/>
      <c r="CSX2188" s="69"/>
      <c r="CSY2188" s="70"/>
      <c r="CSZ2188" s="69"/>
      <c r="CTA2188" s="70"/>
      <c r="CTB2188" s="69"/>
      <c r="CTC2188" s="70"/>
      <c r="CTD2188" s="69"/>
      <c r="CTE2188" s="70"/>
      <c r="CTF2188" s="69"/>
      <c r="CTG2188" s="70"/>
      <c r="CTH2188" s="69"/>
      <c r="CTI2188" s="70"/>
      <c r="CTJ2188" s="69"/>
      <c r="CTK2188" s="70"/>
      <c r="CTL2188" s="69"/>
      <c r="CTM2188" s="70"/>
      <c r="CTN2188" s="69"/>
      <c r="CTO2188" s="70"/>
      <c r="CTP2188" s="69"/>
      <c r="CTQ2188" s="70"/>
      <c r="CTR2188" s="69"/>
      <c r="CTS2188" s="70"/>
      <c r="CTT2188" s="69"/>
      <c r="CTU2188" s="70"/>
      <c r="CTV2188" s="69"/>
      <c r="CTW2188" s="70"/>
      <c r="CTX2188" s="69"/>
      <c r="CTY2188" s="70"/>
      <c r="CTZ2188" s="69"/>
      <c r="CUA2188" s="70"/>
      <c r="CUB2188" s="69"/>
      <c r="CUC2188" s="70"/>
      <c r="CUD2188" s="69"/>
      <c r="CUE2188" s="70"/>
      <c r="CUF2188" s="69"/>
      <c r="CUG2188" s="70"/>
      <c r="CUH2188" s="69"/>
      <c r="CUI2188" s="70"/>
      <c r="CUJ2188" s="69"/>
      <c r="CUK2188" s="70"/>
      <c r="CUL2188" s="69"/>
      <c r="CUM2188" s="70"/>
      <c r="CUN2188" s="69"/>
      <c r="CUO2188" s="70"/>
      <c r="CUP2188" s="69"/>
      <c r="CUQ2188" s="70"/>
      <c r="CUR2188" s="69"/>
      <c r="CUS2188" s="70"/>
      <c r="CUT2188" s="69"/>
      <c r="CUU2188" s="70"/>
      <c r="CUV2188" s="69"/>
      <c r="CUW2188" s="70"/>
      <c r="CUX2188" s="69"/>
      <c r="CUY2188" s="70"/>
      <c r="CUZ2188" s="69"/>
      <c r="CVA2188" s="70"/>
      <c r="CVB2188" s="69"/>
      <c r="CVC2188" s="70"/>
      <c r="CVD2188" s="69"/>
      <c r="CVE2188" s="70"/>
      <c r="CVF2188" s="69"/>
      <c r="CVG2188" s="70"/>
      <c r="CVH2188" s="69"/>
      <c r="CVI2188" s="70"/>
      <c r="CVJ2188" s="69"/>
      <c r="CVK2188" s="70"/>
      <c r="CVL2188" s="69"/>
      <c r="CVM2188" s="70"/>
      <c r="CVN2188" s="69"/>
      <c r="CVO2188" s="70"/>
      <c r="CVP2188" s="69"/>
      <c r="CVQ2188" s="70"/>
      <c r="CVR2188" s="69"/>
      <c r="CVS2188" s="70"/>
      <c r="CVT2188" s="69"/>
      <c r="CVU2188" s="70"/>
      <c r="CVV2188" s="69"/>
      <c r="CVW2188" s="70"/>
      <c r="CVX2188" s="69"/>
      <c r="CVY2188" s="70"/>
      <c r="CVZ2188" s="69"/>
      <c r="CWA2188" s="70"/>
      <c r="CWB2188" s="69"/>
      <c r="CWC2188" s="70"/>
      <c r="CWD2188" s="69"/>
      <c r="CWE2188" s="70"/>
      <c r="CWF2188" s="69"/>
      <c r="CWG2188" s="70"/>
      <c r="CWH2188" s="69"/>
      <c r="CWI2188" s="70"/>
      <c r="CWJ2188" s="69"/>
      <c r="CWK2188" s="70"/>
      <c r="CWL2188" s="69"/>
      <c r="CWM2188" s="70"/>
      <c r="CWN2188" s="69"/>
      <c r="CWO2188" s="70"/>
      <c r="CWP2188" s="69"/>
      <c r="CWQ2188" s="70"/>
      <c r="CWR2188" s="69"/>
      <c r="CWS2188" s="70"/>
      <c r="CWT2188" s="69"/>
      <c r="CWU2188" s="70"/>
      <c r="CWV2188" s="69"/>
      <c r="CWW2188" s="70"/>
      <c r="CWX2188" s="69"/>
      <c r="CWY2188" s="70"/>
      <c r="CWZ2188" s="69"/>
      <c r="CXA2188" s="70"/>
      <c r="CXB2188" s="69"/>
      <c r="CXC2188" s="70"/>
      <c r="CXD2188" s="69"/>
      <c r="CXE2188" s="70"/>
      <c r="CXF2188" s="69"/>
      <c r="CXG2188" s="70"/>
      <c r="CXH2188" s="69"/>
      <c r="CXI2188" s="70"/>
      <c r="CXJ2188" s="69"/>
      <c r="CXK2188" s="70"/>
      <c r="CXL2188" s="69"/>
      <c r="CXM2188" s="70"/>
      <c r="CXN2188" s="69"/>
      <c r="CXO2188" s="70"/>
      <c r="CXP2188" s="69"/>
      <c r="CXQ2188" s="70"/>
      <c r="CXR2188" s="69"/>
      <c r="CXS2188" s="70"/>
      <c r="CXT2188" s="69"/>
      <c r="CXU2188" s="70"/>
      <c r="CXV2188" s="69"/>
      <c r="CXW2188" s="70"/>
      <c r="CXX2188" s="69"/>
      <c r="CXY2188" s="70"/>
      <c r="CXZ2188" s="69"/>
      <c r="CYA2188" s="70"/>
      <c r="CYB2188" s="69"/>
      <c r="CYC2188" s="70"/>
      <c r="CYD2188" s="69"/>
      <c r="CYE2188" s="70"/>
      <c r="CYF2188" s="69"/>
      <c r="CYG2188" s="70"/>
      <c r="CYH2188" s="69"/>
      <c r="CYI2188" s="70"/>
      <c r="CYJ2188" s="69"/>
      <c r="CYK2188" s="70"/>
      <c r="CYL2188" s="69"/>
      <c r="CYM2188" s="70"/>
      <c r="CYN2188" s="69"/>
      <c r="CYO2188" s="70"/>
      <c r="CYP2188" s="69"/>
      <c r="CYQ2188" s="70"/>
      <c r="CYR2188" s="69"/>
      <c r="CYS2188" s="70"/>
      <c r="CYT2188" s="69"/>
      <c r="CYU2188" s="70"/>
      <c r="CYV2188" s="69"/>
      <c r="CYW2188" s="70"/>
      <c r="CYX2188" s="69"/>
      <c r="CYY2188" s="70"/>
      <c r="CYZ2188" s="69"/>
      <c r="CZA2188" s="70"/>
      <c r="CZB2188" s="69"/>
      <c r="CZC2188" s="70"/>
      <c r="CZD2188" s="69"/>
      <c r="CZE2188" s="70"/>
      <c r="CZF2188" s="69"/>
      <c r="CZG2188" s="70"/>
      <c r="CZH2188" s="69"/>
      <c r="CZI2188" s="70"/>
      <c r="CZJ2188" s="69"/>
      <c r="CZK2188" s="70"/>
      <c r="CZL2188" s="69"/>
      <c r="CZM2188" s="70"/>
      <c r="CZN2188" s="69"/>
      <c r="CZO2188" s="70"/>
      <c r="CZP2188" s="69"/>
      <c r="CZQ2188" s="70"/>
      <c r="CZR2188" s="69"/>
      <c r="CZS2188" s="70"/>
      <c r="CZT2188" s="69"/>
      <c r="CZU2188" s="70"/>
      <c r="CZV2188" s="69"/>
      <c r="CZW2188" s="70"/>
      <c r="CZX2188" s="69"/>
      <c r="CZY2188" s="70"/>
      <c r="CZZ2188" s="69"/>
      <c r="DAA2188" s="70"/>
      <c r="DAB2188" s="69"/>
      <c r="DAC2188" s="70"/>
      <c r="DAD2188" s="69"/>
      <c r="DAE2188" s="70"/>
      <c r="DAF2188" s="69"/>
      <c r="DAG2188" s="70"/>
      <c r="DAH2188" s="69"/>
      <c r="DAI2188" s="70"/>
      <c r="DAJ2188" s="69"/>
      <c r="DAK2188" s="70"/>
      <c r="DAL2188" s="69"/>
      <c r="DAM2188" s="70"/>
      <c r="DAN2188" s="69"/>
      <c r="DAO2188" s="70"/>
      <c r="DAP2188" s="69"/>
      <c r="DAQ2188" s="70"/>
      <c r="DAR2188" s="69"/>
      <c r="DAS2188" s="70"/>
      <c r="DAT2188" s="69"/>
      <c r="DAU2188" s="70"/>
      <c r="DAV2188" s="69"/>
      <c r="DAW2188" s="70"/>
      <c r="DAX2188" s="69"/>
      <c r="DAY2188" s="70"/>
      <c r="DAZ2188" s="69"/>
      <c r="DBA2188" s="70"/>
      <c r="DBB2188" s="69"/>
      <c r="DBC2188" s="70"/>
      <c r="DBD2188" s="69"/>
      <c r="DBE2188" s="70"/>
      <c r="DBF2188" s="69"/>
      <c r="DBG2188" s="70"/>
      <c r="DBH2188" s="69"/>
      <c r="DBI2188" s="70"/>
      <c r="DBJ2188" s="69"/>
      <c r="DBK2188" s="70"/>
      <c r="DBL2188" s="69"/>
      <c r="DBM2188" s="70"/>
      <c r="DBN2188" s="69"/>
      <c r="DBO2188" s="70"/>
      <c r="DBP2188" s="69"/>
      <c r="DBQ2188" s="70"/>
      <c r="DBR2188" s="69"/>
      <c r="DBS2188" s="70"/>
      <c r="DBT2188" s="69"/>
      <c r="DBU2188" s="70"/>
      <c r="DBV2188" s="69"/>
      <c r="DBW2188" s="70"/>
      <c r="DBX2188" s="69"/>
      <c r="DBY2188" s="70"/>
      <c r="DBZ2188" s="69"/>
      <c r="DCA2188" s="70"/>
      <c r="DCB2188" s="69"/>
      <c r="DCC2188" s="70"/>
      <c r="DCD2188" s="69"/>
      <c r="DCE2188" s="70"/>
      <c r="DCF2188" s="69"/>
      <c r="DCG2188" s="70"/>
      <c r="DCH2188" s="69"/>
      <c r="DCI2188" s="70"/>
      <c r="DCJ2188" s="69"/>
      <c r="DCK2188" s="70"/>
      <c r="DCL2188" s="69"/>
      <c r="DCM2188" s="70"/>
      <c r="DCN2188" s="69"/>
      <c r="DCO2188" s="70"/>
      <c r="DCP2188" s="69"/>
      <c r="DCQ2188" s="70"/>
      <c r="DCR2188" s="69"/>
      <c r="DCS2188" s="70"/>
      <c r="DCT2188" s="69"/>
      <c r="DCU2188" s="70"/>
      <c r="DCV2188" s="69"/>
      <c r="DCW2188" s="70"/>
      <c r="DCX2188" s="69"/>
      <c r="DCY2188" s="70"/>
      <c r="DCZ2188" s="69"/>
      <c r="DDA2188" s="70"/>
      <c r="DDB2188" s="69"/>
      <c r="DDC2188" s="70"/>
      <c r="DDD2188" s="69"/>
      <c r="DDE2188" s="70"/>
      <c r="DDF2188" s="69"/>
      <c r="DDG2188" s="70"/>
      <c r="DDH2188" s="69"/>
      <c r="DDI2188" s="70"/>
      <c r="DDJ2188" s="69"/>
      <c r="DDK2188" s="70"/>
      <c r="DDL2188" s="69"/>
      <c r="DDM2188" s="70"/>
      <c r="DDN2188" s="69"/>
      <c r="DDO2188" s="70"/>
      <c r="DDP2188" s="69"/>
      <c r="DDQ2188" s="70"/>
      <c r="DDR2188" s="69"/>
      <c r="DDS2188" s="70"/>
      <c r="DDT2188" s="69"/>
      <c r="DDU2188" s="70"/>
      <c r="DDV2188" s="69"/>
      <c r="DDW2188" s="70"/>
      <c r="DDX2188" s="69"/>
      <c r="DDY2188" s="70"/>
      <c r="DDZ2188" s="69"/>
      <c r="DEA2188" s="70"/>
      <c r="DEB2188" s="69"/>
      <c r="DEC2188" s="70"/>
      <c r="DED2188" s="69"/>
      <c r="DEE2188" s="70"/>
      <c r="DEF2188" s="69"/>
      <c r="DEG2188" s="70"/>
      <c r="DEH2188" s="69"/>
      <c r="DEI2188" s="70"/>
      <c r="DEJ2188" s="69"/>
      <c r="DEK2188" s="70"/>
      <c r="DEL2188" s="69"/>
      <c r="DEM2188" s="70"/>
      <c r="DEN2188" s="69"/>
      <c r="DEO2188" s="70"/>
      <c r="DEP2188" s="69"/>
      <c r="DEQ2188" s="70"/>
      <c r="DER2188" s="69"/>
      <c r="DES2188" s="70"/>
      <c r="DET2188" s="69"/>
      <c r="DEU2188" s="70"/>
      <c r="DEV2188" s="69"/>
      <c r="DEW2188" s="70"/>
      <c r="DEX2188" s="69"/>
      <c r="DEY2188" s="70"/>
      <c r="DEZ2188" s="69"/>
      <c r="DFA2188" s="70"/>
      <c r="DFB2188" s="69"/>
      <c r="DFC2188" s="70"/>
      <c r="DFD2188" s="69"/>
      <c r="DFE2188" s="70"/>
      <c r="DFF2188" s="69"/>
      <c r="DFG2188" s="70"/>
      <c r="DFH2188" s="69"/>
      <c r="DFI2188" s="70"/>
      <c r="DFJ2188" s="69"/>
      <c r="DFK2188" s="70"/>
      <c r="DFL2188" s="69"/>
      <c r="DFM2188" s="70"/>
      <c r="DFN2188" s="69"/>
      <c r="DFO2188" s="70"/>
      <c r="DFP2188" s="69"/>
      <c r="DFQ2188" s="70"/>
      <c r="DFR2188" s="69"/>
      <c r="DFS2188" s="70"/>
      <c r="DFT2188" s="69"/>
      <c r="DFU2188" s="70"/>
      <c r="DFV2188" s="69"/>
      <c r="DFW2188" s="70"/>
      <c r="DFX2188" s="69"/>
      <c r="DFY2188" s="70"/>
      <c r="DFZ2188" s="69"/>
      <c r="DGA2188" s="70"/>
      <c r="DGB2188" s="69"/>
      <c r="DGC2188" s="70"/>
      <c r="DGD2188" s="69"/>
      <c r="DGE2188" s="70"/>
      <c r="DGF2188" s="69"/>
      <c r="DGG2188" s="70"/>
      <c r="DGH2188" s="69"/>
      <c r="DGI2188" s="70"/>
      <c r="DGJ2188" s="69"/>
      <c r="DGK2188" s="70"/>
      <c r="DGL2188" s="69"/>
      <c r="DGM2188" s="70"/>
      <c r="DGN2188" s="69"/>
      <c r="DGO2188" s="70"/>
      <c r="DGP2188" s="69"/>
      <c r="DGQ2188" s="70"/>
      <c r="DGR2188" s="69"/>
      <c r="DGS2188" s="70"/>
      <c r="DGT2188" s="69"/>
      <c r="DGU2188" s="70"/>
      <c r="DGV2188" s="69"/>
      <c r="DGW2188" s="70"/>
      <c r="DGX2188" s="69"/>
      <c r="DGY2188" s="70"/>
      <c r="DGZ2188" s="69"/>
      <c r="DHA2188" s="70"/>
      <c r="DHB2188" s="69"/>
      <c r="DHC2188" s="70"/>
      <c r="DHD2188" s="69"/>
      <c r="DHE2188" s="70"/>
      <c r="DHF2188" s="69"/>
      <c r="DHG2188" s="70"/>
      <c r="DHH2188" s="69"/>
      <c r="DHI2188" s="70"/>
      <c r="DHJ2188" s="69"/>
      <c r="DHK2188" s="70"/>
      <c r="DHL2188" s="69"/>
      <c r="DHM2188" s="70"/>
      <c r="DHN2188" s="69"/>
      <c r="DHO2188" s="70"/>
      <c r="DHP2188" s="69"/>
      <c r="DHQ2188" s="70"/>
      <c r="DHR2188" s="69"/>
      <c r="DHS2188" s="70"/>
      <c r="DHT2188" s="69"/>
      <c r="DHU2188" s="70"/>
      <c r="DHV2188" s="69"/>
      <c r="DHW2188" s="70"/>
      <c r="DHX2188" s="69"/>
      <c r="DHY2188" s="70"/>
      <c r="DHZ2188" s="69"/>
      <c r="DIA2188" s="70"/>
      <c r="DIB2188" s="69"/>
      <c r="DIC2188" s="70"/>
      <c r="DID2188" s="69"/>
      <c r="DIE2188" s="70"/>
      <c r="DIF2188" s="69"/>
      <c r="DIG2188" s="70"/>
      <c r="DIH2188" s="69"/>
      <c r="DII2188" s="70"/>
      <c r="DIJ2188" s="69"/>
      <c r="DIK2188" s="70"/>
      <c r="DIL2188" s="69"/>
      <c r="DIM2188" s="70"/>
      <c r="DIN2188" s="69"/>
      <c r="DIO2188" s="70"/>
      <c r="DIP2188" s="69"/>
      <c r="DIQ2188" s="70"/>
      <c r="DIR2188" s="69"/>
      <c r="DIS2188" s="70"/>
      <c r="DIT2188" s="69"/>
      <c r="DIU2188" s="70"/>
      <c r="DIV2188" s="69"/>
      <c r="DIW2188" s="70"/>
      <c r="DIX2188" s="69"/>
      <c r="DIY2188" s="70"/>
      <c r="DIZ2188" s="69"/>
      <c r="DJA2188" s="70"/>
      <c r="DJB2188" s="69"/>
      <c r="DJC2188" s="70"/>
      <c r="DJD2188" s="69"/>
      <c r="DJE2188" s="70"/>
      <c r="DJF2188" s="69"/>
      <c r="DJG2188" s="70"/>
      <c r="DJH2188" s="69"/>
      <c r="DJI2188" s="70"/>
      <c r="DJJ2188" s="69"/>
      <c r="DJK2188" s="70"/>
      <c r="DJL2188" s="69"/>
      <c r="DJM2188" s="70"/>
      <c r="DJN2188" s="69"/>
      <c r="DJO2188" s="70"/>
      <c r="DJP2188" s="69"/>
      <c r="DJQ2188" s="70"/>
      <c r="DJR2188" s="69"/>
      <c r="DJS2188" s="70"/>
      <c r="DJT2188" s="69"/>
      <c r="DJU2188" s="70"/>
      <c r="DJV2188" s="69"/>
      <c r="DJW2188" s="70"/>
      <c r="DJX2188" s="69"/>
      <c r="DJY2188" s="70"/>
      <c r="DJZ2188" s="69"/>
      <c r="DKA2188" s="70"/>
      <c r="DKB2188" s="69"/>
      <c r="DKC2188" s="70"/>
      <c r="DKD2188" s="69"/>
      <c r="DKE2188" s="70"/>
      <c r="DKF2188" s="69"/>
      <c r="DKG2188" s="70"/>
      <c r="DKH2188" s="69"/>
      <c r="DKI2188" s="70"/>
      <c r="DKJ2188" s="69"/>
      <c r="DKK2188" s="70"/>
      <c r="DKL2188" s="69"/>
      <c r="DKM2188" s="70"/>
      <c r="DKN2188" s="69"/>
      <c r="DKO2188" s="70"/>
      <c r="DKP2188" s="69"/>
      <c r="DKQ2188" s="70"/>
      <c r="DKR2188" s="69"/>
      <c r="DKS2188" s="70"/>
      <c r="DKT2188" s="69"/>
      <c r="DKU2188" s="70"/>
      <c r="DKV2188" s="69"/>
      <c r="DKW2188" s="70"/>
      <c r="DKX2188" s="69"/>
      <c r="DKY2188" s="70"/>
      <c r="DKZ2188" s="69"/>
      <c r="DLA2188" s="70"/>
      <c r="DLB2188" s="69"/>
      <c r="DLC2188" s="70"/>
      <c r="DLD2188" s="69"/>
      <c r="DLE2188" s="70"/>
      <c r="DLF2188" s="69"/>
      <c r="DLG2188" s="70"/>
      <c r="DLH2188" s="69"/>
      <c r="DLI2188" s="70"/>
      <c r="DLJ2188" s="69"/>
      <c r="DLK2188" s="70"/>
      <c r="DLL2188" s="69"/>
      <c r="DLM2188" s="70"/>
      <c r="DLN2188" s="69"/>
      <c r="DLO2188" s="70"/>
      <c r="DLP2188" s="69"/>
      <c r="DLQ2188" s="70"/>
      <c r="DLR2188" s="69"/>
      <c r="DLS2188" s="70"/>
      <c r="DLT2188" s="69"/>
      <c r="DLU2188" s="70"/>
      <c r="DLV2188" s="69"/>
      <c r="DLW2188" s="70"/>
      <c r="DLX2188" s="69"/>
      <c r="DLY2188" s="70"/>
      <c r="DLZ2188" s="69"/>
      <c r="DMA2188" s="70"/>
      <c r="DMB2188" s="69"/>
      <c r="DMC2188" s="70"/>
      <c r="DMD2188" s="69"/>
      <c r="DME2188" s="70"/>
      <c r="DMF2188" s="69"/>
      <c r="DMG2188" s="70"/>
      <c r="DMH2188" s="69"/>
      <c r="DMI2188" s="70"/>
      <c r="DMJ2188" s="69"/>
      <c r="DMK2188" s="70"/>
      <c r="DML2188" s="69"/>
      <c r="DMM2188" s="70"/>
      <c r="DMN2188" s="69"/>
      <c r="DMO2188" s="70"/>
      <c r="DMP2188" s="69"/>
      <c r="DMQ2188" s="70"/>
      <c r="DMR2188" s="69"/>
      <c r="DMS2188" s="70"/>
      <c r="DMT2188" s="69"/>
      <c r="DMU2188" s="70"/>
      <c r="DMV2188" s="69"/>
      <c r="DMW2188" s="70"/>
      <c r="DMX2188" s="69"/>
      <c r="DMY2188" s="70"/>
      <c r="DMZ2188" s="69"/>
      <c r="DNA2188" s="70"/>
      <c r="DNB2188" s="69"/>
      <c r="DNC2188" s="70"/>
      <c r="DND2188" s="69"/>
      <c r="DNE2188" s="70"/>
      <c r="DNF2188" s="69"/>
      <c r="DNG2188" s="70"/>
      <c r="DNH2188" s="69"/>
      <c r="DNI2188" s="70"/>
      <c r="DNJ2188" s="69"/>
      <c r="DNK2188" s="70"/>
      <c r="DNL2188" s="69"/>
      <c r="DNM2188" s="70"/>
      <c r="DNN2188" s="69"/>
      <c r="DNO2188" s="70"/>
      <c r="DNP2188" s="69"/>
      <c r="DNQ2188" s="70"/>
      <c r="DNR2188" s="69"/>
      <c r="DNS2188" s="70"/>
      <c r="DNT2188" s="69"/>
      <c r="DNU2188" s="70"/>
      <c r="DNV2188" s="69"/>
      <c r="DNW2188" s="70"/>
      <c r="DNX2188" s="69"/>
      <c r="DNY2188" s="70"/>
      <c r="DNZ2188" s="69"/>
      <c r="DOA2188" s="70"/>
      <c r="DOB2188" s="69"/>
      <c r="DOC2188" s="70"/>
      <c r="DOD2188" s="69"/>
      <c r="DOE2188" s="70"/>
      <c r="DOF2188" s="69"/>
      <c r="DOG2188" s="70"/>
      <c r="DOH2188" s="69"/>
      <c r="DOI2188" s="70"/>
      <c r="DOJ2188" s="69"/>
      <c r="DOK2188" s="70"/>
      <c r="DOL2188" s="69"/>
      <c r="DOM2188" s="70"/>
      <c r="DON2188" s="69"/>
      <c r="DOO2188" s="70"/>
      <c r="DOP2188" s="69"/>
      <c r="DOQ2188" s="70"/>
      <c r="DOR2188" s="69"/>
      <c r="DOS2188" s="70"/>
      <c r="DOT2188" s="69"/>
      <c r="DOU2188" s="70"/>
      <c r="DOV2188" s="69"/>
      <c r="DOW2188" s="70"/>
      <c r="DOX2188" s="69"/>
      <c r="DOY2188" s="70"/>
      <c r="DOZ2188" s="69"/>
      <c r="DPA2188" s="70"/>
      <c r="DPB2188" s="69"/>
      <c r="DPC2188" s="70"/>
      <c r="DPD2188" s="69"/>
      <c r="DPE2188" s="70"/>
      <c r="DPF2188" s="69"/>
      <c r="DPG2188" s="70"/>
      <c r="DPH2188" s="69"/>
      <c r="DPI2188" s="70"/>
      <c r="DPJ2188" s="69"/>
      <c r="DPK2188" s="70"/>
      <c r="DPL2188" s="69"/>
      <c r="DPM2188" s="70"/>
      <c r="DPN2188" s="69"/>
      <c r="DPO2188" s="70"/>
      <c r="DPP2188" s="69"/>
      <c r="DPQ2188" s="70"/>
      <c r="DPR2188" s="69"/>
      <c r="DPS2188" s="70"/>
      <c r="DPT2188" s="69"/>
      <c r="DPU2188" s="70"/>
      <c r="DPV2188" s="69"/>
      <c r="DPW2188" s="70"/>
      <c r="DPX2188" s="69"/>
      <c r="DPY2188" s="70"/>
      <c r="DPZ2188" s="69"/>
      <c r="DQA2188" s="70"/>
      <c r="DQB2188" s="69"/>
      <c r="DQC2188" s="70"/>
      <c r="DQD2188" s="69"/>
      <c r="DQE2188" s="70"/>
      <c r="DQF2188" s="69"/>
      <c r="DQG2188" s="70"/>
      <c r="DQH2188" s="69"/>
      <c r="DQI2188" s="70"/>
      <c r="DQJ2188" s="69"/>
      <c r="DQK2188" s="70"/>
      <c r="DQL2188" s="69"/>
      <c r="DQM2188" s="70"/>
      <c r="DQN2188" s="69"/>
      <c r="DQO2188" s="70"/>
      <c r="DQP2188" s="69"/>
      <c r="DQQ2188" s="70"/>
      <c r="DQR2188" s="69"/>
      <c r="DQS2188" s="70"/>
      <c r="DQT2188" s="69"/>
      <c r="DQU2188" s="70"/>
      <c r="DQV2188" s="69"/>
      <c r="DQW2188" s="70"/>
      <c r="DQX2188" s="69"/>
      <c r="DQY2188" s="70"/>
      <c r="DQZ2188" s="69"/>
      <c r="DRA2188" s="70"/>
      <c r="DRB2188" s="69"/>
      <c r="DRC2188" s="70"/>
      <c r="DRD2188" s="69"/>
      <c r="DRE2188" s="70"/>
      <c r="DRF2188" s="69"/>
      <c r="DRG2188" s="70"/>
      <c r="DRH2188" s="69"/>
      <c r="DRI2188" s="70"/>
      <c r="DRJ2188" s="69"/>
      <c r="DRK2188" s="70"/>
      <c r="DRL2188" s="69"/>
      <c r="DRM2188" s="70"/>
      <c r="DRN2188" s="69"/>
      <c r="DRO2188" s="70"/>
      <c r="DRP2188" s="69"/>
      <c r="DRQ2188" s="70"/>
      <c r="DRR2188" s="69"/>
      <c r="DRS2188" s="70"/>
      <c r="DRT2188" s="69"/>
      <c r="DRU2188" s="70"/>
      <c r="DRV2188" s="69"/>
      <c r="DRW2188" s="70"/>
      <c r="DRX2188" s="69"/>
      <c r="DRY2188" s="70"/>
      <c r="DRZ2188" s="69"/>
      <c r="DSA2188" s="70"/>
      <c r="DSB2188" s="69"/>
      <c r="DSC2188" s="70"/>
      <c r="DSD2188" s="69"/>
      <c r="DSE2188" s="70"/>
      <c r="DSF2188" s="69"/>
      <c r="DSG2188" s="70"/>
      <c r="DSH2188" s="69"/>
      <c r="DSI2188" s="70"/>
      <c r="DSJ2188" s="69"/>
      <c r="DSK2188" s="70"/>
      <c r="DSL2188" s="69"/>
      <c r="DSM2188" s="70"/>
      <c r="DSN2188" s="69"/>
      <c r="DSO2188" s="70"/>
      <c r="DSP2188" s="69"/>
      <c r="DSQ2188" s="70"/>
      <c r="DSR2188" s="69"/>
      <c r="DSS2188" s="70"/>
      <c r="DST2188" s="69"/>
      <c r="DSU2188" s="70"/>
      <c r="DSV2188" s="69"/>
      <c r="DSW2188" s="70"/>
      <c r="DSX2188" s="69"/>
      <c r="DSY2188" s="70"/>
      <c r="DSZ2188" s="69"/>
      <c r="DTA2188" s="70"/>
      <c r="DTB2188" s="69"/>
      <c r="DTC2188" s="70"/>
      <c r="DTD2188" s="69"/>
      <c r="DTE2188" s="70"/>
      <c r="DTF2188" s="69"/>
      <c r="DTG2188" s="70"/>
      <c r="DTH2188" s="69"/>
      <c r="DTI2188" s="70"/>
      <c r="DTJ2188" s="69"/>
      <c r="DTK2188" s="70"/>
      <c r="DTL2188" s="69"/>
      <c r="DTM2188" s="70"/>
      <c r="DTN2188" s="69"/>
      <c r="DTO2188" s="70"/>
      <c r="DTP2188" s="69"/>
      <c r="DTQ2188" s="70"/>
      <c r="DTR2188" s="69"/>
      <c r="DTS2188" s="70"/>
      <c r="DTT2188" s="69"/>
      <c r="DTU2188" s="70"/>
      <c r="DTV2188" s="69"/>
      <c r="DTW2188" s="70"/>
      <c r="DTX2188" s="69"/>
      <c r="DTY2188" s="70"/>
      <c r="DTZ2188" s="69"/>
      <c r="DUA2188" s="70"/>
      <c r="DUB2188" s="69"/>
      <c r="DUC2188" s="70"/>
      <c r="DUD2188" s="69"/>
      <c r="DUE2188" s="70"/>
      <c r="DUF2188" s="69"/>
      <c r="DUG2188" s="70"/>
      <c r="DUH2188" s="69"/>
      <c r="DUI2188" s="70"/>
      <c r="DUJ2188" s="69"/>
      <c r="DUK2188" s="70"/>
      <c r="DUL2188" s="69"/>
      <c r="DUM2188" s="70"/>
      <c r="DUN2188" s="69"/>
      <c r="DUO2188" s="70"/>
      <c r="DUP2188" s="69"/>
      <c r="DUQ2188" s="70"/>
      <c r="DUR2188" s="69"/>
      <c r="DUS2188" s="70"/>
      <c r="DUT2188" s="69"/>
      <c r="DUU2188" s="70"/>
      <c r="DUV2188" s="69"/>
      <c r="DUW2188" s="70"/>
      <c r="DUX2188" s="69"/>
      <c r="DUY2188" s="70"/>
      <c r="DUZ2188" s="69"/>
      <c r="DVA2188" s="70"/>
      <c r="DVB2188" s="69"/>
      <c r="DVC2188" s="70"/>
      <c r="DVD2188" s="69"/>
      <c r="DVE2188" s="70"/>
      <c r="DVF2188" s="69"/>
      <c r="DVG2188" s="70"/>
      <c r="DVH2188" s="69"/>
      <c r="DVI2188" s="70"/>
      <c r="DVJ2188" s="69"/>
      <c r="DVK2188" s="70"/>
      <c r="DVL2188" s="69"/>
      <c r="DVM2188" s="70"/>
      <c r="DVN2188" s="69"/>
      <c r="DVO2188" s="70"/>
      <c r="DVP2188" s="69"/>
      <c r="DVQ2188" s="70"/>
      <c r="DVR2188" s="69"/>
      <c r="DVS2188" s="70"/>
      <c r="DVT2188" s="69"/>
      <c r="DVU2188" s="70"/>
      <c r="DVV2188" s="69"/>
      <c r="DVW2188" s="70"/>
      <c r="DVX2188" s="69"/>
      <c r="DVY2188" s="70"/>
      <c r="DVZ2188" s="69"/>
      <c r="DWA2188" s="70"/>
      <c r="DWB2188" s="69"/>
      <c r="DWC2188" s="70"/>
      <c r="DWD2188" s="69"/>
      <c r="DWE2188" s="70"/>
      <c r="DWF2188" s="69"/>
      <c r="DWG2188" s="70"/>
      <c r="DWH2188" s="69"/>
      <c r="DWI2188" s="70"/>
      <c r="DWJ2188" s="69"/>
      <c r="DWK2188" s="70"/>
      <c r="DWL2188" s="69"/>
      <c r="DWM2188" s="70"/>
      <c r="DWN2188" s="69"/>
      <c r="DWO2188" s="70"/>
      <c r="DWP2188" s="69"/>
      <c r="DWQ2188" s="70"/>
      <c r="DWR2188" s="69"/>
      <c r="DWS2188" s="70"/>
      <c r="DWT2188" s="69"/>
      <c r="DWU2188" s="70"/>
      <c r="DWV2188" s="69"/>
      <c r="DWW2188" s="70"/>
      <c r="DWX2188" s="69"/>
      <c r="DWY2188" s="70"/>
      <c r="DWZ2188" s="69"/>
      <c r="DXA2188" s="70"/>
      <c r="DXB2188" s="69"/>
      <c r="DXC2188" s="70"/>
      <c r="DXD2188" s="69"/>
      <c r="DXE2188" s="70"/>
      <c r="DXF2188" s="69"/>
      <c r="DXG2188" s="70"/>
      <c r="DXH2188" s="69"/>
      <c r="DXI2188" s="70"/>
      <c r="DXJ2188" s="69"/>
      <c r="DXK2188" s="70"/>
      <c r="DXL2188" s="69"/>
      <c r="DXM2188" s="70"/>
      <c r="DXN2188" s="69"/>
      <c r="DXO2188" s="70"/>
      <c r="DXP2188" s="69"/>
      <c r="DXQ2188" s="70"/>
      <c r="DXR2188" s="69"/>
      <c r="DXS2188" s="70"/>
      <c r="DXT2188" s="69"/>
      <c r="DXU2188" s="70"/>
      <c r="DXV2188" s="69"/>
      <c r="DXW2188" s="70"/>
      <c r="DXX2188" s="69"/>
      <c r="DXY2188" s="70"/>
      <c r="DXZ2188" s="69"/>
      <c r="DYA2188" s="70"/>
      <c r="DYB2188" s="69"/>
      <c r="DYC2188" s="70"/>
      <c r="DYD2188" s="69"/>
      <c r="DYE2188" s="70"/>
      <c r="DYF2188" s="69"/>
      <c r="DYG2188" s="70"/>
      <c r="DYH2188" s="69"/>
      <c r="DYI2188" s="70"/>
      <c r="DYJ2188" s="69"/>
      <c r="DYK2188" s="70"/>
      <c r="DYL2188" s="69"/>
      <c r="DYM2188" s="70"/>
      <c r="DYN2188" s="69"/>
      <c r="DYO2188" s="70"/>
      <c r="DYP2188" s="69"/>
      <c r="DYQ2188" s="70"/>
      <c r="DYR2188" s="69"/>
      <c r="DYS2188" s="70"/>
      <c r="DYT2188" s="69"/>
      <c r="DYU2188" s="70"/>
      <c r="DYV2188" s="69"/>
      <c r="DYW2188" s="70"/>
      <c r="DYX2188" s="69"/>
      <c r="DYY2188" s="70"/>
      <c r="DYZ2188" s="69"/>
      <c r="DZA2188" s="70"/>
      <c r="DZB2188" s="69"/>
      <c r="DZC2188" s="70"/>
      <c r="DZD2188" s="69"/>
      <c r="DZE2188" s="70"/>
      <c r="DZF2188" s="69"/>
      <c r="DZG2188" s="70"/>
      <c r="DZH2188" s="69"/>
      <c r="DZI2188" s="70"/>
      <c r="DZJ2188" s="69"/>
      <c r="DZK2188" s="70"/>
      <c r="DZL2188" s="69"/>
      <c r="DZM2188" s="70"/>
      <c r="DZN2188" s="69"/>
      <c r="DZO2188" s="70"/>
      <c r="DZP2188" s="69"/>
      <c r="DZQ2188" s="70"/>
      <c r="DZR2188" s="69"/>
      <c r="DZS2188" s="70"/>
      <c r="DZT2188" s="69"/>
      <c r="DZU2188" s="70"/>
      <c r="DZV2188" s="69"/>
      <c r="DZW2188" s="70"/>
      <c r="DZX2188" s="69"/>
      <c r="DZY2188" s="70"/>
      <c r="DZZ2188" s="69"/>
      <c r="EAA2188" s="70"/>
      <c r="EAB2188" s="69"/>
      <c r="EAC2188" s="70"/>
      <c r="EAD2188" s="69"/>
      <c r="EAE2188" s="70"/>
      <c r="EAF2188" s="69"/>
      <c r="EAG2188" s="70"/>
      <c r="EAH2188" s="69"/>
      <c r="EAI2188" s="70"/>
      <c r="EAJ2188" s="69"/>
      <c r="EAK2188" s="70"/>
      <c r="EAL2188" s="69"/>
      <c r="EAM2188" s="70"/>
      <c r="EAN2188" s="69"/>
      <c r="EAO2188" s="70"/>
      <c r="EAP2188" s="69"/>
      <c r="EAQ2188" s="70"/>
      <c r="EAR2188" s="69"/>
      <c r="EAS2188" s="70"/>
      <c r="EAT2188" s="69"/>
      <c r="EAU2188" s="70"/>
      <c r="EAV2188" s="69"/>
      <c r="EAW2188" s="70"/>
      <c r="EAX2188" s="69"/>
      <c r="EAY2188" s="70"/>
      <c r="EAZ2188" s="69"/>
      <c r="EBA2188" s="70"/>
      <c r="EBB2188" s="69"/>
      <c r="EBC2188" s="70"/>
      <c r="EBD2188" s="69"/>
      <c r="EBE2188" s="70"/>
      <c r="EBF2188" s="69"/>
      <c r="EBG2188" s="70"/>
      <c r="EBH2188" s="69"/>
      <c r="EBI2188" s="70"/>
      <c r="EBJ2188" s="69"/>
      <c r="EBK2188" s="70"/>
      <c r="EBL2188" s="69"/>
      <c r="EBM2188" s="70"/>
      <c r="EBN2188" s="69"/>
      <c r="EBO2188" s="70"/>
      <c r="EBP2188" s="69"/>
      <c r="EBQ2188" s="70"/>
      <c r="EBR2188" s="69"/>
      <c r="EBS2188" s="70"/>
      <c r="EBT2188" s="69"/>
      <c r="EBU2188" s="70"/>
      <c r="EBV2188" s="69"/>
      <c r="EBW2188" s="70"/>
      <c r="EBX2188" s="69"/>
      <c r="EBY2188" s="70"/>
      <c r="EBZ2188" s="69"/>
      <c r="ECA2188" s="70"/>
      <c r="ECB2188" s="69"/>
      <c r="ECC2188" s="70"/>
      <c r="ECD2188" s="69"/>
      <c r="ECE2188" s="70"/>
      <c r="ECF2188" s="69"/>
      <c r="ECG2188" s="70"/>
      <c r="ECH2188" s="69"/>
      <c r="ECI2188" s="70"/>
      <c r="ECJ2188" s="69"/>
      <c r="ECK2188" s="70"/>
      <c r="ECL2188" s="69"/>
      <c r="ECM2188" s="70"/>
      <c r="ECN2188" s="69"/>
      <c r="ECO2188" s="70"/>
      <c r="ECP2188" s="69"/>
      <c r="ECQ2188" s="70"/>
      <c r="ECR2188" s="69"/>
      <c r="ECS2188" s="70"/>
      <c r="ECT2188" s="69"/>
      <c r="ECU2188" s="70"/>
      <c r="ECV2188" s="69"/>
      <c r="ECW2188" s="70"/>
      <c r="ECX2188" s="69"/>
      <c r="ECY2188" s="70"/>
      <c r="ECZ2188" s="69"/>
      <c r="EDA2188" s="70"/>
      <c r="EDB2188" s="69"/>
      <c r="EDC2188" s="70"/>
      <c r="EDD2188" s="69"/>
      <c r="EDE2188" s="70"/>
      <c r="EDF2188" s="69"/>
      <c r="EDG2188" s="70"/>
      <c r="EDH2188" s="69"/>
      <c r="EDI2188" s="70"/>
      <c r="EDJ2188" s="69"/>
      <c r="EDK2188" s="70"/>
      <c r="EDL2188" s="69"/>
      <c r="EDM2188" s="70"/>
      <c r="EDN2188" s="69"/>
      <c r="EDO2188" s="70"/>
      <c r="EDP2188" s="69"/>
      <c r="EDQ2188" s="70"/>
      <c r="EDR2188" s="69"/>
      <c r="EDS2188" s="70"/>
      <c r="EDT2188" s="69"/>
      <c r="EDU2188" s="70"/>
      <c r="EDV2188" s="69"/>
      <c r="EDW2188" s="70"/>
      <c r="EDX2188" s="69"/>
      <c r="EDY2188" s="70"/>
      <c r="EDZ2188" s="69"/>
      <c r="EEA2188" s="70"/>
      <c r="EEB2188" s="69"/>
      <c r="EEC2188" s="70"/>
      <c r="EED2188" s="69"/>
      <c r="EEE2188" s="70"/>
      <c r="EEF2188" s="69"/>
      <c r="EEG2188" s="70"/>
      <c r="EEH2188" s="69"/>
      <c r="EEI2188" s="70"/>
      <c r="EEJ2188" s="69"/>
      <c r="EEK2188" s="70"/>
      <c r="EEL2188" s="69"/>
      <c r="EEM2188" s="70"/>
      <c r="EEN2188" s="69"/>
      <c r="EEO2188" s="70"/>
      <c r="EEP2188" s="69"/>
      <c r="EEQ2188" s="70"/>
      <c r="EER2188" s="69"/>
      <c r="EES2188" s="70"/>
      <c r="EET2188" s="69"/>
      <c r="EEU2188" s="70"/>
      <c r="EEV2188" s="69"/>
      <c r="EEW2188" s="70"/>
      <c r="EEX2188" s="69"/>
      <c r="EEY2188" s="70"/>
      <c r="EEZ2188" s="69"/>
      <c r="EFA2188" s="70"/>
      <c r="EFB2188" s="69"/>
      <c r="EFC2188" s="70"/>
      <c r="EFD2188" s="69"/>
      <c r="EFE2188" s="70"/>
      <c r="EFF2188" s="69"/>
      <c r="EFG2188" s="70"/>
      <c r="EFH2188" s="69"/>
      <c r="EFI2188" s="70"/>
      <c r="EFJ2188" s="69"/>
      <c r="EFK2188" s="70"/>
      <c r="EFL2188" s="69"/>
      <c r="EFM2188" s="70"/>
      <c r="EFN2188" s="69"/>
      <c r="EFO2188" s="70"/>
      <c r="EFP2188" s="69"/>
      <c r="EFQ2188" s="70"/>
      <c r="EFR2188" s="69"/>
      <c r="EFS2188" s="70"/>
      <c r="EFT2188" s="69"/>
      <c r="EFU2188" s="70"/>
      <c r="EFV2188" s="69"/>
      <c r="EFW2188" s="70"/>
      <c r="EFX2188" s="69"/>
      <c r="EFY2188" s="70"/>
      <c r="EFZ2188" s="69"/>
      <c r="EGA2188" s="70"/>
      <c r="EGB2188" s="69"/>
      <c r="EGC2188" s="70"/>
      <c r="EGD2188" s="69"/>
      <c r="EGE2188" s="70"/>
      <c r="EGF2188" s="69"/>
      <c r="EGG2188" s="70"/>
      <c r="EGH2188" s="69"/>
      <c r="EGI2188" s="70"/>
      <c r="EGJ2188" s="69"/>
      <c r="EGK2188" s="70"/>
      <c r="EGL2188" s="69"/>
      <c r="EGM2188" s="70"/>
      <c r="EGN2188" s="69"/>
      <c r="EGO2188" s="70"/>
      <c r="EGP2188" s="69"/>
      <c r="EGQ2188" s="70"/>
      <c r="EGR2188" s="69"/>
      <c r="EGS2188" s="70"/>
      <c r="EGT2188" s="69"/>
      <c r="EGU2188" s="70"/>
      <c r="EGV2188" s="69"/>
      <c r="EGW2188" s="70"/>
      <c r="EGX2188" s="69"/>
      <c r="EGY2188" s="70"/>
      <c r="EGZ2188" s="69"/>
      <c r="EHA2188" s="70"/>
      <c r="EHB2188" s="69"/>
      <c r="EHC2188" s="70"/>
      <c r="EHD2188" s="69"/>
      <c r="EHE2188" s="70"/>
      <c r="EHF2188" s="69"/>
      <c r="EHG2188" s="70"/>
      <c r="EHH2188" s="69"/>
      <c r="EHI2188" s="70"/>
      <c r="EHJ2188" s="69"/>
      <c r="EHK2188" s="70"/>
      <c r="EHL2188" s="69"/>
      <c r="EHM2188" s="70"/>
      <c r="EHN2188" s="69"/>
      <c r="EHO2188" s="70"/>
      <c r="EHP2188" s="69"/>
      <c r="EHQ2188" s="70"/>
      <c r="EHR2188" s="69"/>
      <c r="EHS2188" s="70"/>
      <c r="EHT2188" s="69"/>
      <c r="EHU2188" s="70"/>
      <c r="EHV2188" s="69"/>
      <c r="EHW2188" s="70"/>
      <c r="EHX2188" s="69"/>
      <c r="EHY2188" s="70"/>
      <c r="EHZ2188" s="69"/>
      <c r="EIA2188" s="70"/>
      <c r="EIB2188" s="69"/>
      <c r="EIC2188" s="70"/>
      <c r="EID2188" s="69"/>
      <c r="EIE2188" s="70"/>
      <c r="EIF2188" s="69"/>
      <c r="EIG2188" s="70"/>
      <c r="EIH2188" s="69"/>
      <c r="EII2188" s="70"/>
      <c r="EIJ2188" s="69"/>
      <c r="EIK2188" s="70"/>
      <c r="EIL2188" s="69"/>
      <c r="EIM2188" s="70"/>
      <c r="EIN2188" s="69"/>
      <c r="EIO2188" s="70"/>
      <c r="EIP2188" s="69"/>
      <c r="EIQ2188" s="70"/>
      <c r="EIR2188" s="69"/>
      <c r="EIS2188" s="70"/>
      <c r="EIT2188" s="69"/>
      <c r="EIU2188" s="70"/>
      <c r="EIV2188" s="69"/>
      <c r="EIW2188" s="70"/>
      <c r="EIX2188" s="69"/>
      <c r="EIY2188" s="70"/>
      <c r="EIZ2188" s="69"/>
      <c r="EJA2188" s="70"/>
      <c r="EJB2188" s="69"/>
      <c r="EJC2188" s="70"/>
      <c r="EJD2188" s="69"/>
      <c r="EJE2188" s="70"/>
      <c r="EJF2188" s="69"/>
      <c r="EJG2188" s="70"/>
      <c r="EJH2188" s="69"/>
      <c r="EJI2188" s="70"/>
      <c r="EJJ2188" s="69"/>
      <c r="EJK2188" s="70"/>
      <c r="EJL2188" s="69"/>
      <c r="EJM2188" s="70"/>
      <c r="EJN2188" s="69"/>
      <c r="EJO2188" s="70"/>
      <c r="EJP2188" s="69"/>
      <c r="EJQ2188" s="70"/>
      <c r="EJR2188" s="69"/>
      <c r="EJS2188" s="70"/>
      <c r="EJT2188" s="69"/>
      <c r="EJU2188" s="70"/>
      <c r="EJV2188" s="69"/>
      <c r="EJW2188" s="70"/>
      <c r="EJX2188" s="69"/>
      <c r="EJY2188" s="70"/>
      <c r="EJZ2188" s="69"/>
      <c r="EKA2188" s="70"/>
      <c r="EKB2188" s="69"/>
      <c r="EKC2188" s="70"/>
      <c r="EKD2188" s="69"/>
      <c r="EKE2188" s="70"/>
      <c r="EKF2188" s="69"/>
      <c r="EKG2188" s="70"/>
      <c r="EKH2188" s="69"/>
      <c r="EKI2188" s="70"/>
      <c r="EKJ2188" s="69"/>
      <c r="EKK2188" s="70"/>
      <c r="EKL2188" s="69"/>
      <c r="EKM2188" s="70"/>
      <c r="EKN2188" s="69"/>
      <c r="EKO2188" s="70"/>
      <c r="EKP2188" s="69"/>
      <c r="EKQ2188" s="70"/>
      <c r="EKR2188" s="69"/>
      <c r="EKS2188" s="70"/>
      <c r="EKT2188" s="69"/>
      <c r="EKU2188" s="70"/>
      <c r="EKV2188" s="69"/>
      <c r="EKW2188" s="70"/>
      <c r="EKX2188" s="69"/>
      <c r="EKY2188" s="70"/>
      <c r="EKZ2188" s="69"/>
      <c r="ELA2188" s="70"/>
      <c r="ELB2188" s="69"/>
      <c r="ELC2188" s="70"/>
      <c r="ELD2188" s="69"/>
      <c r="ELE2188" s="70"/>
      <c r="ELF2188" s="69"/>
      <c r="ELG2188" s="70"/>
      <c r="ELH2188" s="69"/>
      <c r="ELI2188" s="70"/>
      <c r="ELJ2188" s="69"/>
      <c r="ELK2188" s="70"/>
      <c r="ELL2188" s="69"/>
      <c r="ELM2188" s="70"/>
      <c r="ELN2188" s="69"/>
      <c r="ELO2188" s="70"/>
      <c r="ELP2188" s="69"/>
      <c r="ELQ2188" s="70"/>
      <c r="ELR2188" s="69"/>
      <c r="ELS2188" s="70"/>
      <c r="ELT2188" s="69"/>
      <c r="ELU2188" s="70"/>
      <c r="ELV2188" s="69"/>
      <c r="ELW2188" s="70"/>
      <c r="ELX2188" s="69"/>
      <c r="ELY2188" s="70"/>
      <c r="ELZ2188" s="69"/>
      <c r="EMA2188" s="70"/>
      <c r="EMB2188" s="69"/>
      <c r="EMC2188" s="70"/>
      <c r="EMD2188" s="69"/>
      <c r="EME2188" s="70"/>
      <c r="EMF2188" s="69"/>
      <c r="EMG2188" s="70"/>
      <c r="EMH2188" s="69"/>
      <c r="EMI2188" s="70"/>
      <c r="EMJ2188" s="69"/>
      <c r="EMK2188" s="70"/>
      <c r="EML2188" s="69"/>
      <c r="EMM2188" s="70"/>
      <c r="EMN2188" s="69"/>
      <c r="EMO2188" s="70"/>
      <c r="EMP2188" s="69"/>
      <c r="EMQ2188" s="70"/>
      <c r="EMR2188" s="69"/>
      <c r="EMS2188" s="70"/>
      <c r="EMT2188" s="69"/>
      <c r="EMU2188" s="70"/>
      <c r="EMV2188" s="69"/>
      <c r="EMW2188" s="70"/>
      <c r="EMX2188" s="69"/>
      <c r="EMY2188" s="70"/>
      <c r="EMZ2188" s="69"/>
      <c r="ENA2188" s="70"/>
      <c r="ENB2188" s="69"/>
      <c r="ENC2188" s="70"/>
      <c r="END2188" s="69"/>
      <c r="ENE2188" s="70"/>
      <c r="ENF2188" s="69"/>
      <c r="ENG2188" s="70"/>
      <c r="ENH2188" s="69"/>
      <c r="ENI2188" s="70"/>
      <c r="ENJ2188" s="69"/>
      <c r="ENK2188" s="70"/>
      <c r="ENL2188" s="69"/>
      <c r="ENM2188" s="70"/>
      <c r="ENN2188" s="69"/>
      <c r="ENO2188" s="70"/>
      <c r="ENP2188" s="69"/>
      <c r="ENQ2188" s="70"/>
      <c r="ENR2188" s="69"/>
      <c r="ENS2188" s="70"/>
      <c r="ENT2188" s="69"/>
      <c r="ENU2188" s="70"/>
      <c r="ENV2188" s="69"/>
      <c r="ENW2188" s="70"/>
      <c r="ENX2188" s="69"/>
      <c r="ENY2188" s="70"/>
      <c r="ENZ2188" s="69"/>
      <c r="EOA2188" s="70"/>
      <c r="EOB2188" s="69"/>
      <c r="EOC2188" s="70"/>
      <c r="EOD2188" s="69"/>
      <c r="EOE2188" s="70"/>
      <c r="EOF2188" s="69"/>
      <c r="EOG2188" s="70"/>
      <c r="EOH2188" s="69"/>
      <c r="EOI2188" s="70"/>
      <c r="EOJ2188" s="69"/>
      <c r="EOK2188" s="70"/>
      <c r="EOL2188" s="69"/>
      <c r="EOM2188" s="70"/>
      <c r="EON2188" s="69"/>
      <c r="EOO2188" s="70"/>
      <c r="EOP2188" s="69"/>
      <c r="EOQ2188" s="70"/>
      <c r="EOR2188" s="69"/>
      <c r="EOS2188" s="70"/>
      <c r="EOT2188" s="69"/>
      <c r="EOU2188" s="70"/>
      <c r="EOV2188" s="69"/>
      <c r="EOW2188" s="70"/>
      <c r="EOX2188" s="69"/>
      <c r="EOY2188" s="70"/>
      <c r="EOZ2188" s="69"/>
      <c r="EPA2188" s="70"/>
      <c r="EPB2188" s="69"/>
      <c r="EPC2188" s="70"/>
      <c r="EPD2188" s="69"/>
      <c r="EPE2188" s="70"/>
      <c r="EPF2188" s="69"/>
      <c r="EPG2188" s="70"/>
      <c r="EPH2188" s="69"/>
      <c r="EPI2188" s="70"/>
      <c r="EPJ2188" s="69"/>
      <c r="EPK2188" s="70"/>
      <c r="EPL2188" s="69"/>
      <c r="EPM2188" s="70"/>
      <c r="EPN2188" s="69"/>
      <c r="EPO2188" s="70"/>
      <c r="EPP2188" s="69"/>
      <c r="EPQ2188" s="70"/>
      <c r="EPR2188" s="69"/>
      <c r="EPS2188" s="70"/>
      <c r="EPT2188" s="69"/>
      <c r="EPU2188" s="70"/>
      <c r="EPV2188" s="69"/>
      <c r="EPW2188" s="70"/>
      <c r="EPX2188" s="69"/>
      <c r="EPY2188" s="70"/>
      <c r="EPZ2188" s="69"/>
      <c r="EQA2188" s="70"/>
      <c r="EQB2188" s="69"/>
      <c r="EQC2188" s="70"/>
      <c r="EQD2188" s="69"/>
      <c r="EQE2188" s="70"/>
      <c r="EQF2188" s="69"/>
      <c r="EQG2188" s="70"/>
      <c r="EQH2188" s="69"/>
      <c r="EQI2188" s="70"/>
      <c r="EQJ2188" s="69"/>
      <c r="EQK2188" s="70"/>
      <c r="EQL2188" s="69"/>
      <c r="EQM2188" s="70"/>
      <c r="EQN2188" s="69"/>
      <c r="EQO2188" s="70"/>
      <c r="EQP2188" s="69"/>
      <c r="EQQ2188" s="70"/>
      <c r="EQR2188" s="69"/>
      <c r="EQS2188" s="70"/>
      <c r="EQT2188" s="69"/>
      <c r="EQU2188" s="70"/>
      <c r="EQV2188" s="69"/>
      <c r="EQW2188" s="70"/>
      <c r="EQX2188" s="69"/>
      <c r="EQY2188" s="70"/>
      <c r="EQZ2188" s="69"/>
      <c r="ERA2188" s="70"/>
      <c r="ERB2188" s="69"/>
      <c r="ERC2188" s="70"/>
      <c r="ERD2188" s="69"/>
      <c r="ERE2188" s="70"/>
      <c r="ERF2188" s="69"/>
      <c r="ERG2188" s="70"/>
      <c r="ERH2188" s="69"/>
      <c r="ERI2188" s="70"/>
      <c r="ERJ2188" s="69"/>
      <c r="ERK2188" s="70"/>
      <c r="ERL2188" s="69"/>
      <c r="ERM2188" s="70"/>
      <c r="ERN2188" s="69"/>
      <c r="ERO2188" s="70"/>
      <c r="ERP2188" s="69"/>
      <c r="ERQ2188" s="70"/>
      <c r="ERR2188" s="69"/>
      <c r="ERS2188" s="70"/>
      <c r="ERT2188" s="69"/>
      <c r="ERU2188" s="70"/>
      <c r="ERV2188" s="69"/>
      <c r="ERW2188" s="70"/>
      <c r="ERX2188" s="69"/>
      <c r="ERY2188" s="70"/>
      <c r="ERZ2188" s="69"/>
      <c r="ESA2188" s="70"/>
      <c r="ESB2188" s="69"/>
      <c r="ESC2188" s="70"/>
      <c r="ESD2188" s="69"/>
      <c r="ESE2188" s="70"/>
      <c r="ESF2188" s="69"/>
      <c r="ESG2188" s="70"/>
      <c r="ESH2188" s="69"/>
      <c r="ESI2188" s="70"/>
      <c r="ESJ2188" s="69"/>
      <c r="ESK2188" s="70"/>
      <c r="ESL2188" s="69"/>
      <c r="ESM2188" s="70"/>
      <c r="ESN2188" s="69"/>
      <c r="ESO2188" s="70"/>
      <c r="ESP2188" s="69"/>
      <c r="ESQ2188" s="70"/>
      <c r="ESR2188" s="69"/>
      <c r="ESS2188" s="70"/>
      <c r="EST2188" s="69"/>
      <c r="ESU2188" s="70"/>
      <c r="ESV2188" s="69"/>
      <c r="ESW2188" s="70"/>
      <c r="ESX2188" s="69"/>
      <c r="ESY2188" s="70"/>
      <c r="ESZ2188" s="69"/>
      <c r="ETA2188" s="70"/>
      <c r="ETB2188" s="69"/>
      <c r="ETC2188" s="70"/>
      <c r="ETD2188" s="69"/>
      <c r="ETE2188" s="70"/>
      <c r="ETF2188" s="69"/>
      <c r="ETG2188" s="70"/>
      <c r="ETH2188" s="69"/>
      <c r="ETI2188" s="70"/>
      <c r="ETJ2188" s="69"/>
      <c r="ETK2188" s="70"/>
      <c r="ETL2188" s="69"/>
      <c r="ETM2188" s="70"/>
      <c r="ETN2188" s="69"/>
      <c r="ETO2188" s="70"/>
      <c r="ETP2188" s="69"/>
      <c r="ETQ2188" s="70"/>
      <c r="ETR2188" s="69"/>
      <c r="ETS2188" s="70"/>
      <c r="ETT2188" s="69"/>
      <c r="ETU2188" s="70"/>
      <c r="ETV2188" s="69"/>
      <c r="ETW2188" s="70"/>
      <c r="ETX2188" s="69"/>
      <c r="ETY2188" s="70"/>
      <c r="ETZ2188" s="69"/>
      <c r="EUA2188" s="70"/>
      <c r="EUB2188" s="69"/>
      <c r="EUC2188" s="70"/>
      <c r="EUD2188" s="69"/>
      <c r="EUE2188" s="70"/>
      <c r="EUF2188" s="69"/>
      <c r="EUG2188" s="70"/>
      <c r="EUH2188" s="69"/>
      <c r="EUI2188" s="70"/>
      <c r="EUJ2188" s="69"/>
      <c r="EUK2188" s="70"/>
      <c r="EUL2188" s="69"/>
      <c r="EUM2188" s="70"/>
      <c r="EUN2188" s="69"/>
      <c r="EUO2188" s="70"/>
      <c r="EUP2188" s="69"/>
      <c r="EUQ2188" s="70"/>
      <c r="EUR2188" s="69"/>
      <c r="EUS2188" s="70"/>
      <c r="EUT2188" s="69"/>
      <c r="EUU2188" s="70"/>
      <c r="EUV2188" s="69"/>
      <c r="EUW2188" s="70"/>
      <c r="EUX2188" s="69"/>
      <c r="EUY2188" s="70"/>
      <c r="EUZ2188" s="69"/>
      <c r="EVA2188" s="70"/>
      <c r="EVB2188" s="69"/>
      <c r="EVC2188" s="70"/>
      <c r="EVD2188" s="69"/>
      <c r="EVE2188" s="70"/>
      <c r="EVF2188" s="69"/>
      <c r="EVG2188" s="70"/>
      <c r="EVH2188" s="69"/>
      <c r="EVI2188" s="70"/>
      <c r="EVJ2188" s="69"/>
      <c r="EVK2188" s="70"/>
      <c r="EVL2188" s="69"/>
      <c r="EVM2188" s="70"/>
      <c r="EVN2188" s="69"/>
      <c r="EVO2188" s="70"/>
      <c r="EVP2188" s="69"/>
      <c r="EVQ2188" s="70"/>
      <c r="EVR2188" s="69"/>
      <c r="EVS2188" s="70"/>
      <c r="EVT2188" s="69"/>
      <c r="EVU2188" s="70"/>
      <c r="EVV2188" s="69"/>
      <c r="EVW2188" s="70"/>
      <c r="EVX2188" s="69"/>
      <c r="EVY2188" s="70"/>
      <c r="EVZ2188" s="69"/>
      <c r="EWA2188" s="70"/>
      <c r="EWB2188" s="69"/>
      <c r="EWC2188" s="70"/>
      <c r="EWD2188" s="69"/>
      <c r="EWE2188" s="70"/>
      <c r="EWF2188" s="69"/>
      <c r="EWG2188" s="70"/>
      <c r="EWH2188" s="69"/>
      <c r="EWI2188" s="70"/>
      <c r="EWJ2188" s="69"/>
      <c r="EWK2188" s="70"/>
      <c r="EWL2188" s="69"/>
      <c r="EWM2188" s="70"/>
      <c r="EWN2188" s="69"/>
      <c r="EWO2188" s="70"/>
      <c r="EWP2188" s="69"/>
      <c r="EWQ2188" s="70"/>
      <c r="EWR2188" s="69"/>
      <c r="EWS2188" s="70"/>
      <c r="EWT2188" s="69"/>
      <c r="EWU2188" s="70"/>
      <c r="EWV2188" s="69"/>
      <c r="EWW2188" s="70"/>
      <c r="EWX2188" s="69"/>
      <c r="EWY2188" s="70"/>
      <c r="EWZ2188" s="69"/>
      <c r="EXA2188" s="70"/>
      <c r="EXB2188" s="69"/>
      <c r="EXC2188" s="70"/>
      <c r="EXD2188" s="69"/>
      <c r="EXE2188" s="70"/>
      <c r="EXF2188" s="69"/>
      <c r="EXG2188" s="70"/>
      <c r="EXH2188" s="69"/>
      <c r="EXI2188" s="70"/>
      <c r="EXJ2188" s="69"/>
      <c r="EXK2188" s="70"/>
      <c r="EXL2188" s="69"/>
      <c r="EXM2188" s="70"/>
      <c r="EXN2188" s="69"/>
      <c r="EXO2188" s="70"/>
      <c r="EXP2188" s="69"/>
      <c r="EXQ2188" s="70"/>
      <c r="EXR2188" s="69"/>
      <c r="EXS2188" s="70"/>
      <c r="EXT2188" s="69"/>
      <c r="EXU2188" s="70"/>
      <c r="EXV2188" s="69"/>
      <c r="EXW2188" s="70"/>
      <c r="EXX2188" s="69"/>
      <c r="EXY2188" s="70"/>
      <c r="EXZ2188" s="69"/>
      <c r="EYA2188" s="70"/>
      <c r="EYB2188" s="69"/>
      <c r="EYC2188" s="70"/>
      <c r="EYD2188" s="69"/>
      <c r="EYE2188" s="70"/>
      <c r="EYF2188" s="69"/>
      <c r="EYG2188" s="70"/>
      <c r="EYH2188" s="69"/>
      <c r="EYI2188" s="70"/>
      <c r="EYJ2188" s="69"/>
      <c r="EYK2188" s="70"/>
      <c r="EYL2188" s="69"/>
      <c r="EYM2188" s="70"/>
      <c r="EYN2188" s="69"/>
      <c r="EYO2188" s="70"/>
      <c r="EYP2188" s="69"/>
      <c r="EYQ2188" s="70"/>
      <c r="EYR2188" s="69"/>
      <c r="EYS2188" s="70"/>
      <c r="EYT2188" s="69"/>
      <c r="EYU2188" s="70"/>
      <c r="EYV2188" s="69"/>
      <c r="EYW2188" s="70"/>
      <c r="EYX2188" s="69"/>
      <c r="EYY2188" s="70"/>
      <c r="EYZ2188" s="69"/>
      <c r="EZA2188" s="70"/>
      <c r="EZB2188" s="69"/>
      <c r="EZC2188" s="70"/>
      <c r="EZD2188" s="69"/>
      <c r="EZE2188" s="70"/>
      <c r="EZF2188" s="69"/>
      <c r="EZG2188" s="70"/>
      <c r="EZH2188" s="69"/>
      <c r="EZI2188" s="70"/>
      <c r="EZJ2188" s="69"/>
      <c r="EZK2188" s="70"/>
      <c r="EZL2188" s="69"/>
      <c r="EZM2188" s="70"/>
      <c r="EZN2188" s="69"/>
      <c r="EZO2188" s="70"/>
      <c r="EZP2188" s="69"/>
      <c r="EZQ2188" s="70"/>
      <c r="EZR2188" s="69"/>
      <c r="EZS2188" s="70"/>
      <c r="EZT2188" s="69"/>
      <c r="EZU2188" s="70"/>
      <c r="EZV2188" s="69"/>
      <c r="EZW2188" s="70"/>
      <c r="EZX2188" s="69"/>
      <c r="EZY2188" s="70"/>
      <c r="EZZ2188" s="69"/>
      <c r="FAA2188" s="70"/>
      <c r="FAB2188" s="69"/>
      <c r="FAC2188" s="70"/>
      <c r="FAD2188" s="69"/>
      <c r="FAE2188" s="70"/>
      <c r="FAF2188" s="69"/>
      <c r="FAG2188" s="70"/>
      <c r="FAH2188" s="69"/>
      <c r="FAI2188" s="70"/>
      <c r="FAJ2188" s="69"/>
      <c r="FAK2188" s="70"/>
      <c r="FAL2188" s="69"/>
      <c r="FAM2188" s="70"/>
      <c r="FAN2188" s="69"/>
      <c r="FAO2188" s="70"/>
      <c r="FAP2188" s="69"/>
      <c r="FAQ2188" s="70"/>
      <c r="FAR2188" s="69"/>
      <c r="FAS2188" s="70"/>
      <c r="FAT2188" s="69"/>
      <c r="FAU2188" s="70"/>
      <c r="FAV2188" s="69"/>
      <c r="FAW2188" s="70"/>
      <c r="FAX2188" s="69"/>
      <c r="FAY2188" s="70"/>
      <c r="FAZ2188" s="69"/>
      <c r="FBA2188" s="70"/>
      <c r="FBB2188" s="69"/>
      <c r="FBC2188" s="70"/>
      <c r="FBD2188" s="69"/>
      <c r="FBE2188" s="70"/>
      <c r="FBF2188" s="69"/>
      <c r="FBG2188" s="70"/>
      <c r="FBH2188" s="69"/>
      <c r="FBI2188" s="70"/>
      <c r="FBJ2188" s="69"/>
      <c r="FBK2188" s="70"/>
      <c r="FBL2188" s="69"/>
      <c r="FBM2188" s="70"/>
      <c r="FBN2188" s="69"/>
      <c r="FBO2188" s="70"/>
      <c r="FBP2188" s="69"/>
      <c r="FBQ2188" s="70"/>
      <c r="FBR2188" s="69"/>
      <c r="FBS2188" s="70"/>
      <c r="FBT2188" s="69"/>
      <c r="FBU2188" s="70"/>
      <c r="FBV2188" s="69"/>
      <c r="FBW2188" s="70"/>
      <c r="FBX2188" s="69"/>
      <c r="FBY2188" s="70"/>
      <c r="FBZ2188" s="69"/>
      <c r="FCA2188" s="70"/>
      <c r="FCB2188" s="69"/>
      <c r="FCC2188" s="70"/>
      <c r="FCD2188" s="69"/>
      <c r="FCE2188" s="70"/>
      <c r="FCF2188" s="69"/>
      <c r="FCG2188" s="70"/>
      <c r="FCH2188" s="69"/>
      <c r="FCI2188" s="70"/>
      <c r="FCJ2188" s="69"/>
      <c r="FCK2188" s="70"/>
      <c r="FCL2188" s="69"/>
      <c r="FCM2188" s="70"/>
      <c r="FCN2188" s="69"/>
      <c r="FCO2188" s="70"/>
      <c r="FCP2188" s="69"/>
      <c r="FCQ2188" s="70"/>
      <c r="FCR2188" s="69"/>
      <c r="FCS2188" s="70"/>
      <c r="FCT2188" s="69"/>
      <c r="FCU2188" s="70"/>
      <c r="FCV2188" s="69"/>
      <c r="FCW2188" s="70"/>
      <c r="FCX2188" s="69"/>
      <c r="FCY2188" s="70"/>
      <c r="FCZ2188" s="69"/>
      <c r="FDA2188" s="70"/>
      <c r="FDB2188" s="69"/>
      <c r="FDC2188" s="70"/>
      <c r="FDD2188" s="69"/>
      <c r="FDE2188" s="70"/>
      <c r="FDF2188" s="69"/>
      <c r="FDG2188" s="70"/>
      <c r="FDH2188" s="69"/>
      <c r="FDI2188" s="70"/>
      <c r="FDJ2188" s="69"/>
      <c r="FDK2188" s="70"/>
      <c r="FDL2188" s="69"/>
      <c r="FDM2188" s="70"/>
      <c r="FDN2188" s="69"/>
      <c r="FDO2188" s="70"/>
      <c r="FDP2188" s="69"/>
      <c r="FDQ2188" s="70"/>
      <c r="FDR2188" s="69"/>
      <c r="FDS2188" s="70"/>
      <c r="FDT2188" s="69"/>
      <c r="FDU2188" s="70"/>
      <c r="FDV2188" s="69"/>
      <c r="FDW2188" s="70"/>
      <c r="FDX2188" s="69"/>
      <c r="FDY2188" s="70"/>
      <c r="FDZ2188" s="69"/>
      <c r="FEA2188" s="70"/>
      <c r="FEB2188" s="69"/>
      <c r="FEC2188" s="70"/>
      <c r="FED2188" s="69"/>
      <c r="FEE2188" s="70"/>
      <c r="FEF2188" s="69"/>
      <c r="FEG2188" s="70"/>
      <c r="FEH2188" s="69"/>
      <c r="FEI2188" s="70"/>
      <c r="FEJ2188" s="69"/>
      <c r="FEK2188" s="70"/>
      <c r="FEL2188" s="69"/>
      <c r="FEM2188" s="70"/>
      <c r="FEN2188" s="69"/>
      <c r="FEO2188" s="70"/>
      <c r="FEP2188" s="69"/>
      <c r="FEQ2188" s="70"/>
      <c r="FER2188" s="69"/>
      <c r="FES2188" s="70"/>
      <c r="FET2188" s="69"/>
      <c r="FEU2188" s="70"/>
      <c r="FEV2188" s="69"/>
      <c r="FEW2188" s="70"/>
      <c r="FEX2188" s="69"/>
      <c r="FEY2188" s="70"/>
      <c r="FEZ2188" s="69"/>
      <c r="FFA2188" s="70"/>
      <c r="FFB2188" s="69"/>
      <c r="FFC2188" s="70"/>
      <c r="FFD2188" s="69"/>
      <c r="FFE2188" s="70"/>
      <c r="FFF2188" s="69"/>
      <c r="FFG2188" s="70"/>
      <c r="FFH2188" s="69"/>
      <c r="FFI2188" s="70"/>
      <c r="FFJ2188" s="69"/>
      <c r="FFK2188" s="70"/>
      <c r="FFL2188" s="69"/>
      <c r="FFM2188" s="70"/>
      <c r="FFN2188" s="69"/>
      <c r="FFO2188" s="70"/>
      <c r="FFP2188" s="69"/>
      <c r="FFQ2188" s="70"/>
      <c r="FFR2188" s="69"/>
      <c r="FFS2188" s="70"/>
      <c r="FFT2188" s="69"/>
      <c r="FFU2188" s="70"/>
      <c r="FFV2188" s="69"/>
      <c r="FFW2188" s="70"/>
      <c r="FFX2188" s="69"/>
      <c r="FFY2188" s="70"/>
      <c r="FFZ2188" s="69"/>
      <c r="FGA2188" s="70"/>
      <c r="FGB2188" s="69"/>
      <c r="FGC2188" s="70"/>
      <c r="FGD2188" s="69"/>
      <c r="FGE2188" s="70"/>
      <c r="FGF2188" s="69"/>
      <c r="FGG2188" s="70"/>
      <c r="FGH2188" s="69"/>
      <c r="FGI2188" s="70"/>
      <c r="FGJ2188" s="69"/>
      <c r="FGK2188" s="70"/>
      <c r="FGL2188" s="69"/>
      <c r="FGM2188" s="70"/>
      <c r="FGN2188" s="69"/>
      <c r="FGO2188" s="70"/>
      <c r="FGP2188" s="69"/>
      <c r="FGQ2188" s="70"/>
      <c r="FGR2188" s="69"/>
      <c r="FGS2188" s="70"/>
      <c r="FGT2188" s="69"/>
      <c r="FGU2188" s="70"/>
      <c r="FGV2188" s="69"/>
      <c r="FGW2188" s="70"/>
      <c r="FGX2188" s="69"/>
      <c r="FGY2188" s="70"/>
      <c r="FGZ2188" s="69"/>
      <c r="FHA2188" s="70"/>
      <c r="FHB2188" s="69"/>
      <c r="FHC2188" s="70"/>
      <c r="FHD2188" s="69"/>
      <c r="FHE2188" s="70"/>
      <c r="FHF2188" s="69"/>
      <c r="FHG2188" s="70"/>
      <c r="FHH2188" s="69"/>
      <c r="FHI2188" s="70"/>
      <c r="FHJ2188" s="69"/>
      <c r="FHK2188" s="70"/>
      <c r="FHL2188" s="69"/>
      <c r="FHM2188" s="70"/>
      <c r="FHN2188" s="69"/>
      <c r="FHO2188" s="70"/>
      <c r="FHP2188" s="69"/>
      <c r="FHQ2188" s="70"/>
      <c r="FHR2188" s="69"/>
      <c r="FHS2188" s="70"/>
      <c r="FHT2188" s="69"/>
      <c r="FHU2188" s="70"/>
      <c r="FHV2188" s="69"/>
      <c r="FHW2188" s="70"/>
      <c r="FHX2188" s="69"/>
      <c r="FHY2188" s="70"/>
      <c r="FHZ2188" s="69"/>
      <c r="FIA2188" s="70"/>
      <c r="FIB2188" s="69"/>
      <c r="FIC2188" s="70"/>
      <c r="FID2188" s="69"/>
      <c r="FIE2188" s="70"/>
      <c r="FIF2188" s="69"/>
      <c r="FIG2188" s="70"/>
      <c r="FIH2188" s="69"/>
      <c r="FII2188" s="70"/>
      <c r="FIJ2188" s="69"/>
      <c r="FIK2188" s="70"/>
      <c r="FIL2188" s="69"/>
      <c r="FIM2188" s="70"/>
      <c r="FIN2188" s="69"/>
      <c r="FIO2188" s="70"/>
      <c r="FIP2188" s="69"/>
      <c r="FIQ2188" s="70"/>
      <c r="FIR2188" s="69"/>
      <c r="FIS2188" s="70"/>
      <c r="FIT2188" s="69"/>
      <c r="FIU2188" s="70"/>
      <c r="FIV2188" s="69"/>
      <c r="FIW2188" s="70"/>
      <c r="FIX2188" s="69"/>
      <c r="FIY2188" s="70"/>
      <c r="FIZ2188" s="69"/>
      <c r="FJA2188" s="70"/>
      <c r="FJB2188" s="69"/>
      <c r="FJC2188" s="70"/>
      <c r="FJD2188" s="69"/>
      <c r="FJE2188" s="70"/>
      <c r="FJF2188" s="69"/>
      <c r="FJG2188" s="70"/>
      <c r="FJH2188" s="69"/>
      <c r="FJI2188" s="70"/>
      <c r="FJJ2188" s="69"/>
      <c r="FJK2188" s="70"/>
      <c r="FJL2188" s="69"/>
      <c r="FJM2188" s="70"/>
      <c r="FJN2188" s="69"/>
      <c r="FJO2188" s="70"/>
      <c r="FJP2188" s="69"/>
      <c r="FJQ2188" s="70"/>
      <c r="FJR2188" s="69"/>
      <c r="FJS2188" s="70"/>
      <c r="FJT2188" s="69"/>
      <c r="FJU2188" s="70"/>
      <c r="FJV2188" s="69"/>
      <c r="FJW2188" s="70"/>
      <c r="FJX2188" s="69"/>
      <c r="FJY2188" s="70"/>
      <c r="FJZ2188" s="69"/>
      <c r="FKA2188" s="70"/>
      <c r="FKB2188" s="69"/>
      <c r="FKC2188" s="70"/>
      <c r="FKD2188" s="69"/>
      <c r="FKE2188" s="70"/>
      <c r="FKF2188" s="69"/>
      <c r="FKG2188" s="70"/>
      <c r="FKH2188" s="69"/>
      <c r="FKI2188" s="70"/>
      <c r="FKJ2188" s="69"/>
      <c r="FKK2188" s="70"/>
      <c r="FKL2188" s="69"/>
      <c r="FKM2188" s="70"/>
      <c r="FKN2188" s="69"/>
      <c r="FKO2188" s="70"/>
      <c r="FKP2188" s="69"/>
      <c r="FKQ2188" s="70"/>
      <c r="FKR2188" s="69"/>
      <c r="FKS2188" s="70"/>
      <c r="FKT2188" s="69"/>
      <c r="FKU2188" s="70"/>
      <c r="FKV2188" s="69"/>
      <c r="FKW2188" s="70"/>
      <c r="FKX2188" s="69"/>
      <c r="FKY2188" s="70"/>
      <c r="FKZ2188" s="69"/>
      <c r="FLA2188" s="70"/>
      <c r="FLB2188" s="69"/>
      <c r="FLC2188" s="70"/>
      <c r="FLD2188" s="69"/>
      <c r="FLE2188" s="70"/>
      <c r="FLF2188" s="69"/>
      <c r="FLG2188" s="70"/>
      <c r="FLH2188" s="69"/>
      <c r="FLI2188" s="70"/>
      <c r="FLJ2188" s="69"/>
      <c r="FLK2188" s="70"/>
      <c r="FLL2188" s="69"/>
      <c r="FLM2188" s="70"/>
      <c r="FLN2188" s="69"/>
      <c r="FLO2188" s="70"/>
      <c r="FLP2188" s="69"/>
      <c r="FLQ2188" s="70"/>
      <c r="FLR2188" s="69"/>
      <c r="FLS2188" s="70"/>
      <c r="FLT2188" s="69"/>
      <c r="FLU2188" s="70"/>
      <c r="FLV2188" s="69"/>
      <c r="FLW2188" s="70"/>
      <c r="FLX2188" s="69"/>
      <c r="FLY2188" s="70"/>
      <c r="FLZ2188" s="69"/>
      <c r="FMA2188" s="70"/>
      <c r="FMB2188" s="69"/>
      <c r="FMC2188" s="70"/>
      <c r="FMD2188" s="69"/>
      <c r="FME2188" s="70"/>
      <c r="FMF2188" s="69"/>
      <c r="FMG2188" s="70"/>
      <c r="FMH2188" s="69"/>
      <c r="FMI2188" s="70"/>
      <c r="FMJ2188" s="69"/>
      <c r="FMK2188" s="70"/>
      <c r="FML2188" s="69"/>
      <c r="FMM2188" s="70"/>
      <c r="FMN2188" s="69"/>
      <c r="FMO2188" s="70"/>
      <c r="FMP2188" s="69"/>
      <c r="FMQ2188" s="70"/>
      <c r="FMR2188" s="69"/>
      <c r="FMS2188" s="70"/>
      <c r="FMT2188" s="69"/>
      <c r="FMU2188" s="70"/>
      <c r="FMV2188" s="69"/>
      <c r="FMW2188" s="70"/>
      <c r="FMX2188" s="69"/>
      <c r="FMY2188" s="70"/>
      <c r="FMZ2188" s="69"/>
      <c r="FNA2188" s="70"/>
      <c r="FNB2188" s="69"/>
      <c r="FNC2188" s="70"/>
      <c r="FND2188" s="69"/>
      <c r="FNE2188" s="70"/>
      <c r="FNF2188" s="69"/>
      <c r="FNG2188" s="70"/>
      <c r="FNH2188" s="69"/>
      <c r="FNI2188" s="70"/>
      <c r="FNJ2188" s="69"/>
      <c r="FNK2188" s="70"/>
      <c r="FNL2188" s="69"/>
      <c r="FNM2188" s="70"/>
      <c r="FNN2188" s="69"/>
      <c r="FNO2188" s="70"/>
      <c r="FNP2188" s="69"/>
      <c r="FNQ2188" s="70"/>
      <c r="FNR2188" s="69"/>
      <c r="FNS2188" s="70"/>
      <c r="FNT2188" s="69"/>
      <c r="FNU2188" s="70"/>
      <c r="FNV2188" s="69"/>
      <c r="FNW2188" s="70"/>
      <c r="FNX2188" s="69"/>
      <c r="FNY2188" s="70"/>
      <c r="FNZ2188" s="69"/>
      <c r="FOA2188" s="70"/>
      <c r="FOB2188" s="69"/>
      <c r="FOC2188" s="70"/>
      <c r="FOD2188" s="69"/>
      <c r="FOE2188" s="70"/>
      <c r="FOF2188" s="69"/>
      <c r="FOG2188" s="70"/>
      <c r="FOH2188" s="69"/>
      <c r="FOI2188" s="70"/>
      <c r="FOJ2188" s="69"/>
      <c r="FOK2188" s="70"/>
      <c r="FOL2188" s="69"/>
      <c r="FOM2188" s="70"/>
      <c r="FON2188" s="69"/>
      <c r="FOO2188" s="70"/>
      <c r="FOP2188" s="69"/>
      <c r="FOQ2188" s="70"/>
      <c r="FOR2188" s="69"/>
      <c r="FOS2188" s="70"/>
      <c r="FOT2188" s="69"/>
      <c r="FOU2188" s="70"/>
      <c r="FOV2188" s="69"/>
      <c r="FOW2188" s="70"/>
      <c r="FOX2188" s="69"/>
      <c r="FOY2188" s="70"/>
      <c r="FOZ2188" s="69"/>
      <c r="FPA2188" s="70"/>
      <c r="FPB2188" s="69"/>
      <c r="FPC2188" s="70"/>
      <c r="FPD2188" s="69"/>
      <c r="FPE2188" s="70"/>
      <c r="FPF2188" s="69"/>
      <c r="FPG2188" s="70"/>
      <c r="FPH2188" s="69"/>
      <c r="FPI2188" s="70"/>
      <c r="FPJ2188" s="69"/>
      <c r="FPK2188" s="70"/>
      <c r="FPL2188" s="69"/>
      <c r="FPM2188" s="70"/>
      <c r="FPN2188" s="69"/>
      <c r="FPO2188" s="70"/>
      <c r="FPP2188" s="69"/>
      <c r="FPQ2188" s="70"/>
      <c r="FPR2188" s="69"/>
      <c r="FPS2188" s="70"/>
      <c r="FPT2188" s="69"/>
      <c r="FPU2188" s="70"/>
      <c r="FPV2188" s="69"/>
      <c r="FPW2188" s="70"/>
      <c r="FPX2188" s="69"/>
      <c r="FPY2188" s="70"/>
      <c r="FPZ2188" s="69"/>
      <c r="FQA2188" s="70"/>
      <c r="FQB2188" s="69"/>
      <c r="FQC2188" s="70"/>
      <c r="FQD2188" s="69"/>
      <c r="FQE2188" s="70"/>
      <c r="FQF2188" s="69"/>
      <c r="FQG2188" s="70"/>
      <c r="FQH2188" s="69"/>
      <c r="FQI2188" s="70"/>
      <c r="FQJ2188" s="69"/>
      <c r="FQK2188" s="70"/>
      <c r="FQL2188" s="69"/>
      <c r="FQM2188" s="70"/>
      <c r="FQN2188" s="69"/>
      <c r="FQO2188" s="70"/>
      <c r="FQP2188" s="69"/>
      <c r="FQQ2188" s="70"/>
      <c r="FQR2188" s="69"/>
      <c r="FQS2188" s="70"/>
      <c r="FQT2188" s="69"/>
      <c r="FQU2188" s="70"/>
      <c r="FQV2188" s="69"/>
      <c r="FQW2188" s="70"/>
      <c r="FQX2188" s="69"/>
      <c r="FQY2188" s="70"/>
      <c r="FQZ2188" s="69"/>
      <c r="FRA2188" s="70"/>
      <c r="FRB2188" s="69"/>
      <c r="FRC2188" s="70"/>
      <c r="FRD2188" s="69"/>
      <c r="FRE2188" s="70"/>
      <c r="FRF2188" s="69"/>
      <c r="FRG2188" s="70"/>
      <c r="FRH2188" s="69"/>
      <c r="FRI2188" s="70"/>
      <c r="FRJ2188" s="69"/>
      <c r="FRK2188" s="70"/>
      <c r="FRL2188" s="69"/>
      <c r="FRM2188" s="70"/>
      <c r="FRN2188" s="69"/>
      <c r="FRO2188" s="70"/>
      <c r="FRP2188" s="69"/>
      <c r="FRQ2188" s="70"/>
      <c r="FRR2188" s="69"/>
      <c r="FRS2188" s="70"/>
      <c r="FRT2188" s="69"/>
      <c r="FRU2188" s="70"/>
      <c r="FRV2188" s="69"/>
      <c r="FRW2188" s="70"/>
      <c r="FRX2188" s="69"/>
      <c r="FRY2188" s="70"/>
      <c r="FRZ2188" s="69"/>
      <c r="FSA2188" s="70"/>
      <c r="FSB2188" s="69"/>
      <c r="FSC2188" s="70"/>
      <c r="FSD2188" s="69"/>
      <c r="FSE2188" s="70"/>
      <c r="FSF2188" s="69"/>
      <c r="FSG2188" s="70"/>
      <c r="FSH2188" s="69"/>
      <c r="FSI2188" s="70"/>
      <c r="FSJ2188" s="69"/>
      <c r="FSK2188" s="70"/>
      <c r="FSL2188" s="69"/>
      <c r="FSM2188" s="70"/>
      <c r="FSN2188" s="69"/>
      <c r="FSO2188" s="70"/>
      <c r="FSP2188" s="69"/>
      <c r="FSQ2188" s="70"/>
      <c r="FSR2188" s="69"/>
      <c r="FSS2188" s="70"/>
      <c r="FST2188" s="69"/>
      <c r="FSU2188" s="70"/>
      <c r="FSV2188" s="69"/>
      <c r="FSW2188" s="70"/>
      <c r="FSX2188" s="69"/>
      <c r="FSY2188" s="70"/>
      <c r="FSZ2188" s="69"/>
      <c r="FTA2188" s="70"/>
      <c r="FTB2188" s="69"/>
      <c r="FTC2188" s="70"/>
      <c r="FTD2188" s="69"/>
      <c r="FTE2188" s="70"/>
      <c r="FTF2188" s="69"/>
      <c r="FTG2188" s="70"/>
      <c r="FTH2188" s="69"/>
      <c r="FTI2188" s="70"/>
      <c r="FTJ2188" s="69"/>
      <c r="FTK2188" s="70"/>
      <c r="FTL2188" s="69"/>
      <c r="FTM2188" s="70"/>
      <c r="FTN2188" s="69"/>
      <c r="FTO2188" s="70"/>
      <c r="FTP2188" s="69"/>
      <c r="FTQ2188" s="70"/>
      <c r="FTR2188" s="69"/>
      <c r="FTS2188" s="70"/>
      <c r="FTT2188" s="69"/>
      <c r="FTU2188" s="70"/>
      <c r="FTV2188" s="69"/>
      <c r="FTW2188" s="70"/>
      <c r="FTX2188" s="69"/>
      <c r="FTY2188" s="70"/>
      <c r="FTZ2188" s="69"/>
      <c r="FUA2188" s="70"/>
      <c r="FUB2188" s="69"/>
      <c r="FUC2188" s="70"/>
      <c r="FUD2188" s="69"/>
      <c r="FUE2188" s="70"/>
      <c r="FUF2188" s="69"/>
      <c r="FUG2188" s="70"/>
      <c r="FUH2188" s="69"/>
      <c r="FUI2188" s="70"/>
      <c r="FUJ2188" s="69"/>
      <c r="FUK2188" s="70"/>
      <c r="FUL2188" s="69"/>
      <c r="FUM2188" s="70"/>
      <c r="FUN2188" s="69"/>
      <c r="FUO2188" s="70"/>
      <c r="FUP2188" s="69"/>
      <c r="FUQ2188" s="70"/>
      <c r="FUR2188" s="69"/>
      <c r="FUS2188" s="70"/>
      <c r="FUT2188" s="69"/>
      <c r="FUU2188" s="70"/>
      <c r="FUV2188" s="69"/>
      <c r="FUW2188" s="70"/>
      <c r="FUX2188" s="69"/>
      <c r="FUY2188" s="70"/>
      <c r="FUZ2188" s="69"/>
      <c r="FVA2188" s="70"/>
      <c r="FVB2188" s="69"/>
      <c r="FVC2188" s="70"/>
      <c r="FVD2188" s="69"/>
      <c r="FVE2188" s="70"/>
      <c r="FVF2188" s="69"/>
      <c r="FVG2188" s="70"/>
      <c r="FVH2188" s="69"/>
      <c r="FVI2188" s="70"/>
      <c r="FVJ2188" s="69"/>
      <c r="FVK2188" s="70"/>
      <c r="FVL2188" s="69"/>
      <c r="FVM2188" s="70"/>
      <c r="FVN2188" s="69"/>
      <c r="FVO2188" s="70"/>
      <c r="FVP2188" s="69"/>
      <c r="FVQ2188" s="70"/>
      <c r="FVR2188" s="69"/>
      <c r="FVS2188" s="70"/>
      <c r="FVT2188" s="69"/>
      <c r="FVU2188" s="70"/>
      <c r="FVV2188" s="69"/>
      <c r="FVW2188" s="70"/>
      <c r="FVX2188" s="69"/>
      <c r="FVY2188" s="70"/>
      <c r="FVZ2188" s="69"/>
      <c r="FWA2188" s="70"/>
      <c r="FWB2188" s="69"/>
      <c r="FWC2188" s="70"/>
      <c r="FWD2188" s="69"/>
      <c r="FWE2188" s="70"/>
      <c r="FWF2188" s="69"/>
      <c r="FWG2188" s="70"/>
      <c r="FWH2188" s="69"/>
      <c r="FWI2188" s="70"/>
      <c r="FWJ2188" s="69"/>
      <c r="FWK2188" s="70"/>
      <c r="FWL2188" s="69"/>
      <c r="FWM2188" s="70"/>
      <c r="FWN2188" s="69"/>
      <c r="FWO2188" s="70"/>
      <c r="FWP2188" s="69"/>
      <c r="FWQ2188" s="70"/>
      <c r="FWR2188" s="69"/>
      <c r="FWS2188" s="70"/>
      <c r="FWT2188" s="69"/>
      <c r="FWU2188" s="70"/>
      <c r="FWV2188" s="69"/>
      <c r="FWW2188" s="70"/>
      <c r="FWX2188" s="69"/>
      <c r="FWY2188" s="70"/>
      <c r="FWZ2188" s="69"/>
      <c r="FXA2188" s="70"/>
      <c r="FXB2188" s="69"/>
      <c r="FXC2188" s="70"/>
      <c r="FXD2188" s="69"/>
      <c r="FXE2188" s="70"/>
      <c r="FXF2188" s="69"/>
      <c r="FXG2188" s="70"/>
      <c r="FXH2188" s="69"/>
      <c r="FXI2188" s="70"/>
      <c r="FXJ2188" s="69"/>
      <c r="FXK2188" s="70"/>
      <c r="FXL2188" s="69"/>
      <c r="FXM2188" s="70"/>
      <c r="FXN2188" s="69"/>
      <c r="FXO2188" s="70"/>
      <c r="FXP2188" s="69"/>
      <c r="FXQ2188" s="70"/>
      <c r="FXR2188" s="69"/>
      <c r="FXS2188" s="70"/>
      <c r="FXT2188" s="69"/>
      <c r="FXU2188" s="70"/>
      <c r="FXV2188" s="69"/>
      <c r="FXW2188" s="70"/>
      <c r="FXX2188" s="69"/>
      <c r="FXY2188" s="70"/>
      <c r="FXZ2188" s="69"/>
      <c r="FYA2188" s="70"/>
      <c r="FYB2188" s="69"/>
      <c r="FYC2188" s="70"/>
      <c r="FYD2188" s="69"/>
      <c r="FYE2188" s="70"/>
      <c r="FYF2188" s="69"/>
      <c r="FYG2188" s="70"/>
      <c r="FYH2188" s="69"/>
      <c r="FYI2188" s="70"/>
      <c r="FYJ2188" s="69"/>
      <c r="FYK2188" s="70"/>
      <c r="FYL2188" s="69"/>
      <c r="FYM2188" s="70"/>
      <c r="FYN2188" s="69"/>
      <c r="FYO2188" s="70"/>
      <c r="FYP2188" s="69"/>
      <c r="FYQ2188" s="70"/>
      <c r="FYR2188" s="69"/>
      <c r="FYS2188" s="70"/>
      <c r="FYT2188" s="69"/>
      <c r="FYU2188" s="70"/>
      <c r="FYV2188" s="69"/>
      <c r="FYW2188" s="70"/>
      <c r="FYX2188" s="69"/>
      <c r="FYY2188" s="70"/>
      <c r="FYZ2188" s="69"/>
      <c r="FZA2188" s="70"/>
      <c r="FZB2188" s="69"/>
      <c r="FZC2188" s="70"/>
      <c r="FZD2188" s="69"/>
      <c r="FZE2188" s="70"/>
      <c r="FZF2188" s="69"/>
      <c r="FZG2188" s="70"/>
      <c r="FZH2188" s="69"/>
      <c r="FZI2188" s="70"/>
      <c r="FZJ2188" s="69"/>
      <c r="FZK2188" s="70"/>
      <c r="FZL2188" s="69"/>
      <c r="FZM2188" s="70"/>
      <c r="FZN2188" s="69"/>
      <c r="FZO2188" s="70"/>
      <c r="FZP2188" s="69"/>
      <c r="FZQ2188" s="70"/>
      <c r="FZR2188" s="69"/>
      <c r="FZS2188" s="70"/>
      <c r="FZT2188" s="69"/>
      <c r="FZU2188" s="70"/>
      <c r="FZV2188" s="69"/>
      <c r="FZW2188" s="70"/>
      <c r="FZX2188" s="69"/>
      <c r="FZY2188" s="70"/>
      <c r="FZZ2188" s="69"/>
      <c r="GAA2188" s="70"/>
      <c r="GAB2188" s="69"/>
      <c r="GAC2188" s="70"/>
      <c r="GAD2188" s="69"/>
      <c r="GAE2188" s="70"/>
      <c r="GAF2188" s="69"/>
      <c r="GAG2188" s="70"/>
      <c r="GAH2188" s="69"/>
      <c r="GAI2188" s="70"/>
      <c r="GAJ2188" s="69"/>
      <c r="GAK2188" s="70"/>
      <c r="GAL2188" s="69"/>
      <c r="GAM2188" s="70"/>
      <c r="GAN2188" s="69"/>
      <c r="GAO2188" s="70"/>
      <c r="GAP2188" s="69"/>
      <c r="GAQ2188" s="70"/>
      <c r="GAR2188" s="69"/>
      <c r="GAS2188" s="70"/>
      <c r="GAT2188" s="69"/>
      <c r="GAU2188" s="70"/>
      <c r="GAV2188" s="69"/>
      <c r="GAW2188" s="70"/>
      <c r="GAX2188" s="69"/>
      <c r="GAY2188" s="70"/>
      <c r="GAZ2188" s="69"/>
      <c r="GBA2188" s="70"/>
      <c r="GBB2188" s="69"/>
      <c r="GBC2188" s="70"/>
      <c r="GBD2188" s="69"/>
      <c r="GBE2188" s="70"/>
      <c r="GBF2188" s="69"/>
      <c r="GBG2188" s="70"/>
      <c r="GBH2188" s="69"/>
      <c r="GBI2188" s="70"/>
      <c r="GBJ2188" s="69"/>
      <c r="GBK2188" s="70"/>
      <c r="GBL2188" s="69"/>
      <c r="GBM2188" s="70"/>
      <c r="GBN2188" s="69"/>
      <c r="GBO2188" s="70"/>
      <c r="GBP2188" s="69"/>
      <c r="GBQ2188" s="70"/>
      <c r="GBR2188" s="69"/>
      <c r="GBS2188" s="70"/>
      <c r="GBT2188" s="69"/>
      <c r="GBU2188" s="70"/>
      <c r="GBV2188" s="69"/>
      <c r="GBW2188" s="70"/>
      <c r="GBX2188" s="69"/>
      <c r="GBY2188" s="70"/>
      <c r="GBZ2188" s="69"/>
      <c r="GCA2188" s="70"/>
      <c r="GCB2188" s="69"/>
      <c r="GCC2188" s="70"/>
      <c r="GCD2188" s="69"/>
      <c r="GCE2188" s="70"/>
      <c r="GCF2188" s="69"/>
      <c r="GCG2188" s="70"/>
      <c r="GCH2188" s="69"/>
      <c r="GCI2188" s="70"/>
      <c r="GCJ2188" s="69"/>
      <c r="GCK2188" s="70"/>
      <c r="GCL2188" s="69"/>
      <c r="GCM2188" s="70"/>
      <c r="GCN2188" s="69"/>
      <c r="GCO2188" s="70"/>
      <c r="GCP2188" s="69"/>
      <c r="GCQ2188" s="70"/>
      <c r="GCR2188" s="69"/>
      <c r="GCS2188" s="70"/>
      <c r="GCT2188" s="69"/>
      <c r="GCU2188" s="70"/>
      <c r="GCV2188" s="69"/>
      <c r="GCW2188" s="70"/>
      <c r="GCX2188" s="69"/>
      <c r="GCY2188" s="70"/>
      <c r="GCZ2188" s="69"/>
      <c r="GDA2188" s="70"/>
      <c r="GDB2188" s="69"/>
      <c r="GDC2188" s="70"/>
      <c r="GDD2188" s="69"/>
      <c r="GDE2188" s="70"/>
      <c r="GDF2188" s="69"/>
      <c r="GDG2188" s="70"/>
      <c r="GDH2188" s="69"/>
      <c r="GDI2188" s="70"/>
      <c r="GDJ2188" s="69"/>
      <c r="GDK2188" s="70"/>
      <c r="GDL2188" s="69"/>
      <c r="GDM2188" s="70"/>
      <c r="GDN2188" s="69"/>
      <c r="GDO2188" s="70"/>
      <c r="GDP2188" s="69"/>
      <c r="GDQ2188" s="70"/>
      <c r="GDR2188" s="69"/>
      <c r="GDS2188" s="70"/>
      <c r="GDT2188" s="69"/>
      <c r="GDU2188" s="70"/>
      <c r="GDV2188" s="69"/>
      <c r="GDW2188" s="70"/>
      <c r="GDX2188" s="69"/>
      <c r="GDY2188" s="70"/>
      <c r="GDZ2188" s="69"/>
      <c r="GEA2188" s="70"/>
      <c r="GEB2188" s="69"/>
      <c r="GEC2188" s="70"/>
      <c r="GED2188" s="69"/>
      <c r="GEE2188" s="70"/>
      <c r="GEF2188" s="69"/>
      <c r="GEG2188" s="70"/>
      <c r="GEH2188" s="69"/>
      <c r="GEI2188" s="70"/>
      <c r="GEJ2188" s="69"/>
      <c r="GEK2188" s="70"/>
      <c r="GEL2188" s="69"/>
      <c r="GEM2188" s="70"/>
      <c r="GEN2188" s="69"/>
      <c r="GEO2188" s="70"/>
      <c r="GEP2188" s="69"/>
      <c r="GEQ2188" s="70"/>
      <c r="GER2188" s="69"/>
      <c r="GES2188" s="70"/>
      <c r="GET2188" s="69"/>
      <c r="GEU2188" s="70"/>
      <c r="GEV2188" s="69"/>
      <c r="GEW2188" s="70"/>
      <c r="GEX2188" s="69"/>
      <c r="GEY2188" s="70"/>
      <c r="GEZ2188" s="69"/>
      <c r="GFA2188" s="70"/>
      <c r="GFB2188" s="69"/>
      <c r="GFC2188" s="70"/>
      <c r="GFD2188" s="69"/>
      <c r="GFE2188" s="70"/>
      <c r="GFF2188" s="69"/>
      <c r="GFG2188" s="70"/>
      <c r="GFH2188" s="69"/>
      <c r="GFI2188" s="70"/>
      <c r="GFJ2188" s="69"/>
      <c r="GFK2188" s="70"/>
      <c r="GFL2188" s="69"/>
      <c r="GFM2188" s="70"/>
      <c r="GFN2188" s="69"/>
      <c r="GFO2188" s="70"/>
      <c r="GFP2188" s="69"/>
      <c r="GFQ2188" s="70"/>
      <c r="GFR2188" s="69"/>
      <c r="GFS2188" s="70"/>
      <c r="GFT2188" s="69"/>
      <c r="GFU2188" s="70"/>
      <c r="GFV2188" s="69"/>
      <c r="GFW2188" s="70"/>
      <c r="GFX2188" s="69"/>
      <c r="GFY2188" s="70"/>
      <c r="GFZ2188" s="69"/>
      <c r="GGA2188" s="70"/>
      <c r="GGB2188" s="69"/>
      <c r="GGC2188" s="70"/>
      <c r="GGD2188" s="69"/>
      <c r="GGE2188" s="70"/>
      <c r="GGF2188" s="69"/>
      <c r="GGG2188" s="70"/>
      <c r="GGH2188" s="69"/>
      <c r="GGI2188" s="70"/>
      <c r="GGJ2188" s="69"/>
      <c r="GGK2188" s="70"/>
      <c r="GGL2188" s="69"/>
      <c r="GGM2188" s="70"/>
      <c r="GGN2188" s="69"/>
      <c r="GGO2188" s="70"/>
      <c r="GGP2188" s="69"/>
      <c r="GGQ2188" s="70"/>
      <c r="GGR2188" s="69"/>
      <c r="GGS2188" s="70"/>
      <c r="GGT2188" s="69"/>
      <c r="GGU2188" s="70"/>
      <c r="GGV2188" s="69"/>
      <c r="GGW2188" s="70"/>
      <c r="GGX2188" s="69"/>
      <c r="GGY2188" s="70"/>
      <c r="GGZ2188" s="69"/>
      <c r="GHA2188" s="70"/>
      <c r="GHB2188" s="69"/>
      <c r="GHC2188" s="70"/>
      <c r="GHD2188" s="69"/>
      <c r="GHE2188" s="70"/>
      <c r="GHF2188" s="69"/>
      <c r="GHG2188" s="70"/>
      <c r="GHH2188" s="69"/>
      <c r="GHI2188" s="70"/>
      <c r="GHJ2188" s="69"/>
      <c r="GHK2188" s="70"/>
      <c r="GHL2188" s="69"/>
      <c r="GHM2188" s="70"/>
      <c r="GHN2188" s="69"/>
      <c r="GHO2188" s="70"/>
      <c r="GHP2188" s="69"/>
      <c r="GHQ2188" s="70"/>
      <c r="GHR2188" s="69"/>
      <c r="GHS2188" s="70"/>
      <c r="GHT2188" s="69"/>
      <c r="GHU2188" s="70"/>
      <c r="GHV2188" s="69"/>
      <c r="GHW2188" s="70"/>
      <c r="GHX2188" s="69"/>
      <c r="GHY2188" s="70"/>
      <c r="GHZ2188" s="69"/>
      <c r="GIA2188" s="70"/>
      <c r="GIB2188" s="69"/>
      <c r="GIC2188" s="70"/>
      <c r="GID2188" s="69"/>
      <c r="GIE2188" s="70"/>
      <c r="GIF2188" s="69"/>
      <c r="GIG2188" s="70"/>
      <c r="GIH2188" s="69"/>
      <c r="GII2188" s="70"/>
      <c r="GIJ2188" s="69"/>
      <c r="GIK2188" s="70"/>
      <c r="GIL2188" s="69"/>
      <c r="GIM2188" s="70"/>
      <c r="GIN2188" s="69"/>
      <c r="GIO2188" s="70"/>
      <c r="GIP2188" s="69"/>
      <c r="GIQ2188" s="70"/>
      <c r="GIR2188" s="69"/>
      <c r="GIS2188" s="70"/>
      <c r="GIT2188" s="69"/>
      <c r="GIU2188" s="70"/>
      <c r="GIV2188" s="69"/>
      <c r="GIW2188" s="70"/>
      <c r="GIX2188" s="69"/>
      <c r="GIY2188" s="70"/>
      <c r="GIZ2188" s="69"/>
      <c r="GJA2188" s="70"/>
      <c r="GJB2188" s="69"/>
      <c r="GJC2188" s="70"/>
      <c r="GJD2188" s="69"/>
      <c r="GJE2188" s="70"/>
      <c r="GJF2188" s="69"/>
      <c r="GJG2188" s="70"/>
      <c r="GJH2188" s="69"/>
      <c r="GJI2188" s="70"/>
      <c r="GJJ2188" s="69"/>
      <c r="GJK2188" s="70"/>
      <c r="GJL2188" s="69"/>
      <c r="GJM2188" s="70"/>
      <c r="GJN2188" s="69"/>
      <c r="GJO2188" s="70"/>
      <c r="GJP2188" s="69"/>
      <c r="GJQ2188" s="70"/>
      <c r="GJR2188" s="69"/>
      <c r="GJS2188" s="70"/>
      <c r="GJT2188" s="69"/>
      <c r="GJU2188" s="70"/>
      <c r="GJV2188" s="69"/>
      <c r="GJW2188" s="70"/>
      <c r="GJX2188" s="69"/>
      <c r="GJY2188" s="70"/>
      <c r="GJZ2188" s="69"/>
      <c r="GKA2188" s="70"/>
      <c r="GKB2188" s="69"/>
      <c r="GKC2188" s="70"/>
      <c r="GKD2188" s="69"/>
      <c r="GKE2188" s="70"/>
      <c r="GKF2188" s="69"/>
      <c r="GKG2188" s="70"/>
      <c r="GKH2188" s="69"/>
      <c r="GKI2188" s="70"/>
      <c r="GKJ2188" s="69"/>
      <c r="GKK2188" s="70"/>
      <c r="GKL2188" s="69"/>
      <c r="GKM2188" s="70"/>
      <c r="GKN2188" s="69"/>
      <c r="GKO2188" s="70"/>
      <c r="GKP2188" s="69"/>
      <c r="GKQ2188" s="70"/>
      <c r="GKR2188" s="69"/>
      <c r="GKS2188" s="70"/>
      <c r="GKT2188" s="69"/>
      <c r="GKU2188" s="70"/>
      <c r="GKV2188" s="69"/>
      <c r="GKW2188" s="70"/>
      <c r="GKX2188" s="69"/>
      <c r="GKY2188" s="70"/>
      <c r="GKZ2188" s="69"/>
      <c r="GLA2188" s="70"/>
      <c r="GLB2188" s="69"/>
      <c r="GLC2188" s="70"/>
      <c r="GLD2188" s="69"/>
      <c r="GLE2188" s="70"/>
      <c r="GLF2188" s="69"/>
      <c r="GLG2188" s="70"/>
      <c r="GLH2188" s="69"/>
      <c r="GLI2188" s="70"/>
      <c r="GLJ2188" s="69"/>
      <c r="GLK2188" s="70"/>
      <c r="GLL2188" s="69"/>
      <c r="GLM2188" s="70"/>
      <c r="GLN2188" s="69"/>
      <c r="GLO2188" s="70"/>
      <c r="GLP2188" s="69"/>
      <c r="GLQ2188" s="70"/>
      <c r="GLR2188" s="69"/>
      <c r="GLS2188" s="70"/>
      <c r="GLT2188" s="69"/>
      <c r="GLU2188" s="70"/>
      <c r="GLV2188" s="69"/>
      <c r="GLW2188" s="70"/>
      <c r="GLX2188" s="69"/>
      <c r="GLY2188" s="70"/>
      <c r="GLZ2188" s="69"/>
      <c r="GMA2188" s="70"/>
      <c r="GMB2188" s="69"/>
      <c r="GMC2188" s="70"/>
      <c r="GMD2188" s="69"/>
      <c r="GME2188" s="70"/>
      <c r="GMF2188" s="69"/>
      <c r="GMG2188" s="70"/>
      <c r="GMH2188" s="69"/>
      <c r="GMI2188" s="70"/>
      <c r="GMJ2188" s="69"/>
      <c r="GMK2188" s="70"/>
      <c r="GML2188" s="69"/>
      <c r="GMM2188" s="70"/>
      <c r="GMN2188" s="69"/>
      <c r="GMO2188" s="70"/>
      <c r="GMP2188" s="69"/>
      <c r="GMQ2188" s="70"/>
      <c r="GMR2188" s="69"/>
      <c r="GMS2188" s="70"/>
      <c r="GMT2188" s="69"/>
      <c r="GMU2188" s="70"/>
      <c r="GMV2188" s="69"/>
      <c r="GMW2188" s="70"/>
      <c r="GMX2188" s="69"/>
      <c r="GMY2188" s="70"/>
      <c r="GMZ2188" s="69"/>
      <c r="GNA2188" s="70"/>
      <c r="GNB2188" s="69"/>
      <c r="GNC2188" s="70"/>
      <c r="GND2188" s="69"/>
      <c r="GNE2188" s="70"/>
      <c r="GNF2188" s="69"/>
      <c r="GNG2188" s="70"/>
      <c r="GNH2188" s="69"/>
      <c r="GNI2188" s="70"/>
      <c r="GNJ2188" s="69"/>
      <c r="GNK2188" s="70"/>
      <c r="GNL2188" s="69"/>
      <c r="GNM2188" s="70"/>
      <c r="GNN2188" s="69"/>
      <c r="GNO2188" s="70"/>
      <c r="GNP2188" s="69"/>
      <c r="GNQ2188" s="70"/>
      <c r="GNR2188" s="69"/>
      <c r="GNS2188" s="70"/>
      <c r="GNT2188" s="69"/>
      <c r="GNU2188" s="70"/>
      <c r="GNV2188" s="69"/>
      <c r="GNW2188" s="70"/>
      <c r="GNX2188" s="69"/>
      <c r="GNY2188" s="70"/>
      <c r="GNZ2188" s="69"/>
      <c r="GOA2188" s="70"/>
      <c r="GOB2188" s="69"/>
      <c r="GOC2188" s="70"/>
      <c r="GOD2188" s="69"/>
      <c r="GOE2188" s="70"/>
      <c r="GOF2188" s="69"/>
      <c r="GOG2188" s="70"/>
      <c r="GOH2188" s="69"/>
      <c r="GOI2188" s="70"/>
      <c r="GOJ2188" s="69"/>
      <c r="GOK2188" s="70"/>
      <c r="GOL2188" s="69"/>
      <c r="GOM2188" s="70"/>
      <c r="GON2188" s="69"/>
      <c r="GOO2188" s="70"/>
      <c r="GOP2188" s="69"/>
      <c r="GOQ2188" s="70"/>
      <c r="GOR2188" s="69"/>
      <c r="GOS2188" s="70"/>
      <c r="GOT2188" s="69"/>
      <c r="GOU2188" s="70"/>
      <c r="GOV2188" s="69"/>
      <c r="GOW2188" s="70"/>
      <c r="GOX2188" s="69"/>
      <c r="GOY2188" s="70"/>
      <c r="GOZ2188" s="69"/>
      <c r="GPA2188" s="70"/>
      <c r="GPB2188" s="69"/>
      <c r="GPC2188" s="70"/>
      <c r="GPD2188" s="69"/>
      <c r="GPE2188" s="70"/>
      <c r="GPF2188" s="69"/>
      <c r="GPG2188" s="70"/>
      <c r="GPH2188" s="69"/>
      <c r="GPI2188" s="70"/>
      <c r="GPJ2188" s="69"/>
      <c r="GPK2188" s="70"/>
      <c r="GPL2188" s="69"/>
      <c r="GPM2188" s="70"/>
      <c r="GPN2188" s="69"/>
      <c r="GPO2188" s="70"/>
      <c r="GPP2188" s="69"/>
      <c r="GPQ2188" s="70"/>
      <c r="GPR2188" s="69"/>
      <c r="GPS2188" s="70"/>
      <c r="GPT2188" s="69"/>
      <c r="GPU2188" s="70"/>
      <c r="GPV2188" s="69"/>
      <c r="GPW2188" s="70"/>
      <c r="GPX2188" s="69"/>
      <c r="GPY2188" s="70"/>
      <c r="GPZ2188" s="69"/>
      <c r="GQA2188" s="70"/>
      <c r="GQB2188" s="69"/>
      <c r="GQC2188" s="70"/>
      <c r="GQD2188" s="69"/>
      <c r="GQE2188" s="70"/>
      <c r="GQF2188" s="69"/>
      <c r="GQG2188" s="70"/>
      <c r="GQH2188" s="69"/>
      <c r="GQI2188" s="70"/>
      <c r="GQJ2188" s="69"/>
      <c r="GQK2188" s="70"/>
      <c r="GQL2188" s="69"/>
      <c r="GQM2188" s="70"/>
      <c r="GQN2188" s="69"/>
      <c r="GQO2188" s="70"/>
      <c r="GQP2188" s="69"/>
      <c r="GQQ2188" s="70"/>
      <c r="GQR2188" s="69"/>
      <c r="GQS2188" s="70"/>
      <c r="GQT2188" s="69"/>
      <c r="GQU2188" s="70"/>
      <c r="GQV2188" s="69"/>
      <c r="GQW2188" s="70"/>
      <c r="GQX2188" s="69"/>
      <c r="GQY2188" s="70"/>
      <c r="GQZ2188" s="69"/>
      <c r="GRA2188" s="70"/>
      <c r="GRB2188" s="69"/>
      <c r="GRC2188" s="70"/>
      <c r="GRD2188" s="69"/>
      <c r="GRE2188" s="70"/>
      <c r="GRF2188" s="69"/>
      <c r="GRG2188" s="70"/>
      <c r="GRH2188" s="69"/>
      <c r="GRI2188" s="70"/>
      <c r="GRJ2188" s="69"/>
      <c r="GRK2188" s="70"/>
      <c r="GRL2188" s="69"/>
      <c r="GRM2188" s="70"/>
      <c r="GRN2188" s="69"/>
      <c r="GRO2188" s="70"/>
      <c r="GRP2188" s="69"/>
      <c r="GRQ2188" s="70"/>
      <c r="GRR2188" s="69"/>
      <c r="GRS2188" s="70"/>
      <c r="GRT2188" s="69"/>
      <c r="GRU2188" s="70"/>
      <c r="GRV2188" s="69"/>
      <c r="GRW2188" s="70"/>
      <c r="GRX2188" s="69"/>
      <c r="GRY2188" s="70"/>
      <c r="GRZ2188" s="69"/>
      <c r="GSA2188" s="70"/>
      <c r="GSB2188" s="69"/>
      <c r="GSC2188" s="70"/>
      <c r="GSD2188" s="69"/>
      <c r="GSE2188" s="70"/>
      <c r="GSF2188" s="69"/>
      <c r="GSG2188" s="70"/>
      <c r="GSH2188" s="69"/>
      <c r="GSI2188" s="70"/>
      <c r="GSJ2188" s="69"/>
      <c r="GSK2188" s="70"/>
      <c r="GSL2188" s="69"/>
      <c r="GSM2188" s="70"/>
      <c r="GSN2188" s="69"/>
      <c r="GSO2188" s="70"/>
      <c r="GSP2188" s="69"/>
      <c r="GSQ2188" s="70"/>
      <c r="GSR2188" s="69"/>
      <c r="GSS2188" s="70"/>
      <c r="GST2188" s="69"/>
      <c r="GSU2188" s="70"/>
      <c r="GSV2188" s="69"/>
      <c r="GSW2188" s="70"/>
      <c r="GSX2188" s="69"/>
      <c r="GSY2188" s="70"/>
      <c r="GSZ2188" s="69"/>
      <c r="GTA2188" s="70"/>
      <c r="GTB2188" s="69"/>
      <c r="GTC2188" s="70"/>
      <c r="GTD2188" s="69"/>
      <c r="GTE2188" s="70"/>
      <c r="GTF2188" s="69"/>
      <c r="GTG2188" s="70"/>
      <c r="GTH2188" s="69"/>
      <c r="GTI2188" s="70"/>
      <c r="GTJ2188" s="69"/>
      <c r="GTK2188" s="70"/>
      <c r="GTL2188" s="69"/>
      <c r="GTM2188" s="70"/>
      <c r="GTN2188" s="69"/>
      <c r="GTO2188" s="70"/>
      <c r="GTP2188" s="69"/>
      <c r="GTQ2188" s="70"/>
      <c r="GTR2188" s="69"/>
      <c r="GTS2188" s="70"/>
      <c r="GTT2188" s="69"/>
      <c r="GTU2188" s="70"/>
      <c r="GTV2188" s="69"/>
      <c r="GTW2188" s="70"/>
      <c r="GTX2188" s="69"/>
      <c r="GTY2188" s="70"/>
      <c r="GTZ2188" s="69"/>
      <c r="GUA2188" s="70"/>
      <c r="GUB2188" s="69"/>
      <c r="GUC2188" s="70"/>
      <c r="GUD2188" s="69"/>
      <c r="GUE2188" s="70"/>
      <c r="GUF2188" s="69"/>
      <c r="GUG2188" s="70"/>
      <c r="GUH2188" s="69"/>
      <c r="GUI2188" s="70"/>
      <c r="GUJ2188" s="69"/>
      <c r="GUK2188" s="70"/>
      <c r="GUL2188" s="69"/>
      <c r="GUM2188" s="70"/>
      <c r="GUN2188" s="69"/>
      <c r="GUO2188" s="70"/>
      <c r="GUP2188" s="69"/>
      <c r="GUQ2188" s="70"/>
      <c r="GUR2188" s="69"/>
      <c r="GUS2188" s="70"/>
      <c r="GUT2188" s="69"/>
      <c r="GUU2188" s="70"/>
      <c r="GUV2188" s="69"/>
      <c r="GUW2188" s="70"/>
      <c r="GUX2188" s="69"/>
      <c r="GUY2188" s="70"/>
      <c r="GUZ2188" s="69"/>
      <c r="GVA2188" s="70"/>
      <c r="GVB2188" s="69"/>
      <c r="GVC2188" s="70"/>
      <c r="GVD2188" s="69"/>
      <c r="GVE2188" s="70"/>
      <c r="GVF2188" s="69"/>
      <c r="GVG2188" s="70"/>
      <c r="GVH2188" s="69"/>
      <c r="GVI2188" s="70"/>
      <c r="GVJ2188" s="69"/>
      <c r="GVK2188" s="70"/>
      <c r="GVL2188" s="69"/>
      <c r="GVM2188" s="70"/>
      <c r="GVN2188" s="69"/>
      <c r="GVO2188" s="70"/>
      <c r="GVP2188" s="69"/>
      <c r="GVQ2188" s="70"/>
      <c r="GVR2188" s="69"/>
      <c r="GVS2188" s="70"/>
      <c r="GVT2188" s="69"/>
      <c r="GVU2188" s="70"/>
      <c r="GVV2188" s="69"/>
      <c r="GVW2188" s="70"/>
      <c r="GVX2188" s="69"/>
      <c r="GVY2188" s="70"/>
      <c r="GVZ2188" s="69"/>
      <c r="GWA2188" s="70"/>
      <c r="GWB2188" s="69"/>
      <c r="GWC2188" s="70"/>
      <c r="GWD2188" s="69"/>
      <c r="GWE2188" s="70"/>
      <c r="GWF2188" s="69"/>
      <c r="GWG2188" s="70"/>
      <c r="GWH2188" s="69"/>
      <c r="GWI2188" s="70"/>
      <c r="GWJ2188" s="69"/>
      <c r="GWK2188" s="70"/>
      <c r="GWL2188" s="69"/>
      <c r="GWM2188" s="70"/>
      <c r="GWN2188" s="69"/>
      <c r="GWO2188" s="70"/>
      <c r="GWP2188" s="69"/>
      <c r="GWQ2188" s="70"/>
      <c r="GWR2188" s="69"/>
      <c r="GWS2188" s="70"/>
      <c r="GWT2188" s="69"/>
      <c r="GWU2188" s="70"/>
      <c r="GWV2188" s="69"/>
      <c r="GWW2188" s="70"/>
      <c r="GWX2188" s="69"/>
      <c r="GWY2188" s="70"/>
      <c r="GWZ2188" s="69"/>
      <c r="GXA2188" s="70"/>
      <c r="GXB2188" s="69"/>
      <c r="GXC2188" s="70"/>
      <c r="GXD2188" s="69"/>
      <c r="GXE2188" s="70"/>
      <c r="GXF2188" s="69"/>
      <c r="GXG2188" s="70"/>
      <c r="GXH2188" s="69"/>
      <c r="GXI2188" s="70"/>
      <c r="GXJ2188" s="69"/>
      <c r="GXK2188" s="70"/>
      <c r="GXL2188" s="69"/>
      <c r="GXM2188" s="70"/>
      <c r="GXN2188" s="69"/>
      <c r="GXO2188" s="70"/>
      <c r="GXP2188" s="69"/>
      <c r="GXQ2188" s="70"/>
      <c r="GXR2188" s="69"/>
      <c r="GXS2188" s="70"/>
      <c r="GXT2188" s="69"/>
      <c r="GXU2188" s="70"/>
      <c r="GXV2188" s="69"/>
      <c r="GXW2188" s="70"/>
      <c r="GXX2188" s="69"/>
      <c r="GXY2188" s="70"/>
      <c r="GXZ2188" s="69"/>
      <c r="GYA2188" s="70"/>
      <c r="GYB2188" s="69"/>
      <c r="GYC2188" s="70"/>
      <c r="GYD2188" s="69"/>
      <c r="GYE2188" s="70"/>
      <c r="GYF2188" s="69"/>
      <c r="GYG2188" s="70"/>
      <c r="GYH2188" s="69"/>
      <c r="GYI2188" s="70"/>
      <c r="GYJ2188" s="69"/>
      <c r="GYK2188" s="70"/>
      <c r="GYL2188" s="69"/>
      <c r="GYM2188" s="70"/>
      <c r="GYN2188" s="69"/>
      <c r="GYO2188" s="70"/>
      <c r="GYP2188" s="69"/>
      <c r="GYQ2188" s="70"/>
      <c r="GYR2188" s="69"/>
      <c r="GYS2188" s="70"/>
      <c r="GYT2188" s="69"/>
      <c r="GYU2188" s="70"/>
      <c r="GYV2188" s="69"/>
      <c r="GYW2188" s="70"/>
      <c r="GYX2188" s="69"/>
      <c r="GYY2188" s="70"/>
      <c r="GYZ2188" s="69"/>
      <c r="GZA2188" s="70"/>
      <c r="GZB2188" s="69"/>
      <c r="GZC2188" s="70"/>
      <c r="GZD2188" s="69"/>
      <c r="GZE2188" s="70"/>
      <c r="GZF2188" s="69"/>
      <c r="GZG2188" s="70"/>
      <c r="GZH2188" s="69"/>
      <c r="GZI2188" s="70"/>
      <c r="GZJ2188" s="69"/>
      <c r="GZK2188" s="70"/>
      <c r="GZL2188" s="69"/>
      <c r="GZM2188" s="70"/>
      <c r="GZN2188" s="69"/>
      <c r="GZO2188" s="70"/>
      <c r="GZP2188" s="69"/>
      <c r="GZQ2188" s="70"/>
      <c r="GZR2188" s="69"/>
      <c r="GZS2188" s="70"/>
      <c r="GZT2188" s="69"/>
      <c r="GZU2188" s="70"/>
      <c r="GZV2188" s="69"/>
      <c r="GZW2188" s="70"/>
      <c r="GZX2188" s="69"/>
      <c r="GZY2188" s="70"/>
      <c r="GZZ2188" s="69"/>
      <c r="HAA2188" s="70"/>
      <c r="HAB2188" s="69"/>
      <c r="HAC2188" s="70"/>
      <c r="HAD2188" s="69"/>
      <c r="HAE2188" s="70"/>
      <c r="HAF2188" s="69"/>
      <c r="HAG2188" s="70"/>
      <c r="HAH2188" s="69"/>
      <c r="HAI2188" s="70"/>
      <c r="HAJ2188" s="69"/>
      <c r="HAK2188" s="70"/>
      <c r="HAL2188" s="69"/>
      <c r="HAM2188" s="70"/>
      <c r="HAN2188" s="69"/>
      <c r="HAO2188" s="70"/>
      <c r="HAP2188" s="69"/>
      <c r="HAQ2188" s="70"/>
      <c r="HAR2188" s="69"/>
      <c r="HAS2188" s="70"/>
      <c r="HAT2188" s="69"/>
      <c r="HAU2188" s="70"/>
      <c r="HAV2188" s="69"/>
      <c r="HAW2188" s="70"/>
      <c r="HAX2188" s="69"/>
      <c r="HAY2188" s="70"/>
      <c r="HAZ2188" s="69"/>
      <c r="HBA2188" s="70"/>
      <c r="HBB2188" s="69"/>
      <c r="HBC2188" s="70"/>
      <c r="HBD2188" s="69"/>
      <c r="HBE2188" s="70"/>
      <c r="HBF2188" s="69"/>
      <c r="HBG2188" s="70"/>
      <c r="HBH2188" s="69"/>
      <c r="HBI2188" s="70"/>
      <c r="HBJ2188" s="69"/>
      <c r="HBK2188" s="70"/>
      <c r="HBL2188" s="69"/>
      <c r="HBM2188" s="70"/>
      <c r="HBN2188" s="69"/>
      <c r="HBO2188" s="70"/>
      <c r="HBP2188" s="69"/>
      <c r="HBQ2188" s="70"/>
      <c r="HBR2188" s="69"/>
      <c r="HBS2188" s="70"/>
      <c r="HBT2188" s="69"/>
      <c r="HBU2188" s="70"/>
      <c r="HBV2188" s="69"/>
      <c r="HBW2188" s="70"/>
      <c r="HBX2188" s="69"/>
      <c r="HBY2188" s="70"/>
      <c r="HBZ2188" s="69"/>
      <c r="HCA2188" s="70"/>
      <c r="HCB2188" s="69"/>
      <c r="HCC2188" s="70"/>
      <c r="HCD2188" s="69"/>
      <c r="HCE2188" s="70"/>
      <c r="HCF2188" s="69"/>
      <c r="HCG2188" s="70"/>
      <c r="HCH2188" s="69"/>
      <c r="HCI2188" s="70"/>
      <c r="HCJ2188" s="69"/>
      <c r="HCK2188" s="70"/>
      <c r="HCL2188" s="69"/>
      <c r="HCM2188" s="70"/>
      <c r="HCN2188" s="69"/>
      <c r="HCO2188" s="70"/>
      <c r="HCP2188" s="69"/>
      <c r="HCQ2188" s="70"/>
      <c r="HCR2188" s="69"/>
      <c r="HCS2188" s="70"/>
      <c r="HCT2188" s="69"/>
      <c r="HCU2188" s="70"/>
      <c r="HCV2188" s="69"/>
      <c r="HCW2188" s="70"/>
      <c r="HCX2188" s="69"/>
      <c r="HCY2188" s="70"/>
      <c r="HCZ2188" s="69"/>
      <c r="HDA2188" s="70"/>
      <c r="HDB2188" s="69"/>
      <c r="HDC2188" s="70"/>
      <c r="HDD2188" s="69"/>
      <c r="HDE2188" s="70"/>
      <c r="HDF2188" s="69"/>
      <c r="HDG2188" s="70"/>
      <c r="HDH2188" s="69"/>
      <c r="HDI2188" s="70"/>
      <c r="HDJ2188" s="69"/>
      <c r="HDK2188" s="70"/>
      <c r="HDL2188" s="69"/>
      <c r="HDM2188" s="70"/>
      <c r="HDN2188" s="69"/>
      <c r="HDO2188" s="70"/>
      <c r="HDP2188" s="69"/>
      <c r="HDQ2188" s="70"/>
      <c r="HDR2188" s="69"/>
      <c r="HDS2188" s="70"/>
      <c r="HDT2188" s="69"/>
      <c r="HDU2188" s="70"/>
      <c r="HDV2188" s="69"/>
      <c r="HDW2188" s="70"/>
      <c r="HDX2188" s="69"/>
      <c r="HDY2188" s="70"/>
      <c r="HDZ2188" s="69"/>
      <c r="HEA2188" s="70"/>
      <c r="HEB2188" s="69"/>
      <c r="HEC2188" s="70"/>
      <c r="HED2188" s="69"/>
      <c r="HEE2188" s="70"/>
      <c r="HEF2188" s="69"/>
      <c r="HEG2188" s="70"/>
      <c r="HEH2188" s="69"/>
      <c r="HEI2188" s="70"/>
      <c r="HEJ2188" s="69"/>
      <c r="HEK2188" s="70"/>
      <c r="HEL2188" s="69"/>
      <c r="HEM2188" s="70"/>
      <c r="HEN2188" s="69"/>
      <c r="HEO2188" s="70"/>
      <c r="HEP2188" s="69"/>
      <c r="HEQ2188" s="70"/>
      <c r="HER2188" s="69"/>
      <c r="HES2188" s="70"/>
      <c r="HET2188" s="69"/>
      <c r="HEU2188" s="70"/>
      <c r="HEV2188" s="69"/>
      <c r="HEW2188" s="70"/>
      <c r="HEX2188" s="69"/>
      <c r="HEY2188" s="70"/>
      <c r="HEZ2188" s="69"/>
      <c r="HFA2188" s="70"/>
      <c r="HFB2188" s="69"/>
      <c r="HFC2188" s="70"/>
      <c r="HFD2188" s="69"/>
      <c r="HFE2188" s="70"/>
      <c r="HFF2188" s="69"/>
      <c r="HFG2188" s="70"/>
      <c r="HFH2188" s="69"/>
      <c r="HFI2188" s="70"/>
      <c r="HFJ2188" s="69"/>
      <c r="HFK2188" s="70"/>
      <c r="HFL2188" s="69"/>
      <c r="HFM2188" s="70"/>
      <c r="HFN2188" s="69"/>
      <c r="HFO2188" s="70"/>
      <c r="HFP2188" s="69"/>
      <c r="HFQ2188" s="70"/>
      <c r="HFR2188" s="69"/>
      <c r="HFS2188" s="70"/>
      <c r="HFT2188" s="69"/>
      <c r="HFU2188" s="70"/>
      <c r="HFV2188" s="69"/>
      <c r="HFW2188" s="70"/>
      <c r="HFX2188" s="69"/>
      <c r="HFY2188" s="70"/>
      <c r="HFZ2188" s="69"/>
      <c r="HGA2188" s="70"/>
      <c r="HGB2188" s="69"/>
      <c r="HGC2188" s="70"/>
      <c r="HGD2188" s="69"/>
      <c r="HGE2188" s="70"/>
      <c r="HGF2188" s="69"/>
      <c r="HGG2188" s="70"/>
      <c r="HGH2188" s="69"/>
      <c r="HGI2188" s="70"/>
      <c r="HGJ2188" s="69"/>
      <c r="HGK2188" s="70"/>
      <c r="HGL2188" s="69"/>
      <c r="HGM2188" s="70"/>
      <c r="HGN2188" s="69"/>
      <c r="HGO2188" s="70"/>
      <c r="HGP2188" s="69"/>
      <c r="HGQ2188" s="70"/>
      <c r="HGR2188" s="69"/>
      <c r="HGS2188" s="70"/>
      <c r="HGT2188" s="69"/>
      <c r="HGU2188" s="70"/>
      <c r="HGV2188" s="69"/>
      <c r="HGW2188" s="70"/>
      <c r="HGX2188" s="69"/>
      <c r="HGY2188" s="70"/>
      <c r="HGZ2188" s="69"/>
      <c r="HHA2188" s="70"/>
      <c r="HHB2188" s="69"/>
      <c r="HHC2188" s="70"/>
      <c r="HHD2188" s="69"/>
      <c r="HHE2188" s="70"/>
      <c r="HHF2188" s="69"/>
      <c r="HHG2188" s="70"/>
      <c r="HHH2188" s="69"/>
      <c r="HHI2188" s="70"/>
      <c r="HHJ2188" s="69"/>
      <c r="HHK2188" s="70"/>
      <c r="HHL2188" s="69"/>
      <c r="HHM2188" s="70"/>
      <c r="HHN2188" s="69"/>
      <c r="HHO2188" s="70"/>
      <c r="HHP2188" s="69"/>
      <c r="HHQ2188" s="70"/>
      <c r="HHR2188" s="69"/>
      <c r="HHS2188" s="70"/>
      <c r="HHT2188" s="69"/>
      <c r="HHU2188" s="70"/>
      <c r="HHV2188" s="69"/>
      <c r="HHW2188" s="70"/>
      <c r="HHX2188" s="69"/>
      <c r="HHY2188" s="70"/>
      <c r="HHZ2188" s="69"/>
      <c r="HIA2188" s="70"/>
      <c r="HIB2188" s="69"/>
      <c r="HIC2188" s="70"/>
      <c r="HID2188" s="69"/>
      <c r="HIE2188" s="70"/>
      <c r="HIF2188" s="69"/>
      <c r="HIG2188" s="70"/>
      <c r="HIH2188" s="69"/>
      <c r="HII2188" s="70"/>
      <c r="HIJ2188" s="69"/>
      <c r="HIK2188" s="70"/>
      <c r="HIL2188" s="69"/>
      <c r="HIM2188" s="70"/>
      <c r="HIN2188" s="69"/>
      <c r="HIO2188" s="70"/>
      <c r="HIP2188" s="69"/>
      <c r="HIQ2188" s="70"/>
      <c r="HIR2188" s="69"/>
      <c r="HIS2188" s="70"/>
      <c r="HIT2188" s="69"/>
      <c r="HIU2188" s="70"/>
      <c r="HIV2188" s="69"/>
      <c r="HIW2188" s="70"/>
      <c r="HIX2188" s="69"/>
      <c r="HIY2188" s="70"/>
      <c r="HIZ2188" s="69"/>
      <c r="HJA2188" s="70"/>
      <c r="HJB2188" s="69"/>
      <c r="HJC2188" s="70"/>
      <c r="HJD2188" s="69"/>
      <c r="HJE2188" s="70"/>
      <c r="HJF2188" s="69"/>
      <c r="HJG2188" s="70"/>
      <c r="HJH2188" s="69"/>
      <c r="HJI2188" s="70"/>
      <c r="HJJ2188" s="69"/>
      <c r="HJK2188" s="70"/>
      <c r="HJL2188" s="69"/>
      <c r="HJM2188" s="70"/>
      <c r="HJN2188" s="69"/>
      <c r="HJO2188" s="70"/>
      <c r="HJP2188" s="69"/>
      <c r="HJQ2188" s="70"/>
      <c r="HJR2188" s="69"/>
      <c r="HJS2188" s="70"/>
      <c r="HJT2188" s="69"/>
      <c r="HJU2188" s="70"/>
      <c r="HJV2188" s="69"/>
      <c r="HJW2188" s="70"/>
      <c r="HJX2188" s="69"/>
      <c r="HJY2188" s="70"/>
      <c r="HJZ2188" s="69"/>
      <c r="HKA2188" s="70"/>
      <c r="HKB2188" s="69"/>
      <c r="HKC2188" s="70"/>
      <c r="HKD2188" s="69"/>
      <c r="HKE2188" s="70"/>
      <c r="HKF2188" s="69"/>
      <c r="HKG2188" s="70"/>
      <c r="HKH2188" s="69"/>
      <c r="HKI2188" s="70"/>
      <c r="HKJ2188" s="69"/>
      <c r="HKK2188" s="70"/>
      <c r="HKL2188" s="69"/>
      <c r="HKM2188" s="70"/>
      <c r="HKN2188" s="69"/>
      <c r="HKO2188" s="70"/>
      <c r="HKP2188" s="69"/>
      <c r="HKQ2188" s="70"/>
      <c r="HKR2188" s="69"/>
      <c r="HKS2188" s="70"/>
      <c r="HKT2188" s="69"/>
      <c r="HKU2188" s="70"/>
      <c r="HKV2188" s="69"/>
      <c r="HKW2188" s="70"/>
      <c r="HKX2188" s="69"/>
      <c r="HKY2188" s="70"/>
      <c r="HKZ2188" s="69"/>
      <c r="HLA2188" s="70"/>
      <c r="HLB2188" s="69"/>
      <c r="HLC2188" s="70"/>
      <c r="HLD2188" s="69"/>
      <c r="HLE2188" s="70"/>
      <c r="HLF2188" s="69"/>
      <c r="HLG2188" s="70"/>
      <c r="HLH2188" s="69"/>
      <c r="HLI2188" s="70"/>
      <c r="HLJ2188" s="69"/>
      <c r="HLK2188" s="70"/>
      <c r="HLL2188" s="69"/>
      <c r="HLM2188" s="70"/>
      <c r="HLN2188" s="69"/>
      <c r="HLO2188" s="70"/>
      <c r="HLP2188" s="69"/>
      <c r="HLQ2188" s="70"/>
      <c r="HLR2188" s="69"/>
      <c r="HLS2188" s="70"/>
      <c r="HLT2188" s="69"/>
      <c r="HLU2188" s="70"/>
      <c r="HLV2188" s="69"/>
      <c r="HLW2188" s="70"/>
      <c r="HLX2188" s="69"/>
      <c r="HLY2188" s="70"/>
      <c r="HLZ2188" s="69"/>
      <c r="HMA2188" s="70"/>
      <c r="HMB2188" s="69"/>
      <c r="HMC2188" s="70"/>
      <c r="HMD2188" s="69"/>
      <c r="HME2188" s="70"/>
      <c r="HMF2188" s="69"/>
      <c r="HMG2188" s="70"/>
      <c r="HMH2188" s="69"/>
      <c r="HMI2188" s="70"/>
      <c r="HMJ2188" s="69"/>
      <c r="HMK2188" s="70"/>
      <c r="HML2188" s="69"/>
      <c r="HMM2188" s="70"/>
      <c r="HMN2188" s="69"/>
      <c r="HMO2188" s="70"/>
      <c r="HMP2188" s="69"/>
      <c r="HMQ2188" s="70"/>
      <c r="HMR2188" s="69"/>
      <c r="HMS2188" s="70"/>
      <c r="HMT2188" s="69"/>
      <c r="HMU2188" s="70"/>
      <c r="HMV2188" s="69"/>
      <c r="HMW2188" s="70"/>
      <c r="HMX2188" s="69"/>
      <c r="HMY2188" s="70"/>
      <c r="HMZ2188" s="69"/>
      <c r="HNA2188" s="70"/>
      <c r="HNB2188" s="69"/>
      <c r="HNC2188" s="70"/>
      <c r="HND2188" s="69"/>
      <c r="HNE2188" s="70"/>
      <c r="HNF2188" s="69"/>
      <c r="HNG2188" s="70"/>
      <c r="HNH2188" s="69"/>
      <c r="HNI2188" s="70"/>
      <c r="HNJ2188" s="69"/>
      <c r="HNK2188" s="70"/>
      <c r="HNL2188" s="69"/>
      <c r="HNM2188" s="70"/>
      <c r="HNN2188" s="69"/>
      <c r="HNO2188" s="70"/>
      <c r="HNP2188" s="69"/>
      <c r="HNQ2188" s="70"/>
      <c r="HNR2188" s="69"/>
      <c r="HNS2188" s="70"/>
      <c r="HNT2188" s="69"/>
      <c r="HNU2188" s="70"/>
      <c r="HNV2188" s="69"/>
      <c r="HNW2188" s="70"/>
      <c r="HNX2188" s="69"/>
      <c r="HNY2188" s="70"/>
      <c r="HNZ2188" s="69"/>
      <c r="HOA2188" s="70"/>
      <c r="HOB2188" s="69"/>
      <c r="HOC2188" s="70"/>
      <c r="HOD2188" s="69"/>
      <c r="HOE2188" s="70"/>
      <c r="HOF2188" s="69"/>
      <c r="HOG2188" s="70"/>
      <c r="HOH2188" s="69"/>
      <c r="HOI2188" s="70"/>
      <c r="HOJ2188" s="69"/>
      <c r="HOK2188" s="70"/>
      <c r="HOL2188" s="69"/>
      <c r="HOM2188" s="70"/>
      <c r="HON2188" s="69"/>
      <c r="HOO2188" s="70"/>
      <c r="HOP2188" s="69"/>
      <c r="HOQ2188" s="70"/>
      <c r="HOR2188" s="69"/>
      <c r="HOS2188" s="70"/>
      <c r="HOT2188" s="69"/>
      <c r="HOU2188" s="70"/>
      <c r="HOV2188" s="69"/>
      <c r="HOW2188" s="70"/>
      <c r="HOX2188" s="69"/>
      <c r="HOY2188" s="70"/>
      <c r="HOZ2188" s="69"/>
      <c r="HPA2188" s="70"/>
      <c r="HPB2188" s="69"/>
      <c r="HPC2188" s="70"/>
      <c r="HPD2188" s="69"/>
      <c r="HPE2188" s="70"/>
      <c r="HPF2188" s="69"/>
      <c r="HPG2188" s="70"/>
      <c r="HPH2188" s="69"/>
      <c r="HPI2188" s="70"/>
      <c r="HPJ2188" s="69"/>
      <c r="HPK2188" s="70"/>
      <c r="HPL2188" s="69"/>
      <c r="HPM2188" s="70"/>
      <c r="HPN2188" s="69"/>
      <c r="HPO2188" s="70"/>
      <c r="HPP2188" s="69"/>
      <c r="HPQ2188" s="70"/>
      <c r="HPR2188" s="69"/>
      <c r="HPS2188" s="70"/>
      <c r="HPT2188" s="69"/>
      <c r="HPU2188" s="70"/>
      <c r="HPV2188" s="69"/>
      <c r="HPW2188" s="70"/>
      <c r="HPX2188" s="69"/>
      <c r="HPY2188" s="70"/>
      <c r="HPZ2188" s="69"/>
      <c r="HQA2188" s="70"/>
      <c r="HQB2188" s="69"/>
      <c r="HQC2188" s="70"/>
      <c r="HQD2188" s="69"/>
      <c r="HQE2188" s="70"/>
      <c r="HQF2188" s="69"/>
      <c r="HQG2188" s="70"/>
      <c r="HQH2188" s="69"/>
      <c r="HQI2188" s="70"/>
      <c r="HQJ2188" s="69"/>
      <c r="HQK2188" s="70"/>
      <c r="HQL2188" s="69"/>
      <c r="HQM2188" s="70"/>
      <c r="HQN2188" s="69"/>
      <c r="HQO2188" s="70"/>
      <c r="HQP2188" s="69"/>
      <c r="HQQ2188" s="70"/>
      <c r="HQR2188" s="69"/>
      <c r="HQS2188" s="70"/>
      <c r="HQT2188" s="69"/>
      <c r="HQU2188" s="70"/>
      <c r="HQV2188" s="69"/>
      <c r="HQW2188" s="70"/>
      <c r="HQX2188" s="69"/>
      <c r="HQY2188" s="70"/>
      <c r="HQZ2188" s="69"/>
      <c r="HRA2188" s="70"/>
      <c r="HRB2188" s="69"/>
      <c r="HRC2188" s="70"/>
      <c r="HRD2188" s="69"/>
      <c r="HRE2188" s="70"/>
      <c r="HRF2188" s="69"/>
      <c r="HRG2188" s="70"/>
      <c r="HRH2188" s="69"/>
      <c r="HRI2188" s="70"/>
      <c r="HRJ2188" s="69"/>
      <c r="HRK2188" s="70"/>
      <c r="HRL2188" s="69"/>
      <c r="HRM2188" s="70"/>
      <c r="HRN2188" s="69"/>
      <c r="HRO2188" s="70"/>
      <c r="HRP2188" s="69"/>
      <c r="HRQ2188" s="70"/>
      <c r="HRR2188" s="69"/>
      <c r="HRS2188" s="70"/>
      <c r="HRT2188" s="69"/>
      <c r="HRU2188" s="70"/>
      <c r="HRV2188" s="69"/>
      <c r="HRW2188" s="70"/>
      <c r="HRX2188" s="69"/>
      <c r="HRY2188" s="70"/>
      <c r="HRZ2188" s="69"/>
      <c r="HSA2188" s="70"/>
      <c r="HSB2188" s="69"/>
      <c r="HSC2188" s="70"/>
      <c r="HSD2188" s="69"/>
      <c r="HSE2188" s="70"/>
      <c r="HSF2188" s="69"/>
      <c r="HSG2188" s="70"/>
      <c r="HSH2188" s="69"/>
      <c r="HSI2188" s="70"/>
      <c r="HSJ2188" s="69"/>
      <c r="HSK2188" s="70"/>
      <c r="HSL2188" s="69"/>
      <c r="HSM2188" s="70"/>
      <c r="HSN2188" s="69"/>
      <c r="HSO2188" s="70"/>
      <c r="HSP2188" s="69"/>
      <c r="HSQ2188" s="70"/>
      <c r="HSR2188" s="69"/>
      <c r="HSS2188" s="70"/>
      <c r="HST2188" s="69"/>
      <c r="HSU2188" s="70"/>
      <c r="HSV2188" s="69"/>
      <c r="HSW2188" s="70"/>
      <c r="HSX2188" s="69"/>
      <c r="HSY2188" s="70"/>
      <c r="HSZ2188" s="69"/>
      <c r="HTA2188" s="70"/>
      <c r="HTB2188" s="69"/>
      <c r="HTC2188" s="70"/>
      <c r="HTD2188" s="69"/>
      <c r="HTE2188" s="70"/>
      <c r="HTF2188" s="69"/>
      <c r="HTG2188" s="70"/>
      <c r="HTH2188" s="69"/>
      <c r="HTI2188" s="70"/>
      <c r="HTJ2188" s="69"/>
      <c r="HTK2188" s="70"/>
      <c r="HTL2188" s="69"/>
      <c r="HTM2188" s="70"/>
      <c r="HTN2188" s="69"/>
      <c r="HTO2188" s="70"/>
      <c r="HTP2188" s="69"/>
      <c r="HTQ2188" s="70"/>
      <c r="HTR2188" s="69"/>
      <c r="HTS2188" s="70"/>
      <c r="HTT2188" s="69"/>
      <c r="HTU2188" s="70"/>
      <c r="HTV2188" s="69"/>
      <c r="HTW2188" s="70"/>
      <c r="HTX2188" s="69"/>
      <c r="HTY2188" s="70"/>
      <c r="HTZ2188" s="69"/>
      <c r="HUA2188" s="70"/>
      <c r="HUB2188" s="69"/>
      <c r="HUC2188" s="70"/>
      <c r="HUD2188" s="69"/>
      <c r="HUE2188" s="70"/>
      <c r="HUF2188" s="69"/>
      <c r="HUG2188" s="70"/>
      <c r="HUH2188" s="69"/>
      <c r="HUI2188" s="70"/>
      <c r="HUJ2188" s="69"/>
      <c r="HUK2188" s="70"/>
      <c r="HUL2188" s="69"/>
      <c r="HUM2188" s="70"/>
      <c r="HUN2188" s="69"/>
      <c r="HUO2188" s="70"/>
      <c r="HUP2188" s="69"/>
      <c r="HUQ2188" s="70"/>
      <c r="HUR2188" s="69"/>
      <c r="HUS2188" s="70"/>
      <c r="HUT2188" s="69"/>
      <c r="HUU2188" s="70"/>
      <c r="HUV2188" s="69"/>
      <c r="HUW2188" s="70"/>
      <c r="HUX2188" s="69"/>
      <c r="HUY2188" s="70"/>
      <c r="HUZ2188" s="69"/>
      <c r="HVA2188" s="70"/>
      <c r="HVB2188" s="69"/>
      <c r="HVC2188" s="70"/>
      <c r="HVD2188" s="69"/>
      <c r="HVE2188" s="70"/>
      <c r="HVF2188" s="69"/>
      <c r="HVG2188" s="70"/>
      <c r="HVH2188" s="69"/>
      <c r="HVI2188" s="70"/>
      <c r="HVJ2188" s="69"/>
      <c r="HVK2188" s="70"/>
      <c r="HVL2188" s="69"/>
      <c r="HVM2188" s="70"/>
      <c r="HVN2188" s="69"/>
      <c r="HVO2188" s="70"/>
      <c r="HVP2188" s="69"/>
      <c r="HVQ2188" s="70"/>
      <c r="HVR2188" s="69"/>
      <c r="HVS2188" s="70"/>
      <c r="HVT2188" s="69"/>
      <c r="HVU2188" s="70"/>
      <c r="HVV2188" s="69"/>
      <c r="HVW2188" s="70"/>
      <c r="HVX2188" s="69"/>
      <c r="HVY2188" s="70"/>
      <c r="HVZ2188" s="69"/>
      <c r="HWA2188" s="70"/>
      <c r="HWB2188" s="69"/>
      <c r="HWC2188" s="70"/>
      <c r="HWD2188" s="69"/>
      <c r="HWE2188" s="70"/>
      <c r="HWF2188" s="69"/>
      <c r="HWG2188" s="70"/>
      <c r="HWH2188" s="69"/>
      <c r="HWI2188" s="70"/>
      <c r="HWJ2188" s="69"/>
      <c r="HWK2188" s="70"/>
      <c r="HWL2188" s="69"/>
      <c r="HWM2188" s="70"/>
      <c r="HWN2188" s="69"/>
      <c r="HWO2188" s="70"/>
      <c r="HWP2188" s="69"/>
      <c r="HWQ2188" s="70"/>
      <c r="HWR2188" s="69"/>
      <c r="HWS2188" s="70"/>
      <c r="HWT2188" s="69"/>
      <c r="HWU2188" s="70"/>
      <c r="HWV2188" s="69"/>
      <c r="HWW2188" s="70"/>
      <c r="HWX2188" s="69"/>
      <c r="HWY2188" s="70"/>
      <c r="HWZ2188" s="69"/>
      <c r="HXA2188" s="70"/>
      <c r="HXB2188" s="69"/>
      <c r="HXC2188" s="70"/>
      <c r="HXD2188" s="69"/>
      <c r="HXE2188" s="70"/>
      <c r="HXF2188" s="69"/>
      <c r="HXG2188" s="70"/>
      <c r="HXH2188" s="69"/>
      <c r="HXI2188" s="70"/>
      <c r="HXJ2188" s="69"/>
      <c r="HXK2188" s="70"/>
      <c r="HXL2188" s="69"/>
      <c r="HXM2188" s="70"/>
      <c r="HXN2188" s="69"/>
      <c r="HXO2188" s="70"/>
      <c r="HXP2188" s="69"/>
      <c r="HXQ2188" s="70"/>
      <c r="HXR2188" s="69"/>
      <c r="HXS2188" s="70"/>
      <c r="HXT2188" s="69"/>
      <c r="HXU2188" s="70"/>
      <c r="HXV2188" s="69"/>
      <c r="HXW2188" s="70"/>
      <c r="HXX2188" s="69"/>
      <c r="HXY2188" s="70"/>
      <c r="HXZ2188" s="69"/>
      <c r="HYA2188" s="70"/>
      <c r="HYB2188" s="69"/>
      <c r="HYC2188" s="70"/>
      <c r="HYD2188" s="69"/>
      <c r="HYE2188" s="70"/>
      <c r="HYF2188" s="69"/>
      <c r="HYG2188" s="70"/>
      <c r="HYH2188" s="69"/>
      <c r="HYI2188" s="70"/>
      <c r="HYJ2188" s="69"/>
      <c r="HYK2188" s="70"/>
      <c r="HYL2188" s="69"/>
      <c r="HYM2188" s="70"/>
      <c r="HYN2188" s="69"/>
      <c r="HYO2188" s="70"/>
      <c r="HYP2188" s="69"/>
      <c r="HYQ2188" s="70"/>
      <c r="HYR2188" s="69"/>
      <c r="HYS2188" s="70"/>
      <c r="HYT2188" s="69"/>
      <c r="HYU2188" s="70"/>
      <c r="HYV2188" s="69"/>
      <c r="HYW2188" s="70"/>
      <c r="HYX2188" s="69"/>
      <c r="HYY2188" s="70"/>
      <c r="HYZ2188" s="69"/>
      <c r="HZA2188" s="70"/>
      <c r="HZB2188" s="69"/>
      <c r="HZC2188" s="70"/>
      <c r="HZD2188" s="69"/>
      <c r="HZE2188" s="70"/>
      <c r="HZF2188" s="69"/>
      <c r="HZG2188" s="70"/>
      <c r="HZH2188" s="69"/>
      <c r="HZI2188" s="70"/>
      <c r="HZJ2188" s="69"/>
      <c r="HZK2188" s="70"/>
      <c r="HZL2188" s="69"/>
      <c r="HZM2188" s="70"/>
      <c r="HZN2188" s="69"/>
      <c r="HZO2188" s="70"/>
      <c r="HZP2188" s="69"/>
      <c r="HZQ2188" s="70"/>
      <c r="HZR2188" s="69"/>
      <c r="HZS2188" s="70"/>
      <c r="HZT2188" s="69"/>
      <c r="HZU2188" s="70"/>
      <c r="HZV2188" s="69"/>
      <c r="HZW2188" s="70"/>
      <c r="HZX2188" s="69"/>
      <c r="HZY2188" s="70"/>
      <c r="HZZ2188" s="69"/>
      <c r="IAA2188" s="70"/>
      <c r="IAB2188" s="69"/>
      <c r="IAC2188" s="70"/>
      <c r="IAD2188" s="69"/>
      <c r="IAE2188" s="70"/>
      <c r="IAF2188" s="69"/>
      <c r="IAG2188" s="70"/>
      <c r="IAH2188" s="69"/>
      <c r="IAI2188" s="70"/>
      <c r="IAJ2188" s="69"/>
      <c r="IAK2188" s="70"/>
      <c r="IAL2188" s="69"/>
      <c r="IAM2188" s="70"/>
      <c r="IAN2188" s="69"/>
      <c r="IAO2188" s="70"/>
      <c r="IAP2188" s="69"/>
      <c r="IAQ2188" s="70"/>
      <c r="IAR2188" s="69"/>
      <c r="IAS2188" s="70"/>
      <c r="IAT2188" s="69"/>
      <c r="IAU2188" s="70"/>
      <c r="IAV2188" s="69"/>
      <c r="IAW2188" s="70"/>
      <c r="IAX2188" s="69"/>
      <c r="IAY2188" s="70"/>
      <c r="IAZ2188" s="69"/>
      <c r="IBA2188" s="70"/>
      <c r="IBB2188" s="69"/>
      <c r="IBC2188" s="70"/>
      <c r="IBD2188" s="69"/>
      <c r="IBE2188" s="70"/>
      <c r="IBF2188" s="69"/>
      <c r="IBG2188" s="70"/>
      <c r="IBH2188" s="69"/>
      <c r="IBI2188" s="70"/>
      <c r="IBJ2188" s="69"/>
      <c r="IBK2188" s="70"/>
      <c r="IBL2188" s="69"/>
      <c r="IBM2188" s="70"/>
      <c r="IBN2188" s="69"/>
      <c r="IBO2188" s="70"/>
      <c r="IBP2188" s="69"/>
      <c r="IBQ2188" s="70"/>
      <c r="IBR2188" s="69"/>
      <c r="IBS2188" s="70"/>
      <c r="IBT2188" s="69"/>
      <c r="IBU2188" s="70"/>
      <c r="IBV2188" s="69"/>
      <c r="IBW2188" s="70"/>
      <c r="IBX2188" s="69"/>
      <c r="IBY2188" s="70"/>
      <c r="IBZ2188" s="69"/>
      <c r="ICA2188" s="70"/>
      <c r="ICB2188" s="69"/>
      <c r="ICC2188" s="70"/>
      <c r="ICD2188" s="69"/>
      <c r="ICE2188" s="70"/>
      <c r="ICF2188" s="69"/>
      <c r="ICG2188" s="70"/>
      <c r="ICH2188" s="69"/>
      <c r="ICI2188" s="70"/>
      <c r="ICJ2188" s="69"/>
      <c r="ICK2188" s="70"/>
      <c r="ICL2188" s="69"/>
      <c r="ICM2188" s="70"/>
      <c r="ICN2188" s="69"/>
      <c r="ICO2188" s="70"/>
      <c r="ICP2188" s="69"/>
      <c r="ICQ2188" s="70"/>
      <c r="ICR2188" s="69"/>
      <c r="ICS2188" s="70"/>
      <c r="ICT2188" s="69"/>
      <c r="ICU2188" s="70"/>
      <c r="ICV2188" s="69"/>
      <c r="ICW2188" s="70"/>
      <c r="ICX2188" s="69"/>
      <c r="ICY2188" s="70"/>
      <c r="ICZ2188" s="69"/>
      <c r="IDA2188" s="70"/>
      <c r="IDB2188" s="69"/>
      <c r="IDC2188" s="70"/>
      <c r="IDD2188" s="69"/>
      <c r="IDE2188" s="70"/>
      <c r="IDF2188" s="69"/>
      <c r="IDG2188" s="70"/>
      <c r="IDH2188" s="69"/>
      <c r="IDI2188" s="70"/>
      <c r="IDJ2188" s="69"/>
      <c r="IDK2188" s="70"/>
      <c r="IDL2188" s="69"/>
      <c r="IDM2188" s="70"/>
      <c r="IDN2188" s="69"/>
      <c r="IDO2188" s="70"/>
      <c r="IDP2188" s="69"/>
      <c r="IDQ2188" s="70"/>
      <c r="IDR2188" s="69"/>
      <c r="IDS2188" s="70"/>
      <c r="IDT2188" s="69"/>
      <c r="IDU2188" s="70"/>
      <c r="IDV2188" s="69"/>
      <c r="IDW2188" s="70"/>
      <c r="IDX2188" s="69"/>
      <c r="IDY2188" s="70"/>
      <c r="IDZ2188" s="69"/>
      <c r="IEA2188" s="70"/>
      <c r="IEB2188" s="69"/>
      <c r="IEC2188" s="70"/>
      <c r="IED2188" s="69"/>
      <c r="IEE2188" s="70"/>
      <c r="IEF2188" s="69"/>
      <c r="IEG2188" s="70"/>
      <c r="IEH2188" s="69"/>
      <c r="IEI2188" s="70"/>
      <c r="IEJ2188" s="69"/>
      <c r="IEK2188" s="70"/>
      <c r="IEL2188" s="69"/>
      <c r="IEM2188" s="70"/>
      <c r="IEN2188" s="69"/>
      <c r="IEO2188" s="70"/>
      <c r="IEP2188" s="69"/>
      <c r="IEQ2188" s="70"/>
      <c r="IER2188" s="69"/>
      <c r="IES2188" s="70"/>
      <c r="IET2188" s="69"/>
      <c r="IEU2188" s="70"/>
      <c r="IEV2188" s="69"/>
      <c r="IEW2188" s="70"/>
      <c r="IEX2188" s="69"/>
      <c r="IEY2188" s="70"/>
      <c r="IEZ2188" s="69"/>
      <c r="IFA2188" s="70"/>
      <c r="IFB2188" s="69"/>
      <c r="IFC2188" s="70"/>
      <c r="IFD2188" s="69"/>
      <c r="IFE2188" s="70"/>
      <c r="IFF2188" s="69"/>
      <c r="IFG2188" s="70"/>
      <c r="IFH2188" s="69"/>
      <c r="IFI2188" s="70"/>
      <c r="IFJ2188" s="69"/>
      <c r="IFK2188" s="70"/>
      <c r="IFL2188" s="69"/>
      <c r="IFM2188" s="70"/>
      <c r="IFN2188" s="69"/>
      <c r="IFO2188" s="70"/>
      <c r="IFP2188" s="69"/>
      <c r="IFQ2188" s="70"/>
      <c r="IFR2188" s="69"/>
      <c r="IFS2188" s="70"/>
      <c r="IFT2188" s="69"/>
      <c r="IFU2188" s="70"/>
      <c r="IFV2188" s="69"/>
      <c r="IFW2188" s="70"/>
      <c r="IFX2188" s="69"/>
      <c r="IFY2188" s="70"/>
      <c r="IFZ2188" s="69"/>
      <c r="IGA2188" s="70"/>
      <c r="IGB2188" s="69"/>
      <c r="IGC2188" s="70"/>
      <c r="IGD2188" s="69"/>
      <c r="IGE2188" s="70"/>
      <c r="IGF2188" s="69"/>
      <c r="IGG2188" s="70"/>
      <c r="IGH2188" s="69"/>
      <c r="IGI2188" s="70"/>
      <c r="IGJ2188" s="69"/>
      <c r="IGK2188" s="70"/>
      <c r="IGL2188" s="69"/>
      <c r="IGM2188" s="70"/>
      <c r="IGN2188" s="69"/>
      <c r="IGO2188" s="70"/>
      <c r="IGP2188" s="69"/>
      <c r="IGQ2188" s="70"/>
      <c r="IGR2188" s="69"/>
      <c r="IGS2188" s="70"/>
      <c r="IGT2188" s="69"/>
      <c r="IGU2188" s="70"/>
      <c r="IGV2188" s="69"/>
      <c r="IGW2188" s="70"/>
      <c r="IGX2188" s="69"/>
      <c r="IGY2188" s="70"/>
      <c r="IGZ2188" s="69"/>
      <c r="IHA2188" s="70"/>
      <c r="IHB2188" s="69"/>
      <c r="IHC2188" s="70"/>
      <c r="IHD2188" s="69"/>
      <c r="IHE2188" s="70"/>
      <c r="IHF2188" s="69"/>
      <c r="IHG2188" s="70"/>
      <c r="IHH2188" s="69"/>
      <c r="IHI2188" s="70"/>
      <c r="IHJ2188" s="69"/>
      <c r="IHK2188" s="70"/>
      <c r="IHL2188" s="69"/>
      <c r="IHM2188" s="70"/>
      <c r="IHN2188" s="69"/>
      <c r="IHO2188" s="70"/>
      <c r="IHP2188" s="69"/>
      <c r="IHQ2188" s="70"/>
      <c r="IHR2188" s="69"/>
      <c r="IHS2188" s="70"/>
      <c r="IHT2188" s="69"/>
      <c r="IHU2188" s="70"/>
      <c r="IHV2188" s="69"/>
      <c r="IHW2188" s="70"/>
      <c r="IHX2188" s="69"/>
      <c r="IHY2188" s="70"/>
      <c r="IHZ2188" s="69"/>
      <c r="IIA2188" s="70"/>
      <c r="IIB2188" s="69"/>
      <c r="IIC2188" s="70"/>
      <c r="IID2188" s="69"/>
      <c r="IIE2188" s="70"/>
      <c r="IIF2188" s="69"/>
      <c r="IIG2188" s="70"/>
      <c r="IIH2188" s="69"/>
      <c r="III2188" s="70"/>
      <c r="IIJ2188" s="69"/>
      <c r="IIK2188" s="70"/>
      <c r="IIL2188" s="69"/>
      <c r="IIM2188" s="70"/>
      <c r="IIN2188" s="69"/>
      <c r="IIO2188" s="70"/>
      <c r="IIP2188" s="69"/>
      <c r="IIQ2188" s="70"/>
      <c r="IIR2188" s="69"/>
      <c r="IIS2188" s="70"/>
      <c r="IIT2188" s="69"/>
      <c r="IIU2188" s="70"/>
      <c r="IIV2188" s="69"/>
      <c r="IIW2188" s="70"/>
      <c r="IIX2188" s="69"/>
      <c r="IIY2188" s="70"/>
      <c r="IIZ2188" s="69"/>
      <c r="IJA2188" s="70"/>
      <c r="IJB2188" s="69"/>
      <c r="IJC2188" s="70"/>
      <c r="IJD2188" s="69"/>
      <c r="IJE2188" s="70"/>
      <c r="IJF2188" s="69"/>
      <c r="IJG2188" s="70"/>
      <c r="IJH2188" s="69"/>
      <c r="IJI2188" s="70"/>
      <c r="IJJ2188" s="69"/>
      <c r="IJK2188" s="70"/>
      <c r="IJL2188" s="69"/>
      <c r="IJM2188" s="70"/>
      <c r="IJN2188" s="69"/>
      <c r="IJO2188" s="70"/>
      <c r="IJP2188" s="69"/>
      <c r="IJQ2188" s="70"/>
      <c r="IJR2188" s="69"/>
      <c r="IJS2188" s="70"/>
      <c r="IJT2188" s="69"/>
      <c r="IJU2188" s="70"/>
      <c r="IJV2188" s="69"/>
      <c r="IJW2188" s="70"/>
      <c r="IJX2188" s="69"/>
      <c r="IJY2188" s="70"/>
      <c r="IJZ2188" s="69"/>
      <c r="IKA2188" s="70"/>
      <c r="IKB2188" s="69"/>
      <c r="IKC2188" s="70"/>
      <c r="IKD2188" s="69"/>
      <c r="IKE2188" s="70"/>
      <c r="IKF2188" s="69"/>
      <c r="IKG2188" s="70"/>
      <c r="IKH2188" s="69"/>
      <c r="IKI2188" s="70"/>
      <c r="IKJ2188" s="69"/>
      <c r="IKK2188" s="70"/>
      <c r="IKL2188" s="69"/>
      <c r="IKM2188" s="70"/>
      <c r="IKN2188" s="69"/>
      <c r="IKO2188" s="70"/>
      <c r="IKP2188" s="69"/>
      <c r="IKQ2188" s="70"/>
      <c r="IKR2188" s="69"/>
      <c r="IKS2188" s="70"/>
      <c r="IKT2188" s="69"/>
      <c r="IKU2188" s="70"/>
      <c r="IKV2188" s="69"/>
      <c r="IKW2188" s="70"/>
      <c r="IKX2188" s="69"/>
      <c r="IKY2188" s="70"/>
      <c r="IKZ2188" s="69"/>
      <c r="ILA2188" s="70"/>
      <c r="ILB2188" s="69"/>
      <c r="ILC2188" s="70"/>
      <c r="ILD2188" s="69"/>
      <c r="ILE2188" s="70"/>
      <c r="ILF2188" s="69"/>
      <c r="ILG2188" s="70"/>
      <c r="ILH2188" s="69"/>
      <c r="ILI2188" s="70"/>
      <c r="ILJ2188" s="69"/>
      <c r="ILK2188" s="70"/>
      <c r="ILL2188" s="69"/>
      <c r="ILM2188" s="70"/>
      <c r="ILN2188" s="69"/>
      <c r="ILO2188" s="70"/>
      <c r="ILP2188" s="69"/>
      <c r="ILQ2188" s="70"/>
      <c r="ILR2188" s="69"/>
      <c r="ILS2188" s="70"/>
      <c r="ILT2188" s="69"/>
      <c r="ILU2188" s="70"/>
      <c r="ILV2188" s="69"/>
      <c r="ILW2188" s="70"/>
      <c r="ILX2188" s="69"/>
      <c r="ILY2188" s="70"/>
      <c r="ILZ2188" s="69"/>
      <c r="IMA2188" s="70"/>
      <c r="IMB2188" s="69"/>
      <c r="IMC2188" s="70"/>
      <c r="IMD2188" s="69"/>
      <c r="IME2188" s="70"/>
      <c r="IMF2188" s="69"/>
      <c r="IMG2188" s="70"/>
      <c r="IMH2188" s="69"/>
      <c r="IMI2188" s="70"/>
      <c r="IMJ2188" s="69"/>
      <c r="IMK2188" s="70"/>
      <c r="IML2188" s="69"/>
      <c r="IMM2188" s="70"/>
      <c r="IMN2188" s="69"/>
      <c r="IMO2188" s="70"/>
      <c r="IMP2188" s="69"/>
      <c r="IMQ2188" s="70"/>
      <c r="IMR2188" s="69"/>
      <c r="IMS2188" s="70"/>
      <c r="IMT2188" s="69"/>
      <c r="IMU2188" s="70"/>
      <c r="IMV2188" s="69"/>
      <c r="IMW2188" s="70"/>
      <c r="IMX2188" s="69"/>
      <c r="IMY2188" s="70"/>
      <c r="IMZ2188" s="69"/>
      <c r="INA2188" s="70"/>
      <c r="INB2188" s="69"/>
      <c r="INC2188" s="70"/>
      <c r="IND2188" s="69"/>
      <c r="INE2188" s="70"/>
      <c r="INF2188" s="69"/>
      <c r="ING2188" s="70"/>
      <c r="INH2188" s="69"/>
      <c r="INI2188" s="70"/>
      <c r="INJ2188" s="69"/>
      <c r="INK2188" s="70"/>
      <c r="INL2188" s="69"/>
      <c r="INM2188" s="70"/>
      <c r="INN2188" s="69"/>
      <c r="INO2188" s="70"/>
      <c r="INP2188" s="69"/>
      <c r="INQ2188" s="70"/>
      <c r="INR2188" s="69"/>
      <c r="INS2188" s="70"/>
      <c r="INT2188" s="69"/>
      <c r="INU2188" s="70"/>
      <c r="INV2188" s="69"/>
      <c r="INW2188" s="70"/>
      <c r="INX2188" s="69"/>
      <c r="INY2188" s="70"/>
      <c r="INZ2188" s="69"/>
      <c r="IOA2188" s="70"/>
      <c r="IOB2188" s="69"/>
      <c r="IOC2188" s="70"/>
      <c r="IOD2188" s="69"/>
      <c r="IOE2188" s="70"/>
      <c r="IOF2188" s="69"/>
      <c r="IOG2188" s="70"/>
      <c r="IOH2188" s="69"/>
      <c r="IOI2188" s="70"/>
      <c r="IOJ2188" s="69"/>
      <c r="IOK2188" s="70"/>
      <c r="IOL2188" s="69"/>
      <c r="IOM2188" s="70"/>
      <c r="ION2188" s="69"/>
      <c r="IOO2188" s="70"/>
      <c r="IOP2188" s="69"/>
      <c r="IOQ2188" s="70"/>
      <c r="IOR2188" s="69"/>
      <c r="IOS2188" s="70"/>
      <c r="IOT2188" s="69"/>
      <c r="IOU2188" s="70"/>
      <c r="IOV2188" s="69"/>
      <c r="IOW2188" s="70"/>
      <c r="IOX2188" s="69"/>
      <c r="IOY2188" s="70"/>
      <c r="IOZ2188" s="69"/>
      <c r="IPA2188" s="70"/>
      <c r="IPB2188" s="69"/>
      <c r="IPC2188" s="70"/>
      <c r="IPD2188" s="69"/>
      <c r="IPE2188" s="70"/>
      <c r="IPF2188" s="69"/>
      <c r="IPG2188" s="70"/>
      <c r="IPH2188" s="69"/>
      <c r="IPI2188" s="70"/>
      <c r="IPJ2188" s="69"/>
      <c r="IPK2188" s="70"/>
      <c r="IPL2188" s="69"/>
      <c r="IPM2188" s="70"/>
      <c r="IPN2188" s="69"/>
      <c r="IPO2188" s="70"/>
      <c r="IPP2188" s="69"/>
      <c r="IPQ2188" s="70"/>
      <c r="IPR2188" s="69"/>
      <c r="IPS2188" s="70"/>
      <c r="IPT2188" s="69"/>
      <c r="IPU2188" s="70"/>
      <c r="IPV2188" s="69"/>
      <c r="IPW2188" s="70"/>
      <c r="IPX2188" s="69"/>
      <c r="IPY2188" s="70"/>
      <c r="IPZ2188" s="69"/>
      <c r="IQA2188" s="70"/>
      <c r="IQB2188" s="69"/>
      <c r="IQC2188" s="70"/>
      <c r="IQD2188" s="69"/>
      <c r="IQE2188" s="70"/>
      <c r="IQF2188" s="69"/>
      <c r="IQG2188" s="70"/>
      <c r="IQH2188" s="69"/>
      <c r="IQI2188" s="70"/>
      <c r="IQJ2188" s="69"/>
      <c r="IQK2188" s="70"/>
      <c r="IQL2188" s="69"/>
      <c r="IQM2188" s="70"/>
      <c r="IQN2188" s="69"/>
      <c r="IQO2188" s="70"/>
      <c r="IQP2188" s="69"/>
      <c r="IQQ2188" s="70"/>
      <c r="IQR2188" s="69"/>
      <c r="IQS2188" s="70"/>
      <c r="IQT2188" s="69"/>
      <c r="IQU2188" s="70"/>
      <c r="IQV2188" s="69"/>
      <c r="IQW2188" s="70"/>
      <c r="IQX2188" s="69"/>
      <c r="IQY2188" s="70"/>
      <c r="IQZ2188" s="69"/>
      <c r="IRA2188" s="70"/>
      <c r="IRB2188" s="69"/>
      <c r="IRC2188" s="70"/>
      <c r="IRD2188" s="69"/>
      <c r="IRE2188" s="70"/>
      <c r="IRF2188" s="69"/>
      <c r="IRG2188" s="70"/>
      <c r="IRH2188" s="69"/>
      <c r="IRI2188" s="70"/>
      <c r="IRJ2188" s="69"/>
      <c r="IRK2188" s="70"/>
      <c r="IRL2188" s="69"/>
      <c r="IRM2188" s="70"/>
      <c r="IRN2188" s="69"/>
      <c r="IRO2188" s="70"/>
      <c r="IRP2188" s="69"/>
      <c r="IRQ2188" s="70"/>
      <c r="IRR2188" s="69"/>
      <c r="IRS2188" s="70"/>
      <c r="IRT2188" s="69"/>
      <c r="IRU2188" s="70"/>
      <c r="IRV2188" s="69"/>
      <c r="IRW2188" s="70"/>
      <c r="IRX2188" s="69"/>
      <c r="IRY2188" s="70"/>
      <c r="IRZ2188" s="69"/>
      <c r="ISA2188" s="70"/>
      <c r="ISB2188" s="69"/>
      <c r="ISC2188" s="70"/>
      <c r="ISD2188" s="69"/>
      <c r="ISE2188" s="70"/>
      <c r="ISF2188" s="69"/>
      <c r="ISG2188" s="70"/>
      <c r="ISH2188" s="69"/>
      <c r="ISI2188" s="70"/>
      <c r="ISJ2188" s="69"/>
      <c r="ISK2188" s="70"/>
      <c r="ISL2188" s="69"/>
      <c r="ISM2188" s="70"/>
      <c r="ISN2188" s="69"/>
      <c r="ISO2188" s="70"/>
      <c r="ISP2188" s="69"/>
      <c r="ISQ2188" s="70"/>
      <c r="ISR2188" s="69"/>
      <c r="ISS2188" s="70"/>
      <c r="IST2188" s="69"/>
      <c r="ISU2188" s="70"/>
      <c r="ISV2188" s="69"/>
      <c r="ISW2188" s="70"/>
      <c r="ISX2188" s="69"/>
      <c r="ISY2188" s="70"/>
      <c r="ISZ2188" s="69"/>
      <c r="ITA2188" s="70"/>
      <c r="ITB2188" s="69"/>
      <c r="ITC2188" s="70"/>
      <c r="ITD2188" s="69"/>
      <c r="ITE2188" s="70"/>
      <c r="ITF2188" s="69"/>
      <c r="ITG2188" s="70"/>
      <c r="ITH2188" s="69"/>
      <c r="ITI2188" s="70"/>
      <c r="ITJ2188" s="69"/>
      <c r="ITK2188" s="70"/>
      <c r="ITL2188" s="69"/>
      <c r="ITM2188" s="70"/>
      <c r="ITN2188" s="69"/>
      <c r="ITO2188" s="70"/>
      <c r="ITP2188" s="69"/>
      <c r="ITQ2188" s="70"/>
      <c r="ITR2188" s="69"/>
      <c r="ITS2188" s="70"/>
      <c r="ITT2188" s="69"/>
      <c r="ITU2188" s="70"/>
      <c r="ITV2188" s="69"/>
      <c r="ITW2188" s="70"/>
      <c r="ITX2188" s="69"/>
      <c r="ITY2188" s="70"/>
      <c r="ITZ2188" s="69"/>
      <c r="IUA2188" s="70"/>
      <c r="IUB2188" s="69"/>
      <c r="IUC2188" s="70"/>
      <c r="IUD2188" s="69"/>
      <c r="IUE2188" s="70"/>
      <c r="IUF2188" s="69"/>
      <c r="IUG2188" s="70"/>
      <c r="IUH2188" s="69"/>
      <c r="IUI2188" s="70"/>
      <c r="IUJ2188" s="69"/>
      <c r="IUK2188" s="70"/>
      <c r="IUL2188" s="69"/>
      <c r="IUM2188" s="70"/>
      <c r="IUN2188" s="69"/>
      <c r="IUO2188" s="70"/>
      <c r="IUP2188" s="69"/>
      <c r="IUQ2188" s="70"/>
      <c r="IUR2188" s="69"/>
      <c r="IUS2188" s="70"/>
      <c r="IUT2188" s="69"/>
      <c r="IUU2188" s="70"/>
      <c r="IUV2188" s="69"/>
      <c r="IUW2188" s="70"/>
      <c r="IUX2188" s="69"/>
      <c r="IUY2188" s="70"/>
      <c r="IUZ2188" s="69"/>
      <c r="IVA2188" s="70"/>
      <c r="IVB2188" s="69"/>
      <c r="IVC2188" s="70"/>
      <c r="IVD2188" s="69"/>
      <c r="IVE2188" s="70"/>
      <c r="IVF2188" s="69"/>
      <c r="IVG2188" s="70"/>
      <c r="IVH2188" s="69"/>
      <c r="IVI2188" s="70"/>
      <c r="IVJ2188" s="69"/>
      <c r="IVK2188" s="70"/>
      <c r="IVL2188" s="69"/>
      <c r="IVM2188" s="70"/>
      <c r="IVN2188" s="69"/>
      <c r="IVO2188" s="70"/>
      <c r="IVP2188" s="69"/>
      <c r="IVQ2188" s="70"/>
      <c r="IVR2188" s="69"/>
      <c r="IVS2188" s="70"/>
      <c r="IVT2188" s="69"/>
      <c r="IVU2188" s="70"/>
      <c r="IVV2188" s="69"/>
      <c r="IVW2188" s="70"/>
      <c r="IVX2188" s="69"/>
      <c r="IVY2188" s="70"/>
      <c r="IVZ2188" s="69"/>
      <c r="IWA2188" s="70"/>
      <c r="IWB2188" s="69"/>
      <c r="IWC2188" s="70"/>
      <c r="IWD2188" s="69"/>
      <c r="IWE2188" s="70"/>
      <c r="IWF2188" s="69"/>
      <c r="IWG2188" s="70"/>
      <c r="IWH2188" s="69"/>
      <c r="IWI2188" s="70"/>
      <c r="IWJ2188" s="69"/>
      <c r="IWK2188" s="70"/>
      <c r="IWL2188" s="69"/>
      <c r="IWM2188" s="70"/>
      <c r="IWN2188" s="69"/>
      <c r="IWO2188" s="70"/>
      <c r="IWP2188" s="69"/>
      <c r="IWQ2188" s="70"/>
      <c r="IWR2188" s="69"/>
      <c r="IWS2188" s="70"/>
      <c r="IWT2188" s="69"/>
      <c r="IWU2188" s="70"/>
      <c r="IWV2188" s="69"/>
      <c r="IWW2188" s="70"/>
      <c r="IWX2188" s="69"/>
      <c r="IWY2188" s="70"/>
      <c r="IWZ2188" s="69"/>
      <c r="IXA2188" s="70"/>
      <c r="IXB2188" s="69"/>
      <c r="IXC2188" s="70"/>
      <c r="IXD2188" s="69"/>
      <c r="IXE2188" s="70"/>
      <c r="IXF2188" s="69"/>
      <c r="IXG2188" s="70"/>
      <c r="IXH2188" s="69"/>
      <c r="IXI2188" s="70"/>
      <c r="IXJ2188" s="69"/>
      <c r="IXK2188" s="70"/>
      <c r="IXL2188" s="69"/>
      <c r="IXM2188" s="70"/>
      <c r="IXN2188" s="69"/>
      <c r="IXO2188" s="70"/>
      <c r="IXP2188" s="69"/>
      <c r="IXQ2188" s="70"/>
      <c r="IXR2188" s="69"/>
      <c r="IXS2188" s="70"/>
      <c r="IXT2188" s="69"/>
      <c r="IXU2188" s="70"/>
      <c r="IXV2188" s="69"/>
      <c r="IXW2188" s="70"/>
      <c r="IXX2188" s="69"/>
      <c r="IXY2188" s="70"/>
      <c r="IXZ2188" s="69"/>
      <c r="IYA2188" s="70"/>
      <c r="IYB2188" s="69"/>
      <c r="IYC2188" s="70"/>
      <c r="IYD2188" s="69"/>
      <c r="IYE2188" s="70"/>
      <c r="IYF2188" s="69"/>
      <c r="IYG2188" s="70"/>
      <c r="IYH2188" s="69"/>
      <c r="IYI2188" s="70"/>
      <c r="IYJ2188" s="69"/>
      <c r="IYK2188" s="70"/>
      <c r="IYL2188" s="69"/>
      <c r="IYM2188" s="70"/>
      <c r="IYN2188" s="69"/>
      <c r="IYO2188" s="70"/>
      <c r="IYP2188" s="69"/>
      <c r="IYQ2188" s="70"/>
      <c r="IYR2188" s="69"/>
      <c r="IYS2188" s="70"/>
      <c r="IYT2188" s="69"/>
      <c r="IYU2188" s="70"/>
      <c r="IYV2188" s="69"/>
      <c r="IYW2188" s="70"/>
      <c r="IYX2188" s="69"/>
      <c r="IYY2188" s="70"/>
      <c r="IYZ2188" s="69"/>
      <c r="IZA2188" s="70"/>
      <c r="IZB2188" s="69"/>
      <c r="IZC2188" s="70"/>
      <c r="IZD2188" s="69"/>
      <c r="IZE2188" s="70"/>
      <c r="IZF2188" s="69"/>
      <c r="IZG2188" s="70"/>
      <c r="IZH2188" s="69"/>
      <c r="IZI2188" s="70"/>
      <c r="IZJ2188" s="69"/>
      <c r="IZK2188" s="70"/>
      <c r="IZL2188" s="69"/>
      <c r="IZM2188" s="70"/>
      <c r="IZN2188" s="69"/>
      <c r="IZO2188" s="70"/>
      <c r="IZP2188" s="69"/>
      <c r="IZQ2188" s="70"/>
      <c r="IZR2188" s="69"/>
      <c r="IZS2188" s="70"/>
      <c r="IZT2188" s="69"/>
      <c r="IZU2188" s="70"/>
      <c r="IZV2188" s="69"/>
      <c r="IZW2188" s="70"/>
      <c r="IZX2188" s="69"/>
      <c r="IZY2188" s="70"/>
      <c r="IZZ2188" s="69"/>
      <c r="JAA2188" s="70"/>
      <c r="JAB2188" s="69"/>
      <c r="JAC2188" s="70"/>
      <c r="JAD2188" s="69"/>
      <c r="JAE2188" s="70"/>
      <c r="JAF2188" s="69"/>
      <c r="JAG2188" s="70"/>
      <c r="JAH2188" s="69"/>
      <c r="JAI2188" s="70"/>
      <c r="JAJ2188" s="69"/>
      <c r="JAK2188" s="70"/>
      <c r="JAL2188" s="69"/>
      <c r="JAM2188" s="70"/>
      <c r="JAN2188" s="69"/>
      <c r="JAO2188" s="70"/>
      <c r="JAP2188" s="69"/>
      <c r="JAQ2188" s="70"/>
      <c r="JAR2188" s="69"/>
      <c r="JAS2188" s="70"/>
      <c r="JAT2188" s="69"/>
      <c r="JAU2188" s="70"/>
      <c r="JAV2188" s="69"/>
      <c r="JAW2188" s="70"/>
      <c r="JAX2188" s="69"/>
      <c r="JAY2188" s="70"/>
      <c r="JAZ2188" s="69"/>
      <c r="JBA2188" s="70"/>
      <c r="JBB2188" s="69"/>
      <c r="JBC2188" s="70"/>
      <c r="JBD2188" s="69"/>
      <c r="JBE2188" s="70"/>
      <c r="JBF2188" s="69"/>
      <c r="JBG2188" s="70"/>
      <c r="JBH2188" s="69"/>
      <c r="JBI2188" s="70"/>
      <c r="JBJ2188" s="69"/>
      <c r="JBK2188" s="70"/>
      <c r="JBL2188" s="69"/>
      <c r="JBM2188" s="70"/>
      <c r="JBN2188" s="69"/>
      <c r="JBO2188" s="70"/>
      <c r="JBP2188" s="69"/>
      <c r="JBQ2188" s="70"/>
      <c r="JBR2188" s="69"/>
      <c r="JBS2188" s="70"/>
      <c r="JBT2188" s="69"/>
      <c r="JBU2188" s="70"/>
      <c r="JBV2188" s="69"/>
      <c r="JBW2188" s="70"/>
      <c r="JBX2188" s="69"/>
      <c r="JBY2188" s="70"/>
      <c r="JBZ2188" s="69"/>
      <c r="JCA2188" s="70"/>
      <c r="JCB2188" s="69"/>
      <c r="JCC2188" s="70"/>
      <c r="JCD2188" s="69"/>
      <c r="JCE2188" s="70"/>
      <c r="JCF2188" s="69"/>
      <c r="JCG2188" s="70"/>
      <c r="JCH2188" s="69"/>
      <c r="JCI2188" s="70"/>
      <c r="JCJ2188" s="69"/>
      <c r="JCK2188" s="70"/>
      <c r="JCL2188" s="69"/>
      <c r="JCM2188" s="70"/>
      <c r="JCN2188" s="69"/>
      <c r="JCO2188" s="70"/>
      <c r="JCP2188" s="69"/>
      <c r="JCQ2188" s="70"/>
      <c r="JCR2188" s="69"/>
      <c r="JCS2188" s="70"/>
      <c r="JCT2188" s="69"/>
      <c r="JCU2188" s="70"/>
      <c r="JCV2188" s="69"/>
      <c r="JCW2188" s="70"/>
      <c r="JCX2188" s="69"/>
      <c r="JCY2188" s="70"/>
      <c r="JCZ2188" s="69"/>
      <c r="JDA2188" s="70"/>
      <c r="JDB2188" s="69"/>
      <c r="JDC2188" s="70"/>
      <c r="JDD2188" s="69"/>
      <c r="JDE2188" s="70"/>
      <c r="JDF2188" s="69"/>
      <c r="JDG2188" s="70"/>
      <c r="JDH2188" s="69"/>
      <c r="JDI2188" s="70"/>
      <c r="JDJ2188" s="69"/>
      <c r="JDK2188" s="70"/>
      <c r="JDL2188" s="69"/>
      <c r="JDM2188" s="70"/>
      <c r="JDN2188" s="69"/>
      <c r="JDO2188" s="70"/>
      <c r="JDP2188" s="69"/>
      <c r="JDQ2188" s="70"/>
      <c r="JDR2188" s="69"/>
      <c r="JDS2188" s="70"/>
      <c r="JDT2188" s="69"/>
      <c r="JDU2188" s="70"/>
      <c r="JDV2188" s="69"/>
      <c r="JDW2188" s="70"/>
      <c r="JDX2188" s="69"/>
      <c r="JDY2188" s="70"/>
      <c r="JDZ2188" s="69"/>
      <c r="JEA2188" s="70"/>
      <c r="JEB2188" s="69"/>
      <c r="JEC2188" s="70"/>
      <c r="JED2188" s="69"/>
      <c r="JEE2188" s="70"/>
      <c r="JEF2188" s="69"/>
      <c r="JEG2188" s="70"/>
      <c r="JEH2188" s="69"/>
      <c r="JEI2188" s="70"/>
      <c r="JEJ2188" s="69"/>
      <c r="JEK2188" s="70"/>
      <c r="JEL2188" s="69"/>
      <c r="JEM2188" s="70"/>
      <c r="JEN2188" s="69"/>
      <c r="JEO2188" s="70"/>
      <c r="JEP2188" s="69"/>
      <c r="JEQ2188" s="70"/>
      <c r="JER2188" s="69"/>
      <c r="JES2188" s="70"/>
      <c r="JET2188" s="69"/>
      <c r="JEU2188" s="70"/>
      <c r="JEV2188" s="69"/>
      <c r="JEW2188" s="70"/>
      <c r="JEX2188" s="69"/>
      <c r="JEY2188" s="70"/>
      <c r="JEZ2188" s="69"/>
      <c r="JFA2188" s="70"/>
      <c r="JFB2188" s="69"/>
      <c r="JFC2188" s="70"/>
      <c r="JFD2188" s="69"/>
      <c r="JFE2188" s="70"/>
      <c r="JFF2188" s="69"/>
      <c r="JFG2188" s="70"/>
      <c r="JFH2188" s="69"/>
      <c r="JFI2188" s="70"/>
      <c r="JFJ2188" s="69"/>
      <c r="JFK2188" s="70"/>
      <c r="JFL2188" s="69"/>
      <c r="JFM2188" s="70"/>
      <c r="JFN2188" s="69"/>
      <c r="JFO2188" s="70"/>
      <c r="JFP2188" s="69"/>
      <c r="JFQ2188" s="70"/>
      <c r="JFR2188" s="69"/>
      <c r="JFS2188" s="70"/>
      <c r="JFT2188" s="69"/>
      <c r="JFU2188" s="70"/>
      <c r="JFV2188" s="69"/>
      <c r="JFW2188" s="70"/>
      <c r="JFX2188" s="69"/>
      <c r="JFY2188" s="70"/>
      <c r="JFZ2188" s="69"/>
      <c r="JGA2188" s="70"/>
      <c r="JGB2188" s="69"/>
      <c r="JGC2188" s="70"/>
      <c r="JGD2188" s="69"/>
      <c r="JGE2188" s="70"/>
      <c r="JGF2188" s="69"/>
      <c r="JGG2188" s="70"/>
      <c r="JGH2188" s="69"/>
      <c r="JGI2188" s="70"/>
      <c r="JGJ2188" s="69"/>
      <c r="JGK2188" s="70"/>
      <c r="JGL2188" s="69"/>
      <c r="JGM2188" s="70"/>
      <c r="JGN2188" s="69"/>
      <c r="JGO2188" s="70"/>
      <c r="JGP2188" s="69"/>
      <c r="JGQ2188" s="70"/>
      <c r="JGR2188" s="69"/>
      <c r="JGS2188" s="70"/>
      <c r="JGT2188" s="69"/>
      <c r="JGU2188" s="70"/>
      <c r="JGV2188" s="69"/>
      <c r="JGW2188" s="70"/>
      <c r="JGX2188" s="69"/>
      <c r="JGY2188" s="70"/>
      <c r="JGZ2188" s="69"/>
      <c r="JHA2188" s="70"/>
      <c r="JHB2188" s="69"/>
      <c r="JHC2188" s="70"/>
      <c r="JHD2188" s="69"/>
      <c r="JHE2188" s="70"/>
      <c r="JHF2188" s="69"/>
      <c r="JHG2188" s="70"/>
      <c r="JHH2188" s="69"/>
      <c r="JHI2188" s="70"/>
      <c r="JHJ2188" s="69"/>
      <c r="JHK2188" s="70"/>
      <c r="JHL2188" s="69"/>
      <c r="JHM2188" s="70"/>
      <c r="JHN2188" s="69"/>
      <c r="JHO2188" s="70"/>
      <c r="JHP2188" s="69"/>
      <c r="JHQ2188" s="70"/>
      <c r="JHR2188" s="69"/>
      <c r="JHS2188" s="70"/>
      <c r="JHT2188" s="69"/>
      <c r="JHU2188" s="70"/>
      <c r="JHV2188" s="69"/>
      <c r="JHW2188" s="70"/>
      <c r="JHX2188" s="69"/>
      <c r="JHY2188" s="70"/>
      <c r="JHZ2188" s="69"/>
      <c r="JIA2188" s="70"/>
      <c r="JIB2188" s="69"/>
      <c r="JIC2188" s="70"/>
      <c r="JID2188" s="69"/>
      <c r="JIE2188" s="70"/>
      <c r="JIF2188" s="69"/>
      <c r="JIG2188" s="70"/>
      <c r="JIH2188" s="69"/>
      <c r="JII2188" s="70"/>
      <c r="JIJ2188" s="69"/>
      <c r="JIK2188" s="70"/>
      <c r="JIL2188" s="69"/>
      <c r="JIM2188" s="70"/>
      <c r="JIN2188" s="69"/>
      <c r="JIO2188" s="70"/>
      <c r="JIP2188" s="69"/>
      <c r="JIQ2188" s="70"/>
      <c r="JIR2188" s="69"/>
      <c r="JIS2188" s="70"/>
      <c r="JIT2188" s="69"/>
      <c r="JIU2188" s="70"/>
      <c r="JIV2188" s="69"/>
      <c r="JIW2188" s="70"/>
      <c r="JIX2188" s="69"/>
      <c r="JIY2188" s="70"/>
      <c r="JIZ2188" s="69"/>
      <c r="JJA2188" s="70"/>
      <c r="JJB2188" s="69"/>
      <c r="JJC2188" s="70"/>
      <c r="JJD2188" s="69"/>
      <c r="JJE2188" s="70"/>
      <c r="JJF2188" s="69"/>
      <c r="JJG2188" s="70"/>
      <c r="JJH2188" s="69"/>
      <c r="JJI2188" s="70"/>
      <c r="JJJ2188" s="69"/>
      <c r="JJK2188" s="70"/>
      <c r="JJL2188" s="69"/>
      <c r="JJM2188" s="70"/>
      <c r="JJN2188" s="69"/>
      <c r="JJO2188" s="70"/>
      <c r="JJP2188" s="69"/>
      <c r="JJQ2188" s="70"/>
      <c r="JJR2188" s="69"/>
      <c r="JJS2188" s="70"/>
      <c r="JJT2188" s="69"/>
      <c r="JJU2188" s="70"/>
      <c r="JJV2188" s="69"/>
      <c r="JJW2188" s="70"/>
      <c r="JJX2188" s="69"/>
      <c r="JJY2188" s="70"/>
      <c r="JJZ2188" s="69"/>
      <c r="JKA2188" s="70"/>
      <c r="JKB2188" s="69"/>
      <c r="JKC2188" s="70"/>
      <c r="JKD2188" s="69"/>
      <c r="JKE2188" s="70"/>
      <c r="JKF2188" s="69"/>
      <c r="JKG2188" s="70"/>
      <c r="JKH2188" s="69"/>
      <c r="JKI2188" s="70"/>
      <c r="JKJ2188" s="69"/>
      <c r="JKK2188" s="70"/>
      <c r="JKL2188" s="69"/>
      <c r="JKM2188" s="70"/>
      <c r="JKN2188" s="69"/>
      <c r="JKO2188" s="70"/>
      <c r="JKP2188" s="69"/>
      <c r="JKQ2188" s="70"/>
      <c r="JKR2188" s="69"/>
      <c r="JKS2188" s="70"/>
      <c r="JKT2188" s="69"/>
      <c r="JKU2188" s="70"/>
      <c r="JKV2188" s="69"/>
      <c r="JKW2188" s="70"/>
      <c r="JKX2188" s="69"/>
      <c r="JKY2188" s="70"/>
      <c r="JKZ2188" s="69"/>
      <c r="JLA2188" s="70"/>
      <c r="JLB2188" s="69"/>
      <c r="JLC2188" s="70"/>
      <c r="JLD2188" s="69"/>
      <c r="JLE2188" s="70"/>
      <c r="JLF2188" s="69"/>
      <c r="JLG2188" s="70"/>
      <c r="JLH2188" s="69"/>
      <c r="JLI2188" s="70"/>
      <c r="JLJ2188" s="69"/>
      <c r="JLK2188" s="70"/>
      <c r="JLL2188" s="69"/>
      <c r="JLM2188" s="70"/>
      <c r="JLN2188" s="69"/>
      <c r="JLO2188" s="70"/>
      <c r="JLP2188" s="69"/>
      <c r="JLQ2188" s="70"/>
      <c r="JLR2188" s="69"/>
      <c r="JLS2188" s="70"/>
      <c r="JLT2188" s="69"/>
      <c r="JLU2188" s="70"/>
      <c r="JLV2188" s="69"/>
      <c r="JLW2188" s="70"/>
      <c r="JLX2188" s="69"/>
      <c r="JLY2188" s="70"/>
      <c r="JLZ2188" s="69"/>
      <c r="JMA2188" s="70"/>
      <c r="JMB2188" s="69"/>
      <c r="JMC2188" s="70"/>
      <c r="JMD2188" s="69"/>
      <c r="JME2188" s="70"/>
      <c r="JMF2188" s="69"/>
      <c r="JMG2188" s="70"/>
      <c r="JMH2188" s="69"/>
      <c r="JMI2188" s="70"/>
      <c r="JMJ2188" s="69"/>
      <c r="JMK2188" s="70"/>
      <c r="JML2188" s="69"/>
      <c r="JMM2188" s="70"/>
      <c r="JMN2188" s="69"/>
      <c r="JMO2188" s="70"/>
      <c r="JMP2188" s="69"/>
      <c r="JMQ2188" s="70"/>
      <c r="JMR2188" s="69"/>
      <c r="JMS2188" s="70"/>
      <c r="JMT2188" s="69"/>
      <c r="JMU2188" s="70"/>
      <c r="JMV2188" s="69"/>
      <c r="JMW2188" s="70"/>
      <c r="JMX2188" s="69"/>
      <c r="JMY2188" s="70"/>
      <c r="JMZ2188" s="69"/>
      <c r="JNA2188" s="70"/>
      <c r="JNB2188" s="69"/>
      <c r="JNC2188" s="70"/>
      <c r="JND2188" s="69"/>
      <c r="JNE2188" s="70"/>
      <c r="JNF2188" s="69"/>
      <c r="JNG2188" s="70"/>
      <c r="JNH2188" s="69"/>
      <c r="JNI2188" s="70"/>
      <c r="JNJ2188" s="69"/>
      <c r="JNK2188" s="70"/>
      <c r="JNL2188" s="69"/>
      <c r="JNM2188" s="70"/>
      <c r="JNN2188" s="69"/>
      <c r="JNO2188" s="70"/>
      <c r="JNP2188" s="69"/>
      <c r="JNQ2188" s="70"/>
      <c r="JNR2188" s="69"/>
      <c r="JNS2188" s="70"/>
      <c r="JNT2188" s="69"/>
      <c r="JNU2188" s="70"/>
      <c r="JNV2188" s="69"/>
      <c r="JNW2188" s="70"/>
      <c r="JNX2188" s="69"/>
      <c r="JNY2188" s="70"/>
      <c r="JNZ2188" s="69"/>
      <c r="JOA2188" s="70"/>
      <c r="JOB2188" s="69"/>
      <c r="JOC2188" s="70"/>
      <c r="JOD2188" s="69"/>
      <c r="JOE2188" s="70"/>
      <c r="JOF2188" s="69"/>
      <c r="JOG2188" s="70"/>
      <c r="JOH2188" s="69"/>
      <c r="JOI2188" s="70"/>
      <c r="JOJ2188" s="69"/>
      <c r="JOK2188" s="70"/>
      <c r="JOL2188" s="69"/>
      <c r="JOM2188" s="70"/>
      <c r="JON2188" s="69"/>
      <c r="JOO2188" s="70"/>
      <c r="JOP2188" s="69"/>
      <c r="JOQ2188" s="70"/>
      <c r="JOR2188" s="69"/>
      <c r="JOS2188" s="70"/>
      <c r="JOT2188" s="69"/>
      <c r="JOU2188" s="70"/>
      <c r="JOV2188" s="69"/>
      <c r="JOW2188" s="70"/>
      <c r="JOX2188" s="69"/>
      <c r="JOY2188" s="70"/>
      <c r="JOZ2188" s="69"/>
      <c r="JPA2188" s="70"/>
      <c r="JPB2188" s="69"/>
      <c r="JPC2188" s="70"/>
      <c r="JPD2188" s="69"/>
      <c r="JPE2188" s="70"/>
      <c r="JPF2188" s="69"/>
      <c r="JPG2188" s="70"/>
      <c r="JPH2188" s="69"/>
      <c r="JPI2188" s="70"/>
      <c r="JPJ2188" s="69"/>
      <c r="JPK2188" s="70"/>
      <c r="JPL2188" s="69"/>
      <c r="JPM2188" s="70"/>
      <c r="JPN2188" s="69"/>
      <c r="JPO2188" s="70"/>
      <c r="JPP2188" s="69"/>
      <c r="JPQ2188" s="70"/>
      <c r="JPR2188" s="69"/>
      <c r="JPS2188" s="70"/>
      <c r="JPT2188" s="69"/>
      <c r="JPU2188" s="70"/>
      <c r="JPV2188" s="69"/>
      <c r="JPW2188" s="70"/>
      <c r="JPX2188" s="69"/>
      <c r="JPY2188" s="70"/>
      <c r="JPZ2188" s="69"/>
      <c r="JQA2188" s="70"/>
      <c r="JQB2188" s="69"/>
      <c r="JQC2188" s="70"/>
      <c r="JQD2188" s="69"/>
      <c r="JQE2188" s="70"/>
      <c r="JQF2188" s="69"/>
      <c r="JQG2188" s="70"/>
      <c r="JQH2188" s="69"/>
      <c r="JQI2188" s="70"/>
      <c r="JQJ2188" s="69"/>
      <c r="JQK2188" s="70"/>
      <c r="JQL2188" s="69"/>
      <c r="JQM2188" s="70"/>
      <c r="JQN2188" s="69"/>
      <c r="JQO2188" s="70"/>
      <c r="JQP2188" s="69"/>
      <c r="JQQ2188" s="70"/>
      <c r="JQR2188" s="69"/>
      <c r="JQS2188" s="70"/>
      <c r="JQT2188" s="69"/>
      <c r="JQU2188" s="70"/>
      <c r="JQV2188" s="69"/>
      <c r="JQW2188" s="70"/>
      <c r="JQX2188" s="69"/>
      <c r="JQY2188" s="70"/>
      <c r="JQZ2188" s="69"/>
      <c r="JRA2188" s="70"/>
      <c r="JRB2188" s="69"/>
      <c r="JRC2188" s="70"/>
      <c r="JRD2188" s="69"/>
      <c r="JRE2188" s="70"/>
      <c r="JRF2188" s="69"/>
      <c r="JRG2188" s="70"/>
      <c r="JRH2188" s="69"/>
      <c r="JRI2188" s="70"/>
      <c r="JRJ2188" s="69"/>
      <c r="JRK2188" s="70"/>
      <c r="JRL2188" s="69"/>
      <c r="JRM2188" s="70"/>
      <c r="JRN2188" s="69"/>
      <c r="JRO2188" s="70"/>
      <c r="JRP2188" s="69"/>
      <c r="JRQ2188" s="70"/>
      <c r="JRR2188" s="69"/>
      <c r="JRS2188" s="70"/>
      <c r="JRT2188" s="69"/>
      <c r="JRU2188" s="70"/>
      <c r="JRV2188" s="69"/>
      <c r="JRW2188" s="70"/>
      <c r="JRX2188" s="69"/>
      <c r="JRY2188" s="70"/>
      <c r="JRZ2188" s="69"/>
      <c r="JSA2188" s="70"/>
      <c r="JSB2188" s="69"/>
      <c r="JSC2188" s="70"/>
      <c r="JSD2188" s="69"/>
      <c r="JSE2188" s="70"/>
      <c r="JSF2188" s="69"/>
      <c r="JSG2188" s="70"/>
      <c r="JSH2188" s="69"/>
      <c r="JSI2188" s="70"/>
      <c r="JSJ2188" s="69"/>
      <c r="JSK2188" s="70"/>
      <c r="JSL2188" s="69"/>
      <c r="JSM2188" s="70"/>
      <c r="JSN2188" s="69"/>
      <c r="JSO2188" s="70"/>
      <c r="JSP2188" s="69"/>
      <c r="JSQ2188" s="70"/>
      <c r="JSR2188" s="69"/>
      <c r="JSS2188" s="70"/>
      <c r="JST2188" s="69"/>
      <c r="JSU2188" s="70"/>
      <c r="JSV2188" s="69"/>
      <c r="JSW2188" s="70"/>
      <c r="JSX2188" s="69"/>
      <c r="JSY2188" s="70"/>
      <c r="JSZ2188" s="69"/>
      <c r="JTA2188" s="70"/>
      <c r="JTB2188" s="69"/>
      <c r="JTC2188" s="70"/>
      <c r="JTD2188" s="69"/>
      <c r="JTE2188" s="70"/>
      <c r="JTF2188" s="69"/>
      <c r="JTG2188" s="70"/>
      <c r="JTH2188" s="69"/>
      <c r="JTI2188" s="70"/>
      <c r="JTJ2188" s="69"/>
      <c r="JTK2188" s="70"/>
      <c r="JTL2188" s="69"/>
      <c r="JTM2188" s="70"/>
      <c r="JTN2188" s="69"/>
      <c r="JTO2188" s="70"/>
      <c r="JTP2188" s="69"/>
      <c r="JTQ2188" s="70"/>
      <c r="JTR2188" s="69"/>
      <c r="JTS2188" s="70"/>
      <c r="JTT2188" s="69"/>
      <c r="JTU2188" s="70"/>
      <c r="JTV2188" s="69"/>
      <c r="JTW2188" s="70"/>
      <c r="JTX2188" s="69"/>
      <c r="JTY2188" s="70"/>
      <c r="JTZ2188" s="69"/>
      <c r="JUA2188" s="70"/>
      <c r="JUB2188" s="69"/>
      <c r="JUC2188" s="70"/>
      <c r="JUD2188" s="69"/>
      <c r="JUE2188" s="70"/>
      <c r="JUF2188" s="69"/>
      <c r="JUG2188" s="70"/>
      <c r="JUH2188" s="69"/>
      <c r="JUI2188" s="70"/>
      <c r="JUJ2188" s="69"/>
      <c r="JUK2188" s="70"/>
      <c r="JUL2188" s="69"/>
      <c r="JUM2188" s="70"/>
      <c r="JUN2188" s="69"/>
      <c r="JUO2188" s="70"/>
      <c r="JUP2188" s="69"/>
      <c r="JUQ2188" s="70"/>
      <c r="JUR2188" s="69"/>
      <c r="JUS2188" s="70"/>
      <c r="JUT2188" s="69"/>
      <c r="JUU2188" s="70"/>
      <c r="JUV2188" s="69"/>
      <c r="JUW2188" s="70"/>
      <c r="JUX2188" s="69"/>
      <c r="JUY2188" s="70"/>
      <c r="JUZ2188" s="69"/>
      <c r="JVA2188" s="70"/>
      <c r="JVB2188" s="69"/>
      <c r="JVC2188" s="70"/>
      <c r="JVD2188" s="69"/>
      <c r="JVE2188" s="70"/>
      <c r="JVF2188" s="69"/>
      <c r="JVG2188" s="70"/>
      <c r="JVH2188" s="69"/>
      <c r="JVI2188" s="70"/>
      <c r="JVJ2188" s="69"/>
      <c r="JVK2188" s="70"/>
      <c r="JVL2188" s="69"/>
      <c r="JVM2188" s="70"/>
      <c r="JVN2188" s="69"/>
      <c r="JVO2188" s="70"/>
      <c r="JVP2188" s="69"/>
      <c r="JVQ2188" s="70"/>
      <c r="JVR2188" s="69"/>
      <c r="JVS2188" s="70"/>
      <c r="JVT2188" s="69"/>
      <c r="JVU2188" s="70"/>
      <c r="JVV2188" s="69"/>
      <c r="JVW2188" s="70"/>
      <c r="JVX2188" s="69"/>
      <c r="JVY2188" s="70"/>
      <c r="JVZ2188" s="69"/>
      <c r="JWA2188" s="70"/>
      <c r="JWB2188" s="69"/>
      <c r="JWC2188" s="70"/>
      <c r="JWD2188" s="69"/>
      <c r="JWE2188" s="70"/>
      <c r="JWF2188" s="69"/>
      <c r="JWG2188" s="70"/>
      <c r="JWH2188" s="69"/>
      <c r="JWI2188" s="70"/>
      <c r="JWJ2188" s="69"/>
      <c r="JWK2188" s="70"/>
      <c r="JWL2188" s="69"/>
      <c r="JWM2188" s="70"/>
      <c r="JWN2188" s="69"/>
      <c r="JWO2188" s="70"/>
      <c r="JWP2188" s="69"/>
      <c r="JWQ2188" s="70"/>
      <c r="JWR2188" s="69"/>
      <c r="JWS2188" s="70"/>
      <c r="JWT2188" s="69"/>
      <c r="JWU2188" s="70"/>
      <c r="JWV2188" s="69"/>
      <c r="JWW2188" s="70"/>
      <c r="JWX2188" s="69"/>
      <c r="JWY2188" s="70"/>
      <c r="JWZ2188" s="69"/>
      <c r="JXA2188" s="70"/>
      <c r="JXB2188" s="69"/>
      <c r="JXC2188" s="70"/>
      <c r="JXD2188" s="69"/>
      <c r="JXE2188" s="70"/>
      <c r="JXF2188" s="69"/>
      <c r="JXG2188" s="70"/>
      <c r="JXH2188" s="69"/>
      <c r="JXI2188" s="70"/>
      <c r="JXJ2188" s="69"/>
      <c r="JXK2188" s="70"/>
      <c r="JXL2188" s="69"/>
      <c r="JXM2188" s="70"/>
      <c r="JXN2188" s="69"/>
      <c r="JXO2188" s="70"/>
      <c r="JXP2188" s="69"/>
      <c r="JXQ2188" s="70"/>
      <c r="JXR2188" s="69"/>
      <c r="JXS2188" s="70"/>
      <c r="JXT2188" s="69"/>
      <c r="JXU2188" s="70"/>
      <c r="JXV2188" s="69"/>
      <c r="JXW2188" s="70"/>
      <c r="JXX2188" s="69"/>
      <c r="JXY2188" s="70"/>
      <c r="JXZ2188" s="69"/>
      <c r="JYA2188" s="70"/>
      <c r="JYB2188" s="69"/>
      <c r="JYC2188" s="70"/>
      <c r="JYD2188" s="69"/>
      <c r="JYE2188" s="70"/>
      <c r="JYF2188" s="69"/>
      <c r="JYG2188" s="70"/>
      <c r="JYH2188" s="69"/>
      <c r="JYI2188" s="70"/>
      <c r="JYJ2188" s="69"/>
      <c r="JYK2188" s="70"/>
      <c r="JYL2188" s="69"/>
      <c r="JYM2188" s="70"/>
      <c r="JYN2188" s="69"/>
      <c r="JYO2188" s="70"/>
      <c r="JYP2188" s="69"/>
      <c r="JYQ2188" s="70"/>
      <c r="JYR2188" s="69"/>
      <c r="JYS2188" s="70"/>
      <c r="JYT2188" s="69"/>
      <c r="JYU2188" s="70"/>
      <c r="JYV2188" s="69"/>
      <c r="JYW2188" s="70"/>
      <c r="JYX2188" s="69"/>
      <c r="JYY2188" s="70"/>
      <c r="JYZ2188" s="69"/>
      <c r="JZA2188" s="70"/>
      <c r="JZB2188" s="69"/>
      <c r="JZC2188" s="70"/>
      <c r="JZD2188" s="69"/>
      <c r="JZE2188" s="70"/>
      <c r="JZF2188" s="69"/>
      <c r="JZG2188" s="70"/>
      <c r="JZH2188" s="69"/>
      <c r="JZI2188" s="70"/>
      <c r="JZJ2188" s="69"/>
      <c r="JZK2188" s="70"/>
      <c r="JZL2188" s="69"/>
      <c r="JZM2188" s="70"/>
      <c r="JZN2188" s="69"/>
      <c r="JZO2188" s="70"/>
      <c r="JZP2188" s="69"/>
      <c r="JZQ2188" s="70"/>
      <c r="JZR2188" s="69"/>
      <c r="JZS2188" s="70"/>
      <c r="JZT2188" s="69"/>
      <c r="JZU2188" s="70"/>
      <c r="JZV2188" s="69"/>
      <c r="JZW2188" s="70"/>
      <c r="JZX2188" s="69"/>
      <c r="JZY2188" s="70"/>
      <c r="JZZ2188" s="69"/>
      <c r="KAA2188" s="70"/>
      <c r="KAB2188" s="69"/>
      <c r="KAC2188" s="70"/>
      <c r="KAD2188" s="69"/>
      <c r="KAE2188" s="70"/>
      <c r="KAF2188" s="69"/>
      <c r="KAG2188" s="70"/>
      <c r="KAH2188" s="69"/>
      <c r="KAI2188" s="70"/>
      <c r="KAJ2188" s="69"/>
      <c r="KAK2188" s="70"/>
      <c r="KAL2188" s="69"/>
      <c r="KAM2188" s="70"/>
      <c r="KAN2188" s="69"/>
      <c r="KAO2188" s="70"/>
      <c r="KAP2188" s="69"/>
      <c r="KAQ2188" s="70"/>
      <c r="KAR2188" s="69"/>
      <c r="KAS2188" s="70"/>
      <c r="KAT2188" s="69"/>
      <c r="KAU2188" s="70"/>
      <c r="KAV2188" s="69"/>
      <c r="KAW2188" s="70"/>
      <c r="KAX2188" s="69"/>
      <c r="KAY2188" s="70"/>
      <c r="KAZ2188" s="69"/>
      <c r="KBA2188" s="70"/>
      <c r="KBB2188" s="69"/>
      <c r="KBC2188" s="70"/>
      <c r="KBD2188" s="69"/>
      <c r="KBE2188" s="70"/>
      <c r="KBF2188" s="69"/>
      <c r="KBG2188" s="70"/>
      <c r="KBH2188" s="69"/>
      <c r="KBI2188" s="70"/>
      <c r="KBJ2188" s="69"/>
      <c r="KBK2188" s="70"/>
      <c r="KBL2188" s="69"/>
      <c r="KBM2188" s="70"/>
      <c r="KBN2188" s="69"/>
      <c r="KBO2188" s="70"/>
      <c r="KBP2188" s="69"/>
      <c r="KBQ2188" s="70"/>
      <c r="KBR2188" s="69"/>
      <c r="KBS2188" s="70"/>
      <c r="KBT2188" s="69"/>
      <c r="KBU2188" s="70"/>
      <c r="KBV2188" s="69"/>
      <c r="KBW2188" s="70"/>
      <c r="KBX2188" s="69"/>
      <c r="KBY2188" s="70"/>
      <c r="KBZ2188" s="69"/>
      <c r="KCA2188" s="70"/>
      <c r="KCB2188" s="69"/>
      <c r="KCC2188" s="70"/>
      <c r="KCD2188" s="69"/>
      <c r="KCE2188" s="70"/>
      <c r="KCF2188" s="69"/>
      <c r="KCG2188" s="70"/>
      <c r="KCH2188" s="69"/>
      <c r="KCI2188" s="70"/>
      <c r="KCJ2188" s="69"/>
      <c r="KCK2188" s="70"/>
      <c r="KCL2188" s="69"/>
      <c r="KCM2188" s="70"/>
      <c r="KCN2188" s="69"/>
      <c r="KCO2188" s="70"/>
      <c r="KCP2188" s="69"/>
      <c r="KCQ2188" s="70"/>
      <c r="KCR2188" s="69"/>
      <c r="KCS2188" s="70"/>
      <c r="KCT2188" s="69"/>
      <c r="KCU2188" s="70"/>
      <c r="KCV2188" s="69"/>
      <c r="KCW2188" s="70"/>
      <c r="KCX2188" s="69"/>
      <c r="KCY2188" s="70"/>
      <c r="KCZ2188" s="69"/>
      <c r="KDA2188" s="70"/>
      <c r="KDB2188" s="69"/>
      <c r="KDC2188" s="70"/>
      <c r="KDD2188" s="69"/>
      <c r="KDE2188" s="70"/>
      <c r="KDF2188" s="69"/>
      <c r="KDG2188" s="70"/>
      <c r="KDH2188" s="69"/>
      <c r="KDI2188" s="70"/>
      <c r="KDJ2188" s="69"/>
      <c r="KDK2188" s="70"/>
      <c r="KDL2188" s="69"/>
      <c r="KDM2188" s="70"/>
      <c r="KDN2188" s="69"/>
      <c r="KDO2188" s="70"/>
      <c r="KDP2188" s="69"/>
      <c r="KDQ2188" s="70"/>
      <c r="KDR2188" s="69"/>
      <c r="KDS2188" s="70"/>
      <c r="KDT2188" s="69"/>
      <c r="KDU2188" s="70"/>
      <c r="KDV2188" s="69"/>
      <c r="KDW2188" s="70"/>
      <c r="KDX2188" s="69"/>
      <c r="KDY2188" s="70"/>
      <c r="KDZ2188" s="69"/>
      <c r="KEA2188" s="70"/>
      <c r="KEB2188" s="69"/>
      <c r="KEC2188" s="70"/>
      <c r="KED2188" s="69"/>
      <c r="KEE2188" s="70"/>
      <c r="KEF2188" s="69"/>
      <c r="KEG2188" s="70"/>
      <c r="KEH2188" s="69"/>
      <c r="KEI2188" s="70"/>
      <c r="KEJ2188" s="69"/>
      <c r="KEK2188" s="70"/>
      <c r="KEL2188" s="69"/>
      <c r="KEM2188" s="70"/>
      <c r="KEN2188" s="69"/>
      <c r="KEO2188" s="70"/>
      <c r="KEP2188" s="69"/>
      <c r="KEQ2188" s="70"/>
      <c r="KER2188" s="69"/>
      <c r="KES2188" s="70"/>
      <c r="KET2188" s="69"/>
      <c r="KEU2188" s="70"/>
      <c r="KEV2188" s="69"/>
      <c r="KEW2188" s="70"/>
      <c r="KEX2188" s="69"/>
      <c r="KEY2188" s="70"/>
      <c r="KEZ2188" s="69"/>
      <c r="KFA2188" s="70"/>
      <c r="KFB2188" s="69"/>
      <c r="KFC2188" s="70"/>
      <c r="KFD2188" s="69"/>
      <c r="KFE2188" s="70"/>
      <c r="KFF2188" s="69"/>
      <c r="KFG2188" s="70"/>
      <c r="KFH2188" s="69"/>
      <c r="KFI2188" s="70"/>
      <c r="KFJ2188" s="69"/>
      <c r="KFK2188" s="70"/>
      <c r="KFL2188" s="69"/>
      <c r="KFM2188" s="70"/>
      <c r="KFN2188" s="69"/>
      <c r="KFO2188" s="70"/>
      <c r="KFP2188" s="69"/>
      <c r="KFQ2188" s="70"/>
      <c r="KFR2188" s="69"/>
      <c r="KFS2188" s="70"/>
      <c r="KFT2188" s="69"/>
      <c r="KFU2188" s="70"/>
      <c r="KFV2188" s="69"/>
      <c r="KFW2188" s="70"/>
      <c r="KFX2188" s="69"/>
      <c r="KFY2188" s="70"/>
      <c r="KFZ2188" s="69"/>
      <c r="KGA2188" s="70"/>
      <c r="KGB2188" s="69"/>
      <c r="KGC2188" s="70"/>
      <c r="KGD2188" s="69"/>
      <c r="KGE2188" s="70"/>
      <c r="KGF2188" s="69"/>
      <c r="KGG2188" s="70"/>
      <c r="KGH2188" s="69"/>
      <c r="KGI2188" s="70"/>
      <c r="KGJ2188" s="69"/>
      <c r="KGK2188" s="70"/>
      <c r="KGL2188" s="69"/>
      <c r="KGM2188" s="70"/>
      <c r="KGN2188" s="69"/>
      <c r="KGO2188" s="70"/>
      <c r="KGP2188" s="69"/>
      <c r="KGQ2188" s="70"/>
      <c r="KGR2188" s="69"/>
      <c r="KGS2188" s="70"/>
      <c r="KGT2188" s="69"/>
      <c r="KGU2188" s="70"/>
      <c r="KGV2188" s="69"/>
      <c r="KGW2188" s="70"/>
      <c r="KGX2188" s="69"/>
      <c r="KGY2188" s="70"/>
      <c r="KGZ2188" s="69"/>
      <c r="KHA2188" s="70"/>
      <c r="KHB2188" s="69"/>
      <c r="KHC2188" s="70"/>
      <c r="KHD2188" s="69"/>
      <c r="KHE2188" s="70"/>
      <c r="KHF2188" s="69"/>
      <c r="KHG2188" s="70"/>
      <c r="KHH2188" s="69"/>
      <c r="KHI2188" s="70"/>
      <c r="KHJ2188" s="69"/>
      <c r="KHK2188" s="70"/>
      <c r="KHL2188" s="69"/>
      <c r="KHM2188" s="70"/>
      <c r="KHN2188" s="69"/>
      <c r="KHO2188" s="70"/>
      <c r="KHP2188" s="69"/>
      <c r="KHQ2188" s="70"/>
      <c r="KHR2188" s="69"/>
      <c r="KHS2188" s="70"/>
      <c r="KHT2188" s="69"/>
      <c r="KHU2188" s="70"/>
      <c r="KHV2188" s="69"/>
      <c r="KHW2188" s="70"/>
      <c r="KHX2188" s="69"/>
      <c r="KHY2188" s="70"/>
      <c r="KHZ2188" s="69"/>
      <c r="KIA2188" s="70"/>
      <c r="KIB2188" s="69"/>
      <c r="KIC2188" s="70"/>
      <c r="KID2188" s="69"/>
      <c r="KIE2188" s="70"/>
      <c r="KIF2188" s="69"/>
      <c r="KIG2188" s="70"/>
      <c r="KIH2188" s="69"/>
      <c r="KII2188" s="70"/>
      <c r="KIJ2188" s="69"/>
      <c r="KIK2188" s="70"/>
      <c r="KIL2188" s="69"/>
      <c r="KIM2188" s="70"/>
      <c r="KIN2188" s="69"/>
      <c r="KIO2188" s="70"/>
      <c r="KIP2188" s="69"/>
      <c r="KIQ2188" s="70"/>
      <c r="KIR2188" s="69"/>
      <c r="KIS2188" s="70"/>
      <c r="KIT2188" s="69"/>
      <c r="KIU2188" s="70"/>
      <c r="KIV2188" s="69"/>
      <c r="KIW2188" s="70"/>
      <c r="KIX2188" s="69"/>
      <c r="KIY2188" s="70"/>
      <c r="KIZ2188" s="69"/>
      <c r="KJA2188" s="70"/>
      <c r="KJB2188" s="69"/>
      <c r="KJC2188" s="70"/>
      <c r="KJD2188" s="69"/>
      <c r="KJE2188" s="70"/>
      <c r="KJF2188" s="69"/>
      <c r="KJG2188" s="70"/>
      <c r="KJH2188" s="69"/>
      <c r="KJI2188" s="70"/>
      <c r="KJJ2188" s="69"/>
      <c r="KJK2188" s="70"/>
      <c r="KJL2188" s="69"/>
      <c r="KJM2188" s="70"/>
      <c r="KJN2188" s="69"/>
      <c r="KJO2188" s="70"/>
      <c r="KJP2188" s="69"/>
      <c r="KJQ2188" s="70"/>
      <c r="KJR2188" s="69"/>
      <c r="KJS2188" s="70"/>
      <c r="KJT2188" s="69"/>
      <c r="KJU2188" s="70"/>
      <c r="KJV2188" s="69"/>
      <c r="KJW2188" s="70"/>
      <c r="KJX2188" s="69"/>
      <c r="KJY2188" s="70"/>
      <c r="KJZ2188" s="69"/>
      <c r="KKA2188" s="70"/>
      <c r="KKB2188" s="69"/>
      <c r="KKC2188" s="70"/>
      <c r="KKD2188" s="69"/>
      <c r="KKE2188" s="70"/>
      <c r="KKF2188" s="69"/>
      <c r="KKG2188" s="70"/>
      <c r="KKH2188" s="69"/>
      <c r="KKI2188" s="70"/>
      <c r="KKJ2188" s="69"/>
      <c r="KKK2188" s="70"/>
      <c r="KKL2188" s="69"/>
      <c r="KKM2188" s="70"/>
      <c r="KKN2188" s="69"/>
      <c r="KKO2188" s="70"/>
      <c r="KKP2188" s="69"/>
      <c r="KKQ2188" s="70"/>
      <c r="KKR2188" s="69"/>
      <c r="KKS2188" s="70"/>
      <c r="KKT2188" s="69"/>
      <c r="KKU2188" s="70"/>
      <c r="KKV2188" s="69"/>
      <c r="KKW2188" s="70"/>
      <c r="KKX2188" s="69"/>
      <c r="KKY2188" s="70"/>
      <c r="KKZ2188" s="69"/>
      <c r="KLA2188" s="70"/>
      <c r="KLB2188" s="69"/>
      <c r="KLC2188" s="70"/>
      <c r="KLD2188" s="69"/>
      <c r="KLE2188" s="70"/>
      <c r="KLF2188" s="69"/>
      <c r="KLG2188" s="70"/>
      <c r="KLH2188" s="69"/>
      <c r="KLI2188" s="70"/>
      <c r="KLJ2188" s="69"/>
      <c r="KLK2188" s="70"/>
      <c r="KLL2188" s="69"/>
      <c r="KLM2188" s="70"/>
      <c r="KLN2188" s="69"/>
      <c r="KLO2188" s="70"/>
      <c r="KLP2188" s="69"/>
      <c r="KLQ2188" s="70"/>
      <c r="KLR2188" s="69"/>
      <c r="KLS2188" s="70"/>
      <c r="KLT2188" s="69"/>
      <c r="KLU2188" s="70"/>
      <c r="KLV2188" s="69"/>
      <c r="KLW2188" s="70"/>
      <c r="KLX2188" s="69"/>
      <c r="KLY2188" s="70"/>
      <c r="KLZ2188" s="69"/>
      <c r="KMA2188" s="70"/>
      <c r="KMB2188" s="69"/>
      <c r="KMC2188" s="70"/>
      <c r="KMD2188" s="69"/>
      <c r="KME2188" s="70"/>
      <c r="KMF2188" s="69"/>
      <c r="KMG2188" s="70"/>
      <c r="KMH2188" s="69"/>
      <c r="KMI2188" s="70"/>
      <c r="KMJ2188" s="69"/>
      <c r="KMK2188" s="70"/>
      <c r="KML2188" s="69"/>
      <c r="KMM2188" s="70"/>
      <c r="KMN2188" s="69"/>
      <c r="KMO2188" s="70"/>
      <c r="KMP2188" s="69"/>
      <c r="KMQ2188" s="70"/>
      <c r="KMR2188" s="69"/>
      <c r="KMS2188" s="70"/>
      <c r="KMT2188" s="69"/>
      <c r="KMU2188" s="70"/>
      <c r="KMV2188" s="69"/>
      <c r="KMW2188" s="70"/>
      <c r="KMX2188" s="69"/>
      <c r="KMY2188" s="70"/>
      <c r="KMZ2188" s="69"/>
      <c r="KNA2188" s="70"/>
      <c r="KNB2188" s="69"/>
      <c r="KNC2188" s="70"/>
      <c r="KND2188" s="69"/>
      <c r="KNE2188" s="70"/>
      <c r="KNF2188" s="69"/>
      <c r="KNG2188" s="70"/>
      <c r="KNH2188" s="69"/>
      <c r="KNI2188" s="70"/>
      <c r="KNJ2188" s="69"/>
      <c r="KNK2188" s="70"/>
      <c r="KNL2188" s="69"/>
      <c r="KNM2188" s="70"/>
      <c r="KNN2188" s="69"/>
      <c r="KNO2188" s="70"/>
      <c r="KNP2188" s="69"/>
      <c r="KNQ2188" s="70"/>
      <c r="KNR2188" s="69"/>
      <c r="KNS2188" s="70"/>
      <c r="KNT2188" s="69"/>
      <c r="KNU2188" s="70"/>
      <c r="KNV2188" s="69"/>
      <c r="KNW2188" s="70"/>
      <c r="KNX2188" s="69"/>
      <c r="KNY2188" s="70"/>
      <c r="KNZ2188" s="69"/>
      <c r="KOA2188" s="70"/>
      <c r="KOB2188" s="69"/>
      <c r="KOC2188" s="70"/>
      <c r="KOD2188" s="69"/>
      <c r="KOE2188" s="70"/>
      <c r="KOF2188" s="69"/>
      <c r="KOG2188" s="70"/>
      <c r="KOH2188" s="69"/>
      <c r="KOI2188" s="70"/>
      <c r="KOJ2188" s="69"/>
      <c r="KOK2188" s="70"/>
      <c r="KOL2188" s="69"/>
      <c r="KOM2188" s="70"/>
      <c r="KON2188" s="69"/>
      <c r="KOO2188" s="70"/>
      <c r="KOP2188" s="69"/>
      <c r="KOQ2188" s="70"/>
      <c r="KOR2188" s="69"/>
      <c r="KOS2188" s="70"/>
      <c r="KOT2188" s="69"/>
      <c r="KOU2188" s="70"/>
      <c r="KOV2188" s="69"/>
      <c r="KOW2188" s="70"/>
      <c r="KOX2188" s="69"/>
      <c r="KOY2188" s="70"/>
      <c r="KOZ2188" s="69"/>
      <c r="KPA2188" s="70"/>
      <c r="KPB2188" s="69"/>
      <c r="KPC2188" s="70"/>
      <c r="KPD2188" s="69"/>
      <c r="KPE2188" s="70"/>
      <c r="KPF2188" s="69"/>
      <c r="KPG2188" s="70"/>
      <c r="KPH2188" s="69"/>
      <c r="KPI2188" s="70"/>
      <c r="KPJ2188" s="69"/>
      <c r="KPK2188" s="70"/>
      <c r="KPL2188" s="69"/>
      <c r="KPM2188" s="70"/>
      <c r="KPN2188" s="69"/>
      <c r="KPO2188" s="70"/>
      <c r="KPP2188" s="69"/>
      <c r="KPQ2188" s="70"/>
      <c r="KPR2188" s="69"/>
      <c r="KPS2188" s="70"/>
      <c r="KPT2188" s="69"/>
      <c r="KPU2188" s="70"/>
      <c r="KPV2188" s="69"/>
      <c r="KPW2188" s="70"/>
      <c r="KPX2188" s="69"/>
      <c r="KPY2188" s="70"/>
      <c r="KPZ2188" s="69"/>
      <c r="KQA2188" s="70"/>
      <c r="KQB2188" s="69"/>
      <c r="KQC2188" s="70"/>
      <c r="KQD2188" s="69"/>
      <c r="KQE2188" s="70"/>
      <c r="KQF2188" s="69"/>
      <c r="KQG2188" s="70"/>
      <c r="KQH2188" s="69"/>
      <c r="KQI2188" s="70"/>
      <c r="KQJ2188" s="69"/>
      <c r="KQK2188" s="70"/>
      <c r="KQL2188" s="69"/>
      <c r="KQM2188" s="70"/>
      <c r="KQN2188" s="69"/>
      <c r="KQO2188" s="70"/>
      <c r="KQP2188" s="69"/>
      <c r="KQQ2188" s="70"/>
      <c r="KQR2188" s="69"/>
      <c r="KQS2188" s="70"/>
      <c r="KQT2188" s="69"/>
      <c r="KQU2188" s="70"/>
      <c r="KQV2188" s="69"/>
      <c r="KQW2188" s="70"/>
      <c r="KQX2188" s="69"/>
      <c r="KQY2188" s="70"/>
      <c r="KQZ2188" s="69"/>
      <c r="KRA2188" s="70"/>
      <c r="KRB2188" s="69"/>
      <c r="KRC2188" s="70"/>
      <c r="KRD2188" s="69"/>
      <c r="KRE2188" s="70"/>
      <c r="KRF2188" s="69"/>
      <c r="KRG2188" s="70"/>
      <c r="KRH2188" s="69"/>
      <c r="KRI2188" s="70"/>
      <c r="KRJ2188" s="69"/>
      <c r="KRK2188" s="70"/>
      <c r="KRL2188" s="69"/>
      <c r="KRM2188" s="70"/>
      <c r="KRN2188" s="69"/>
      <c r="KRO2188" s="70"/>
      <c r="KRP2188" s="69"/>
      <c r="KRQ2188" s="70"/>
      <c r="KRR2188" s="69"/>
      <c r="KRS2188" s="70"/>
      <c r="KRT2188" s="69"/>
      <c r="KRU2188" s="70"/>
      <c r="KRV2188" s="69"/>
      <c r="KRW2188" s="70"/>
      <c r="KRX2188" s="69"/>
      <c r="KRY2188" s="70"/>
      <c r="KRZ2188" s="69"/>
      <c r="KSA2188" s="70"/>
      <c r="KSB2188" s="69"/>
      <c r="KSC2188" s="70"/>
      <c r="KSD2188" s="69"/>
      <c r="KSE2188" s="70"/>
      <c r="KSF2188" s="69"/>
      <c r="KSG2188" s="70"/>
      <c r="KSH2188" s="69"/>
      <c r="KSI2188" s="70"/>
      <c r="KSJ2188" s="69"/>
      <c r="KSK2188" s="70"/>
      <c r="KSL2188" s="69"/>
      <c r="KSM2188" s="70"/>
      <c r="KSN2188" s="69"/>
      <c r="KSO2188" s="70"/>
      <c r="KSP2188" s="69"/>
      <c r="KSQ2188" s="70"/>
      <c r="KSR2188" s="69"/>
      <c r="KSS2188" s="70"/>
      <c r="KST2188" s="69"/>
      <c r="KSU2188" s="70"/>
      <c r="KSV2188" s="69"/>
      <c r="KSW2188" s="70"/>
      <c r="KSX2188" s="69"/>
      <c r="KSY2188" s="70"/>
      <c r="KSZ2188" s="69"/>
      <c r="KTA2188" s="70"/>
      <c r="KTB2188" s="69"/>
      <c r="KTC2188" s="70"/>
      <c r="KTD2188" s="69"/>
      <c r="KTE2188" s="70"/>
      <c r="KTF2188" s="69"/>
      <c r="KTG2188" s="70"/>
      <c r="KTH2188" s="69"/>
      <c r="KTI2188" s="70"/>
      <c r="KTJ2188" s="69"/>
      <c r="KTK2188" s="70"/>
      <c r="KTL2188" s="69"/>
      <c r="KTM2188" s="70"/>
      <c r="KTN2188" s="69"/>
      <c r="KTO2188" s="70"/>
      <c r="KTP2188" s="69"/>
      <c r="KTQ2188" s="70"/>
      <c r="KTR2188" s="69"/>
      <c r="KTS2188" s="70"/>
      <c r="KTT2188" s="69"/>
      <c r="KTU2188" s="70"/>
      <c r="KTV2188" s="69"/>
      <c r="KTW2188" s="70"/>
      <c r="KTX2188" s="69"/>
      <c r="KTY2188" s="70"/>
      <c r="KTZ2188" s="69"/>
      <c r="KUA2188" s="70"/>
      <c r="KUB2188" s="69"/>
      <c r="KUC2188" s="70"/>
      <c r="KUD2188" s="69"/>
      <c r="KUE2188" s="70"/>
      <c r="KUF2188" s="69"/>
      <c r="KUG2188" s="70"/>
      <c r="KUH2188" s="69"/>
      <c r="KUI2188" s="70"/>
      <c r="KUJ2188" s="69"/>
      <c r="KUK2188" s="70"/>
      <c r="KUL2188" s="69"/>
      <c r="KUM2188" s="70"/>
      <c r="KUN2188" s="69"/>
      <c r="KUO2188" s="70"/>
      <c r="KUP2188" s="69"/>
      <c r="KUQ2188" s="70"/>
      <c r="KUR2188" s="69"/>
      <c r="KUS2188" s="70"/>
      <c r="KUT2188" s="69"/>
      <c r="KUU2188" s="70"/>
      <c r="KUV2188" s="69"/>
      <c r="KUW2188" s="70"/>
      <c r="KUX2188" s="69"/>
      <c r="KUY2188" s="70"/>
      <c r="KUZ2188" s="69"/>
      <c r="KVA2188" s="70"/>
      <c r="KVB2188" s="69"/>
      <c r="KVC2188" s="70"/>
      <c r="KVD2188" s="69"/>
      <c r="KVE2188" s="70"/>
      <c r="KVF2188" s="69"/>
      <c r="KVG2188" s="70"/>
      <c r="KVH2188" s="69"/>
      <c r="KVI2188" s="70"/>
      <c r="KVJ2188" s="69"/>
      <c r="KVK2188" s="70"/>
      <c r="KVL2188" s="69"/>
      <c r="KVM2188" s="70"/>
      <c r="KVN2188" s="69"/>
      <c r="KVO2188" s="70"/>
      <c r="KVP2188" s="69"/>
      <c r="KVQ2188" s="70"/>
      <c r="KVR2188" s="69"/>
      <c r="KVS2188" s="70"/>
      <c r="KVT2188" s="69"/>
      <c r="KVU2188" s="70"/>
      <c r="KVV2188" s="69"/>
      <c r="KVW2188" s="70"/>
      <c r="KVX2188" s="69"/>
      <c r="KVY2188" s="70"/>
      <c r="KVZ2188" s="69"/>
      <c r="KWA2188" s="70"/>
      <c r="KWB2188" s="69"/>
      <c r="KWC2188" s="70"/>
      <c r="KWD2188" s="69"/>
      <c r="KWE2188" s="70"/>
      <c r="KWF2188" s="69"/>
      <c r="KWG2188" s="70"/>
      <c r="KWH2188" s="69"/>
      <c r="KWI2188" s="70"/>
      <c r="KWJ2188" s="69"/>
      <c r="KWK2188" s="70"/>
      <c r="KWL2188" s="69"/>
      <c r="KWM2188" s="70"/>
      <c r="KWN2188" s="69"/>
      <c r="KWO2188" s="70"/>
      <c r="KWP2188" s="69"/>
      <c r="KWQ2188" s="70"/>
      <c r="KWR2188" s="69"/>
      <c r="KWS2188" s="70"/>
      <c r="KWT2188" s="69"/>
      <c r="KWU2188" s="70"/>
      <c r="KWV2188" s="69"/>
      <c r="KWW2188" s="70"/>
      <c r="KWX2188" s="69"/>
      <c r="KWY2188" s="70"/>
      <c r="KWZ2188" s="69"/>
      <c r="KXA2188" s="70"/>
      <c r="KXB2188" s="69"/>
      <c r="KXC2188" s="70"/>
      <c r="KXD2188" s="69"/>
      <c r="KXE2188" s="70"/>
      <c r="KXF2188" s="69"/>
      <c r="KXG2188" s="70"/>
      <c r="KXH2188" s="69"/>
      <c r="KXI2188" s="70"/>
      <c r="KXJ2188" s="69"/>
      <c r="KXK2188" s="70"/>
      <c r="KXL2188" s="69"/>
      <c r="KXM2188" s="70"/>
      <c r="KXN2188" s="69"/>
      <c r="KXO2188" s="70"/>
      <c r="KXP2188" s="69"/>
      <c r="KXQ2188" s="70"/>
      <c r="KXR2188" s="69"/>
      <c r="KXS2188" s="70"/>
      <c r="KXT2188" s="69"/>
      <c r="KXU2188" s="70"/>
      <c r="KXV2188" s="69"/>
      <c r="KXW2188" s="70"/>
      <c r="KXX2188" s="69"/>
      <c r="KXY2188" s="70"/>
      <c r="KXZ2188" s="69"/>
      <c r="KYA2188" s="70"/>
      <c r="KYB2188" s="69"/>
      <c r="KYC2188" s="70"/>
      <c r="KYD2188" s="69"/>
      <c r="KYE2188" s="70"/>
      <c r="KYF2188" s="69"/>
      <c r="KYG2188" s="70"/>
      <c r="KYH2188" s="69"/>
      <c r="KYI2188" s="70"/>
      <c r="KYJ2188" s="69"/>
      <c r="KYK2188" s="70"/>
      <c r="KYL2188" s="69"/>
      <c r="KYM2188" s="70"/>
      <c r="KYN2188" s="69"/>
      <c r="KYO2188" s="70"/>
      <c r="KYP2188" s="69"/>
      <c r="KYQ2188" s="70"/>
      <c r="KYR2188" s="69"/>
      <c r="KYS2188" s="70"/>
      <c r="KYT2188" s="69"/>
      <c r="KYU2188" s="70"/>
      <c r="KYV2188" s="69"/>
      <c r="KYW2188" s="70"/>
      <c r="KYX2188" s="69"/>
      <c r="KYY2188" s="70"/>
      <c r="KYZ2188" s="69"/>
      <c r="KZA2188" s="70"/>
      <c r="KZB2188" s="69"/>
      <c r="KZC2188" s="70"/>
      <c r="KZD2188" s="69"/>
      <c r="KZE2188" s="70"/>
      <c r="KZF2188" s="69"/>
      <c r="KZG2188" s="70"/>
      <c r="KZH2188" s="69"/>
      <c r="KZI2188" s="70"/>
      <c r="KZJ2188" s="69"/>
      <c r="KZK2188" s="70"/>
      <c r="KZL2188" s="69"/>
      <c r="KZM2188" s="70"/>
      <c r="KZN2188" s="69"/>
      <c r="KZO2188" s="70"/>
      <c r="KZP2188" s="69"/>
      <c r="KZQ2188" s="70"/>
      <c r="KZR2188" s="69"/>
      <c r="KZS2188" s="70"/>
      <c r="KZT2188" s="69"/>
      <c r="KZU2188" s="70"/>
      <c r="KZV2188" s="69"/>
      <c r="KZW2188" s="70"/>
      <c r="KZX2188" s="69"/>
      <c r="KZY2188" s="70"/>
      <c r="KZZ2188" s="69"/>
      <c r="LAA2188" s="70"/>
      <c r="LAB2188" s="69"/>
      <c r="LAC2188" s="70"/>
      <c r="LAD2188" s="69"/>
      <c r="LAE2188" s="70"/>
      <c r="LAF2188" s="69"/>
      <c r="LAG2188" s="70"/>
      <c r="LAH2188" s="69"/>
      <c r="LAI2188" s="70"/>
      <c r="LAJ2188" s="69"/>
      <c r="LAK2188" s="70"/>
      <c r="LAL2188" s="69"/>
      <c r="LAM2188" s="70"/>
      <c r="LAN2188" s="69"/>
      <c r="LAO2188" s="70"/>
      <c r="LAP2188" s="69"/>
      <c r="LAQ2188" s="70"/>
      <c r="LAR2188" s="69"/>
      <c r="LAS2188" s="70"/>
      <c r="LAT2188" s="69"/>
      <c r="LAU2188" s="70"/>
      <c r="LAV2188" s="69"/>
      <c r="LAW2188" s="70"/>
      <c r="LAX2188" s="69"/>
      <c r="LAY2188" s="70"/>
      <c r="LAZ2188" s="69"/>
      <c r="LBA2188" s="70"/>
      <c r="LBB2188" s="69"/>
      <c r="LBC2188" s="70"/>
      <c r="LBD2188" s="69"/>
      <c r="LBE2188" s="70"/>
      <c r="LBF2188" s="69"/>
      <c r="LBG2188" s="70"/>
      <c r="LBH2188" s="69"/>
      <c r="LBI2188" s="70"/>
      <c r="LBJ2188" s="69"/>
      <c r="LBK2188" s="70"/>
      <c r="LBL2188" s="69"/>
      <c r="LBM2188" s="70"/>
      <c r="LBN2188" s="69"/>
      <c r="LBO2188" s="70"/>
      <c r="LBP2188" s="69"/>
      <c r="LBQ2188" s="70"/>
      <c r="LBR2188" s="69"/>
      <c r="LBS2188" s="70"/>
      <c r="LBT2188" s="69"/>
      <c r="LBU2188" s="70"/>
      <c r="LBV2188" s="69"/>
      <c r="LBW2188" s="70"/>
      <c r="LBX2188" s="69"/>
      <c r="LBY2188" s="70"/>
      <c r="LBZ2188" s="69"/>
      <c r="LCA2188" s="70"/>
      <c r="LCB2188" s="69"/>
      <c r="LCC2188" s="70"/>
      <c r="LCD2188" s="69"/>
      <c r="LCE2188" s="70"/>
      <c r="LCF2188" s="69"/>
      <c r="LCG2188" s="70"/>
      <c r="LCH2188" s="69"/>
      <c r="LCI2188" s="70"/>
      <c r="LCJ2188" s="69"/>
      <c r="LCK2188" s="70"/>
      <c r="LCL2188" s="69"/>
      <c r="LCM2188" s="70"/>
      <c r="LCN2188" s="69"/>
      <c r="LCO2188" s="70"/>
      <c r="LCP2188" s="69"/>
      <c r="LCQ2188" s="70"/>
      <c r="LCR2188" s="69"/>
      <c r="LCS2188" s="70"/>
      <c r="LCT2188" s="69"/>
      <c r="LCU2188" s="70"/>
      <c r="LCV2188" s="69"/>
      <c r="LCW2188" s="70"/>
      <c r="LCX2188" s="69"/>
      <c r="LCY2188" s="70"/>
      <c r="LCZ2188" s="69"/>
      <c r="LDA2188" s="70"/>
      <c r="LDB2188" s="69"/>
      <c r="LDC2188" s="70"/>
      <c r="LDD2188" s="69"/>
      <c r="LDE2188" s="70"/>
      <c r="LDF2188" s="69"/>
      <c r="LDG2188" s="70"/>
      <c r="LDH2188" s="69"/>
      <c r="LDI2188" s="70"/>
      <c r="LDJ2188" s="69"/>
      <c r="LDK2188" s="70"/>
      <c r="LDL2188" s="69"/>
      <c r="LDM2188" s="70"/>
      <c r="LDN2188" s="69"/>
      <c r="LDO2188" s="70"/>
      <c r="LDP2188" s="69"/>
      <c r="LDQ2188" s="70"/>
      <c r="LDR2188" s="69"/>
      <c r="LDS2188" s="70"/>
      <c r="LDT2188" s="69"/>
      <c r="LDU2188" s="70"/>
      <c r="LDV2188" s="69"/>
      <c r="LDW2188" s="70"/>
      <c r="LDX2188" s="69"/>
      <c r="LDY2188" s="70"/>
      <c r="LDZ2188" s="69"/>
      <c r="LEA2188" s="70"/>
      <c r="LEB2188" s="69"/>
      <c r="LEC2188" s="70"/>
      <c r="LED2188" s="69"/>
      <c r="LEE2188" s="70"/>
      <c r="LEF2188" s="69"/>
      <c r="LEG2188" s="70"/>
      <c r="LEH2188" s="69"/>
      <c r="LEI2188" s="70"/>
      <c r="LEJ2188" s="69"/>
      <c r="LEK2188" s="70"/>
      <c r="LEL2188" s="69"/>
      <c r="LEM2188" s="70"/>
      <c r="LEN2188" s="69"/>
      <c r="LEO2188" s="70"/>
      <c r="LEP2188" s="69"/>
      <c r="LEQ2188" s="70"/>
      <c r="LER2188" s="69"/>
      <c r="LES2188" s="70"/>
      <c r="LET2188" s="69"/>
      <c r="LEU2188" s="70"/>
      <c r="LEV2188" s="69"/>
      <c r="LEW2188" s="70"/>
      <c r="LEX2188" s="69"/>
      <c r="LEY2188" s="70"/>
      <c r="LEZ2188" s="69"/>
      <c r="LFA2188" s="70"/>
      <c r="LFB2188" s="69"/>
      <c r="LFC2188" s="70"/>
      <c r="LFD2188" s="69"/>
      <c r="LFE2188" s="70"/>
      <c r="LFF2188" s="69"/>
      <c r="LFG2188" s="70"/>
      <c r="LFH2188" s="69"/>
      <c r="LFI2188" s="70"/>
      <c r="LFJ2188" s="69"/>
      <c r="LFK2188" s="70"/>
      <c r="LFL2188" s="69"/>
      <c r="LFM2188" s="70"/>
      <c r="LFN2188" s="69"/>
      <c r="LFO2188" s="70"/>
      <c r="LFP2188" s="69"/>
      <c r="LFQ2188" s="70"/>
      <c r="LFR2188" s="69"/>
      <c r="LFS2188" s="70"/>
      <c r="LFT2188" s="69"/>
      <c r="LFU2188" s="70"/>
      <c r="LFV2188" s="69"/>
      <c r="LFW2188" s="70"/>
      <c r="LFX2188" s="69"/>
      <c r="LFY2188" s="70"/>
      <c r="LFZ2188" s="69"/>
      <c r="LGA2188" s="70"/>
      <c r="LGB2188" s="69"/>
      <c r="LGC2188" s="70"/>
      <c r="LGD2188" s="69"/>
      <c r="LGE2188" s="70"/>
      <c r="LGF2188" s="69"/>
      <c r="LGG2188" s="70"/>
      <c r="LGH2188" s="69"/>
      <c r="LGI2188" s="70"/>
      <c r="LGJ2188" s="69"/>
      <c r="LGK2188" s="70"/>
      <c r="LGL2188" s="69"/>
      <c r="LGM2188" s="70"/>
      <c r="LGN2188" s="69"/>
      <c r="LGO2188" s="70"/>
      <c r="LGP2188" s="69"/>
      <c r="LGQ2188" s="70"/>
      <c r="LGR2188" s="69"/>
      <c r="LGS2188" s="70"/>
      <c r="LGT2188" s="69"/>
      <c r="LGU2188" s="70"/>
      <c r="LGV2188" s="69"/>
      <c r="LGW2188" s="70"/>
      <c r="LGX2188" s="69"/>
      <c r="LGY2188" s="70"/>
      <c r="LGZ2188" s="69"/>
      <c r="LHA2188" s="70"/>
      <c r="LHB2188" s="69"/>
      <c r="LHC2188" s="70"/>
      <c r="LHD2188" s="69"/>
      <c r="LHE2188" s="70"/>
      <c r="LHF2188" s="69"/>
      <c r="LHG2188" s="70"/>
      <c r="LHH2188" s="69"/>
      <c r="LHI2188" s="70"/>
      <c r="LHJ2188" s="69"/>
      <c r="LHK2188" s="70"/>
      <c r="LHL2188" s="69"/>
      <c r="LHM2188" s="70"/>
      <c r="LHN2188" s="69"/>
      <c r="LHO2188" s="70"/>
      <c r="LHP2188" s="69"/>
      <c r="LHQ2188" s="70"/>
      <c r="LHR2188" s="69"/>
      <c r="LHS2188" s="70"/>
      <c r="LHT2188" s="69"/>
      <c r="LHU2188" s="70"/>
      <c r="LHV2188" s="69"/>
      <c r="LHW2188" s="70"/>
      <c r="LHX2188" s="69"/>
      <c r="LHY2188" s="70"/>
      <c r="LHZ2188" s="69"/>
      <c r="LIA2188" s="70"/>
      <c r="LIB2188" s="69"/>
      <c r="LIC2188" s="70"/>
      <c r="LID2188" s="69"/>
      <c r="LIE2188" s="70"/>
      <c r="LIF2188" s="69"/>
      <c r="LIG2188" s="70"/>
      <c r="LIH2188" s="69"/>
      <c r="LII2188" s="70"/>
      <c r="LIJ2188" s="69"/>
      <c r="LIK2188" s="70"/>
      <c r="LIL2188" s="69"/>
      <c r="LIM2188" s="70"/>
      <c r="LIN2188" s="69"/>
      <c r="LIO2188" s="70"/>
      <c r="LIP2188" s="69"/>
      <c r="LIQ2188" s="70"/>
      <c r="LIR2188" s="69"/>
      <c r="LIS2188" s="70"/>
      <c r="LIT2188" s="69"/>
      <c r="LIU2188" s="70"/>
      <c r="LIV2188" s="69"/>
      <c r="LIW2188" s="70"/>
      <c r="LIX2188" s="69"/>
      <c r="LIY2188" s="70"/>
      <c r="LIZ2188" s="69"/>
      <c r="LJA2188" s="70"/>
      <c r="LJB2188" s="69"/>
      <c r="LJC2188" s="70"/>
      <c r="LJD2188" s="69"/>
      <c r="LJE2188" s="70"/>
      <c r="LJF2188" s="69"/>
      <c r="LJG2188" s="70"/>
      <c r="LJH2188" s="69"/>
      <c r="LJI2188" s="70"/>
      <c r="LJJ2188" s="69"/>
      <c r="LJK2188" s="70"/>
      <c r="LJL2188" s="69"/>
      <c r="LJM2188" s="70"/>
      <c r="LJN2188" s="69"/>
      <c r="LJO2188" s="70"/>
      <c r="LJP2188" s="69"/>
      <c r="LJQ2188" s="70"/>
      <c r="LJR2188" s="69"/>
      <c r="LJS2188" s="70"/>
      <c r="LJT2188" s="69"/>
      <c r="LJU2188" s="70"/>
      <c r="LJV2188" s="69"/>
      <c r="LJW2188" s="70"/>
      <c r="LJX2188" s="69"/>
      <c r="LJY2188" s="70"/>
      <c r="LJZ2188" s="69"/>
      <c r="LKA2188" s="70"/>
      <c r="LKB2188" s="69"/>
      <c r="LKC2188" s="70"/>
      <c r="LKD2188" s="69"/>
      <c r="LKE2188" s="70"/>
      <c r="LKF2188" s="69"/>
      <c r="LKG2188" s="70"/>
      <c r="LKH2188" s="69"/>
      <c r="LKI2188" s="70"/>
      <c r="LKJ2188" s="69"/>
      <c r="LKK2188" s="70"/>
      <c r="LKL2188" s="69"/>
      <c r="LKM2188" s="70"/>
      <c r="LKN2188" s="69"/>
      <c r="LKO2188" s="70"/>
      <c r="LKP2188" s="69"/>
      <c r="LKQ2188" s="70"/>
      <c r="LKR2188" s="69"/>
      <c r="LKS2188" s="70"/>
      <c r="LKT2188" s="69"/>
      <c r="LKU2188" s="70"/>
      <c r="LKV2188" s="69"/>
      <c r="LKW2188" s="70"/>
      <c r="LKX2188" s="69"/>
      <c r="LKY2188" s="70"/>
      <c r="LKZ2188" s="69"/>
      <c r="LLA2188" s="70"/>
      <c r="LLB2188" s="69"/>
      <c r="LLC2188" s="70"/>
      <c r="LLD2188" s="69"/>
      <c r="LLE2188" s="70"/>
      <c r="LLF2188" s="69"/>
      <c r="LLG2188" s="70"/>
      <c r="LLH2188" s="69"/>
      <c r="LLI2188" s="70"/>
      <c r="LLJ2188" s="69"/>
      <c r="LLK2188" s="70"/>
      <c r="LLL2188" s="69"/>
      <c r="LLM2188" s="70"/>
      <c r="LLN2188" s="69"/>
      <c r="LLO2188" s="70"/>
      <c r="LLP2188" s="69"/>
      <c r="LLQ2188" s="70"/>
      <c r="LLR2188" s="69"/>
      <c r="LLS2188" s="70"/>
      <c r="LLT2188" s="69"/>
      <c r="LLU2188" s="70"/>
      <c r="LLV2188" s="69"/>
      <c r="LLW2188" s="70"/>
      <c r="LLX2188" s="69"/>
      <c r="LLY2188" s="70"/>
      <c r="LLZ2188" s="69"/>
      <c r="LMA2188" s="70"/>
      <c r="LMB2188" s="69"/>
      <c r="LMC2188" s="70"/>
      <c r="LMD2188" s="69"/>
      <c r="LME2188" s="70"/>
      <c r="LMF2188" s="69"/>
      <c r="LMG2188" s="70"/>
      <c r="LMH2188" s="69"/>
      <c r="LMI2188" s="70"/>
      <c r="LMJ2188" s="69"/>
      <c r="LMK2188" s="70"/>
      <c r="LML2188" s="69"/>
      <c r="LMM2188" s="70"/>
      <c r="LMN2188" s="69"/>
      <c r="LMO2188" s="70"/>
      <c r="LMP2188" s="69"/>
      <c r="LMQ2188" s="70"/>
      <c r="LMR2188" s="69"/>
      <c r="LMS2188" s="70"/>
      <c r="LMT2188" s="69"/>
      <c r="LMU2188" s="70"/>
      <c r="LMV2188" s="69"/>
      <c r="LMW2188" s="70"/>
      <c r="LMX2188" s="69"/>
      <c r="LMY2188" s="70"/>
      <c r="LMZ2188" s="69"/>
      <c r="LNA2188" s="70"/>
      <c r="LNB2188" s="69"/>
      <c r="LNC2188" s="70"/>
      <c r="LND2188" s="69"/>
      <c r="LNE2188" s="70"/>
      <c r="LNF2188" s="69"/>
      <c r="LNG2188" s="70"/>
      <c r="LNH2188" s="69"/>
      <c r="LNI2188" s="70"/>
      <c r="LNJ2188" s="69"/>
      <c r="LNK2188" s="70"/>
      <c r="LNL2188" s="69"/>
      <c r="LNM2188" s="70"/>
      <c r="LNN2188" s="69"/>
      <c r="LNO2188" s="70"/>
      <c r="LNP2188" s="69"/>
      <c r="LNQ2188" s="70"/>
      <c r="LNR2188" s="69"/>
      <c r="LNS2188" s="70"/>
      <c r="LNT2188" s="69"/>
      <c r="LNU2188" s="70"/>
      <c r="LNV2188" s="69"/>
      <c r="LNW2188" s="70"/>
      <c r="LNX2188" s="69"/>
      <c r="LNY2188" s="70"/>
      <c r="LNZ2188" s="69"/>
      <c r="LOA2188" s="70"/>
      <c r="LOB2188" s="69"/>
      <c r="LOC2188" s="70"/>
      <c r="LOD2188" s="69"/>
      <c r="LOE2188" s="70"/>
      <c r="LOF2188" s="69"/>
      <c r="LOG2188" s="70"/>
      <c r="LOH2188" s="69"/>
      <c r="LOI2188" s="70"/>
      <c r="LOJ2188" s="69"/>
      <c r="LOK2188" s="70"/>
      <c r="LOL2188" s="69"/>
      <c r="LOM2188" s="70"/>
      <c r="LON2188" s="69"/>
      <c r="LOO2188" s="70"/>
      <c r="LOP2188" s="69"/>
      <c r="LOQ2188" s="70"/>
      <c r="LOR2188" s="69"/>
      <c r="LOS2188" s="70"/>
      <c r="LOT2188" s="69"/>
      <c r="LOU2188" s="70"/>
      <c r="LOV2188" s="69"/>
      <c r="LOW2188" s="70"/>
      <c r="LOX2188" s="69"/>
      <c r="LOY2188" s="70"/>
      <c r="LOZ2188" s="69"/>
      <c r="LPA2188" s="70"/>
      <c r="LPB2188" s="69"/>
      <c r="LPC2188" s="70"/>
      <c r="LPD2188" s="69"/>
      <c r="LPE2188" s="70"/>
      <c r="LPF2188" s="69"/>
      <c r="LPG2188" s="70"/>
      <c r="LPH2188" s="69"/>
      <c r="LPI2188" s="70"/>
      <c r="LPJ2188" s="69"/>
      <c r="LPK2188" s="70"/>
      <c r="LPL2188" s="69"/>
      <c r="LPM2188" s="70"/>
      <c r="LPN2188" s="69"/>
      <c r="LPO2188" s="70"/>
      <c r="LPP2188" s="69"/>
      <c r="LPQ2188" s="70"/>
      <c r="LPR2188" s="69"/>
      <c r="LPS2188" s="70"/>
      <c r="LPT2188" s="69"/>
      <c r="LPU2188" s="70"/>
      <c r="LPV2188" s="69"/>
      <c r="LPW2188" s="70"/>
      <c r="LPX2188" s="69"/>
      <c r="LPY2188" s="70"/>
      <c r="LPZ2188" s="69"/>
      <c r="LQA2188" s="70"/>
      <c r="LQB2188" s="69"/>
      <c r="LQC2188" s="70"/>
      <c r="LQD2188" s="69"/>
      <c r="LQE2188" s="70"/>
      <c r="LQF2188" s="69"/>
      <c r="LQG2188" s="70"/>
      <c r="LQH2188" s="69"/>
      <c r="LQI2188" s="70"/>
      <c r="LQJ2188" s="69"/>
      <c r="LQK2188" s="70"/>
      <c r="LQL2188" s="69"/>
      <c r="LQM2188" s="70"/>
      <c r="LQN2188" s="69"/>
      <c r="LQO2188" s="70"/>
      <c r="LQP2188" s="69"/>
      <c r="LQQ2188" s="70"/>
      <c r="LQR2188" s="69"/>
      <c r="LQS2188" s="70"/>
      <c r="LQT2188" s="69"/>
      <c r="LQU2188" s="70"/>
      <c r="LQV2188" s="69"/>
      <c r="LQW2188" s="70"/>
      <c r="LQX2188" s="69"/>
      <c r="LQY2188" s="70"/>
      <c r="LQZ2188" s="69"/>
      <c r="LRA2188" s="70"/>
      <c r="LRB2188" s="69"/>
      <c r="LRC2188" s="70"/>
      <c r="LRD2188" s="69"/>
      <c r="LRE2188" s="70"/>
      <c r="LRF2188" s="69"/>
      <c r="LRG2188" s="70"/>
      <c r="LRH2188" s="69"/>
      <c r="LRI2188" s="70"/>
      <c r="LRJ2188" s="69"/>
      <c r="LRK2188" s="70"/>
      <c r="LRL2188" s="69"/>
      <c r="LRM2188" s="70"/>
      <c r="LRN2188" s="69"/>
      <c r="LRO2188" s="70"/>
      <c r="LRP2188" s="69"/>
      <c r="LRQ2188" s="70"/>
      <c r="LRR2188" s="69"/>
      <c r="LRS2188" s="70"/>
      <c r="LRT2188" s="69"/>
      <c r="LRU2188" s="70"/>
      <c r="LRV2188" s="69"/>
      <c r="LRW2188" s="70"/>
      <c r="LRX2188" s="69"/>
      <c r="LRY2188" s="70"/>
      <c r="LRZ2188" s="69"/>
      <c r="LSA2188" s="70"/>
      <c r="LSB2188" s="69"/>
      <c r="LSC2188" s="70"/>
      <c r="LSD2188" s="69"/>
      <c r="LSE2188" s="70"/>
      <c r="LSF2188" s="69"/>
      <c r="LSG2188" s="70"/>
      <c r="LSH2188" s="69"/>
      <c r="LSI2188" s="70"/>
      <c r="LSJ2188" s="69"/>
      <c r="LSK2188" s="70"/>
      <c r="LSL2188" s="69"/>
      <c r="LSM2188" s="70"/>
      <c r="LSN2188" s="69"/>
      <c r="LSO2188" s="70"/>
      <c r="LSP2188" s="69"/>
      <c r="LSQ2188" s="70"/>
      <c r="LSR2188" s="69"/>
      <c r="LSS2188" s="70"/>
      <c r="LST2188" s="69"/>
      <c r="LSU2188" s="70"/>
      <c r="LSV2188" s="69"/>
      <c r="LSW2188" s="70"/>
      <c r="LSX2188" s="69"/>
      <c r="LSY2188" s="70"/>
      <c r="LSZ2188" s="69"/>
      <c r="LTA2188" s="70"/>
      <c r="LTB2188" s="69"/>
      <c r="LTC2188" s="70"/>
      <c r="LTD2188" s="69"/>
      <c r="LTE2188" s="70"/>
      <c r="LTF2188" s="69"/>
      <c r="LTG2188" s="70"/>
      <c r="LTH2188" s="69"/>
      <c r="LTI2188" s="70"/>
      <c r="LTJ2188" s="69"/>
      <c r="LTK2188" s="70"/>
      <c r="LTL2188" s="69"/>
      <c r="LTM2188" s="70"/>
      <c r="LTN2188" s="69"/>
      <c r="LTO2188" s="70"/>
      <c r="LTP2188" s="69"/>
      <c r="LTQ2188" s="70"/>
      <c r="LTR2188" s="69"/>
      <c r="LTS2188" s="70"/>
      <c r="LTT2188" s="69"/>
      <c r="LTU2188" s="70"/>
      <c r="LTV2188" s="69"/>
      <c r="LTW2188" s="70"/>
      <c r="LTX2188" s="69"/>
      <c r="LTY2188" s="70"/>
      <c r="LTZ2188" s="69"/>
      <c r="LUA2188" s="70"/>
      <c r="LUB2188" s="69"/>
      <c r="LUC2188" s="70"/>
      <c r="LUD2188" s="69"/>
      <c r="LUE2188" s="70"/>
      <c r="LUF2188" s="69"/>
      <c r="LUG2188" s="70"/>
      <c r="LUH2188" s="69"/>
      <c r="LUI2188" s="70"/>
      <c r="LUJ2188" s="69"/>
      <c r="LUK2188" s="70"/>
      <c r="LUL2188" s="69"/>
      <c r="LUM2188" s="70"/>
      <c r="LUN2188" s="69"/>
      <c r="LUO2188" s="70"/>
      <c r="LUP2188" s="69"/>
      <c r="LUQ2188" s="70"/>
      <c r="LUR2188" s="69"/>
      <c r="LUS2188" s="70"/>
      <c r="LUT2188" s="69"/>
      <c r="LUU2188" s="70"/>
      <c r="LUV2188" s="69"/>
      <c r="LUW2188" s="70"/>
      <c r="LUX2188" s="69"/>
      <c r="LUY2188" s="70"/>
      <c r="LUZ2188" s="69"/>
      <c r="LVA2188" s="70"/>
      <c r="LVB2188" s="69"/>
      <c r="LVC2188" s="70"/>
      <c r="LVD2188" s="69"/>
      <c r="LVE2188" s="70"/>
      <c r="LVF2188" s="69"/>
      <c r="LVG2188" s="70"/>
      <c r="LVH2188" s="69"/>
      <c r="LVI2188" s="70"/>
      <c r="LVJ2188" s="69"/>
      <c r="LVK2188" s="70"/>
      <c r="LVL2188" s="69"/>
      <c r="LVM2188" s="70"/>
      <c r="LVN2188" s="69"/>
      <c r="LVO2188" s="70"/>
      <c r="LVP2188" s="69"/>
      <c r="LVQ2188" s="70"/>
      <c r="LVR2188" s="69"/>
      <c r="LVS2188" s="70"/>
      <c r="LVT2188" s="69"/>
      <c r="LVU2188" s="70"/>
      <c r="LVV2188" s="69"/>
      <c r="LVW2188" s="70"/>
      <c r="LVX2188" s="69"/>
      <c r="LVY2188" s="70"/>
      <c r="LVZ2188" s="69"/>
      <c r="LWA2188" s="70"/>
      <c r="LWB2188" s="69"/>
      <c r="LWC2188" s="70"/>
      <c r="LWD2188" s="69"/>
      <c r="LWE2188" s="70"/>
      <c r="LWF2188" s="69"/>
      <c r="LWG2188" s="70"/>
      <c r="LWH2188" s="69"/>
      <c r="LWI2188" s="70"/>
      <c r="LWJ2188" s="69"/>
      <c r="LWK2188" s="70"/>
      <c r="LWL2188" s="69"/>
      <c r="LWM2188" s="70"/>
      <c r="LWN2188" s="69"/>
      <c r="LWO2188" s="70"/>
      <c r="LWP2188" s="69"/>
      <c r="LWQ2188" s="70"/>
      <c r="LWR2188" s="69"/>
      <c r="LWS2188" s="70"/>
      <c r="LWT2188" s="69"/>
      <c r="LWU2188" s="70"/>
      <c r="LWV2188" s="69"/>
      <c r="LWW2188" s="70"/>
      <c r="LWX2188" s="69"/>
      <c r="LWY2188" s="70"/>
      <c r="LWZ2188" s="69"/>
      <c r="LXA2188" s="70"/>
      <c r="LXB2188" s="69"/>
      <c r="LXC2188" s="70"/>
      <c r="LXD2188" s="69"/>
      <c r="LXE2188" s="70"/>
      <c r="LXF2188" s="69"/>
      <c r="LXG2188" s="70"/>
      <c r="LXH2188" s="69"/>
      <c r="LXI2188" s="70"/>
      <c r="LXJ2188" s="69"/>
      <c r="LXK2188" s="70"/>
      <c r="LXL2188" s="69"/>
      <c r="LXM2188" s="70"/>
      <c r="LXN2188" s="69"/>
      <c r="LXO2188" s="70"/>
      <c r="LXP2188" s="69"/>
      <c r="LXQ2188" s="70"/>
      <c r="LXR2188" s="69"/>
      <c r="LXS2188" s="70"/>
      <c r="LXT2188" s="69"/>
      <c r="LXU2188" s="70"/>
      <c r="LXV2188" s="69"/>
      <c r="LXW2188" s="70"/>
      <c r="LXX2188" s="69"/>
      <c r="LXY2188" s="70"/>
      <c r="LXZ2188" s="69"/>
      <c r="LYA2188" s="70"/>
      <c r="LYB2188" s="69"/>
      <c r="LYC2188" s="70"/>
      <c r="LYD2188" s="69"/>
      <c r="LYE2188" s="70"/>
      <c r="LYF2188" s="69"/>
      <c r="LYG2188" s="70"/>
      <c r="LYH2188" s="69"/>
      <c r="LYI2188" s="70"/>
      <c r="LYJ2188" s="69"/>
      <c r="LYK2188" s="70"/>
      <c r="LYL2188" s="69"/>
      <c r="LYM2188" s="70"/>
      <c r="LYN2188" s="69"/>
      <c r="LYO2188" s="70"/>
      <c r="LYP2188" s="69"/>
      <c r="LYQ2188" s="70"/>
      <c r="LYR2188" s="69"/>
      <c r="LYS2188" s="70"/>
      <c r="LYT2188" s="69"/>
      <c r="LYU2188" s="70"/>
      <c r="LYV2188" s="69"/>
      <c r="LYW2188" s="70"/>
      <c r="LYX2188" s="69"/>
      <c r="LYY2188" s="70"/>
      <c r="LYZ2188" s="69"/>
      <c r="LZA2188" s="70"/>
      <c r="LZB2188" s="69"/>
      <c r="LZC2188" s="70"/>
      <c r="LZD2188" s="69"/>
      <c r="LZE2188" s="70"/>
      <c r="LZF2188" s="69"/>
      <c r="LZG2188" s="70"/>
      <c r="LZH2188" s="69"/>
      <c r="LZI2188" s="70"/>
      <c r="LZJ2188" s="69"/>
      <c r="LZK2188" s="70"/>
      <c r="LZL2188" s="69"/>
      <c r="LZM2188" s="70"/>
      <c r="LZN2188" s="69"/>
      <c r="LZO2188" s="70"/>
      <c r="LZP2188" s="69"/>
      <c r="LZQ2188" s="70"/>
      <c r="LZR2188" s="69"/>
      <c r="LZS2188" s="70"/>
      <c r="LZT2188" s="69"/>
      <c r="LZU2188" s="70"/>
      <c r="LZV2188" s="69"/>
      <c r="LZW2188" s="70"/>
      <c r="LZX2188" s="69"/>
      <c r="LZY2188" s="70"/>
      <c r="LZZ2188" s="69"/>
      <c r="MAA2188" s="70"/>
      <c r="MAB2188" s="69"/>
      <c r="MAC2188" s="70"/>
      <c r="MAD2188" s="69"/>
      <c r="MAE2188" s="70"/>
      <c r="MAF2188" s="69"/>
      <c r="MAG2188" s="70"/>
      <c r="MAH2188" s="69"/>
      <c r="MAI2188" s="70"/>
      <c r="MAJ2188" s="69"/>
      <c r="MAK2188" s="70"/>
      <c r="MAL2188" s="69"/>
      <c r="MAM2188" s="70"/>
      <c r="MAN2188" s="69"/>
      <c r="MAO2188" s="70"/>
      <c r="MAP2188" s="69"/>
      <c r="MAQ2188" s="70"/>
      <c r="MAR2188" s="69"/>
      <c r="MAS2188" s="70"/>
      <c r="MAT2188" s="69"/>
      <c r="MAU2188" s="70"/>
      <c r="MAV2188" s="69"/>
      <c r="MAW2188" s="70"/>
      <c r="MAX2188" s="69"/>
      <c r="MAY2188" s="70"/>
      <c r="MAZ2188" s="69"/>
      <c r="MBA2188" s="70"/>
      <c r="MBB2188" s="69"/>
      <c r="MBC2188" s="70"/>
      <c r="MBD2188" s="69"/>
      <c r="MBE2188" s="70"/>
      <c r="MBF2188" s="69"/>
      <c r="MBG2188" s="70"/>
      <c r="MBH2188" s="69"/>
      <c r="MBI2188" s="70"/>
      <c r="MBJ2188" s="69"/>
      <c r="MBK2188" s="70"/>
      <c r="MBL2188" s="69"/>
      <c r="MBM2188" s="70"/>
      <c r="MBN2188" s="69"/>
      <c r="MBO2188" s="70"/>
      <c r="MBP2188" s="69"/>
      <c r="MBQ2188" s="70"/>
      <c r="MBR2188" s="69"/>
      <c r="MBS2188" s="70"/>
      <c r="MBT2188" s="69"/>
      <c r="MBU2188" s="70"/>
      <c r="MBV2188" s="69"/>
      <c r="MBW2188" s="70"/>
      <c r="MBX2188" s="69"/>
      <c r="MBY2188" s="70"/>
      <c r="MBZ2188" s="69"/>
      <c r="MCA2188" s="70"/>
      <c r="MCB2188" s="69"/>
      <c r="MCC2188" s="70"/>
      <c r="MCD2188" s="69"/>
      <c r="MCE2188" s="70"/>
      <c r="MCF2188" s="69"/>
      <c r="MCG2188" s="70"/>
      <c r="MCH2188" s="69"/>
      <c r="MCI2188" s="70"/>
      <c r="MCJ2188" s="69"/>
      <c r="MCK2188" s="70"/>
      <c r="MCL2188" s="69"/>
      <c r="MCM2188" s="70"/>
      <c r="MCN2188" s="69"/>
      <c r="MCO2188" s="70"/>
      <c r="MCP2188" s="69"/>
      <c r="MCQ2188" s="70"/>
      <c r="MCR2188" s="69"/>
      <c r="MCS2188" s="70"/>
      <c r="MCT2188" s="69"/>
      <c r="MCU2188" s="70"/>
      <c r="MCV2188" s="69"/>
      <c r="MCW2188" s="70"/>
      <c r="MCX2188" s="69"/>
      <c r="MCY2188" s="70"/>
      <c r="MCZ2188" s="69"/>
      <c r="MDA2188" s="70"/>
      <c r="MDB2188" s="69"/>
      <c r="MDC2188" s="70"/>
      <c r="MDD2188" s="69"/>
      <c r="MDE2188" s="70"/>
      <c r="MDF2188" s="69"/>
      <c r="MDG2188" s="70"/>
      <c r="MDH2188" s="69"/>
      <c r="MDI2188" s="70"/>
      <c r="MDJ2188" s="69"/>
      <c r="MDK2188" s="70"/>
      <c r="MDL2188" s="69"/>
      <c r="MDM2188" s="70"/>
      <c r="MDN2188" s="69"/>
      <c r="MDO2188" s="70"/>
      <c r="MDP2188" s="69"/>
      <c r="MDQ2188" s="70"/>
      <c r="MDR2188" s="69"/>
      <c r="MDS2188" s="70"/>
      <c r="MDT2188" s="69"/>
      <c r="MDU2188" s="70"/>
      <c r="MDV2188" s="69"/>
      <c r="MDW2188" s="70"/>
      <c r="MDX2188" s="69"/>
      <c r="MDY2188" s="70"/>
      <c r="MDZ2188" s="69"/>
      <c r="MEA2188" s="70"/>
      <c r="MEB2188" s="69"/>
      <c r="MEC2188" s="70"/>
      <c r="MED2188" s="69"/>
      <c r="MEE2188" s="70"/>
      <c r="MEF2188" s="69"/>
      <c r="MEG2188" s="70"/>
      <c r="MEH2188" s="69"/>
      <c r="MEI2188" s="70"/>
      <c r="MEJ2188" s="69"/>
      <c r="MEK2188" s="70"/>
      <c r="MEL2188" s="69"/>
      <c r="MEM2188" s="70"/>
      <c r="MEN2188" s="69"/>
      <c r="MEO2188" s="70"/>
      <c r="MEP2188" s="69"/>
      <c r="MEQ2188" s="70"/>
      <c r="MER2188" s="69"/>
      <c r="MES2188" s="70"/>
      <c r="MET2188" s="69"/>
      <c r="MEU2188" s="70"/>
      <c r="MEV2188" s="69"/>
      <c r="MEW2188" s="70"/>
      <c r="MEX2188" s="69"/>
      <c r="MEY2188" s="70"/>
      <c r="MEZ2188" s="69"/>
      <c r="MFA2188" s="70"/>
      <c r="MFB2188" s="69"/>
      <c r="MFC2188" s="70"/>
      <c r="MFD2188" s="69"/>
      <c r="MFE2188" s="70"/>
      <c r="MFF2188" s="69"/>
      <c r="MFG2188" s="70"/>
      <c r="MFH2188" s="69"/>
      <c r="MFI2188" s="70"/>
      <c r="MFJ2188" s="69"/>
      <c r="MFK2188" s="70"/>
      <c r="MFL2188" s="69"/>
      <c r="MFM2188" s="70"/>
      <c r="MFN2188" s="69"/>
      <c r="MFO2188" s="70"/>
      <c r="MFP2188" s="69"/>
      <c r="MFQ2188" s="70"/>
      <c r="MFR2188" s="69"/>
      <c r="MFS2188" s="70"/>
      <c r="MFT2188" s="69"/>
      <c r="MFU2188" s="70"/>
      <c r="MFV2188" s="69"/>
      <c r="MFW2188" s="70"/>
      <c r="MFX2188" s="69"/>
      <c r="MFY2188" s="70"/>
      <c r="MFZ2188" s="69"/>
      <c r="MGA2188" s="70"/>
      <c r="MGB2188" s="69"/>
      <c r="MGC2188" s="70"/>
      <c r="MGD2188" s="69"/>
      <c r="MGE2188" s="70"/>
      <c r="MGF2188" s="69"/>
      <c r="MGG2188" s="70"/>
      <c r="MGH2188" s="69"/>
      <c r="MGI2188" s="70"/>
      <c r="MGJ2188" s="69"/>
      <c r="MGK2188" s="70"/>
      <c r="MGL2188" s="69"/>
      <c r="MGM2188" s="70"/>
      <c r="MGN2188" s="69"/>
      <c r="MGO2188" s="70"/>
      <c r="MGP2188" s="69"/>
      <c r="MGQ2188" s="70"/>
      <c r="MGR2188" s="69"/>
      <c r="MGS2188" s="70"/>
      <c r="MGT2188" s="69"/>
      <c r="MGU2188" s="70"/>
      <c r="MGV2188" s="69"/>
      <c r="MGW2188" s="70"/>
      <c r="MGX2188" s="69"/>
      <c r="MGY2188" s="70"/>
      <c r="MGZ2188" s="69"/>
      <c r="MHA2188" s="70"/>
      <c r="MHB2188" s="69"/>
      <c r="MHC2188" s="70"/>
      <c r="MHD2188" s="69"/>
      <c r="MHE2188" s="70"/>
      <c r="MHF2188" s="69"/>
      <c r="MHG2188" s="70"/>
      <c r="MHH2188" s="69"/>
      <c r="MHI2188" s="70"/>
      <c r="MHJ2188" s="69"/>
      <c r="MHK2188" s="70"/>
      <c r="MHL2188" s="69"/>
      <c r="MHM2188" s="70"/>
      <c r="MHN2188" s="69"/>
      <c r="MHO2188" s="70"/>
      <c r="MHP2188" s="69"/>
      <c r="MHQ2188" s="70"/>
      <c r="MHR2188" s="69"/>
      <c r="MHS2188" s="70"/>
      <c r="MHT2188" s="69"/>
      <c r="MHU2188" s="70"/>
      <c r="MHV2188" s="69"/>
      <c r="MHW2188" s="70"/>
      <c r="MHX2188" s="69"/>
      <c r="MHY2188" s="70"/>
      <c r="MHZ2188" s="69"/>
      <c r="MIA2188" s="70"/>
      <c r="MIB2188" s="69"/>
      <c r="MIC2188" s="70"/>
      <c r="MID2188" s="69"/>
      <c r="MIE2188" s="70"/>
      <c r="MIF2188" s="69"/>
      <c r="MIG2188" s="70"/>
      <c r="MIH2188" s="69"/>
      <c r="MII2188" s="70"/>
      <c r="MIJ2188" s="69"/>
      <c r="MIK2188" s="70"/>
      <c r="MIL2188" s="69"/>
      <c r="MIM2188" s="70"/>
      <c r="MIN2188" s="69"/>
      <c r="MIO2188" s="70"/>
      <c r="MIP2188" s="69"/>
      <c r="MIQ2188" s="70"/>
      <c r="MIR2188" s="69"/>
      <c r="MIS2188" s="70"/>
      <c r="MIT2188" s="69"/>
      <c r="MIU2188" s="70"/>
      <c r="MIV2188" s="69"/>
      <c r="MIW2188" s="70"/>
      <c r="MIX2188" s="69"/>
      <c r="MIY2188" s="70"/>
      <c r="MIZ2188" s="69"/>
      <c r="MJA2188" s="70"/>
      <c r="MJB2188" s="69"/>
      <c r="MJC2188" s="70"/>
      <c r="MJD2188" s="69"/>
      <c r="MJE2188" s="70"/>
      <c r="MJF2188" s="69"/>
      <c r="MJG2188" s="70"/>
      <c r="MJH2188" s="69"/>
      <c r="MJI2188" s="70"/>
      <c r="MJJ2188" s="69"/>
      <c r="MJK2188" s="70"/>
      <c r="MJL2188" s="69"/>
      <c r="MJM2188" s="70"/>
      <c r="MJN2188" s="69"/>
      <c r="MJO2188" s="70"/>
      <c r="MJP2188" s="69"/>
      <c r="MJQ2188" s="70"/>
      <c r="MJR2188" s="69"/>
      <c r="MJS2188" s="70"/>
      <c r="MJT2188" s="69"/>
      <c r="MJU2188" s="70"/>
      <c r="MJV2188" s="69"/>
      <c r="MJW2188" s="70"/>
      <c r="MJX2188" s="69"/>
      <c r="MJY2188" s="70"/>
      <c r="MJZ2188" s="69"/>
      <c r="MKA2188" s="70"/>
      <c r="MKB2188" s="69"/>
      <c r="MKC2188" s="70"/>
      <c r="MKD2188" s="69"/>
      <c r="MKE2188" s="70"/>
      <c r="MKF2188" s="69"/>
      <c r="MKG2188" s="70"/>
      <c r="MKH2188" s="69"/>
      <c r="MKI2188" s="70"/>
      <c r="MKJ2188" s="69"/>
      <c r="MKK2188" s="70"/>
      <c r="MKL2188" s="69"/>
      <c r="MKM2188" s="70"/>
      <c r="MKN2188" s="69"/>
      <c r="MKO2188" s="70"/>
      <c r="MKP2188" s="69"/>
      <c r="MKQ2188" s="70"/>
      <c r="MKR2188" s="69"/>
      <c r="MKS2188" s="70"/>
      <c r="MKT2188" s="69"/>
      <c r="MKU2188" s="70"/>
      <c r="MKV2188" s="69"/>
      <c r="MKW2188" s="70"/>
      <c r="MKX2188" s="69"/>
      <c r="MKY2188" s="70"/>
      <c r="MKZ2188" s="69"/>
      <c r="MLA2188" s="70"/>
      <c r="MLB2188" s="69"/>
      <c r="MLC2188" s="70"/>
      <c r="MLD2188" s="69"/>
      <c r="MLE2188" s="70"/>
      <c r="MLF2188" s="69"/>
      <c r="MLG2188" s="70"/>
      <c r="MLH2188" s="69"/>
      <c r="MLI2188" s="70"/>
      <c r="MLJ2188" s="69"/>
      <c r="MLK2188" s="70"/>
      <c r="MLL2188" s="69"/>
      <c r="MLM2188" s="70"/>
      <c r="MLN2188" s="69"/>
      <c r="MLO2188" s="70"/>
      <c r="MLP2188" s="69"/>
      <c r="MLQ2188" s="70"/>
      <c r="MLR2188" s="69"/>
      <c r="MLS2188" s="70"/>
      <c r="MLT2188" s="69"/>
      <c r="MLU2188" s="70"/>
      <c r="MLV2188" s="69"/>
      <c r="MLW2188" s="70"/>
      <c r="MLX2188" s="69"/>
      <c r="MLY2188" s="70"/>
      <c r="MLZ2188" s="69"/>
      <c r="MMA2188" s="70"/>
      <c r="MMB2188" s="69"/>
      <c r="MMC2188" s="70"/>
      <c r="MMD2188" s="69"/>
      <c r="MME2188" s="70"/>
      <c r="MMF2188" s="69"/>
      <c r="MMG2188" s="70"/>
      <c r="MMH2188" s="69"/>
      <c r="MMI2188" s="70"/>
      <c r="MMJ2188" s="69"/>
      <c r="MMK2188" s="70"/>
      <c r="MML2188" s="69"/>
      <c r="MMM2188" s="70"/>
      <c r="MMN2188" s="69"/>
      <c r="MMO2188" s="70"/>
      <c r="MMP2188" s="69"/>
      <c r="MMQ2188" s="70"/>
      <c r="MMR2188" s="69"/>
      <c r="MMS2188" s="70"/>
      <c r="MMT2188" s="69"/>
      <c r="MMU2188" s="70"/>
      <c r="MMV2188" s="69"/>
      <c r="MMW2188" s="70"/>
      <c r="MMX2188" s="69"/>
      <c r="MMY2188" s="70"/>
      <c r="MMZ2188" s="69"/>
      <c r="MNA2188" s="70"/>
      <c r="MNB2188" s="69"/>
      <c r="MNC2188" s="70"/>
      <c r="MND2188" s="69"/>
      <c r="MNE2188" s="70"/>
      <c r="MNF2188" s="69"/>
      <c r="MNG2188" s="70"/>
      <c r="MNH2188" s="69"/>
      <c r="MNI2188" s="70"/>
      <c r="MNJ2188" s="69"/>
      <c r="MNK2188" s="70"/>
      <c r="MNL2188" s="69"/>
      <c r="MNM2188" s="70"/>
      <c r="MNN2188" s="69"/>
      <c r="MNO2188" s="70"/>
      <c r="MNP2188" s="69"/>
      <c r="MNQ2188" s="70"/>
      <c r="MNR2188" s="69"/>
      <c r="MNS2188" s="70"/>
      <c r="MNT2188" s="69"/>
      <c r="MNU2188" s="70"/>
      <c r="MNV2188" s="69"/>
      <c r="MNW2188" s="70"/>
      <c r="MNX2188" s="69"/>
      <c r="MNY2188" s="70"/>
      <c r="MNZ2188" s="69"/>
      <c r="MOA2188" s="70"/>
      <c r="MOB2188" s="69"/>
      <c r="MOC2188" s="70"/>
      <c r="MOD2188" s="69"/>
      <c r="MOE2188" s="70"/>
      <c r="MOF2188" s="69"/>
      <c r="MOG2188" s="70"/>
      <c r="MOH2188" s="69"/>
      <c r="MOI2188" s="70"/>
      <c r="MOJ2188" s="69"/>
      <c r="MOK2188" s="70"/>
      <c r="MOL2188" s="69"/>
      <c r="MOM2188" s="70"/>
      <c r="MON2188" s="69"/>
      <c r="MOO2188" s="70"/>
      <c r="MOP2188" s="69"/>
      <c r="MOQ2188" s="70"/>
      <c r="MOR2188" s="69"/>
      <c r="MOS2188" s="70"/>
      <c r="MOT2188" s="69"/>
      <c r="MOU2188" s="70"/>
      <c r="MOV2188" s="69"/>
      <c r="MOW2188" s="70"/>
      <c r="MOX2188" s="69"/>
      <c r="MOY2188" s="70"/>
      <c r="MOZ2188" s="69"/>
      <c r="MPA2188" s="70"/>
      <c r="MPB2188" s="69"/>
      <c r="MPC2188" s="70"/>
      <c r="MPD2188" s="69"/>
      <c r="MPE2188" s="70"/>
      <c r="MPF2188" s="69"/>
      <c r="MPG2188" s="70"/>
      <c r="MPH2188" s="69"/>
      <c r="MPI2188" s="70"/>
      <c r="MPJ2188" s="69"/>
      <c r="MPK2188" s="70"/>
      <c r="MPL2188" s="69"/>
      <c r="MPM2188" s="70"/>
      <c r="MPN2188" s="69"/>
      <c r="MPO2188" s="70"/>
      <c r="MPP2188" s="69"/>
      <c r="MPQ2188" s="70"/>
      <c r="MPR2188" s="69"/>
      <c r="MPS2188" s="70"/>
      <c r="MPT2188" s="69"/>
      <c r="MPU2188" s="70"/>
      <c r="MPV2188" s="69"/>
      <c r="MPW2188" s="70"/>
      <c r="MPX2188" s="69"/>
      <c r="MPY2188" s="70"/>
      <c r="MPZ2188" s="69"/>
      <c r="MQA2188" s="70"/>
      <c r="MQB2188" s="69"/>
      <c r="MQC2188" s="70"/>
      <c r="MQD2188" s="69"/>
      <c r="MQE2188" s="70"/>
      <c r="MQF2188" s="69"/>
      <c r="MQG2188" s="70"/>
      <c r="MQH2188" s="69"/>
      <c r="MQI2188" s="70"/>
      <c r="MQJ2188" s="69"/>
      <c r="MQK2188" s="70"/>
      <c r="MQL2188" s="69"/>
      <c r="MQM2188" s="70"/>
      <c r="MQN2188" s="69"/>
      <c r="MQO2188" s="70"/>
      <c r="MQP2188" s="69"/>
      <c r="MQQ2188" s="70"/>
      <c r="MQR2188" s="69"/>
      <c r="MQS2188" s="70"/>
      <c r="MQT2188" s="69"/>
      <c r="MQU2188" s="70"/>
      <c r="MQV2188" s="69"/>
      <c r="MQW2188" s="70"/>
      <c r="MQX2188" s="69"/>
      <c r="MQY2188" s="70"/>
      <c r="MQZ2188" s="69"/>
      <c r="MRA2188" s="70"/>
      <c r="MRB2188" s="69"/>
      <c r="MRC2188" s="70"/>
      <c r="MRD2188" s="69"/>
      <c r="MRE2188" s="70"/>
      <c r="MRF2188" s="69"/>
      <c r="MRG2188" s="70"/>
      <c r="MRH2188" s="69"/>
      <c r="MRI2188" s="70"/>
      <c r="MRJ2188" s="69"/>
      <c r="MRK2188" s="70"/>
      <c r="MRL2188" s="69"/>
      <c r="MRM2188" s="70"/>
      <c r="MRN2188" s="69"/>
      <c r="MRO2188" s="70"/>
      <c r="MRP2188" s="69"/>
      <c r="MRQ2188" s="70"/>
      <c r="MRR2188" s="69"/>
      <c r="MRS2188" s="70"/>
      <c r="MRT2188" s="69"/>
      <c r="MRU2188" s="70"/>
      <c r="MRV2188" s="69"/>
      <c r="MRW2188" s="70"/>
      <c r="MRX2188" s="69"/>
      <c r="MRY2188" s="70"/>
      <c r="MRZ2188" s="69"/>
      <c r="MSA2188" s="70"/>
      <c r="MSB2188" s="69"/>
      <c r="MSC2188" s="70"/>
      <c r="MSD2188" s="69"/>
      <c r="MSE2188" s="70"/>
      <c r="MSF2188" s="69"/>
      <c r="MSG2188" s="70"/>
      <c r="MSH2188" s="69"/>
      <c r="MSI2188" s="70"/>
      <c r="MSJ2188" s="69"/>
      <c r="MSK2188" s="70"/>
      <c r="MSL2188" s="69"/>
      <c r="MSM2188" s="70"/>
      <c r="MSN2188" s="69"/>
      <c r="MSO2188" s="70"/>
      <c r="MSP2188" s="69"/>
      <c r="MSQ2188" s="70"/>
      <c r="MSR2188" s="69"/>
      <c r="MSS2188" s="70"/>
      <c r="MST2188" s="69"/>
      <c r="MSU2188" s="70"/>
      <c r="MSV2188" s="69"/>
      <c r="MSW2188" s="70"/>
      <c r="MSX2188" s="69"/>
      <c r="MSY2188" s="70"/>
      <c r="MSZ2188" s="69"/>
      <c r="MTA2188" s="70"/>
      <c r="MTB2188" s="69"/>
      <c r="MTC2188" s="70"/>
      <c r="MTD2188" s="69"/>
      <c r="MTE2188" s="70"/>
      <c r="MTF2188" s="69"/>
      <c r="MTG2188" s="70"/>
      <c r="MTH2188" s="69"/>
      <c r="MTI2188" s="70"/>
      <c r="MTJ2188" s="69"/>
      <c r="MTK2188" s="70"/>
      <c r="MTL2188" s="69"/>
      <c r="MTM2188" s="70"/>
      <c r="MTN2188" s="69"/>
      <c r="MTO2188" s="70"/>
      <c r="MTP2188" s="69"/>
      <c r="MTQ2188" s="70"/>
      <c r="MTR2188" s="69"/>
      <c r="MTS2188" s="70"/>
      <c r="MTT2188" s="69"/>
      <c r="MTU2188" s="70"/>
      <c r="MTV2188" s="69"/>
      <c r="MTW2188" s="70"/>
      <c r="MTX2188" s="69"/>
      <c r="MTY2188" s="70"/>
      <c r="MTZ2188" s="69"/>
      <c r="MUA2188" s="70"/>
      <c r="MUB2188" s="69"/>
      <c r="MUC2188" s="70"/>
      <c r="MUD2188" s="69"/>
      <c r="MUE2188" s="70"/>
      <c r="MUF2188" s="69"/>
      <c r="MUG2188" s="70"/>
      <c r="MUH2188" s="69"/>
      <c r="MUI2188" s="70"/>
      <c r="MUJ2188" s="69"/>
      <c r="MUK2188" s="70"/>
      <c r="MUL2188" s="69"/>
      <c r="MUM2188" s="70"/>
      <c r="MUN2188" s="69"/>
      <c r="MUO2188" s="70"/>
      <c r="MUP2188" s="69"/>
      <c r="MUQ2188" s="70"/>
      <c r="MUR2188" s="69"/>
      <c r="MUS2188" s="70"/>
      <c r="MUT2188" s="69"/>
      <c r="MUU2188" s="70"/>
      <c r="MUV2188" s="69"/>
      <c r="MUW2188" s="70"/>
      <c r="MUX2188" s="69"/>
      <c r="MUY2188" s="70"/>
      <c r="MUZ2188" s="69"/>
      <c r="MVA2188" s="70"/>
      <c r="MVB2188" s="69"/>
      <c r="MVC2188" s="70"/>
      <c r="MVD2188" s="69"/>
      <c r="MVE2188" s="70"/>
      <c r="MVF2188" s="69"/>
      <c r="MVG2188" s="70"/>
      <c r="MVH2188" s="69"/>
      <c r="MVI2188" s="70"/>
      <c r="MVJ2188" s="69"/>
      <c r="MVK2188" s="70"/>
      <c r="MVL2188" s="69"/>
      <c r="MVM2188" s="70"/>
      <c r="MVN2188" s="69"/>
      <c r="MVO2188" s="70"/>
      <c r="MVP2188" s="69"/>
      <c r="MVQ2188" s="70"/>
      <c r="MVR2188" s="69"/>
      <c r="MVS2188" s="70"/>
      <c r="MVT2188" s="69"/>
      <c r="MVU2188" s="70"/>
      <c r="MVV2188" s="69"/>
      <c r="MVW2188" s="70"/>
      <c r="MVX2188" s="69"/>
      <c r="MVY2188" s="70"/>
      <c r="MVZ2188" s="69"/>
      <c r="MWA2188" s="70"/>
      <c r="MWB2188" s="69"/>
      <c r="MWC2188" s="70"/>
      <c r="MWD2188" s="69"/>
      <c r="MWE2188" s="70"/>
      <c r="MWF2188" s="69"/>
      <c r="MWG2188" s="70"/>
      <c r="MWH2188" s="69"/>
      <c r="MWI2188" s="70"/>
      <c r="MWJ2188" s="69"/>
      <c r="MWK2188" s="70"/>
      <c r="MWL2188" s="69"/>
      <c r="MWM2188" s="70"/>
      <c r="MWN2188" s="69"/>
      <c r="MWO2188" s="70"/>
      <c r="MWP2188" s="69"/>
      <c r="MWQ2188" s="70"/>
      <c r="MWR2188" s="69"/>
      <c r="MWS2188" s="70"/>
      <c r="MWT2188" s="69"/>
      <c r="MWU2188" s="70"/>
      <c r="MWV2188" s="69"/>
      <c r="MWW2188" s="70"/>
      <c r="MWX2188" s="69"/>
      <c r="MWY2188" s="70"/>
      <c r="MWZ2188" s="69"/>
      <c r="MXA2188" s="70"/>
      <c r="MXB2188" s="69"/>
      <c r="MXC2188" s="70"/>
      <c r="MXD2188" s="69"/>
      <c r="MXE2188" s="70"/>
      <c r="MXF2188" s="69"/>
      <c r="MXG2188" s="70"/>
      <c r="MXH2188" s="69"/>
      <c r="MXI2188" s="70"/>
      <c r="MXJ2188" s="69"/>
      <c r="MXK2188" s="70"/>
      <c r="MXL2188" s="69"/>
      <c r="MXM2188" s="70"/>
      <c r="MXN2188" s="69"/>
      <c r="MXO2188" s="70"/>
      <c r="MXP2188" s="69"/>
      <c r="MXQ2188" s="70"/>
      <c r="MXR2188" s="69"/>
      <c r="MXS2188" s="70"/>
      <c r="MXT2188" s="69"/>
      <c r="MXU2188" s="70"/>
      <c r="MXV2188" s="69"/>
      <c r="MXW2188" s="70"/>
      <c r="MXX2188" s="69"/>
      <c r="MXY2188" s="70"/>
      <c r="MXZ2188" s="69"/>
      <c r="MYA2188" s="70"/>
      <c r="MYB2188" s="69"/>
      <c r="MYC2188" s="70"/>
      <c r="MYD2188" s="69"/>
      <c r="MYE2188" s="70"/>
      <c r="MYF2188" s="69"/>
      <c r="MYG2188" s="70"/>
      <c r="MYH2188" s="69"/>
      <c r="MYI2188" s="70"/>
      <c r="MYJ2188" s="69"/>
      <c r="MYK2188" s="70"/>
      <c r="MYL2188" s="69"/>
      <c r="MYM2188" s="70"/>
      <c r="MYN2188" s="69"/>
      <c r="MYO2188" s="70"/>
      <c r="MYP2188" s="69"/>
      <c r="MYQ2188" s="70"/>
      <c r="MYR2188" s="69"/>
      <c r="MYS2188" s="70"/>
      <c r="MYT2188" s="69"/>
      <c r="MYU2188" s="70"/>
      <c r="MYV2188" s="69"/>
      <c r="MYW2188" s="70"/>
      <c r="MYX2188" s="69"/>
      <c r="MYY2188" s="70"/>
      <c r="MYZ2188" s="69"/>
      <c r="MZA2188" s="70"/>
      <c r="MZB2188" s="69"/>
      <c r="MZC2188" s="70"/>
      <c r="MZD2188" s="69"/>
      <c r="MZE2188" s="70"/>
      <c r="MZF2188" s="69"/>
      <c r="MZG2188" s="70"/>
      <c r="MZH2188" s="69"/>
      <c r="MZI2188" s="70"/>
      <c r="MZJ2188" s="69"/>
      <c r="MZK2188" s="70"/>
      <c r="MZL2188" s="69"/>
      <c r="MZM2188" s="70"/>
      <c r="MZN2188" s="69"/>
      <c r="MZO2188" s="70"/>
      <c r="MZP2188" s="69"/>
      <c r="MZQ2188" s="70"/>
      <c r="MZR2188" s="69"/>
      <c r="MZS2188" s="70"/>
      <c r="MZT2188" s="69"/>
      <c r="MZU2188" s="70"/>
      <c r="MZV2188" s="69"/>
      <c r="MZW2188" s="70"/>
      <c r="MZX2188" s="69"/>
      <c r="MZY2188" s="70"/>
      <c r="MZZ2188" s="69"/>
      <c r="NAA2188" s="70"/>
      <c r="NAB2188" s="69"/>
      <c r="NAC2188" s="70"/>
      <c r="NAD2188" s="69"/>
      <c r="NAE2188" s="70"/>
      <c r="NAF2188" s="69"/>
      <c r="NAG2188" s="70"/>
      <c r="NAH2188" s="69"/>
      <c r="NAI2188" s="70"/>
      <c r="NAJ2188" s="69"/>
      <c r="NAK2188" s="70"/>
      <c r="NAL2188" s="69"/>
      <c r="NAM2188" s="70"/>
      <c r="NAN2188" s="69"/>
      <c r="NAO2188" s="70"/>
      <c r="NAP2188" s="69"/>
      <c r="NAQ2188" s="70"/>
      <c r="NAR2188" s="69"/>
      <c r="NAS2188" s="70"/>
      <c r="NAT2188" s="69"/>
      <c r="NAU2188" s="70"/>
      <c r="NAV2188" s="69"/>
      <c r="NAW2188" s="70"/>
      <c r="NAX2188" s="69"/>
      <c r="NAY2188" s="70"/>
      <c r="NAZ2188" s="69"/>
      <c r="NBA2188" s="70"/>
      <c r="NBB2188" s="69"/>
      <c r="NBC2188" s="70"/>
      <c r="NBD2188" s="69"/>
      <c r="NBE2188" s="70"/>
      <c r="NBF2188" s="69"/>
      <c r="NBG2188" s="70"/>
      <c r="NBH2188" s="69"/>
      <c r="NBI2188" s="70"/>
      <c r="NBJ2188" s="69"/>
      <c r="NBK2188" s="70"/>
      <c r="NBL2188" s="69"/>
      <c r="NBM2188" s="70"/>
      <c r="NBN2188" s="69"/>
      <c r="NBO2188" s="70"/>
      <c r="NBP2188" s="69"/>
      <c r="NBQ2188" s="70"/>
      <c r="NBR2188" s="69"/>
      <c r="NBS2188" s="70"/>
      <c r="NBT2188" s="69"/>
      <c r="NBU2188" s="70"/>
      <c r="NBV2188" s="69"/>
      <c r="NBW2188" s="70"/>
      <c r="NBX2188" s="69"/>
      <c r="NBY2188" s="70"/>
      <c r="NBZ2188" s="69"/>
      <c r="NCA2188" s="70"/>
      <c r="NCB2188" s="69"/>
      <c r="NCC2188" s="70"/>
      <c r="NCD2188" s="69"/>
      <c r="NCE2188" s="70"/>
      <c r="NCF2188" s="69"/>
      <c r="NCG2188" s="70"/>
      <c r="NCH2188" s="69"/>
      <c r="NCI2188" s="70"/>
      <c r="NCJ2188" s="69"/>
      <c r="NCK2188" s="70"/>
      <c r="NCL2188" s="69"/>
      <c r="NCM2188" s="70"/>
      <c r="NCN2188" s="69"/>
      <c r="NCO2188" s="70"/>
      <c r="NCP2188" s="69"/>
      <c r="NCQ2188" s="70"/>
      <c r="NCR2188" s="69"/>
      <c r="NCS2188" s="70"/>
      <c r="NCT2188" s="69"/>
      <c r="NCU2188" s="70"/>
      <c r="NCV2188" s="69"/>
      <c r="NCW2188" s="70"/>
      <c r="NCX2188" s="69"/>
      <c r="NCY2188" s="70"/>
      <c r="NCZ2188" s="69"/>
      <c r="NDA2188" s="70"/>
      <c r="NDB2188" s="69"/>
      <c r="NDC2188" s="70"/>
      <c r="NDD2188" s="69"/>
      <c r="NDE2188" s="70"/>
      <c r="NDF2188" s="69"/>
      <c r="NDG2188" s="70"/>
      <c r="NDH2188" s="69"/>
      <c r="NDI2188" s="70"/>
      <c r="NDJ2188" s="69"/>
      <c r="NDK2188" s="70"/>
      <c r="NDL2188" s="69"/>
      <c r="NDM2188" s="70"/>
      <c r="NDN2188" s="69"/>
      <c r="NDO2188" s="70"/>
      <c r="NDP2188" s="69"/>
      <c r="NDQ2188" s="70"/>
      <c r="NDR2188" s="69"/>
      <c r="NDS2188" s="70"/>
      <c r="NDT2188" s="69"/>
      <c r="NDU2188" s="70"/>
      <c r="NDV2188" s="69"/>
      <c r="NDW2188" s="70"/>
      <c r="NDX2188" s="69"/>
      <c r="NDY2188" s="70"/>
      <c r="NDZ2188" s="69"/>
      <c r="NEA2188" s="70"/>
      <c r="NEB2188" s="69"/>
      <c r="NEC2188" s="70"/>
      <c r="NED2188" s="69"/>
      <c r="NEE2188" s="70"/>
      <c r="NEF2188" s="69"/>
      <c r="NEG2188" s="70"/>
      <c r="NEH2188" s="69"/>
      <c r="NEI2188" s="70"/>
      <c r="NEJ2188" s="69"/>
      <c r="NEK2188" s="70"/>
      <c r="NEL2188" s="69"/>
      <c r="NEM2188" s="70"/>
      <c r="NEN2188" s="69"/>
      <c r="NEO2188" s="70"/>
      <c r="NEP2188" s="69"/>
      <c r="NEQ2188" s="70"/>
      <c r="NER2188" s="69"/>
      <c r="NES2188" s="70"/>
      <c r="NET2188" s="69"/>
      <c r="NEU2188" s="70"/>
      <c r="NEV2188" s="69"/>
      <c r="NEW2188" s="70"/>
      <c r="NEX2188" s="69"/>
      <c r="NEY2188" s="70"/>
      <c r="NEZ2188" s="69"/>
      <c r="NFA2188" s="70"/>
      <c r="NFB2188" s="69"/>
      <c r="NFC2188" s="70"/>
      <c r="NFD2188" s="69"/>
      <c r="NFE2188" s="70"/>
      <c r="NFF2188" s="69"/>
      <c r="NFG2188" s="70"/>
      <c r="NFH2188" s="69"/>
      <c r="NFI2188" s="70"/>
      <c r="NFJ2188" s="69"/>
      <c r="NFK2188" s="70"/>
      <c r="NFL2188" s="69"/>
      <c r="NFM2188" s="70"/>
      <c r="NFN2188" s="69"/>
      <c r="NFO2188" s="70"/>
      <c r="NFP2188" s="69"/>
      <c r="NFQ2188" s="70"/>
      <c r="NFR2188" s="69"/>
      <c r="NFS2188" s="70"/>
      <c r="NFT2188" s="69"/>
      <c r="NFU2188" s="70"/>
      <c r="NFV2188" s="69"/>
      <c r="NFW2188" s="70"/>
      <c r="NFX2188" s="69"/>
      <c r="NFY2188" s="70"/>
      <c r="NFZ2188" s="69"/>
      <c r="NGA2188" s="70"/>
      <c r="NGB2188" s="69"/>
      <c r="NGC2188" s="70"/>
      <c r="NGD2188" s="69"/>
      <c r="NGE2188" s="70"/>
      <c r="NGF2188" s="69"/>
      <c r="NGG2188" s="70"/>
      <c r="NGH2188" s="69"/>
      <c r="NGI2188" s="70"/>
      <c r="NGJ2188" s="69"/>
      <c r="NGK2188" s="70"/>
      <c r="NGL2188" s="69"/>
      <c r="NGM2188" s="70"/>
      <c r="NGN2188" s="69"/>
      <c r="NGO2188" s="70"/>
      <c r="NGP2188" s="69"/>
      <c r="NGQ2188" s="70"/>
      <c r="NGR2188" s="69"/>
      <c r="NGS2188" s="70"/>
      <c r="NGT2188" s="69"/>
      <c r="NGU2188" s="70"/>
      <c r="NGV2188" s="69"/>
      <c r="NGW2188" s="70"/>
      <c r="NGX2188" s="69"/>
      <c r="NGY2188" s="70"/>
      <c r="NGZ2188" s="69"/>
      <c r="NHA2188" s="70"/>
      <c r="NHB2188" s="69"/>
      <c r="NHC2188" s="70"/>
      <c r="NHD2188" s="69"/>
      <c r="NHE2188" s="70"/>
      <c r="NHF2188" s="69"/>
      <c r="NHG2188" s="70"/>
      <c r="NHH2188" s="69"/>
      <c r="NHI2188" s="70"/>
      <c r="NHJ2188" s="69"/>
      <c r="NHK2188" s="70"/>
      <c r="NHL2188" s="69"/>
      <c r="NHM2188" s="70"/>
      <c r="NHN2188" s="69"/>
      <c r="NHO2188" s="70"/>
      <c r="NHP2188" s="69"/>
      <c r="NHQ2188" s="70"/>
      <c r="NHR2188" s="69"/>
      <c r="NHS2188" s="70"/>
      <c r="NHT2188" s="69"/>
      <c r="NHU2188" s="70"/>
      <c r="NHV2188" s="69"/>
      <c r="NHW2188" s="70"/>
      <c r="NHX2188" s="69"/>
      <c r="NHY2188" s="70"/>
      <c r="NHZ2188" s="69"/>
      <c r="NIA2188" s="70"/>
      <c r="NIB2188" s="69"/>
      <c r="NIC2188" s="70"/>
      <c r="NID2188" s="69"/>
      <c r="NIE2188" s="70"/>
      <c r="NIF2188" s="69"/>
      <c r="NIG2188" s="70"/>
      <c r="NIH2188" s="69"/>
      <c r="NII2188" s="70"/>
      <c r="NIJ2188" s="69"/>
      <c r="NIK2188" s="70"/>
      <c r="NIL2188" s="69"/>
      <c r="NIM2188" s="70"/>
      <c r="NIN2188" s="69"/>
      <c r="NIO2188" s="70"/>
      <c r="NIP2188" s="69"/>
      <c r="NIQ2188" s="70"/>
      <c r="NIR2188" s="69"/>
      <c r="NIS2188" s="70"/>
      <c r="NIT2188" s="69"/>
      <c r="NIU2188" s="70"/>
      <c r="NIV2188" s="69"/>
      <c r="NIW2188" s="70"/>
      <c r="NIX2188" s="69"/>
      <c r="NIY2188" s="70"/>
      <c r="NIZ2188" s="69"/>
      <c r="NJA2188" s="70"/>
      <c r="NJB2188" s="69"/>
      <c r="NJC2188" s="70"/>
      <c r="NJD2188" s="69"/>
      <c r="NJE2188" s="70"/>
      <c r="NJF2188" s="69"/>
      <c r="NJG2188" s="70"/>
      <c r="NJH2188" s="69"/>
      <c r="NJI2188" s="70"/>
      <c r="NJJ2188" s="69"/>
      <c r="NJK2188" s="70"/>
      <c r="NJL2188" s="69"/>
      <c r="NJM2188" s="70"/>
      <c r="NJN2188" s="69"/>
      <c r="NJO2188" s="70"/>
      <c r="NJP2188" s="69"/>
      <c r="NJQ2188" s="70"/>
      <c r="NJR2188" s="69"/>
      <c r="NJS2188" s="70"/>
      <c r="NJT2188" s="69"/>
      <c r="NJU2188" s="70"/>
      <c r="NJV2188" s="69"/>
      <c r="NJW2188" s="70"/>
      <c r="NJX2188" s="69"/>
      <c r="NJY2188" s="70"/>
      <c r="NJZ2188" s="69"/>
      <c r="NKA2188" s="70"/>
      <c r="NKB2188" s="69"/>
      <c r="NKC2188" s="70"/>
      <c r="NKD2188" s="69"/>
      <c r="NKE2188" s="70"/>
      <c r="NKF2188" s="69"/>
      <c r="NKG2188" s="70"/>
      <c r="NKH2188" s="69"/>
      <c r="NKI2188" s="70"/>
      <c r="NKJ2188" s="69"/>
      <c r="NKK2188" s="70"/>
      <c r="NKL2188" s="69"/>
      <c r="NKM2188" s="70"/>
      <c r="NKN2188" s="69"/>
      <c r="NKO2188" s="70"/>
      <c r="NKP2188" s="69"/>
      <c r="NKQ2188" s="70"/>
      <c r="NKR2188" s="69"/>
      <c r="NKS2188" s="70"/>
      <c r="NKT2188" s="69"/>
      <c r="NKU2188" s="70"/>
      <c r="NKV2188" s="69"/>
      <c r="NKW2188" s="70"/>
      <c r="NKX2188" s="69"/>
      <c r="NKY2188" s="70"/>
      <c r="NKZ2188" s="69"/>
      <c r="NLA2188" s="70"/>
      <c r="NLB2188" s="69"/>
      <c r="NLC2188" s="70"/>
      <c r="NLD2188" s="69"/>
      <c r="NLE2188" s="70"/>
      <c r="NLF2188" s="69"/>
      <c r="NLG2188" s="70"/>
      <c r="NLH2188" s="69"/>
      <c r="NLI2188" s="70"/>
      <c r="NLJ2188" s="69"/>
      <c r="NLK2188" s="70"/>
      <c r="NLL2188" s="69"/>
      <c r="NLM2188" s="70"/>
      <c r="NLN2188" s="69"/>
      <c r="NLO2188" s="70"/>
      <c r="NLP2188" s="69"/>
      <c r="NLQ2188" s="70"/>
      <c r="NLR2188" s="69"/>
      <c r="NLS2188" s="70"/>
      <c r="NLT2188" s="69"/>
      <c r="NLU2188" s="70"/>
      <c r="NLV2188" s="69"/>
      <c r="NLW2188" s="70"/>
      <c r="NLX2188" s="69"/>
      <c r="NLY2188" s="70"/>
      <c r="NLZ2188" s="69"/>
      <c r="NMA2188" s="70"/>
      <c r="NMB2188" s="69"/>
      <c r="NMC2188" s="70"/>
      <c r="NMD2188" s="69"/>
      <c r="NME2188" s="70"/>
      <c r="NMF2188" s="69"/>
      <c r="NMG2188" s="70"/>
      <c r="NMH2188" s="69"/>
      <c r="NMI2188" s="70"/>
      <c r="NMJ2188" s="69"/>
      <c r="NMK2188" s="70"/>
      <c r="NML2188" s="69"/>
      <c r="NMM2188" s="70"/>
      <c r="NMN2188" s="69"/>
      <c r="NMO2188" s="70"/>
      <c r="NMP2188" s="69"/>
      <c r="NMQ2188" s="70"/>
      <c r="NMR2188" s="69"/>
      <c r="NMS2188" s="70"/>
      <c r="NMT2188" s="69"/>
      <c r="NMU2188" s="70"/>
      <c r="NMV2188" s="69"/>
      <c r="NMW2188" s="70"/>
      <c r="NMX2188" s="69"/>
      <c r="NMY2188" s="70"/>
      <c r="NMZ2188" s="69"/>
      <c r="NNA2188" s="70"/>
      <c r="NNB2188" s="69"/>
      <c r="NNC2188" s="70"/>
      <c r="NND2188" s="69"/>
      <c r="NNE2188" s="70"/>
      <c r="NNF2188" s="69"/>
      <c r="NNG2188" s="70"/>
      <c r="NNH2188" s="69"/>
      <c r="NNI2188" s="70"/>
      <c r="NNJ2188" s="69"/>
      <c r="NNK2188" s="70"/>
      <c r="NNL2188" s="69"/>
      <c r="NNM2188" s="70"/>
      <c r="NNN2188" s="69"/>
      <c r="NNO2188" s="70"/>
      <c r="NNP2188" s="69"/>
      <c r="NNQ2188" s="70"/>
      <c r="NNR2188" s="69"/>
      <c r="NNS2188" s="70"/>
      <c r="NNT2188" s="69"/>
      <c r="NNU2188" s="70"/>
      <c r="NNV2188" s="69"/>
      <c r="NNW2188" s="70"/>
      <c r="NNX2188" s="69"/>
      <c r="NNY2188" s="70"/>
      <c r="NNZ2188" s="69"/>
      <c r="NOA2188" s="70"/>
      <c r="NOB2188" s="69"/>
      <c r="NOC2188" s="70"/>
      <c r="NOD2188" s="69"/>
      <c r="NOE2188" s="70"/>
      <c r="NOF2188" s="69"/>
      <c r="NOG2188" s="70"/>
      <c r="NOH2188" s="69"/>
      <c r="NOI2188" s="70"/>
      <c r="NOJ2188" s="69"/>
      <c r="NOK2188" s="70"/>
      <c r="NOL2188" s="69"/>
      <c r="NOM2188" s="70"/>
      <c r="NON2188" s="69"/>
      <c r="NOO2188" s="70"/>
      <c r="NOP2188" s="69"/>
      <c r="NOQ2188" s="70"/>
      <c r="NOR2188" s="69"/>
      <c r="NOS2188" s="70"/>
      <c r="NOT2188" s="69"/>
      <c r="NOU2188" s="70"/>
      <c r="NOV2188" s="69"/>
      <c r="NOW2188" s="70"/>
      <c r="NOX2188" s="69"/>
      <c r="NOY2188" s="70"/>
      <c r="NOZ2188" s="69"/>
      <c r="NPA2188" s="70"/>
      <c r="NPB2188" s="69"/>
      <c r="NPC2188" s="70"/>
      <c r="NPD2188" s="69"/>
      <c r="NPE2188" s="70"/>
      <c r="NPF2188" s="69"/>
      <c r="NPG2188" s="70"/>
      <c r="NPH2188" s="69"/>
      <c r="NPI2188" s="70"/>
      <c r="NPJ2188" s="69"/>
      <c r="NPK2188" s="70"/>
      <c r="NPL2188" s="69"/>
      <c r="NPM2188" s="70"/>
      <c r="NPN2188" s="69"/>
      <c r="NPO2188" s="70"/>
      <c r="NPP2188" s="69"/>
      <c r="NPQ2188" s="70"/>
      <c r="NPR2188" s="69"/>
      <c r="NPS2188" s="70"/>
      <c r="NPT2188" s="69"/>
      <c r="NPU2188" s="70"/>
      <c r="NPV2188" s="69"/>
      <c r="NPW2188" s="70"/>
      <c r="NPX2188" s="69"/>
      <c r="NPY2188" s="70"/>
      <c r="NPZ2188" s="69"/>
      <c r="NQA2188" s="70"/>
      <c r="NQB2188" s="69"/>
      <c r="NQC2188" s="70"/>
      <c r="NQD2188" s="69"/>
      <c r="NQE2188" s="70"/>
      <c r="NQF2188" s="69"/>
      <c r="NQG2188" s="70"/>
      <c r="NQH2188" s="69"/>
      <c r="NQI2188" s="70"/>
      <c r="NQJ2188" s="69"/>
      <c r="NQK2188" s="70"/>
      <c r="NQL2188" s="69"/>
      <c r="NQM2188" s="70"/>
      <c r="NQN2188" s="69"/>
      <c r="NQO2188" s="70"/>
      <c r="NQP2188" s="69"/>
      <c r="NQQ2188" s="70"/>
      <c r="NQR2188" s="69"/>
      <c r="NQS2188" s="70"/>
      <c r="NQT2188" s="69"/>
      <c r="NQU2188" s="70"/>
      <c r="NQV2188" s="69"/>
      <c r="NQW2188" s="70"/>
      <c r="NQX2188" s="69"/>
      <c r="NQY2188" s="70"/>
      <c r="NQZ2188" s="69"/>
      <c r="NRA2188" s="70"/>
      <c r="NRB2188" s="69"/>
      <c r="NRC2188" s="70"/>
      <c r="NRD2188" s="69"/>
      <c r="NRE2188" s="70"/>
      <c r="NRF2188" s="69"/>
      <c r="NRG2188" s="70"/>
      <c r="NRH2188" s="69"/>
      <c r="NRI2188" s="70"/>
      <c r="NRJ2188" s="69"/>
      <c r="NRK2188" s="70"/>
      <c r="NRL2188" s="69"/>
      <c r="NRM2188" s="70"/>
      <c r="NRN2188" s="69"/>
      <c r="NRO2188" s="70"/>
      <c r="NRP2188" s="69"/>
      <c r="NRQ2188" s="70"/>
      <c r="NRR2188" s="69"/>
      <c r="NRS2188" s="70"/>
      <c r="NRT2188" s="69"/>
      <c r="NRU2188" s="70"/>
      <c r="NRV2188" s="69"/>
      <c r="NRW2188" s="70"/>
      <c r="NRX2188" s="69"/>
      <c r="NRY2188" s="70"/>
      <c r="NRZ2188" s="69"/>
      <c r="NSA2188" s="70"/>
      <c r="NSB2188" s="69"/>
      <c r="NSC2188" s="70"/>
      <c r="NSD2188" s="69"/>
      <c r="NSE2188" s="70"/>
      <c r="NSF2188" s="69"/>
      <c r="NSG2188" s="70"/>
      <c r="NSH2188" s="69"/>
      <c r="NSI2188" s="70"/>
      <c r="NSJ2188" s="69"/>
      <c r="NSK2188" s="70"/>
      <c r="NSL2188" s="69"/>
      <c r="NSM2188" s="70"/>
      <c r="NSN2188" s="69"/>
      <c r="NSO2188" s="70"/>
      <c r="NSP2188" s="69"/>
      <c r="NSQ2188" s="70"/>
      <c r="NSR2188" s="69"/>
      <c r="NSS2188" s="70"/>
      <c r="NST2188" s="69"/>
      <c r="NSU2188" s="70"/>
      <c r="NSV2188" s="69"/>
      <c r="NSW2188" s="70"/>
      <c r="NSX2188" s="69"/>
      <c r="NSY2188" s="70"/>
      <c r="NSZ2188" s="69"/>
      <c r="NTA2188" s="70"/>
      <c r="NTB2188" s="69"/>
      <c r="NTC2188" s="70"/>
      <c r="NTD2188" s="69"/>
      <c r="NTE2188" s="70"/>
      <c r="NTF2188" s="69"/>
      <c r="NTG2188" s="70"/>
      <c r="NTH2188" s="69"/>
      <c r="NTI2188" s="70"/>
      <c r="NTJ2188" s="69"/>
      <c r="NTK2188" s="70"/>
      <c r="NTL2188" s="69"/>
      <c r="NTM2188" s="70"/>
      <c r="NTN2188" s="69"/>
      <c r="NTO2188" s="70"/>
      <c r="NTP2188" s="69"/>
      <c r="NTQ2188" s="70"/>
      <c r="NTR2188" s="69"/>
      <c r="NTS2188" s="70"/>
      <c r="NTT2188" s="69"/>
      <c r="NTU2188" s="70"/>
      <c r="NTV2188" s="69"/>
      <c r="NTW2188" s="70"/>
      <c r="NTX2188" s="69"/>
      <c r="NTY2188" s="70"/>
      <c r="NTZ2188" s="69"/>
      <c r="NUA2188" s="70"/>
      <c r="NUB2188" s="69"/>
      <c r="NUC2188" s="70"/>
      <c r="NUD2188" s="69"/>
      <c r="NUE2188" s="70"/>
      <c r="NUF2188" s="69"/>
      <c r="NUG2188" s="70"/>
      <c r="NUH2188" s="69"/>
      <c r="NUI2188" s="70"/>
      <c r="NUJ2188" s="69"/>
      <c r="NUK2188" s="70"/>
      <c r="NUL2188" s="69"/>
      <c r="NUM2188" s="70"/>
      <c r="NUN2188" s="69"/>
      <c r="NUO2188" s="70"/>
      <c r="NUP2188" s="69"/>
      <c r="NUQ2188" s="70"/>
      <c r="NUR2188" s="69"/>
      <c r="NUS2188" s="70"/>
      <c r="NUT2188" s="69"/>
      <c r="NUU2188" s="70"/>
      <c r="NUV2188" s="69"/>
      <c r="NUW2188" s="70"/>
      <c r="NUX2188" s="69"/>
      <c r="NUY2188" s="70"/>
      <c r="NUZ2188" s="69"/>
      <c r="NVA2188" s="70"/>
      <c r="NVB2188" s="69"/>
      <c r="NVC2188" s="70"/>
      <c r="NVD2188" s="69"/>
      <c r="NVE2188" s="70"/>
      <c r="NVF2188" s="69"/>
      <c r="NVG2188" s="70"/>
      <c r="NVH2188" s="69"/>
      <c r="NVI2188" s="70"/>
      <c r="NVJ2188" s="69"/>
      <c r="NVK2188" s="70"/>
      <c r="NVL2188" s="69"/>
      <c r="NVM2188" s="70"/>
      <c r="NVN2188" s="69"/>
      <c r="NVO2188" s="70"/>
      <c r="NVP2188" s="69"/>
      <c r="NVQ2188" s="70"/>
      <c r="NVR2188" s="69"/>
      <c r="NVS2188" s="70"/>
      <c r="NVT2188" s="69"/>
      <c r="NVU2188" s="70"/>
      <c r="NVV2188" s="69"/>
      <c r="NVW2188" s="70"/>
      <c r="NVX2188" s="69"/>
      <c r="NVY2188" s="70"/>
      <c r="NVZ2188" s="69"/>
      <c r="NWA2188" s="70"/>
      <c r="NWB2188" s="69"/>
      <c r="NWC2188" s="70"/>
      <c r="NWD2188" s="69"/>
      <c r="NWE2188" s="70"/>
      <c r="NWF2188" s="69"/>
      <c r="NWG2188" s="70"/>
      <c r="NWH2188" s="69"/>
      <c r="NWI2188" s="70"/>
      <c r="NWJ2188" s="69"/>
      <c r="NWK2188" s="70"/>
      <c r="NWL2188" s="69"/>
      <c r="NWM2188" s="70"/>
      <c r="NWN2188" s="69"/>
      <c r="NWO2188" s="70"/>
      <c r="NWP2188" s="69"/>
      <c r="NWQ2188" s="70"/>
      <c r="NWR2188" s="69"/>
      <c r="NWS2188" s="70"/>
      <c r="NWT2188" s="69"/>
      <c r="NWU2188" s="70"/>
      <c r="NWV2188" s="69"/>
      <c r="NWW2188" s="70"/>
      <c r="NWX2188" s="69"/>
      <c r="NWY2188" s="70"/>
      <c r="NWZ2188" s="69"/>
      <c r="NXA2188" s="70"/>
      <c r="NXB2188" s="69"/>
      <c r="NXC2188" s="70"/>
      <c r="NXD2188" s="69"/>
      <c r="NXE2188" s="70"/>
      <c r="NXF2188" s="69"/>
      <c r="NXG2188" s="70"/>
      <c r="NXH2188" s="69"/>
      <c r="NXI2188" s="70"/>
      <c r="NXJ2188" s="69"/>
      <c r="NXK2188" s="70"/>
      <c r="NXL2188" s="69"/>
      <c r="NXM2188" s="70"/>
      <c r="NXN2188" s="69"/>
      <c r="NXO2188" s="70"/>
      <c r="NXP2188" s="69"/>
      <c r="NXQ2188" s="70"/>
      <c r="NXR2188" s="69"/>
      <c r="NXS2188" s="70"/>
      <c r="NXT2188" s="69"/>
      <c r="NXU2188" s="70"/>
      <c r="NXV2188" s="69"/>
      <c r="NXW2188" s="70"/>
      <c r="NXX2188" s="69"/>
      <c r="NXY2188" s="70"/>
      <c r="NXZ2188" s="69"/>
      <c r="NYA2188" s="70"/>
      <c r="NYB2188" s="69"/>
      <c r="NYC2188" s="70"/>
      <c r="NYD2188" s="69"/>
      <c r="NYE2188" s="70"/>
      <c r="NYF2188" s="69"/>
      <c r="NYG2188" s="70"/>
      <c r="NYH2188" s="69"/>
      <c r="NYI2188" s="70"/>
      <c r="NYJ2188" s="69"/>
      <c r="NYK2188" s="70"/>
      <c r="NYL2188" s="69"/>
      <c r="NYM2188" s="70"/>
      <c r="NYN2188" s="69"/>
      <c r="NYO2188" s="70"/>
      <c r="NYP2188" s="69"/>
      <c r="NYQ2188" s="70"/>
      <c r="NYR2188" s="69"/>
      <c r="NYS2188" s="70"/>
      <c r="NYT2188" s="69"/>
      <c r="NYU2188" s="70"/>
      <c r="NYV2188" s="69"/>
      <c r="NYW2188" s="70"/>
      <c r="NYX2188" s="69"/>
      <c r="NYY2188" s="70"/>
      <c r="NYZ2188" s="69"/>
      <c r="NZA2188" s="70"/>
      <c r="NZB2188" s="69"/>
      <c r="NZC2188" s="70"/>
      <c r="NZD2188" s="69"/>
      <c r="NZE2188" s="70"/>
      <c r="NZF2188" s="69"/>
      <c r="NZG2188" s="70"/>
      <c r="NZH2188" s="69"/>
      <c r="NZI2188" s="70"/>
      <c r="NZJ2188" s="69"/>
      <c r="NZK2188" s="70"/>
      <c r="NZL2188" s="69"/>
      <c r="NZM2188" s="70"/>
      <c r="NZN2188" s="69"/>
      <c r="NZO2188" s="70"/>
      <c r="NZP2188" s="69"/>
      <c r="NZQ2188" s="70"/>
      <c r="NZR2188" s="69"/>
      <c r="NZS2188" s="70"/>
      <c r="NZT2188" s="69"/>
      <c r="NZU2188" s="70"/>
      <c r="NZV2188" s="69"/>
      <c r="NZW2188" s="70"/>
      <c r="NZX2188" s="69"/>
      <c r="NZY2188" s="70"/>
      <c r="NZZ2188" s="69"/>
      <c r="OAA2188" s="70"/>
      <c r="OAB2188" s="69"/>
      <c r="OAC2188" s="70"/>
      <c r="OAD2188" s="69"/>
      <c r="OAE2188" s="70"/>
      <c r="OAF2188" s="69"/>
      <c r="OAG2188" s="70"/>
      <c r="OAH2188" s="69"/>
      <c r="OAI2188" s="70"/>
      <c r="OAJ2188" s="69"/>
      <c r="OAK2188" s="70"/>
      <c r="OAL2188" s="69"/>
      <c r="OAM2188" s="70"/>
      <c r="OAN2188" s="69"/>
      <c r="OAO2188" s="70"/>
      <c r="OAP2188" s="69"/>
      <c r="OAQ2188" s="70"/>
      <c r="OAR2188" s="69"/>
      <c r="OAS2188" s="70"/>
      <c r="OAT2188" s="69"/>
      <c r="OAU2188" s="70"/>
      <c r="OAV2188" s="69"/>
      <c r="OAW2188" s="70"/>
      <c r="OAX2188" s="69"/>
      <c r="OAY2188" s="70"/>
      <c r="OAZ2188" s="69"/>
      <c r="OBA2188" s="70"/>
      <c r="OBB2188" s="69"/>
      <c r="OBC2188" s="70"/>
      <c r="OBD2188" s="69"/>
      <c r="OBE2188" s="70"/>
      <c r="OBF2188" s="69"/>
      <c r="OBG2188" s="70"/>
      <c r="OBH2188" s="69"/>
      <c r="OBI2188" s="70"/>
      <c r="OBJ2188" s="69"/>
      <c r="OBK2188" s="70"/>
      <c r="OBL2188" s="69"/>
      <c r="OBM2188" s="70"/>
      <c r="OBN2188" s="69"/>
      <c r="OBO2188" s="70"/>
      <c r="OBP2188" s="69"/>
      <c r="OBQ2188" s="70"/>
      <c r="OBR2188" s="69"/>
      <c r="OBS2188" s="70"/>
      <c r="OBT2188" s="69"/>
      <c r="OBU2188" s="70"/>
      <c r="OBV2188" s="69"/>
      <c r="OBW2188" s="70"/>
      <c r="OBX2188" s="69"/>
      <c r="OBY2188" s="70"/>
      <c r="OBZ2188" s="69"/>
      <c r="OCA2188" s="70"/>
      <c r="OCB2188" s="69"/>
      <c r="OCC2188" s="70"/>
      <c r="OCD2188" s="69"/>
      <c r="OCE2188" s="70"/>
      <c r="OCF2188" s="69"/>
      <c r="OCG2188" s="70"/>
      <c r="OCH2188" s="69"/>
      <c r="OCI2188" s="70"/>
      <c r="OCJ2188" s="69"/>
      <c r="OCK2188" s="70"/>
      <c r="OCL2188" s="69"/>
      <c r="OCM2188" s="70"/>
      <c r="OCN2188" s="69"/>
      <c r="OCO2188" s="70"/>
      <c r="OCP2188" s="69"/>
      <c r="OCQ2188" s="70"/>
      <c r="OCR2188" s="69"/>
      <c r="OCS2188" s="70"/>
      <c r="OCT2188" s="69"/>
      <c r="OCU2188" s="70"/>
      <c r="OCV2188" s="69"/>
      <c r="OCW2188" s="70"/>
      <c r="OCX2188" s="69"/>
      <c r="OCY2188" s="70"/>
      <c r="OCZ2188" s="69"/>
      <c r="ODA2188" s="70"/>
      <c r="ODB2188" s="69"/>
      <c r="ODC2188" s="70"/>
      <c r="ODD2188" s="69"/>
      <c r="ODE2188" s="70"/>
      <c r="ODF2188" s="69"/>
      <c r="ODG2188" s="70"/>
      <c r="ODH2188" s="69"/>
      <c r="ODI2188" s="70"/>
      <c r="ODJ2188" s="69"/>
      <c r="ODK2188" s="70"/>
      <c r="ODL2188" s="69"/>
      <c r="ODM2188" s="70"/>
      <c r="ODN2188" s="69"/>
      <c r="ODO2188" s="70"/>
      <c r="ODP2188" s="69"/>
      <c r="ODQ2188" s="70"/>
      <c r="ODR2188" s="69"/>
      <c r="ODS2188" s="70"/>
      <c r="ODT2188" s="69"/>
      <c r="ODU2188" s="70"/>
      <c r="ODV2188" s="69"/>
      <c r="ODW2188" s="70"/>
      <c r="ODX2188" s="69"/>
      <c r="ODY2188" s="70"/>
      <c r="ODZ2188" s="69"/>
      <c r="OEA2188" s="70"/>
      <c r="OEB2188" s="69"/>
      <c r="OEC2188" s="70"/>
      <c r="OED2188" s="69"/>
      <c r="OEE2188" s="70"/>
      <c r="OEF2188" s="69"/>
      <c r="OEG2188" s="70"/>
      <c r="OEH2188" s="69"/>
      <c r="OEI2188" s="70"/>
      <c r="OEJ2188" s="69"/>
      <c r="OEK2188" s="70"/>
      <c r="OEL2188" s="69"/>
      <c r="OEM2188" s="70"/>
      <c r="OEN2188" s="69"/>
      <c r="OEO2188" s="70"/>
      <c r="OEP2188" s="69"/>
      <c r="OEQ2188" s="70"/>
      <c r="OER2188" s="69"/>
      <c r="OES2188" s="70"/>
      <c r="OET2188" s="69"/>
      <c r="OEU2188" s="70"/>
      <c r="OEV2188" s="69"/>
      <c r="OEW2188" s="70"/>
      <c r="OEX2188" s="69"/>
      <c r="OEY2188" s="70"/>
      <c r="OEZ2188" s="69"/>
      <c r="OFA2188" s="70"/>
      <c r="OFB2188" s="69"/>
      <c r="OFC2188" s="70"/>
      <c r="OFD2188" s="69"/>
      <c r="OFE2188" s="70"/>
      <c r="OFF2188" s="69"/>
      <c r="OFG2188" s="70"/>
      <c r="OFH2188" s="69"/>
      <c r="OFI2188" s="70"/>
      <c r="OFJ2188" s="69"/>
      <c r="OFK2188" s="70"/>
      <c r="OFL2188" s="69"/>
      <c r="OFM2188" s="70"/>
      <c r="OFN2188" s="69"/>
      <c r="OFO2188" s="70"/>
      <c r="OFP2188" s="69"/>
      <c r="OFQ2188" s="70"/>
      <c r="OFR2188" s="69"/>
      <c r="OFS2188" s="70"/>
      <c r="OFT2188" s="69"/>
      <c r="OFU2188" s="70"/>
      <c r="OFV2188" s="69"/>
      <c r="OFW2188" s="70"/>
      <c r="OFX2188" s="69"/>
      <c r="OFY2188" s="70"/>
      <c r="OFZ2188" s="69"/>
      <c r="OGA2188" s="70"/>
      <c r="OGB2188" s="69"/>
      <c r="OGC2188" s="70"/>
      <c r="OGD2188" s="69"/>
      <c r="OGE2188" s="70"/>
      <c r="OGF2188" s="69"/>
      <c r="OGG2188" s="70"/>
      <c r="OGH2188" s="69"/>
      <c r="OGI2188" s="70"/>
      <c r="OGJ2188" s="69"/>
      <c r="OGK2188" s="70"/>
      <c r="OGL2188" s="69"/>
      <c r="OGM2188" s="70"/>
      <c r="OGN2188" s="69"/>
      <c r="OGO2188" s="70"/>
      <c r="OGP2188" s="69"/>
      <c r="OGQ2188" s="70"/>
      <c r="OGR2188" s="69"/>
      <c r="OGS2188" s="70"/>
      <c r="OGT2188" s="69"/>
      <c r="OGU2188" s="70"/>
      <c r="OGV2188" s="69"/>
      <c r="OGW2188" s="70"/>
      <c r="OGX2188" s="69"/>
      <c r="OGY2188" s="70"/>
      <c r="OGZ2188" s="69"/>
      <c r="OHA2188" s="70"/>
      <c r="OHB2188" s="69"/>
      <c r="OHC2188" s="70"/>
      <c r="OHD2188" s="69"/>
      <c r="OHE2188" s="70"/>
      <c r="OHF2188" s="69"/>
      <c r="OHG2188" s="70"/>
      <c r="OHH2188" s="69"/>
      <c r="OHI2188" s="70"/>
      <c r="OHJ2188" s="69"/>
      <c r="OHK2188" s="70"/>
      <c r="OHL2188" s="69"/>
      <c r="OHM2188" s="70"/>
      <c r="OHN2188" s="69"/>
      <c r="OHO2188" s="70"/>
      <c r="OHP2188" s="69"/>
      <c r="OHQ2188" s="70"/>
      <c r="OHR2188" s="69"/>
      <c r="OHS2188" s="70"/>
      <c r="OHT2188" s="69"/>
      <c r="OHU2188" s="70"/>
      <c r="OHV2188" s="69"/>
      <c r="OHW2188" s="70"/>
      <c r="OHX2188" s="69"/>
      <c r="OHY2188" s="70"/>
      <c r="OHZ2188" s="69"/>
      <c r="OIA2188" s="70"/>
      <c r="OIB2188" s="69"/>
      <c r="OIC2188" s="70"/>
      <c r="OID2188" s="69"/>
      <c r="OIE2188" s="70"/>
      <c r="OIF2188" s="69"/>
      <c r="OIG2188" s="70"/>
      <c r="OIH2188" s="69"/>
      <c r="OII2188" s="70"/>
      <c r="OIJ2188" s="69"/>
      <c r="OIK2188" s="70"/>
      <c r="OIL2188" s="69"/>
      <c r="OIM2188" s="70"/>
      <c r="OIN2188" s="69"/>
      <c r="OIO2188" s="70"/>
      <c r="OIP2188" s="69"/>
      <c r="OIQ2188" s="70"/>
      <c r="OIR2188" s="69"/>
      <c r="OIS2188" s="70"/>
      <c r="OIT2188" s="69"/>
      <c r="OIU2188" s="70"/>
      <c r="OIV2188" s="69"/>
      <c r="OIW2188" s="70"/>
      <c r="OIX2188" s="69"/>
      <c r="OIY2188" s="70"/>
      <c r="OIZ2188" s="69"/>
      <c r="OJA2188" s="70"/>
      <c r="OJB2188" s="69"/>
      <c r="OJC2188" s="70"/>
      <c r="OJD2188" s="69"/>
      <c r="OJE2188" s="70"/>
      <c r="OJF2188" s="69"/>
      <c r="OJG2188" s="70"/>
      <c r="OJH2188" s="69"/>
      <c r="OJI2188" s="70"/>
      <c r="OJJ2188" s="69"/>
      <c r="OJK2188" s="70"/>
      <c r="OJL2188" s="69"/>
      <c r="OJM2188" s="70"/>
      <c r="OJN2188" s="69"/>
      <c r="OJO2188" s="70"/>
      <c r="OJP2188" s="69"/>
      <c r="OJQ2188" s="70"/>
      <c r="OJR2188" s="69"/>
      <c r="OJS2188" s="70"/>
      <c r="OJT2188" s="69"/>
      <c r="OJU2188" s="70"/>
      <c r="OJV2188" s="69"/>
      <c r="OJW2188" s="70"/>
      <c r="OJX2188" s="69"/>
      <c r="OJY2188" s="70"/>
      <c r="OJZ2188" s="69"/>
      <c r="OKA2188" s="70"/>
      <c r="OKB2188" s="69"/>
      <c r="OKC2188" s="70"/>
      <c r="OKD2188" s="69"/>
      <c r="OKE2188" s="70"/>
      <c r="OKF2188" s="69"/>
      <c r="OKG2188" s="70"/>
      <c r="OKH2188" s="69"/>
      <c r="OKI2188" s="70"/>
      <c r="OKJ2188" s="69"/>
      <c r="OKK2188" s="70"/>
      <c r="OKL2188" s="69"/>
      <c r="OKM2188" s="70"/>
      <c r="OKN2188" s="69"/>
      <c r="OKO2188" s="70"/>
      <c r="OKP2188" s="69"/>
      <c r="OKQ2188" s="70"/>
      <c r="OKR2188" s="69"/>
      <c r="OKS2188" s="70"/>
      <c r="OKT2188" s="69"/>
      <c r="OKU2188" s="70"/>
      <c r="OKV2188" s="69"/>
      <c r="OKW2188" s="70"/>
      <c r="OKX2188" s="69"/>
      <c r="OKY2188" s="70"/>
      <c r="OKZ2188" s="69"/>
      <c r="OLA2188" s="70"/>
      <c r="OLB2188" s="69"/>
      <c r="OLC2188" s="70"/>
      <c r="OLD2188" s="69"/>
      <c r="OLE2188" s="70"/>
      <c r="OLF2188" s="69"/>
      <c r="OLG2188" s="70"/>
      <c r="OLH2188" s="69"/>
      <c r="OLI2188" s="70"/>
      <c r="OLJ2188" s="69"/>
      <c r="OLK2188" s="70"/>
      <c r="OLL2188" s="69"/>
      <c r="OLM2188" s="70"/>
      <c r="OLN2188" s="69"/>
      <c r="OLO2188" s="70"/>
      <c r="OLP2188" s="69"/>
      <c r="OLQ2188" s="70"/>
      <c r="OLR2188" s="69"/>
      <c r="OLS2188" s="70"/>
      <c r="OLT2188" s="69"/>
      <c r="OLU2188" s="70"/>
      <c r="OLV2188" s="69"/>
      <c r="OLW2188" s="70"/>
      <c r="OLX2188" s="69"/>
      <c r="OLY2188" s="70"/>
      <c r="OLZ2188" s="69"/>
      <c r="OMA2188" s="70"/>
      <c r="OMB2188" s="69"/>
      <c r="OMC2188" s="70"/>
      <c r="OMD2188" s="69"/>
      <c r="OME2188" s="70"/>
      <c r="OMF2188" s="69"/>
      <c r="OMG2188" s="70"/>
      <c r="OMH2188" s="69"/>
      <c r="OMI2188" s="70"/>
      <c r="OMJ2188" s="69"/>
      <c r="OMK2188" s="70"/>
      <c r="OML2188" s="69"/>
      <c r="OMM2188" s="70"/>
      <c r="OMN2188" s="69"/>
      <c r="OMO2188" s="70"/>
      <c r="OMP2188" s="69"/>
      <c r="OMQ2188" s="70"/>
      <c r="OMR2188" s="69"/>
      <c r="OMS2188" s="70"/>
      <c r="OMT2188" s="69"/>
      <c r="OMU2188" s="70"/>
      <c r="OMV2188" s="69"/>
      <c r="OMW2188" s="70"/>
      <c r="OMX2188" s="69"/>
      <c r="OMY2188" s="70"/>
      <c r="OMZ2188" s="69"/>
      <c r="ONA2188" s="70"/>
      <c r="ONB2188" s="69"/>
      <c r="ONC2188" s="70"/>
      <c r="OND2188" s="69"/>
      <c r="ONE2188" s="70"/>
      <c r="ONF2188" s="69"/>
      <c r="ONG2188" s="70"/>
      <c r="ONH2188" s="69"/>
      <c r="ONI2188" s="70"/>
      <c r="ONJ2188" s="69"/>
      <c r="ONK2188" s="70"/>
      <c r="ONL2188" s="69"/>
      <c r="ONM2188" s="70"/>
      <c r="ONN2188" s="69"/>
      <c r="ONO2188" s="70"/>
      <c r="ONP2188" s="69"/>
      <c r="ONQ2188" s="70"/>
      <c r="ONR2188" s="69"/>
      <c r="ONS2188" s="70"/>
      <c r="ONT2188" s="69"/>
      <c r="ONU2188" s="70"/>
      <c r="ONV2188" s="69"/>
      <c r="ONW2188" s="70"/>
      <c r="ONX2188" s="69"/>
      <c r="ONY2188" s="70"/>
      <c r="ONZ2188" s="69"/>
      <c r="OOA2188" s="70"/>
      <c r="OOB2188" s="69"/>
      <c r="OOC2188" s="70"/>
      <c r="OOD2188" s="69"/>
      <c r="OOE2188" s="70"/>
      <c r="OOF2188" s="69"/>
      <c r="OOG2188" s="70"/>
      <c r="OOH2188" s="69"/>
      <c r="OOI2188" s="70"/>
      <c r="OOJ2188" s="69"/>
      <c r="OOK2188" s="70"/>
      <c r="OOL2188" s="69"/>
      <c r="OOM2188" s="70"/>
      <c r="OON2188" s="69"/>
      <c r="OOO2188" s="70"/>
      <c r="OOP2188" s="69"/>
      <c r="OOQ2188" s="70"/>
      <c r="OOR2188" s="69"/>
      <c r="OOS2188" s="70"/>
      <c r="OOT2188" s="69"/>
      <c r="OOU2188" s="70"/>
      <c r="OOV2188" s="69"/>
      <c r="OOW2188" s="70"/>
      <c r="OOX2188" s="69"/>
      <c r="OOY2188" s="70"/>
      <c r="OOZ2188" s="69"/>
      <c r="OPA2188" s="70"/>
      <c r="OPB2188" s="69"/>
      <c r="OPC2188" s="70"/>
      <c r="OPD2188" s="69"/>
      <c r="OPE2188" s="70"/>
      <c r="OPF2188" s="69"/>
      <c r="OPG2188" s="70"/>
      <c r="OPH2188" s="69"/>
      <c r="OPI2188" s="70"/>
      <c r="OPJ2188" s="69"/>
      <c r="OPK2188" s="70"/>
      <c r="OPL2188" s="69"/>
      <c r="OPM2188" s="70"/>
      <c r="OPN2188" s="69"/>
      <c r="OPO2188" s="70"/>
      <c r="OPP2188" s="69"/>
      <c r="OPQ2188" s="70"/>
      <c r="OPR2188" s="69"/>
      <c r="OPS2188" s="70"/>
      <c r="OPT2188" s="69"/>
      <c r="OPU2188" s="70"/>
      <c r="OPV2188" s="69"/>
      <c r="OPW2188" s="70"/>
      <c r="OPX2188" s="69"/>
      <c r="OPY2188" s="70"/>
      <c r="OPZ2188" s="69"/>
      <c r="OQA2188" s="70"/>
      <c r="OQB2188" s="69"/>
      <c r="OQC2188" s="70"/>
      <c r="OQD2188" s="69"/>
      <c r="OQE2188" s="70"/>
      <c r="OQF2188" s="69"/>
      <c r="OQG2188" s="70"/>
      <c r="OQH2188" s="69"/>
      <c r="OQI2188" s="70"/>
      <c r="OQJ2188" s="69"/>
      <c r="OQK2188" s="70"/>
      <c r="OQL2188" s="69"/>
      <c r="OQM2188" s="70"/>
      <c r="OQN2188" s="69"/>
      <c r="OQO2188" s="70"/>
      <c r="OQP2188" s="69"/>
      <c r="OQQ2188" s="70"/>
      <c r="OQR2188" s="69"/>
      <c r="OQS2188" s="70"/>
      <c r="OQT2188" s="69"/>
      <c r="OQU2188" s="70"/>
      <c r="OQV2188" s="69"/>
      <c r="OQW2188" s="70"/>
      <c r="OQX2188" s="69"/>
      <c r="OQY2188" s="70"/>
      <c r="OQZ2188" s="69"/>
      <c r="ORA2188" s="70"/>
      <c r="ORB2188" s="69"/>
      <c r="ORC2188" s="70"/>
      <c r="ORD2188" s="69"/>
      <c r="ORE2188" s="70"/>
      <c r="ORF2188" s="69"/>
      <c r="ORG2188" s="70"/>
      <c r="ORH2188" s="69"/>
      <c r="ORI2188" s="70"/>
      <c r="ORJ2188" s="69"/>
      <c r="ORK2188" s="70"/>
      <c r="ORL2188" s="69"/>
      <c r="ORM2188" s="70"/>
      <c r="ORN2188" s="69"/>
      <c r="ORO2188" s="70"/>
      <c r="ORP2188" s="69"/>
      <c r="ORQ2188" s="70"/>
      <c r="ORR2188" s="69"/>
      <c r="ORS2188" s="70"/>
      <c r="ORT2188" s="69"/>
      <c r="ORU2188" s="70"/>
      <c r="ORV2188" s="69"/>
      <c r="ORW2188" s="70"/>
      <c r="ORX2188" s="69"/>
      <c r="ORY2188" s="70"/>
      <c r="ORZ2188" s="69"/>
      <c r="OSA2188" s="70"/>
      <c r="OSB2188" s="69"/>
      <c r="OSC2188" s="70"/>
      <c r="OSD2188" s="69"/>
      <c r="OSE2188" s="70"/>
      <c r="OSF2188" s="69"/>
      <c r="OSG2188" s="70"/>
      <c r="OSH2188" s="69"/>
      <c r="OSI2188" s="70"/>
      <c r="OSJ2188" s="69"/>
      <c r="OSK2188" s="70"/>
      <c r="OSL2188" s="69"/>
      <c r="OSM2188" s="70"/>
      <c r="OSN2188" s="69"/>
      <c r="OSO2188" s="70"/>
      <c r="OSP2188" s="69"/>
      <c r="OSQ2188" s="70"/>
      <c r="OSR2188" s="69"/>
      <c r="OSS2188" s="70"/>
      <c r="OST2188" s="69"/>
      <c r="OSU2188" s="70"/>
      <c r="OSV2188" s="69"/>
      <c r="OSW2188" s="70"/>
      <c r="OSX2188" s="69"/>
      <c r="OSY2188" s="70"/>
      <c r="OSZ2188" s="69"/>
      <c r="OTA2188" s="70"/>
      <c r="OTB2188" s="69"/>
      <c r="OTC2188" s="70"/>
      <c r="OTD2188" s="69"/>
      <c r="OTE2188" s="70"/>
      <c r="OTF2188" s="69"/>
      <c r="OTG2188" s="70"/>
      <c r="OTH2188" s="69"/>
      <c r="OTI2188" s="70"/>
      <c r="OTJ2188" s="69"/>
      <c r="OTK2188" s="70"/>
      <c r="OTL2188" s="69"/>
      <c r="OTM2188" s="70"/>
      <c r="OTN2188" s="69"/>
      <c r="OTO2188" s="70"/>
      <c r="OTP2188" s="69"/>
      <c r="OTQ2188" s="70"/>
      <c r="OTR2188" s="69"/>
      <c r="OTS2188" s="70"/>
      <c r="OTT2188" s="69"/>
      <c r="OTU2188" s="70"/>
      <c r="OTV2188" s="69"/>
      <c r="OTW2188" s="70"/>
      <c r="OTX2188" s="69"/>
      <c r="OTY2188" s="70"/>
      <c r="OTZ2188" s="69"/>
      <c r="OUA2188" s="70"/>
      <c r="OUB2188" s="69"/>
      <c r="OUC2188" s="70"/>
      <c r="OUD2188" s="69"/>
      <c r="OUE2188" s="70"/>
      <c r="OUF2188" s="69"/>
      <c r="OUG2188" s="70"/>
      <c r="OUH2188" s="69"/>
      <c r="OUI2188" s="70"/>
      <c r="OUJ2188" s="69"/>
      <c r="OUK2188" s="70"/>
      <c r="OUL2188" s="69"/>
      <c r="OUM2188" s="70"/>
      <c r="OUN2188" s="69"/>
      <c r="OUO2188" s="70"/>
      <c r="OUP2188" s="69"/>
      <c r="OUQ2188" s="70"/>
      <c r="OUR2188" s="69"/>
      <c r="OUS2188" s="70"/>
      <c r="OUT2188" s="69"/>
      <c r="OUU2188" s="70"/>
      <c r="OUV2188" s="69"/>
      <c r="OUW2188" s="70"/>
      <c r="OUX2188" s="69"/>
      <c r="OUY2188" s="70"/>
      <c r="OUZ2188" s="69"/>
      <c r="OVA2188" s="70"/>
      <c r="OVB2188" s="69"/>
      <c r="OVC2188" s="70"/>
      <c r="OVD2188" s="69"/>
      <c r="OVE2188" s="70"/>
      <c r="OVF2188" s="69"/>
      <c r="OVG2188" s="70"/>
      <c r="OVH2188" s="69"/>
      <c r="OVI2188" s="70"/>
      <c r="OVJ2188" s="69"/>
      <c r="OVK2188" s="70"/>
      <c r="OVL2188" s="69"/>
      <c r="OVM2188" s="70"/>
      <c r="OVN2188" s="69"/>
      <c r="OVO2188" s="70"/>
      <c r="OVP2188" s="69"/>
      <c r="OVQ2188" s="70"/>
      <c r="OVR2188" s="69"/>
      <c r="OVS2188" s="70"/>
      <c r="OVT2188" s="69"/>
      <c r="OVU2188" s="70"/>
      <c r="OVV2188" s="69"/>
      <c r="OVW2188" s="70"/>
      <c r="OVX2188" s="69"/>
      <c r="OVY2188" s="70"/>
      <c r="OVZ2188" s="69"/>
      <c r="OWA2188" s="70"/>
      <c r="OWB2188" s="69"/>
      <c r="OWC2188" s="70"/>
      <c r="OWD2188" s="69"/>
      <c r="OWE2188" s="70"/>
      <c r="OWF2188" s="69"/>
      <c r="OWG2188" s="70"/>
      <c r="OWH2188" s="69"/>
      <c r="OWI2188" s="70"/>
      <c r="OWJ2188" s="69"/>
      <c r="OWK2188" s="70"/>
      <c r="OWL2188" s="69"/>
      <c r="OWM2188" s="70"/>
      <c r="OWN2188" s="69"/>
      <c r="OWO2188" s="70"/>
      <c r="OWP2188" s="69"/>
      <c r="OWQ2188" s="70"/>
      <c r="OWR2188" s="69"/>
      <c r="OWS2188" s="70"/>
      <c r="OWT2188" s="69"/>
      <c r="OWU2188" s="70"/>
      <c r="OWV2188" s="69"/>
      <c r="OWW2188" s="70"/>
      <c r="OWX2188" s="69"/>
      <c r="OWY2188" s="70"/>
      <c r="OWZ2188" s="69"/>
      <c r="OXA2188" s="70"/>
      <c r="OXB2188" s="69"/>
      <c r="OXC2188" s="70"/>
      <c r="OXD2188" s="69"/>
      <c r="OXE2188" s="70"/>
      <c r="OXF2188" s="69"/>
      <c r="OXG2188" s="70"/>
      <c r="OXH2188" s="69"/>
      <c r="OXI2188" s="70"/>
      <c r="OXJ2188" s="69"/>
      <c r="OXK2188" s="70"/>
      <c r="OXL2188" s="69"/>
      <c r="OXM2188" s="70"/>
      <c r="OXN2188" s="69"/>
      <c r="OXO2188" s="70"/>
      <c r="OXP2188" s="69"/>
      <c r="OXQ2188" s="70"/>
      <c r="OXR2188" s="69"/>
      <c r="OXS2188" s="70"/>
      <c r="OXT2188" s="69"/>
      <c r="OXU2188" s="70"/>
      <c r="OXV2188" s="69"/>
      <c r="OXW2188" s="70"/>
      <c r="OXX2188" s="69"/>
      <c r="OXY2188" s="70"/>
      <c r="OXZ2188" s="69"/>
      <c r="OYA2188" s="70"/>
      <c r="OYB2188" s="69"/>
      <c r="OYC2188" s="70"/>
      <c r="OYD2188" s="69"/>
      <c r="OYE2188" s="70"/>
      <c r="OYF2188" s="69"/>
      <c r="OYG2188" s="70"/>
      <c r="OYH2188" s="69"/>
      <c r="OYI2188" s="70"/>
      <c r="OYJ2188" s="69"/>
      <c r="OYK2188" s="70"/>
      <c r="OYL2188" s="69"/>
      <c r="OYM2188" s="70"/>
      <c r="OYN2188" s="69"/>
      <c r="OYO2188" s="70"/>
      <c r="OYP2188" s="69"/>
      <c r="OYQ2188" s="70"/>
      <c r="OYR2188" s="69"/>
      <c r="OYS2188" s="70"/>
      <c r="OYT2188" s="69"/>
      <c r="OYU2188" s="70"/>
      <c r="OYV2188" s="69"/>
      <c r="OYW2188" s="70"/>
      <c r="OYX2188" s="69"/>
      <c r="OYY2188" s="70"/>
      <c r="OYZ2188" s="69"/>
      <c r="OZA2188" s="70"/>
      <c r="OZB2188" s="69"/>
      <c r="OZC2188" s="70"/>
      <c r="OZD2188" s="69"/>
      <c r="OZE2188" s="70"/>
      <c r="OZF2188" s="69"/>
      <c r="OZG2188" s="70"/>
      <c r="OZH2188" s="69"/>
      <c r="OZI2188" s="70"/>
      <c r="OZJ2188" s="69"/>
      <c r="OZK2188" s="70"/>
      <c r="OZL2188" s="69"/>
      <c r="OZM2188" s="70"/>
      <c r="OZN2188" s="69"/>
      <c r="OZO2188" s="70"/>
      <c r="OZP2188" s="69"/>
      <c r="OZQ2188" s="70"/>
      <c r="OZR2188" s="69"/>
      <c r="OZS2188" s="70"/>
      <c r="OZT2188" s="69"/>
      <c r="OZU2188" s="70"/>
      <c r="OZV2188" s="69"/>
      <c r="OZW2188" s="70"/>
      <c r="OZX2188" s="69"/>
      <c r="OZY2188" s="70"/>
      <c r="OZZ2188" s="69"/>
      <c r="PAA2188" s="70"/>
      <c r="PAB2188" s="69"/>
      <c r="PAC2188" s="70"/>
      <c r="PAD2188" s="69"/>
      <c r="PAE2188" s="70"/>
      <c r="PAF2188" s="69"/>
      <c r="PAG2188" s="70"/>
      <c r="PAH2188" s="69"/>
      <c r="PAI2188" s="70"/>
      <c r="PAJ2188" s="69"/>
      <c r="PAK2188" s="70"/>
      <c r="PAL2188" s="69"/>
      <c r="PAM2188" s="70"/>
      <c r="PAN2188" s="69"/>
      <c r="PAO2188" s="70"/>
      <c r="PAP2188" s="69"/>
      <c r="PAQ2188" s="70"/>
      <c r="PAR2188" s="69"/>
      <c r="PAS2188" s="70"/>
      <c r="PAT2188" s="69"/>
      <c r="PAU2188" s="70"/>
      <c r="PAV2188" s="69"/>
      <c r="PAW2188" s="70"/>
      <c r="PAX2188" s="69"/>
      <c r="PAY2188" s="70"/>
      <c r="PAZ2188" s="69"/>
      <c r="PBA2188" s="70"/>
      <c r="PBB2188" s="69"/>
      <c r="PBC2188" s="70"/>
      <c r="PBD2188" s="69"/>
      <c r="PBE2188" s="70"/>
      <c r="PBF2188" s="69"/>
      <c r="PBG2188" s="70"/>
      <c r="PBH2188" s="69"/>
      <c r="PBI2188" s="70"/>
      <c r="PBJ2188" s="69"/>
      <c r="PBK2188" s="70"/>
      <c r="PBL2188" s="69"/>
      <c r="PBM2188" s="70"/>
      <c r="PBN2188" s="69"/>
      <c r="PBO2188" s="70"/>
      <c r="PBP2188" s="69"/>
      <c r="PBQ2188" s="70"/>
      <c r="PBR2188" s="69"/>
      <c r="PBS2188" s="70"/>
      <c r="PBT2188" s="69"/>
      <c r="PBU2188" s="70"/>
      <c r="PBV2188" s="69"/>
      <c r="PBW2188" s="70"/>
      <c r="PBX2188" s="69"/>
      <c r="PBY2188" s="70"/>
      <c r="PBZ2188" s="69"/>
      <c r="PCA2188" s="70"/>
      <c r="PCB2188" s="69"/>
      <c r="PCC2188" s="70"/>
      <c r="PCD2188" s="69"/>
      <c r="PCE2188" s="70"/>
      <c r="PCF2188" s="69"/>
      <c r="PCG2188" s="70"/>
      <c r="PCH2188" s="69"/>
      <c r="PCI2188" s="70"/>
      <c r="PCJ2188" s="69"/>
      <c r="PCK2188" s="70"/>
      <c r="PCL2188" s="69"/>
      <c r="PCM2188" s="70"/>
      <c r="PCN2188" s="69"/>
      <c r="PCO2188" s="70"/>
      <c r="PCP2188" s="69"/>
      <c r="PCQ2188" s="70"/>
      <c r="PCR2188" s="69"/>
      <c r="PCS2188" s="70"/>
      <c r="PCT2188" s="69"/>
      <c r="PCU2188" s="70"/>
      <c r="PCV2188" s="69"/>
      <c r="PCW2188" s="70"/>
      <c r="PCX2188" s="69"/>
      <c r="PCY2188" s="70"/>
      <c r="PCZ2188" s="69"/>
      <c r="PDA2188" s="70"/>
      <c r="PDB2188" s="69"/>
      <c r="PDC2188" s="70"/>
      <c r="PDD2188" s="69"/>
      <c r="PDE2188" s="70"/>
      <c r="PDF2188" s="69"/>
      <c r="PDG2188" s="70"/>
      <c r="PDH2188" s="69"/>
      <c r="PDI2188" s="70"/>
      <c r="PDJ2188" s="69"/>
      <c r="PDK2188" s="70"/>
      <c r="PDL2188" s="69"/>
      <c r="PDM2188" s="70"/>
      <c r="PDN2188" s="69"/>
      <c r="PDO2188" s="70"/>
      <c r="PDP2188" s="69"/>
      <c r="PDQ2188" s="70"/>
      <c r="PDR2188" s="69"/>
      <c r="PDS2188" s="70"/>
      <c r="PDT2188" s="69"/>
      <c r="PDU2188" s="70"/>
      <c r="PDV2188" s="69"/>
      <c r="PDW2188" s="70"/>
      <c r="PDX2188" s="69"/>
      <c r="PDY2188" s="70"/>
      <c r="PDZ2188" s="69"/>
      <c r="PEA2188" s="70"/>
      <c r="PEB2188" s="69"/>
      <c r="PEC2188" s="70"/>
      <c r="PED2188" s="69"/>
      <c r="PEE2188" s="70"/>
      <c r="PEF2188" s="69"/>
      <c r="PEG2188" s="70"/>
      <c r="PEH2188" s="69"/>
      <c r="PEI2188" s="70"/>
      <c r="PEJ2188" s="69"/>
      <c r="PEK2188" s="70"/>
      <c r="PEL2188" s="69"/>
      <c r="PEM2188" s="70"/>
      <c r="PEN2188" s="69"/>
      <c r="PEO2188" s="70"/>
      <c r="PEP2188" s="69"/>
      <c r="PEQ2188" s="70"/>
      <c r="PER2188" s="69"/>
      <c r="PES2188" s="70"/>
      <c r="PET2188" s="69"/>
      <c r="PEU2188" s="70"/>
      <c r="PEV2188" s="69"/>
      <c r="PEW2188" s="70"/>
      <c r="PEX2188" s="69"/>
      <c r="PEY2188" s="70"/>
      <c r="PEZ2188" s="69"/>
      <c r="PFA2188" s="70"/>
      <c r="PFB2188" s="69"/>
      <c r="PFC2188" s="70"/>
      <c r="PFD2188" s="69"/>
      <c r="PFE2188" s="70"/>
      <c r="PFF2188" s="69"/>
      <c r="PFG2188" s="70"/>
      <c r="PFH2188" s="69"/>
      <c r="PFI2188" s="70"/>
      <c r="PFJ2188" s="69"/>
      <c r="PFK2188" s="70"/>
      <c r="PFL2188" s="69"/>
      <c r="PFM2188" s="70"/>
      <c r="PFN2188" s="69"/>
      <c r="PFO2188" s="70"/>
      <c r="PFP2188" s="69"/>
      <c r="PFQ2188" s="70"/>
      <c r="PFR2188" s="69"/>
      <c r="PFS2188" s="70"/>
      <c r="PFT2188" s="69"/>
      <c r="PFU2188" s="70"/>
      <c r="PFV2188" s="69"/>
      <c r="PFW2188" s="70"/>
      <c r="PFX2188" s="69"/>
      <c r="PFY2188" s="70"/>
      <c r="PFZ2188" s="69"/>
      <c r="PGA2188" s="70"/>
      <c r="PGB2188" s="69"/>
      <c r="PGC2188" s="70"/>
      <c r="PGD2188" s="69"/>
      <c r="PGE2188" s="70"/>
      <c r="PGF2188" s="69"/>
      <c r="PGG2188" s="70"/>
      <c r="PGH2188" s="69"/>
      <c r="PGI2188" s="70"/>
      <c r="PGJ2188" s="69"/>
      <c r="PGK2188" s="70"/>
      <c r="PGL2188" s="69"/>
      <c r="PGM2188" s="70"/>
      <c r="PGN2188" s="69"/>
      <c r="PGO2188" s="70"/>
      <c r="PGP2188" s="69"/>
      <c r="PGQ2188" s="70"/>
      <c r="PGR2188" s="69"/>
      <c r="PGS2188" s="70"/>
      <c r="PGT2188" s="69"/>
      <c r="PGU2188" s="70"/>
      <c r="PGV2188" s="69"/>
      <c r="PGW2188" s="70"/>
      <c r="PGX2188" s="69"/>
      <c r="PGY2188" s="70"/>
      <c r="PGZ2188" s="69"/>
      <c r="PHA2188" s="70"/>
      <c r="PHB2188" s="69"/>
      <c r="PHC2188" s="70"/>
      <c r="PHD2188" s="69"/>
      <c r="PHE2188" s="70"/>
      <c r="PHF2188" s="69"/>
      <c r="PHG2188" s="70"/>
      <c r="PHH2188" s="69"/>
      <c r="PHI2188" s="70"/>
      <c r="PHJ2188" s="69"/>
      <c r="PHK2188" s="70"/>
      <c r="PHL2188" s="69"/>
      <c r="PHM2188" s="70"/>
      <c r="PHN2188" s="69"/>
      <c r="PHO2188" s="70"/>
      <c r="PHP2188" s="69"/>
      <c r="PHQ2188" s="70"/>
      <c r="PHR2188" s="69"/>
      <c r="PHS2188" s="70"/>
      <c r="PHT2188" s="69"/>
      <c r="PHU2188" s="70"/>
      <c r="PHV2188" s="69"/>
      <c r="PHW2188" s="70"/>
      <c r="PHX2188" s="69"/>
      <c r="PHY2188" s="70"/>
      <c r="PHZ2188" s="69"/>
      <c r="PIA2188" s="70"/>
      <c r="PIB2188" s="69"/>
      <c r="PIC2188" s="70"/>
      <c r="PID2188" s="69"/>
      <c r="PIE2188" s="70"/>
      <c r="PIF2188" s="69"/>
      <c r="PIG2188" s="70"/>
      <c r="PIH2188" s="69"/>
      <c r="PII2188" s="70"/>
      <c r="PIJ2188" s="69"/>
      <c r="PIK2188" s="70"/>
      <c r="PIL2188" s="69"/>
      <c r="PIM2188" s="70"/>
      <c r="PIN2188" s="69"/>
      <c r="PIO2188" s="70"/>
      <c r="PIP2188" s="69"/>
      <c r="PIQ2188" s="70"/>
      <c r="PIR2188" s="69"/>
      <c r="PIS2188" s="70"/>
      <c r="PIT2188" s="69"/>
      <c r="PIU2188" s="70"/>
      <c r="PIV2188" s="69"/>
      <c r="PIW2188" s="70"/>
      <c r="PIX2188" s="69"/>
      <c r="PIY2188" s="70"/>
      <c r="PIZ2188" s="69"/>
      <c r="PJA2188" s="70"/>
      <c r="PJB2188" s="69"/>
      <c r="PJC2188" s="70"/>
      <c r="PJD2188" s="69"/>
      <c r="PJE2188" s="70"/>
      <c r="PJF2188" s="69"/>
      <c r="PJG2188" s="70"/>
      <c r="PJH2188" s="69"/>
      <c r="PJI2188" s="70"/>
      <c r="PJJ2188" s="69"/>
      <c r="PJK2188" s="70"/>
      <c r="PJL2188" s="69"/>
      <c r="PJM2188" s="70"/>
      <c r="PJN2188" s="69"/>
      <c r="PJO2188" s="70"/>
      <c r="PJP2188" s="69"/>
      <c r="PJQ2188" s="70"/>
      <c r="PJR2188" s="69"/>
      <c r="PJS2188" s="70"/>
      <c r="PJT2188" s="69"/>
      <c r="PJU2188" s="70"/>
      <c r="PJV2188" s="69"/>
      <c r="PJW2188" s="70"/>
      <c r="PJX2188" s="69"/>
      <c r="PJY2188" s="70"/>
      <c r="PJZ2188" s="69"/>
      <c r="PKA2188" s="70"/>
      <c r="PKB2188" s="69"/>
      <c r="PKC2188" s="70"/>
      <c r="PKD2188" s="69"/>
      <c r="PKE2188" s="70"/>
      <c r="PKF2188" s="69"/>
      <c r="PKG2188" s="70"/>
      <c r="PKH2188" s="69"/>
      <c r="PKI2188" s="70"/>
      <c r="PKJ2188" s="69"/>
      <c r="PKK2188" s="70"/>
      <c r="PKL2188" s="69"/>
      <c r="PKM2188" s="70"/>
      <c r="PKN2188" s="69"/>
      <c r="PKO2188" s="70"/>
      <c r="PKP2188" s="69"/>
      <c r="PKQ2188" s="70"/>
      <c r="PKR2188" s="69"/>
      <c r="PKS2188" s="70"/>
      <c r="PKT2188" s="69"/>
      <c r="PKU2188" s="70"/>
      <c r="PKV2188" s="69"/>
      <c r="PKW2188" s="70"/>
      <c r="PKX2188" s="69"/>
      <c r="PKY2188" s="70"/>
      <c r="PKZ2188" s="69"/>
      <c r="PLA2188" s="70"/>
      <c r="PLB2188" s="69"/>
      <c r="PLC2188" s="70"/>
      <c r="PLD2188" s="69"/>
      <c r="PLE2188" s="70"/>
      <c r="PLF2188" s="69"/>
      <c r="PLG2188" s="70"/>
      <c r="PLH2188" s="69"/>
      <c r="PLI2188" s="70"/>
      <c r="PLJ2188" s="69"/>
      <c r="PLK2188" s="70"/>
      <c r="PLL2188" s="69"/>
      <c r="PLM2188" s="70"/>
      <c r="PLN2188" s="69"/>
      <c r="PLO2188" s="70"/>
      <c r="PLP2188" s="69"/>
      <c r="PLQ2188" s="70"/>
      <c r="PLR2188" s="69"/>
      <c r="PLS2188" s="70"/>
      <c r="PLT2188" s="69"/>
      <c r="PLU2188" s="70"/>
      <c r="PLV2188" s="69"/>
      <c r="PLW2188" s="70"/>
      <c r="PLX2188" s="69"/>
      <c r="PLY2188" s="70"/>
      <c r="PLZ2188" s="69"/>
      <c r="PMA2188" s="70"/>
      <c r="PMB2188" s="69"/>
      <c r="PMC2188" s="70"/>
      <c r="PMD2188" s="69"/>
      <c r="PME2188" s="70"/>
      <c r="PMF2188" s="69"/>
      <c r="PMG2188" s="70"/>
      <c r="PMH2188" s="69"/>
      <c r="PMI2188" s="70"/>
      <c r="PMJ2188" s="69"/>
      <c r="PMK2188" s="70"/>
      <c r="PML2188" s="69"/>
      <c r="PMM2188" s="70"/>
      <c r="PMN2188" s="69"/>
      <c r="PMO2188" s="70"/>
      <c r="PMP2188" s="69"/>
      <c r="PMQ2188" s="70"/>
      <c r="PMR2188" s="69"/>
      <c r="PMS2188" s="70"/>
      <c r="PMT2188" s="69"/>
      <c r="PMU2188" s="70"/>
      <c r="PMV2188" s="69"/>
      <c r="PMW2188" s="70"/>
      <c r="PMX2188" s="69"/>
      <c r="PMY2188" s="70"/>
      <c r="PMZ2188" s="69"/>
      <c r="PNA2188" s="70"/>
      <c r="PNB2188" s="69"/>
      <c r="PNC2188" s="70"/>
      <c r="PND2188" s="69"/>
      <c r="PNE2188" s="70"/>
      <c r="PNF2188" s="69"/>
      <c r="PNG2188" s="70"/>
      <c r="PNH2188" s="69"/>
      <c r="PNI2188" s="70"/>
      <c r="PNJ2188" s="69"/>
      <c r="PNK2188" s="70"/>
      <c r="PNL2188" s="69"/>
      <c r="PNM2188" s="70"/>
      <c r="PNN2188" s="69"/>
      <c r="PNO2188" s="70"/>
      <c r="PNP2188" s="69"/>
      <c r="PNQ2188" s="70"/>
      <c r="PNR2188" s="69"/>
      <c r="PNS2188" s="70"/>
      <c r="PNT2188" s="69"/>
      <c r="PNU2188" s="70"/>
      <c r="PNV2188" s="69"/>
      <c r="PNW2188" s="70"/>
      <c r="PNX2188" s="69"/>
      <c r="PNY2188" s="70"/>
      <c r="PNZ2188" s="69"/>
      <c r="POA2188" s="70"/>
      <c r="POB2188" s="69"/>
      <c r="POC2188" s="70"/>
      <c r="POD2188" s="69"/>
      <c r="POE2188" s="70"/>
      <c r="POF2188" s="69"/>
      <c r="POG2188" s="70"/>
      <c r="POH2188" s="69"/>
      <c r="POI2188" s="70"/>
      <c r="POJ2188" s="69"/>
      <c r="POK2188" s="70"/>
      <c r="POL2188" s="69"/>
      <c r="POM2188" s="70"/>
      <c r="PON2188" s="69"/>
      <c r="POO2188" s="70"/>
      <c r="POP2188" s="69"/>
      <c r="POQ2188" s="70"/>
      <c r="POR2188" s="69"/>
      <c r="POS2188" s="70"/>
      <c r="POT2188" s="69"/>
      <c r="POU2188" s="70"/>
      <c r="POV2188" s="69"/>
      <c r="POW2188" s="70"/>
      <c r="POX2188" s="69"/>
      <c r="POY2188" s="70"/>
      <c r="POZ2188" s="69"/>
      <c r="PPA2188" s="70"/>
      <c r="PPB2188" s="69"/>
      <c r="PPC2188" s="70"/>
      <c r="PPD2188" s="69"/>
      <c r="PPE2188" s="70"/>
      <c r="PPF2188" s="69"/>
      <c r="PPG2188" s="70"/>
      <c r="PPH2188" s="69"/>
      <c r="PPI2188" s="70"/>
      <c r="PPJ2188" s="69"/>
      <c r="PPK2188" s="70"/>
      <c r="PPL2188" s="69"/>
      <c r="PPM2188" s="70"/>
      <c r="PPN2188" s="69"/>
      <c r="PPO2188" s="70"/>
      <c r="PPP2188" s="69"/>
      <c r="PPQ2188" s="70"/>
      <c r="PPR2188" s="69"/>
      <c r="PPS2188" s="70"/>
      <c r="PPT2188" s="69"/>
      <c r="PPU2188" s="70"/>
      <c r="PPV2188" s="69"/>
      <c r="PPW2188" s="70"/>
      <c r="PPX2188" s="69"/>
      <c r="PPY2188" s="70"/>
      <c r="PPZ2188" s="69"/>
      <c r="PQA2188" s="70"/>
      <c r="PQB2188" s="69"/>
      <c r="PQC2188" s="70"/>
      <c r="PQD2188" s="69"/>
      <c r="PQE2188" s="70"/>
      <c r="PQF2188" s="69"/>
      <c r="PQG2188" s="70"/>
      <c r="PQH2188" s="69"/>
      <c r="PQI2188" s="70"/>
      <c r="PQJ2188" s="69"/>
      <c r="PQK2188" s="70"/>
      <c r="PQL2188" s="69"/>
      <c r="PQM2188" s="70"/>
      <c r="PQN2188" s="69"/>
      <c r="PQO2188" s="70"/>
      <c r="PQP2188" s="69"/>
      <c r="PQQ2188" s="70"/>
      <c r="PQR2188" s="69"/>
      <c r="PQS2188" s="70"/>
      <c r="PQT2188" s="69"/>
      <c r="PQU2188" s="70"/>
      <c r="PQV2188" s="69"/>
      <c r="PQW2188" s="70"/>
      <c r="PQX2188" s="69"/>
      <c r="PQY2188" s="70"/>
      <c r="PQZ2188" s="69"/>
      <c r="PRA2188" s="70"/>
      <c r="PRB2188" s="69"/>
      <c r="PRC2188" s="70"/>
      <c r="PRD2188" s="69"/>
      <c r="PRE2188" s="70"/>
      <c r="PRF2188" s="69"/>
      <c r="PRG2188" s="70"/>
      <c r="PRH2188" s="69"/>
      <c r="PRI2188" s="70"/>
      <c r="PRJ2188" s="69"/>
      <c r="PRK2188" s="70"/>
      <c r="PRL2188" s="69"/>
      <c r="PRM2188" s="70"/>
      <c r="PRN2188" s="69"/>
      <c r="PRO2188" s="70"/>
      <c r="PRP2188" s="69"/>
      <c r="PRQ2188" s="70"/>
      <c r="PRR2188" s="69"/>
      <c r="PRS2188" s="70"/>
      <c r="PRT2188" s="69"/>
      <c r="PRU2188" s="70"/>
      <c r="PRV2188" s="69"/>
      <c r="PRW2188" s="70"/>
      <c r="PRX2188" s="69"/>
      <c r="PRY2188" s="70"/>
      <c r="PRZ2188" s="69"/>
      <c r="PSA2188" s="70"/>
      <c r="PSB2188" s="69"/>
      <c r="PSC2188" s="70"/>
      <c r="PSD2188" s="69"/>
      <c r="PSE2188" s="70"/>
      <c r="PSF2188" s="69"/>
      <c r="PSG2188" s="70"/>
      <c r="PSH2188" s="69"/>
      <c r="PSI2188" s="70"/>
      <c r="PSJ2188" s="69"/>
      <c r="PSK2188" s="70"/>
      <c r="PSL2188" s="69"/>
      <c r="PSM2188" s="70"/>
      <c r="PSN2188" s="69"/>
      <c r="PSO2188" s="70"/>
      <c r="PSP2188" s="69"/>
      <c r="PSQ2188" s="70"/>
      <c r="PSR2188" s="69"/>
      <c r="PSS2188" s="70"/>
      <c r="PST2188" s="69"/>
      <c r="PSU2188" s="70"/>
      <c r="PSV2188" s="69"/>
      <c r="PSW2188" s="70"/>
      <c r="PSX2188" s="69"/>
      <c r="PSY2188" s="70"/>
      <c r="PSZ2188" s="69"/>
      <c r="PTA2188" s="70"/>
      <c r="PTB2188" s="69"/>
      <c r="PTC2188" s="70"/>
      <c r="PTD2188" s="69"/>
      <c r="PTE2188" s="70"/>
      <c r="PTF2188" s="69"/>
      <c r="PTG2188" s="70"/>
      <c r="PTH2188" s="69"/>
      <c r="PTI2188" s="70"/>
      <c r="PTJ2188" s="69"/>
      <c r="PTK2188" s="70"/>
      <c r="PTL2188" s="69"/>
      <c r="PTM2188" s="70"/>
      <c r="PTN2188" s="69"/>
      <c r="PTO2188" s="70"/>
      <c r="PTP2188" s="69"/>
      <c r="PTQ2188" s="70"/>
      <c r="PTR2188" s="69"/>
      <c r="PTS2188" s="70"/>
      <c r="PTT2188" s="69"/>
      <c r="PTU2188" s="70"/>
      <c r="PTV2188" s="69"/>
      <c r="PTW2188" s="70"/>
      <c r="PTX2188" s="69"/>
      <c r="PTY2188" s="70"/>
      <c r="PTZ2188" s="69"/>
      <c r="PUA2188" s="70"/>
      <c r="PUB2188" s="69"/>
      <c r="PUC2188" s="70"/>
      <c r="PUD2188" s="69"/>
      <c r="PUE2188" s="70"/>
      <c r="PUF2188" s="69"/>
      <c r="PUG2188" s="70"/>
      <c r="PUH2188" s="69"/>
      <c r="PUI2188" s="70"/>
      <c r="PUJ2188" s="69"/>
      <c r="PUK2188" s="70"/>
      <c r="PUL2188" s="69"/>
      <c r="PUM2188" s="70"/>
      <c r="PUN2188" s="69"/>
      <c r="PUO2188" s="70"/>
      <c r="PUP2188" s="69"/>
      <c r="PUQ2188" s="70"/>
      <c r="PUR2188" s="69"/>
      <c r="PUS2188" s="70"/>
      <c r="PUT2188" s="69"/>
      <c r="PUU2188" s="70"/>
      <c r="PUV2188" s="69"/>
      <c r="PUW2188" s="70"/>
      <c r="PUX2188" s="69"/>
      <c r="PUY2188" s="70"/>
      <c r="PUZ2188" s="69"/>
      <c r="PVA2188" s="70"/>
      <c r="PVB2188" s="69"/>
      <c r="PVC2188" s="70"/>
      <c r="PVD2188" s="69"/>
      <c r="PVE2188" s="70"/>
      <c r="PVF2188" s="69"/>
      <c r="PVG2188" s="70"/>
      <c r="PVH2188" s="69"/>
      <c r="PVI2188" s="70"/>
      <c r="PVJ2188" s="69"/>
      <c r="PVK2188" s="70"/>
      <c r="PVL2188" s="69"/>
      <c r="PVM2188" s="70"/>
      <c r="PVN2188" s="69"/>
      <c r="PVO2188" s="70"/>
      <c r="PVP2188" s="69"/>
      <c r="PVQ2188" s="70"/>
      <c r="PVR2188" s="69"/>
      <c r="PVS2188" s="70"/>
      <c r="PVT2188" s="69"/>
      <c r="PVU2188" s="70"/>
      <c r="PVV2188" s="69"/>
      <c r="PVW2188" s="70"/>
      <c r="PVX2188" s="69"/>
      <c r="PVY2188" s="70"/>
      <c r="PVZ2188" s="69"/>
      <c r="PWA2188" s="70"/>
      <c r="PWB2188" s="69"/>
      <c r="PWC2188" s="70"/>
      <c r="PWD2188" s="69"/>
      <c r="PWE2188" s="70"/>
      <c r="PWF2188" s="69"/>
      <c r="PWG2188" s="70"/>
      <c r="PWH2188" s="69"/>
      <c r="PWI2188" s="70"/>
      <c r="PWJ2188" s="69"/>
      <c r="PWK2188" s="70"/>
      <c r="PWL2188" s="69"/>
      <c r="PWM2188" s="70"/>
      <c r="PWN2188" s="69"/>
      <c r="PWO2188" s="70"/>
      <c r="PWP2188" s="69"/>
      <c r="PWQ2188" s="70"/>
      <c r="PWR2188" s="69"/>
      <c r="PWS2188" s="70"/>
      <c r="PWT2188" s="69"/>
      <c r="PWU2188" s="70"/>
      <c r="PWV2188" s="69"/>
      <c r="PWW2188" s="70"/>
      <c r="PWX2188" s="69"/>
      <c r="PWY2188" s="70"/>
      <c r="PWZ2188" s="69"/>
      <c r="PXA2188" s="70"/>
      <c r="PXB2188" s="69"/>
      <c r="PXC2188" s="70"/>
      <c r="PXD2188" s="69"/>
      <c r="PXE2188" s="70"/>
      <c r="PXF2188" s="69"/>
      <c r="PXG2188" s="70"/>
      <c r="PXH2188" s="69"/>
      <c r="PXI2188" s="70"/>
      <c r="PXJ2188" s="69"/>
      <c r="PXK2188" s="70"/>
      <c r="PXL2188" s="69"/>
      <c r="PXM2188" s="70"/>
      <c r="PXN2188" s="69"/>
      <c r="PXO2188" s="70"/>
      <c r="PXP2188" s="69"/>
      <c r="PXQ2188" s="70"/>
      <c r="PXR2188" s="69"/>
      <c r="PXS2188" s="70"/>
      <c r="PXT2188" s="69"/>
      <c r="PXU2188" s="70"/>
      <c r="PXV2188" s="69"/>
      <c r="PXW2188" s="70"/>
      <c r="PXX2188" s="69"/>
      <c r="PXY2188" s="70"/>
      <c r="PXZ2188" s="69"/>
      <c r="PYA2188" s="70"/>
      <c r="PYB2188" s="69"/>
      <c r="PYC2188" s="70"/>
      <c r="PYD2188" s="69"/>
      <c r="PYE2188" s="70"/>
      <c r="PYF2188" s="69"/>
      <c r="PYG2188" s="70"/>
      <c r="PYH2188" s="69"/>
      <c r="PYI2188" s="70"/>
      <c r="PYJ2188" s="69"/>
      <c r="PYK2188" s="70"/>
      <c r="PYL2188" s="69"/>
      <c r="PYM2188" s="70"/>
      <c r="PYN2188" s="69"/>
      <c r="PYO2188" s="70"/>
      <c r="PYP2188" s="69"/>
      <c r="PYQ2188" s="70"/>
      <c r="PYR2188" s="69"/>
      <c r="PYS2188" s="70"/>
      <c r="PYT2188" s="69"/>
      <c r="PYU2188" s="70"/>
      <c r="PYV2188" s="69"/>
      <c r="PYW2188" s="70"/>
      <c r="PYX2188" s="69"/>
      <c r="PYY2188" s="70"/>
      <c r="PYZ2188" s="69"/>
      <c r="PZA2188" s="70"/>
      <c r="PZB2188" s="69"/>
      <c r="PZC2188" s="70"/>
      <c r="PZD2188" s="69"/>
      <c r="PZE2188" s="70"/>
      <c r="PZF2188" s="69"/>
      <c r="PZG2188" s="70"/>
      <c r="PZH2188" s="69"/>
      <c r="PZI2188" s="70"/>
      <c r="PZJ2188" s="69"/>
      <c r="PZK2188" s="70"/>
      <c r="PZL2188" s="69"/>
      <c r="PZM2188" s="70"/>
      <c r="PZN2188" s="69"/>
      <c r="PZO2188" s="70"/>
      <c r="PZP2188" s="69"/>
      <c r="PZQ2188" s="70"/>
      <c r="PZR2188" s="69"/>
      <c r="PZS2188" s="70"/>
      <c r="PZT2188" s="69"/>
      <c r="PZU2188" s="70"/>
      <c r="PZV2188" s="69"/>
      <c r="PZW2188" s="70"/>
      <c r="PZX2188" s="69"/>
      <c r="PZY2188" s="70"/>
      <c r="PZZ2188" s="69"/>
      <c r="QAA2188" s="70"/>
      <c r="QAB2188" s="69"/>
      <c r="QAC2188" s="70"/>
      <c r="QAD2188" s="69"/>
      <c r="QAE2188" s="70"/>
      <c r="QAF2188" s="69"/>
      <c r="QAG2188" s="70"/>
      <c r="QAH2188" s="69"/>
      <c r="QAI2188" s="70"/>
      <c r="QAJ2188" s="69"/>
      <c r="QAK2188" s="70"/>
      <c r="QAL2188" s="69"/>
      <c r="QAM2188" s="70"/>
      <c r="QAN2188" s="69"/>
      <c r="QAO2188" s="70"/>
      <c r="QAP2188" s="69"/>
      <c r="QAQ2188" s="70"/>
      <c r="QAR2188" s="69"/>
      <c r="QAS2188" s="70"/>
      <c r="QAT2188" s="69"/>
      <c r="QAU2188" s="70"/>
      <c r="QAV2188" s="69"/>
      <c r="QAW2188" s="70"/>
      <c r="QAX2188" s="69"/>
      <c r="QAY2188" s="70"/>
      <c r="QAZ2188" s="69"/>
      <c r="QBA2188" s="70"/>
      <c r="QBB2188" s="69"/>
      <c r="QBC2188" s="70"/>
      <c r="QBD2188" s="69"/>
      <c r="QBE2188" s="70"/>
      <c r="QBF2188" s="69"/>
      <c r="QBG2188" s="70"/>
      <c r="QBH2188" s="69"/>
      <c r="QBI2188" s="70"/>
      <c r="QBJ2188" s="69"/>
      <c r="QBK2188" s="70"/>
      <c r="QBL2188" s="69"/>
      <c r="QBM2188" s="70"/>
      <c r="QBN2188" s="69"/>
      <c r="QBO2188" s="70"/>
      <c r="QBP2188" s="69"/>
      <c r="QBQ2188" s="70"/>
      <c r="QBR2188" s="69"/>
      <c r="QBS2188" s="70"/>
      <c r="QBT2188" s="69"/>
      <c r="QBU2188" s="70"/>
      <c r="QBV2188" s="69"/>
      <c r="QBW2188" s="70"/>
      <c r="QBX2188" s="69"/>
      <c r="QBY2188" s="70"/>
      <c r="QBZ2188" s="69"/>
      <c r="QCA2188" s="70"/>
      <c r="QCB2188" s="69"/>
      <c r="QCC2188" s="70"/>
      <c r="QCD2188" s="69"/>
      <c r="QCE2188" s="70"/>
      <c r="QCF2188" s="69"/>
      <c r="QCG2188" s="70"/>
      <c r="QCH2188" s="69"/>
      <c r="QCI2188" s="70"/>
      <c r="QCJ2188" s="69"/>
      <c r="QCK2188" s="70"/>
      <c r="QCL2188" s="69"/>
      <c r="QCM2188" s="70"/>
      <c r="QCN2188" s="69"/>
      <c r="QCO2188" s="70"/>
      <c r="QCP2188" s="69"/>
      <c r="QCQ2188" s="70"/>
      <c r="QCR2188" s="69"/>
      <c r="QCS2188" s="70"/>
      <c r="QCT2188" s="69"/>
      <c r="QCU2188" s="70"/>
      <c r="QCV2188" s="69"/>
      <c r="QCW2188" s="70"/>
      <c r="QCX2188" s="69"/>
      <c r="QCY2188" s="70"/>
      <c r="QCZ2188" s="69"/>
      <c r="QDA2188" s="70"/>
      <c r="QDB2188" s="69"/>
      <c r="QDC2188" s="70"/>
      <c r="QDD2188" s="69"/>
      <c r="QDE2188" s="70"/>
      <c r="QDF2188" s="69"/>
      <c r="QDG2188" s="70"/>
      <c r="QDH2188" s="69"/>
      <c r="QDI2188" s="70"/>
      <c r="QDJ2188" s="69"/>
      <c r="QDK2188" s="70"/>
      <c r="QDL2188" s="69"/>
      <c r="QDM2188" s="70"/>
      <c r="QDN2188" s="69"/>
      <c r="QDO2188" s="70"/>
      <c r="QDP2188" s="69"/>
      <c r="QDQ2188" s="70"/>
      <c r="QDR2188" s="69"/>
      <c r="QDS2188" s="70"/>
      <c r="QDT2188" s="69"/>
      <c r="QDU2188" s="70"/>
      <c r="QDV2188" s="69"/>
      <c r="QDW2188" s="70"/>
      <c r="QDX2188" s="69"/>
      <c r="QDY2188" s="70"/>
      <c r="QDZ2188" s="69"/>
      <c r="QEA2188" s="70"/>
      <c r="QEB2188" s="69"/>
      <c r="QEC2188" s="70"/>
      <c r="QED2188" s="69"/>
      <c r="QEE2188" s="70"/>
      <c r="QEF2188" s="69"/>
      <c r="QEG2188" s="70"/>
      <c r="QEH2188" s="69"/>
      <c r="QEI2188" s="70"/>
      <c r="QEJ2188" s="69"/>
      <c r="QEK2188" s="70"/>
      <c r="QEL2188" s="69"/>
      <c r="QEM2188" s="70"/>
      <c r="QEN2188" s="69"/>
      <c r="QEO2188" s="70"/>
      <c r="QEP2188" s="69"/>
      <c r="QEQ2188" s="70"/>
      <c r="QER2188" s="69"/>
      <c r="QES2188" s="70"/>
      <c r="QET2188" s="69"/>
      <c r="QEU2188" s="70"/>
      <c r="QEV2188" s="69"/>
      <c r="QEW2188" s="70"/>
      <c r="QEX2188" s="69"/>
      <c r="QEY2188" s="70"/>
      <c r="QEZ2188" s="69"/>
      <c r="QFA2188" s="70"/>
      <c r="QFB2188" s="69"/>
      <c r="QFC2188" s="70"/>
      <c r="QFD2188" s="69"/>
      <c r="QFE2188" s="70"/>
      <c r="QFF2188" s="69"/>
      <c r="QFG2188" s="70"/>
      <c r="QFH2188" s="69"/>
      <c r="QFI2188" s="70"/>
      <c r="QFJ2188" s="69"/>
      <c r="QFK2188" s="70"/>
      <c r="QFL2188" s="69"/>
      <c r="QFM2188" s="70"/>
      <c r="QFN2188" s="69"/>
      <c r="QFO2188" s="70"/>
      <c r="QFP2188" s="69"/>
      <c r="QFQ2188" s="70"/>
      <c r="QFR2188" s="69"/>
      <c r="QFS2188" s="70"/>
      <c r="QFT2188" s="69"/>
      <c r="QFU2188" s="70"/>
      <c r="QFV2188" s="69"/>
      <c r="QFW2188" s="70"/>
      <c r="QFX2188" s="69"/>
      <c r="QFY2188" s="70"/>
      <c r="QFZ2188" s="69"/>
      <c r="QGA2188" s="70"/>
      <c r="QGB2188" s="69"/>
      <c r="QGC2188" s="70"/>
      <c r="QGD2188" s="69"/>
      <c r="QGE2188" s="70"/>
      <c r="QGF2188" s="69"/>
      <c r="QGG2188" s="70"/>
      <c r="QGH2188" s="69"/>
      <c r="QGI2188" s="70"/>
      <c r="QGJ2188" s="69"/>
      <c r="QGK2188" s="70"/>
      <c r="QGL2188" s="69"/>
      <c r="QGM2188" s="70"/>
      <c r="QGN2188" s="69"/>
      <c r="QGO2188" s="70"/>
      <c r="QGP2188" s="69"/>
      <c r="QGQ2188" s="70"/>
      <c r="QGR2188" s="69"/>
      <c r="QGS2188" s="70"/>
      <c r="QGT2188" s="69"/>
      <c r="QGU2188" s="70"/>
      <c r="QGV2188" s="69"/>
      <c r="QGW2188" s="70"/>
      <c r="QGX2188" s="69"/>
      <c r="QGY2188" s="70"/>
      <c r="QGZ2188" s="69"/>
      <c r="QHA2188" s="70"/>
      <c r="QHB2188" s="69"/>
      <c r="QHC2188" s="70"/>
      <c r="QHD2188" s="69"/>
      <c r="QHE2188" s="70"/>
      <c r="QHF2188" s="69"/>
      <c r="QHG2188" s="70"/>
      <c r="QHH2188" s="69"/>
      <c r="QHI2188" s="70"/>
      <c r="QHJ2188" s="69"/>
      <c r="QHK2188" s="70"/>
      <c r="QHL2188" s="69"/>
      <c r="QHM2188" s="70"/>
      <c r="QHN2188" s="69"/>
      <c r="QHO2188" s="70"/>
      <c r="QHP2188" s="69"/>
      <c r="QHQ2188" s="70"/>
      <c r="QHR2188" s="69"/>
      <c r="QHS2188" s="70"/>
      <c r="QHT2188" s="69"/>
      <c r="QHU2188" s="70"/>
      <c r="QHV2188" s="69"/>
      <c r="QHW2188" s="70"/>
      <c r="QHX2188" s="69"/>
      <c r="QHY2188" s="70"/>
      <c r="QHZ2188" s="69"/>
      <c r="QIA2188" s="70"/>
      <c r="QIB2188" s="69"/>
      <c r="QIC2188" s="70"/>
      <c r="QID2188" s="69"/>
      <c r="QIE2188" s="70"/>
      <c r="QIF2188" s="69"/>
      <c r="QIG2188" s="70"/>
      <c r="QIH2188" s="69"/>
      <c r="QII2188" s="70"/>
      <c r="QIJ2188" s="69"/>
      <c r="QIK2188" s="70"/>
      <c r="QIL2188" s="69"/>
      <c r="QIM2188" s="70"/>
      <c r="QIN2188" s="69"/>
      <c r="QIO2188" s="70"/>
      <c r="QIP2188" s="69"/>
      <c r="QIQ2188" s="70"/>
      <c r="QIR2188" s="69"/>
      <c r="QIS2188" s="70"/>
      <c r="QIT2188" s="69"/>
      <c r="QIU2188" s="70"/>
      <c r="QIV2188" s="69"/>
      <c r="QIW2188" s="70"/>
      <c r="QIX2188" s="69"/>
      <c r="QIY2188" s="70"/>
      <c r="QIZ2188" s="69"/>
      <c r="QJA2188" s="70"/>
      <c r="QJB2188" s="69"/>
      <c r="QJC2188" s="70"/>
      <c r="QJD2188" s="69"/>
      <c r="QJE2188" s="70"/>
      <c r="QJF2188" s="69"/>
      <c r="QJG2188" s="70"/>
      <c r="QJH2188" s="69"/>
      <c r="QJI2188" s="70"/>
      <c r="QJJ2188" s="69"/>
      <c r="QJK2188" s="70"/>
      <c r="QJL2188" s="69"/>
      <c r="QJM2188" s="70"/>
      <c r="QJN2188" s="69"/>
      <c r="QJO2188" s="70"/>
      <c r="QJP2188" s="69"/>
      <c r="QJQ2188" s="70"/>
      <c r="QJR2188" s="69"/>
      <c r="QJS2188" s="70"/>
      <c r="QJT2188" s="69"/>
      <c r="QJU2188" s="70"/>
      <c r="QJV2188" s="69"/>
      <c r="QJW2188" s="70"/>
      <c r="QJX2188" s="69"/>
      <c r="QJY2188" s="70"/>
      <c r="QJZ2188" s="69"/>
      <c r="QKA2188" s="70"/>
      <c r="QKB2188" s="69"/>
      <c r="QKC2188" s="70"/>
      <c r="QKD2188" s="69"/>
      <c r="QKE2188" s="70"/>
      <c r="QKF2188" s="69"/>
      <c r="QKG2188" s="70"/>
      <c r="QKH2188" s="69"/>
      <c r="QKI2188" s="70"/>
      <c r="QKJ2188" s="69"/>
      <c r="QKK2188" s="70"/>
      <c r="QKL2188" s="69"/>
      <c r="QKM2188" s="70"/>
      <c r="QKN2188" s="69"/>
      <c r="QKO2188" s="70"/>
      <c r="QKP2188" s="69"/>
      <c r="QKQ2188" s="70"/>
      <c r="QKR2188" s="69"/>
      <c r="QKS2188" s="70"/>
      <c r="QKT2188" s="69"/>
      <c r="QKU2188" s="70"/>
      <c r="QKV2188" s="69"/>
      <c r="QKW2188" s="70"/>
      <c r="QKX2188" s="69"/>
      <c r="QKY2188" s="70"/>
      <c r="QKZ2188" s="69"/>
      <c r="QLA2188" s="70"/>
      <c r="QLB2188" s="69"/>
      <c r="QLC2188" s="70"/>
      <c r="QLD2188" s="69"/>
      <c r="QLE2188" s="70"/>
      <c r="QLF2188" s="69"/>
      <c r="QLG2188" s="70"/>
      <c r="QLH2188" s="69"/>
      <c r="QLI2188" s="70"/>
      <c r="QLJ2188" s="69"/>
      <c r="QLK2188" s="70"/>
      <c r="QLL2188" s="69"/>
      <c r="QLM2188" s="70"/>
      <c r="QLN2188" s="69"/>
      <c r="QLO2188" s="70"/>
      <c r="QLP2188" s="69"/>
      <c r="QLQ2188" s="70"/>
      <c r="QLR2188" s="69"/>
      <c r="QLS2188" s="70"/>
      <c r="QLT2188" s="69"/>
      <c r="QLU2188" s="70"/>
      <c r="QLV2188" s="69"/>
      <c r="QLW2188" s="70"/>
      <c r="QLX2188" s="69"/>
      <c r="QLY2188" s="70"/>
      <c r="QLZ2188" s="69"/>
      <c r="QMA2188" s="70"/>
      <c r="QMB2188" s="69"/>
      <c r="QMC2188" s="70"/>
      <c r="QMD2188" s="69"/>
      <c r="QME2188" s="70"/>
      <c r="QMF2188" s="69"/>
      <c r="QMG2188" s="70"/>
      <c r="QMH2188" s="69"/>
      <c r="QMI2188" s="70"/>
      <c r="QMJ2188" s="69"/>
      <c r="QMK2188" s="70"/>
      <c r="QML2188" s="69"/>
      <c r="QMM2188" s="70"/>
      <c r="QMN2188" s="69"/>
      <c r="QMO2188" s="70"/>
      <c r="QMP2188" s="69"/>
      <c r="QMQ2188" s="70"/>
      <c r="QMR2188" s="69"/>
      <c r="QMS2188" s="70"/>
      <c r="QMT2188" s="69"/>
      <c r="QMU2188" s="70"/>
      <c r="QMV2188" s="69"/>
      <c r="QMW2188" s="70"/>
      <c r="QMX2188" s="69"/>
      <c r="QMY2188" s="70"/>
      <c r="QMZ2188" s="69"/>
      <c r="QNA2188" s="70"/>
      <c r="QNB2188" s="69"/>
      <c r="QNC2188" s="70"/>
      <c r="QND2188" s="69"/>
      <c r="QNE2188" s="70"/>
      <c r="QNF2188" s="69"/>
      <c r="QNG2188" s="70"/>
      <c r="QNH2188" s="69"/>
      <c r="QNI2188" s="70"/>
      <c r="QNJ2188" s="69"/>
      <c r="QNK2188" s="70"/>
      <c r="QNL2188" s="69"/>
      <c r="QNM2188" s="70"/>
      <c r="QNN2188" s="69"/>
      <c r="QNO2188" s="70"/>
      <c r="QNP2188" s="69"/>
      <c r="QNQ2188" s="70"/>
      <c r="QNR2188" s="69"/>
      <c r="QNS2188" s="70"/>
      <c r="QNT2188" s="69"/>
      <c r="QNU2188" s="70"/>
      <c r="QNV2188" s="69"/>
      <c r="QNW2188" s="70"/>
      <c r="QNX2188" s="69"/>
      <c r="QNY2188" s="70"/>
      <c r="QNZ2188" s="69"/>
      <c r="QOA2188" s="70"/>
      <c r="QOB2188" s="69"/>
      <c r="QOC2188" s="70"/>
      <c r="QOD2188" s="69"/>
      <c r="QOE2188" s="70"/>
      <c r="QOF2188" s="69"/>
      <c r="QOG2188" s="70"/>
      <c r="QOH2188" s="69"/>
      <c r="QOI2188" s="70"/>
      <c r="QOJ2188" s="69"/>
      <c r="QOK2188" s="70"/>
      <c r="QOL2188" s="69"/>
      <c r="QOM2188" s="70"/>
      <c r="QON2188" s="69"/>
      <c r="QOO2188" s="70"/>
      <c r="QOP2188" s="69"/>
      <c r="QOQ2188" s="70"/>
      <c r="QOR2188" s="69"/>
      <c r="QOS2188" s="70"/>
      <c r="QOT2188" s="69"/>
      <c r="QOU2188" s="70"/>
      <c r="QOV2188" s="69"/>
      <c r="QOW2188" s="70"/>
      <c r="QOX2188" s="69"/>
      <c r="QOY2188" s="70"/>
      <c r="QOZ2188" s="69"/>
      <c r="QPA2188" s="70"/>
      <c r="QPB2188" s="69"/>
      <c r="QPC2188" s="70"/>
      <c r="QPD2188" s="69"/>
      <c r="QPE2188" s="70"/>
      <c r="QPF2188" s="69"/>
      <c r="QPG2188" s="70"/>
      <c r="QPH2188" s="69"/>
      <c r="QPI2188" s="70"/>
      <c r="QPJ2188" s="69"/>
      <c r="QPK2188" s="70"/>
      <c r="QPL2188" s="69"/>
      <c r="QPM2188" s="70"/>
      <c r="QPN2188" s="69"/>
      <c r="QPO2188" s="70"/>
      <c r="QPP2188" s="69"/>
      <c r="QPQ2188" s="70"/>
      <c r="QPR2188" s="69"/>
      <c r="QPS2188" s="70"/>
      <c r="QPT2188" s="69"/>
      <c r="QPU2188" s="70"/>
      <c r="QPV2188" s="69"/>
      <c r="QPW2188" s="70"/>
      <c r="QPX2188" s="69"/>
      <c r="QPY2188" s="70"/>
      <c r="QPZ2188" s="69"/>
      <c r="QQA2188" s="70"/>
      <c r="QQB2188" s="69"/>
      <c r="QQC2188" s="70"/>
      <c r="QQD2188" s="69"/>
      <c r="QQE2188" s="70"/>
      <c r="QQF2188" s="69"/>
      <c r="QQG2188" s="70"/>
      <c r="QQH2188" s="69"/>
      <c r="QQI2188" s="70"/>
      <c r="QQJ2188" s="69"/>
      <c r="QQK2188" s="70"/>
      <c r="QQL2188" s="69"/>
      <c r="QQM2188" s="70"/>
      <c r="QQN2188" s="69"/>
      <c r="QQO2188" s="70"/>
      <c r="QQP2188" s="69"/>
      <c r="QQQ2188" s="70"/>
      <c r="QQR2188" s="69"/>
      <c r="QQS2188" s="70"/>
      <c r="QQT2188" s="69"/>
      <c r="QQU2188" s="70"/>
      <c r="QQV2188" s="69"/>
      <c r="QQW2188" s="70"/>
      <c r="QQX2188" s="69"/>
      <c r="QQY2188" s="70"/>
      <c r="QQZ2188" s="69"/>
      <c r="QRA2188" s="70"/>
      <c r="QRB2188" s="69"/>
      <c r="QRC2188" s="70"/>
      <c r="QRD2188" s="69"/>
      <c r="QRE2188" s="70"/>
      <c r="QRF2188" s="69"/>
      <c r="QRG2188" s="70"/>
      <c r="QRH2188" s="69"/>
      <c r="QRI2188" s="70"/>
      <c r="QRJ2188" s="69"/>
      <c r="QRK2188" s="70"/>
      <c r="QRL2188" s="69"/>
      <c r="QRM2188" s="70"/>
      <c r="QRN2188" s="69"/>
      <c r="QRO2188" s="70"/>
      <c r="QRP2188" s="69"/>
      <c r="QRQ2188" s="70"/>
      <c r="QRR2188" s="69"/>
      <c r="QRS2188" s="70"/>
      <c r="QRT2188" s="69"/>
      <c r="QRU2188" s="70"/>
      <c r="QRV2188" s="69"/>
      <c r="QRW2188" s="70"/>
      <c r="QRX2188" s="69"/>
      <c r="QRY2188" s="70"/>
      <c r="QRZ2188" s="69"/>
      <c r="QSA2188" s="70"/>
      <c r="QSB2188" s="69"/>
      <c r="QSC2188" s="70"/>
      <c r="QSD2188" s="69"/>
      <c r="QSE2188" s="70"/>
      <c r="QSF2188" s="69"/>
      <c r="QSG2188" s="70"/>
      <c r="QSH2188" s="69"/>
      <c r="QSI2188" s="70"/>
      <c r="QSJ2188" s="69"/>
      <c r="QSK2188" s="70"/>
      <c r="QSL2188" s="69"/>
      <c r="QSM2188" s="70"/>
      <c r="QSN2188" s="69"/>
      <c r="QSO2188" s="70"/>
      <c r="QSP2188" s="69"/>
      <c r="QSQ2188" s="70"/>
      <c r="QSR2188" s="69"/>
      <c r="QSS2188" s="70"/>
      <c r="QST2188" s="69"/>
      <c r="QSU2188" s="70"/>
      <c r="QSV2188" s="69"/>
      <c r="QSW2188" s="70"/>
      <c r="QSX2188" s="69"/>
      <c r="QSY2188" s="70"/>
      <c r="QSZ2188" s="69"/>
      <c r="QTA2188" s="70"/>
      <c r="QTB2188" s="69"/>
      <c r="QTC2188" s="70"/>
      <c r="QTD2188" s="69"/>
      <c r="QTE2188" s="70"/>
      <c r="QTF2188" s="69"/>
      <c r="QTG2188" s="70"/>
      <c r="QTH2188" s="69"/>
      <c r="QTI2188" s="70"/>
      <c r="QTJ2188" s="69"/>
      <c r="QTK2188" s="70"/>
      <c r="QTL2188" s="69"/>
      <c r="QTM2188" s="70"/>
      <c r="QTN2188" s="69"/>
      <c r="QTO2188" s="70"/>
      <c r="QTP2188" s="69"/>
      <c r="QTQ2188" s="70"/>
      <c r="QTR2188" s="69"/>
      <c r="QTS2188" s="70"/>
      <c r="QTT2188" s="69"/>
      <c r="QTU2188" s="70"/>
      <c r="QTV2188" s="69"/>
      <c r="QTW2188" s="70"/>
      <c r="QTX2188" s="69"/>
      <c r="QTY2188" s="70"/>
      <c r="QTZ2188" s="69"/>
      <c r="QUA2188" s="70"/>
      <c r="QUB2188" s="69"/>
      <c r="QUC2188" s="70"/>
      <c r="QUD2188" s="69"/>
      <c r="QUE2188" s="70"/>
      <c r="QUF2188" s="69"/>
      <c r="QUG2188" s="70"/>
      <c r="QUH2188" s="69"/>
      <c r="QUI2188" s="70"/>
      <c r="QUJ2188" s="69"/>
      <c r="QUK2188" s="70"/>
      <c r="QUL2188" s="69"/>
      <c r="QUM2188" s="70"/>
      <c r="QUN2188" s="69"/>
      <c r="QUO2188" s="70"/>
      <c r="QUP2188" s="69"/>
      <c r="QUQ2188" s="70"/>
      <c r="QUR2188" s="69"/>
      <c r="QUS2188" s="70"/>
      <c r="QUT2188" s="69"/>
      <c r="QUU2188" s="70"/>
      <c r="QUV2188" s="69"/>
      <c r="QUW2188" s="70"/>
      <c r="QUX2188" s="69"/>
      <c r="QUY2188" s="70"/>
      <c r="QUZ2188" s="69"/>
      <c r="QVA2188" s="70"/>
      <c r="QVB2188" s="69"/>
      <c r="QVC2188" s="70"/>
      <c r="QVD2188" s="69"/>
      <c r="QVE2188" s="70"/>
      <c r="QVF2188" s="69"/>
      <c r="QVG2188" s="70"/>
      <c r="QVH2188" s="69"/>
      <c r="QVI2188" s="70"/>
      <c r="QVJ2188" s="69"/>
      <c r="QVK2188" s="70"/>
      <c r="QVL2188" s="69"/>
      <c r="QVM2188" s="70"/>
      <c r="QVN2188" s="69"/>
      <c r="QVO2188" s="70"/>
      <c r="QVP2188" s="69"/>
      <c r="QVQ2188" s="70"/>
      <c r="QVR2188" s="69"/>
      <c r="QVS2188" s="70"/>
      <c r="QVT2188" s="69"/>
      <c r="QVU2188" s="70"/>
      <c r="QVV2188" s="69"/>
      <c r="QVW2188" s="70"/>
      <c r="QVX2188" s="69"/>
      <c r="QVY2188" s="70"/>
      <c r="QVZ2188" s="69"/>
      <c r="QWA2188" s="70"/>
      <c r="QWB2188" s="69"/>
      <c r="QWC2188" s="70"/>
      <c r="QWD2188" s="69"/>
      <c r="QWE2188" s="70"/>
      <c r="QWF2188" s="69"/>
      <c r="QWG2188" s="70"/>
      <c r="QWH2188" s="69"/>
      <c r="QWI2188" s="70"/>
      <c r="QWJ2188" s="69"/>
      <c r="QWK2188" s="70"/>
      <c r="QWL2188" s="69"/>
      <c r="QWM2188" s="70"/>
      <c r="QWN2188" s="69"/>
      <c r="QWO2188" s="70"/>
      <c r="QWP2188" s="69"/>
      <c r="QWQ2188" s="70"/>
      <c r="QWR2188" s="69"/>
      <c r="QWS2188" s="70"/>
      <c r="QWT2188" s="69"/>
      <c r="QWU2188" s="70"/>
      <c r="QWV2188" s="69"/>
      <c r="QWW2188" s="70"/>
      <c r="QWX2188" s="69"/>
      <c r="QWY2188" s="70"/>
      <c r="QWZ2188" s="69"/>
      <c r="QXA2188" s="70"/>
      <c r="QXB2188" s="69"/>
      <c r="QXC2188" s="70"/>
      <c r="QXD2188" s="69"/>
      <c r="QXE2188" s="70"/>
      <c r="QXF2188" s="69"/>
      <c r="QXG2188" s="70"/>
      <c r="QXH2188" s="69"/>
      <c r="QXI2188" s="70"/>
      <c r="QXJ2188" s="69"/>
      <c r="QXK2188" s="70"/>
      <c r="QXL2188" s="69"/>
      <c r="QXM2188" s="70"/>
      <c r="QXN2188" s="69"/>
      <c r="QXO2188" s="70"/>
      <c r="QXP2188" s="69"/>
      <c r="QXQ2188" s="70"/>
      <c r="QXR2188" s="69"/>
      <c r="QXS2188" s="70"/>
      <c r="QXT2188" s="69"/>
      <c r="QXU2188" s="70"/>
      <c r="QXV2188" s="69"/>
      <c r="QXW2188" s="70"/>
      <c r="QXX2188" s="69"/>
      <c r="QXY2188" s="70"/>
      <c r="QXZ2188" s="69"/>
      <c r="QYA2188" s="70"/>
      <c r="QYB2188" s="69"/>
      <c r="QYC2188" s="70"/>
      <c r="QYD2188" s="69"/>
      <c r="QYE2188" s="70"/>
      <c r="QYF2188" s="69"/>
      <c r="QYG2188" s="70"/>
      <c r="QYH2188" s="69"/>
      <c r="QYI2188" s="70"/>
      <c r="QYJ2188" s="69"/>
      <c r="QYK2188" s="70"/>
      <c r="QYL2188" s="69"/>
      <c r="QYM2188" s="70"/>
      <c r="QYN2188" s="69"/>
      <c r="QYO2188" s="70"/>
      <c r="QYP2188" s="69"/>
      <c r="QYQ2188" s="70"/>
      <c r="QYR2188" s="69"/>
      <c r="QYS2188" s="70"/>
      <c r="QYT2188" s="69"/>
      <c r="QYU2188" s="70"/>
      <c r="QYV2188" s="69"/>
      <c r="QYW2188" s="70"/>
      <c r="QYX2188" s="69"/>
      <c r="QYY2188" s="70"/>
      <c r="QYZ2188" s="69"/>
      <c r="QZA2188" s="70"/>
      <c r="QZB2188" s="69"/>
      <c r="QZC2188" s="70"/>
      <c r="QZD2188" s="69"/>
      <c r="QZE2188" s="70"/>
      <c r="QZF2188" s="69"/>
      <c r="QZG2188" s="70"/>
      <c r="QZH2188" s="69"/>
      <c r="QZI2188" s="70"/>
      <c r="QZJ2188" s="69"/>
      <c r="QZK2188" s="70"/>
      <c r="QZL2188" s="69"/>
      <c r="QZM2188" s="70"/>
      <c r="QZN2188" s="69"/>
      <c r="QZO2188" s="70"/>
      <c r="QZP2188" s="69"/>
      <c r="QZQ2188" s="70"/>
      <c r="QZR2188" s="69"/>
      <c r="QZS2188" s="70"/>
      <c r="QZT2188" s="69"/>
      <c r="QZU2188" s="70"/>
      <c r="QZV2188" s="69"/>
      <c r="QZW2188" s="70"/>
      <c r="QZX2188" s="69"/>
      <c r="QZY2188" s="70"/>
      <c r="QZZ2188" s="69"/>
      <c r="RAA2188" s="70"/>
      <c r="RAB2188" s="69"/>
      <c r="RAC2188" s="70"/>
      <c r="RAD2188" s="69"/>
      <c r="RAE2188" s="70"/>
      <c r="RAF2188" s="69"/>
      <c r="RAG2188" s="70"/>
      <c r="RAH2188" s="69"/>
      <c r="RAI2188" s="70"/>
      <c r="RAJ2188" s="69"/>
      <c r="RAK2188" s="70"/>
      <c r="RAL2188" s="69"/>
      <c r="RAM2188" s="70"/>
      <c r="RAN2188" s="69"/>
      <c r="RAO2188" s="70"/>
      <c r="RAP2188" s="69"/>
      <c r="RAQ2188" s="70"/>
      <c r="RAR2188" s="69"/>
      <c r="RAS2188" s="70"/>
      <c r="RAT2188" s="69"/>
      <c r="RAU2188" s="70"/>
      <c r="RAV2188" s="69"/>
      <c r="RAW2188" s="70"/>
      <c r="RAX2188" s="69"/>
      <c r="RAY2188" s="70"/>
      <c r="RAZ2188" s="69"/>
      <c r="RBA2188" s="70"/>
      <c r="RBB2188" s="69"/>
      <c r="RBC2188" s="70"/>
      <c r="RBD2188" s="69"/>
      <c r="RBE2188" s="70"/>
      <c r="RBF2188" s="69"/>
      <c r="RBG2188" s="70"/>
      <c r="RBH2188" s="69"/>
      <c r="RBI2188" s="70"/>
      <c r="RBJ2188" s="69"/>
      <c r="RBK2188" s="70"/>
      <c r="RBL2188" s="69"/>
      <c r="RBM2188" s="70"/>
      <c r="RBN2188" s="69"/>
      <c r="RBO2188" s="70"/>
      <c r="RBP2188" s="69"/>
      <c r="RBQ2188" s="70"/>
      <c r="RBR2188" s="69"/>
      <c r="RBS2188" s="70"/>
      <c r="RBT2188" s="69"/>
      <c r="RBU2188" s="70"/>
      <c r="RBV2188" s="69"/>
      <c r="RBW2188" s="70"/>
      <c r="RBX2188" s="69"/>
      <c r="RBY2188" s="70"/>
      <c r="RBZ2188" s="69"/>
      <c r="RCA2188" s="70"/>
      <c r="RCB2188" s="69"/>
      <c r="RCC2188" s="70"/>
      <c r="RCD2188" s="69"/>
      <c r="RCE2188" s="70"/>
      <c r="RCF2188" s="69"/>
      <c r="RCG2188" s="70"/>
      <c r="RCH2188" s="69"/>
      <c r="RCI2188" s="70"/>
      <c r="RCJ2188" s="69"/>
      <c r="RCK2188" s="70"/>
      <c r="RCL2188" s="69"/>
      <c r="RCM2188" s="70"/>
      <c r="RCN2188" s="69"/>
      <c r="RCO2188" s="70"/>
      <c r="RCP2188" s="69"/>
      <c r="RCQ2188" s="70"/>
      <c r="RCR2188" s="69"/>
      <c r="RCS2188" s="70"/>
      <c r="RCT2188" s="69"/>
      <c r="RCU2188" s="70"/>
      <c r="RCV2188" s="69"/>
      <c r="RCW2188" s="70"/>
      <c r="RCX2188" s="69"/>
      <c r="RCY2188" s="70"/>
      <c r="RCZ2188" s="69"/>
      <c r="RDA2188" s="70"/>
      <c r="RDB2188" s="69"/>
      <c r="RDC2188" s="70"/>
      <c r="RDD2188" s="69"/>
      <c r="RDE2188" s="70"/>
      <c r="RDF2188" s="69"/>
      <c r="RDG2188" s="70"/>
      <c r="RDH2188" s="69"/>
      <c r="RDI2188" s="70"/>
      <c r="RDJ2188" s="69"/>
      <c r="RDK2188" s="70"/>
      <c r="RDL2188" s="69"/>
      <c r="RDM2188" s="70"/>
      <c r="RDN2188" s="69"/>
      <c r="RDO2188" s="70"/>
      <c r="RDP2188" s="69"/>
      <c r="RDQ2188" s="70"/>
      <c r="RDR2188" s="69"/>
      <c r="RDS2188" s="70"/>
      <c r="RDT2188" s="69"/>
      <c r="RDU2188" s="70"/>
      <c r="RDV2188" s="69"/>
      <c r="RDW2188" s="70"/>
      <c r="RDX2188" s="69"/>
      <c r="RDY2188" s="70"/>
      <c r="RDZ2188" s="69"/>
      <c r="REA2188" s="70"/>
      <c r="REB2188" s="69"/>
      <c r="REC2188" s="70"/>
      <c r="RED2188" s="69"/>
      <c r="REE2188" s="70"/>
      <c r="REF2188" s="69"/>
      <c r="REG2188" s="70"/>
      <c r="REH2188" s="69"/>
      <c r="REI2188" s="70"/>
      <c r="REJ2188" s="69"/>
      <c r="REK2188" s="70"/>
      <c r="REL2188" s="69"/>
      <c r="REM2188" s="70"/>
      <c r="REN2188" s="69"/>
      <c r="REO2188" s="70"/>
      <c r="REP2188" s="69"/>
      <c r="REQ2188" s="70"/>
      <c r="RER2188" s="69"/>
      <c r="RES2188" s="70"/>
      <c r="RET2188" s="69"/>
      <c r="REU2188" s="70"/>
      <c r="REV2188" s="69"/>
      <c r="REW2188" s="70"/>
      <c r="REX2188" s="69"/>
      <c r="REY2188" s="70"/>
      <c r="REZ2188" s="69"/>
      <c r="RFA2188" s="70"/>
      <c r="RFB2188" s="69"/>
      <c r="RFC2188" s="70"/>
      <c r="RFD2188" s="69"/>
      <c r="RFE2188" s="70"/>
      <c r="RFF2188" s="69"/>
      <c r="RFG2188" s="70"/>
      <c r="RFH2188" s="69"/>
      <c r="RFI2188" s="70"/>
      <c r="RFJ2188" s="69"/>
      <c r="RFK2188" s="70"/>
      <c r="RFL2188" s="69"/>
      <c r="RFM2188" s="70"/>
      <c r="RFN2188" s="69"/>
      <c r="RFO2188" s="70"/>
      <c r="RFP2188" s="69"/>
      <c r="RFQ2188" s="70"/>
      <c r="RFR2188" s="69"/>
      <c r="RFS2188" s="70"/>
      <c r="RFT2188" s="69"/>
      <c r="RFU2188" s="70"/>
      <c r="RFV2188" s="69"/>
      <c r="RFW2188" s="70"/>
      <c r="RFX2188" s="69"/>
      <c r="RFY2188" s="70"/>
      <c r="RFZ2188" s="69"/>
      <c r="RGA2188" s="70"/>
      <c r="RGB2188" s="69"/>
      <c r="RGC2188" s="70"/>
      <c r="RGD2188" s="69"/>
      <c r="RGE2188" s="70"/>
      <c r="RGF2188" s="69"/>
      <c r="RGG2188" s="70"/>
      <c r="RGH2188" s="69"/>
      <c r="RGI2188" s="70"/>
      <c r="RGJ2188" s="69"/>
      <c r="RGK2188" s="70"/>
      <c r="RGL2188" s="69"/>
      <c r="RGM2188" s="70"/>
      <c r="RGN2188" s="69"/>
      <c r="RGO2188" s="70"/>
      <c r="RGP2188" s="69"/>
      <c r="RGQ2188" s="70"/>
      <c r="RGR2188" s="69"/>
      <c r="RGS2188" s="70"/>
      <c r="RGT2188" s="69"/>
      <c r="RGU2188" s="70"/>
      <c r="RGV2188" s="69"/>
      <c r="RGW2188" s="70"/>
      <c r="RGX2188" s="69"/>
      <c r="RGY2188" s="70"/>
      <c r="RGZ2188" s="69"/>
      <c r="RHA2188" s="70"/>
      <c r="RHB2188" s="69"/>
      <c r="RHC2188" s="70"/>
      <c r="RHD2188" s="69"/>
      <c r="RHE2188" s="70"/>
      <c r="RHF2188" s="69"/>
      <c r="RHG2188" s="70"/>
      <c r="RHH2188" s="69"/>
      <c r="RHI2188" s="70"/>
      <c r="RHJ2188" s="69"/>
      <c r="RHK2188" s="70"/>
      <c r="RHL2188" s="69"/>
      <c r="RHM2188" s="70"/>
      <c r="RHN2188" s="69"/>
      <c r="RHO2188" s="70"/>
      <c r="RHP2188" s="69"/>
      <c r="RHQ2188" s="70"/>
      <c r="RHR2188" s="69"/>
      <c r="RHS2188" s="70"/>
      <c r="RHT2188" s="69"/>
      <c r="RHU2188" s="70"/>
      <c r="RHV2188" s="69"/>
      <c r="RHW2188" s="70"/>
      <c r="RHX2188" s="69"/>
      <c r="RHY2188" s="70"/>
      <c r="RHZ2188" s="69"/>
      <c r="RIA2188" s="70"/>
      <c r="RIB2188" s="69"/>
      <c r="RIC2188" s="70"/>
      <c r="RID2188" s="69"/>
      <c r="RIE2188" s="70"/>
      <c r="RIF2188" s="69"/>
      <c r="RIG2188" s="70"/>
      <c r="RIH2188" s="69"/>
      <c r="RII2188" s="70"/>
      <c r="RIJ2188" s="69"/>
      <c r="RIK2188" s="70"/>
      <c r="RIL2188" s="69"/>
      <c r="RIM2188" s="70"/>
      <c r="RIN2188" s="69"/>
      <c r="RIO2188" s="70"/>
      <c r="RIP2188" s="69"/>
      <c r="RIQ2188" s="70"/>
      <c r="RIR2188" s="69"/>
      <c r="RIS2188" s="70"/>
      <c r="RIT2188" s="69"/>
      <c r="RIU2188" s="70"/>
      <c r="RIV2188" s="69"/>
      <c r="RIW2188" s="70"/>
      <c r="RIX2188" s="69"/>
      <c r="RIY2188" s="70"/>
      <c r="RIZ2188" s="69"/>
      <c r="RJA2188" s="70"/>
      <c r="RJB2188" s="69"/>
      <c r="RJC2188" s="70"/>
      <c r="RJD2188" s="69"/>
      <c r="RJE2188" s="70"/>
      <c r="RJF2188" s="69"/>
      <c r="RJG2188" s="70"/>
      <c r="RJH2188" s="69"/>
      <c r="RJI2188" s="70"/>
      <c r="RJJ2188" s="69"/>
      <c r="RJK2188" s="70"/>
      <c r="RJL2188" s="69"/>
      <c r="RJM2188" s="70"/>
      <c r="RJN2188" s="69"/>
      <c r="RJO2188" s="70"/>
      <c r="RJP2188" s="69"/>
      <c r="RJQ2188" s="70"/>
      <c r="RJR2188" s="69"/>
      <c r="RJS2188" s="70"/>
      <c r="RJT2188" s="69"/>
      <c r="RJU2188" s="70"/>
      <c r="RJV2188" s="69"/>
      <c r="RJW2188" s="70"/>
      <c r="RJX2188" s="69"/>
      <c r="RJY2188" s="70"/>
      <c r="RJZ2188" s="69"/>
      <c r="RKA2188" s="70"/>
      <c r="RKB2188" s="69"/>
      <c r="RKC2188" s="70"/>
      <c r="RKD2188" s="69"/>
      <c r="RKE2188" s="70"/>
      <c r="RKF2188" s="69"/>
      <c r="RKG2188" s="70"/>
      <c r="RKH2188" s="69"/>
      <c r="RKI2188" s="70"/>
      <c r="RKJ2188" s="69"/>
      <c r="RKK2188" s="70"/>
      <c r="RKL2188" s="69"/>
      <c r="RKM2188" s="70"/>
      <c r="RKN2188" s="69"/>
      <c r="RKO2188" s="70"/>
      <c r="RKP2188" s="69"/>
      <c r="RKQ2188" s="70"/>
      <c r="RKR2188" s="69"/>
      <c r="RKS2188" s="70"/>
      <c r="RKT2188" s="69"/>
      <c r="RKU2188" s="70"/>
      <c r="RKV2188" s="69"/>
      <c r="RKW2188" s="70"/>
      <c r="RKX2188" s="69"/>
      <c r="RKY2188" s="70"/>
      <c r="RKZ2188" s="69"/>
      <c r="RLA2188" s="70"/>
      <c r="RLB2188" s="69"/>
      <c r="RLC2188" s="70"/>
      <c r="RLD2188" s="69"/>
      <c r="RLE2188" s="70"/>
      <c r="RLF2188" s="69"/>
      <c r="RLG2188" s="70"/>
      <c r="RLH2188" s="69"/>
      <c r="RLI2188" s="70"/>
      <c r="RLJ2188" s="69"/>
      <c r="RLK2188" s="70"/>
      <c r="RLL2188" s="69"/>
      <c r="RLM2188" s="70"/>
      <c r="RLN2188" s="69"/>
      <c r="RLO2188" s="70"/>
      <c r="RLP2188" s="69"/>
      <c r="RLQ2188" s="70"/>
      <c r="RLR2188" s="69"/>
      <c r="RLS2188" s="70"/>
      <c r="RLT2188" s="69"/>
      <c r="RLU2188" s="70"/>
      <c r="RLV2188" s="69"/>
      <c r="RLW2188" s="70"/>
      <c r="RLX2188" s="69"/>
      <c r="RLY2188" s="70"/>
      <c r="RLZ2188" s="69"/>
      <c r="RMA2188" s="70"/>
      <c r="RMB2188" s="69"/>
      <c r="RMC2188" s="70"/>
      <c r="RMD2188" s="69"/>
      <c r="RME2188" s="70"/>
      <c r="RMF2188" s="69"/>
      <c r="RMG2188" s="70"/>
      <c r="RMH2188" s="69"/>
      <c r="RMI2188" s="70"/>
      <c r="RMJ2188" s="69"/>
      <c r="RMK2188" s="70"/>
      <c r="RML2188" s="69"/>
      <c r="RMM2188" s="70"/>
      <c r="RMN2188" s="69"/>
      <c r="RMO2188" s="70"/>
      <c r="RMP2188" s="69"/>
      <c r="RMQ2188" s="70"/>
      <c r="RMR2188" s="69"/>
      <c r="RMS2188" s="70"/>
      <c r="RMT2188" s="69"/>
      <c r="RMU2188" s="70"/>
      <c r="RMV2188" s="69"/>
      <c r="RMW2188" s="70"/>
      <c r="RMX2188" s="69"/>
      <c r="RMY2188" s="70"/>
      <c r="RMZ2188" s="69"/>
      <c r="RNA2188" s="70"/>
      <c r="RNB2188" s="69"/>
      <c r="RNC2188" s="70"/>
      <c r="RND2188" s="69"/>
      <c r="RNE2188" s="70"/>
      <c r="RNF2188" s="69"/>
      <c r="RNG2188" s="70"/>
      <c r="RNH2188" s="69"/>
      <c r="RNI2188" s="70"/>
      <c r="RNJ2188" s="69"/>
      <c r="RNK2188" s="70"/>
      <c r="RNL2188" s="69"/>
      <c r="RNM2188" s="70"/>
      <c r="RNN2188" s="69"/>
      <c r="RNO2188" s="70"/>
      <c r="RNP2188" s="69"/>
      <c r="RNQ2188" s="70"/>
      <c r="RNR2188" s="69"/>
      <c r="RNS2188" s="70"/>
      <c r="RNT2188" s="69"/>
      <c r="RNU2188" s="70"/>
      <c r="RNV2188" s="69"/>
      <c r="RNW2188" s="70"/>
      <c r="RNX2188" s="69"/>
      <c r="RNY2188" s="70"/>
      <c r="RNZ2188" s="69"/>
      <c r="ROA2188" s="70"/>
      <c r="ROB2188" s="69"/>
      <c r="ROC2188" s="70"/>
      <c r="ROD2188" s="69"/>
      <c r="ROE2188" s="70"/>
      <c r="ROF2188" s="69"/>
      <c r="ROG2188" s="70"/>
      <c r="ROH2188" s="69"/>
      <c r="ROI2188" s="70"/>
      <c r="ROJ2188" s="69"/>
      <c r="ROK2188" s="70"/>
      <c r="ROL2188" s="69"/>
      <c r="ROM2188" s="70"/>
      <c r="RON2188" s="69"/>
      <c r="ROO2188" s="70"/>
      <c r="ROP2188" s="69"/>
      <c r="ROQ2188" s="70"/>
      <c r="ROR2188" s="69"/>
      <c r="ROS2188" s="70"/>
      <c r="ROT2188" s="69"/>
      <c r="ROU2188" s="70"/>
      <c r="ROV2188" s="69"/>
      <c r="ROW2188" s="70"/>
      <c r="ROX2188" s="69"/>
      <c r="ROY2188" s="70"/>
      <c r="ROZ2188" s="69"/>
      <c r="RPA2188" s="70"/>
      <c r="RPB2188" s="69"/>
      <c r="RPC2188" s="70"/>
      <c r="RPD2188" s="69"/>
      <c r="RPE2188" s="70"/>
      <c r="RPF2188" s="69"/>
      <c r="RPG2188" s="70"/>
      <c r="RPH2188" s="69"/>
      <c r="RPI2188" s="70"/>
      <c r="RPJ2188" s="69"/>
      <c r="RPK2188" s="70"/>
      <c r="RPL2188" s="69"/>
      <c r="RPM2188" s="70"/>
      <c r="RPN2188" s="69"/>
      <c r="RPO2188" s="70"/>
      <c r="RPP2188" s="69"/>
      <c r="RPQ2188" s="70"/>
      <c r="RPR2188" s="69"/>
      <c r="RPS2188" s="70"/>
      <c r="RPT2188" s="69"/>
      <c r="RPU2188" s="70"/>
      <c r="RPV2188" s="69"/>
      <c r="RPW2188" s="70"/>
      <c r="RPX2188" s="69"/>
      <c r="RPY2188" s="70"/>
      <c r="RPZ2188" s="69"/>
      <c r="RQA2188" s="70"/>
      <c r="RQB2188" s="69"/>
      <c r="RQC2188" s="70"/>
      <c r="RQD2188" s="69"/>
      <c r="RQE2188" s="70"/>
      <c r="RQF2188" s="69"/>
      <c r="RQG2188" s="70"/>
      <c r="RQH2188" s="69"/>
      <c r="RQI2188" s="70"/>
      <c r="RQJ2188" s="69"/>
      <c r="RQK2188" s="70"/>
      <c r="RQL2188" s="69"/>
      <c r="RQM2188" s="70"/>
      <c r="RQN2188" s="69"/>
      <c r="RQO2188" s="70"/>
      <c r="RQP2188" s="69"/>
      <c r="RQQ2188" s="70"/>
      <c r="RQR2188" s="69"/>
      <c r="RQS2188" s="70"/>
      <c r="RQT2188" s="69"/>
      <c r="RQU2188" s="70"/>
      <c r="RQV2188" s="69"/>
      <c r="RQW2188" s="70"/>
      <c r="RQX2188" s="69"/>
      <c r="RQY2188" s="70"/>
      <c r="RQZ2188" s="69"/>
      <c r="RRA2188" s="70"/>
      <c r="RRB2188" s="69"/>
      <c r="RRC2188" s="70"/>
      <c r="RRD2188" s="69"/>
      <c r="RRE2188" s="70"/>
      <c r="RRF2188" s="69"/>
      <c r="RRG2188" s="70"/>
      <c r="RRH2188" s="69"/>
      <c r="RRI2188" s="70"/>
      <c r="RRJ2188" s="69"/>
      <c r="RRK2188" s="70"/>
      <c r="RRL2188" s="69"/>
      <c r="RRM2188" s="70"/>
      <c r="RRN2188" s="69"/>
      <c r="RRO2188" s="70"/>
      <c r="RRP2188" s="69"/>
      <c r="RRQ2188" s="70"/>
      <c r="RRR2188" s="69"/>
      <c r="RRS2188" s="70"/>
      <c r="RRT2188" s="69"/>
      <c r="RRU2188" s="70"/>
      <c r="RRV2188" s="69"/>
      <c r="RRW2188" s="70"/>
      <c r="RRX2188" s="69"/>
      <c r="RRY2188" s="70"/>
      <c r="RRZ2188" s="69"/>
      <c r="RSA2188" s="70"/>
      <c r="RSB2188" s="69"/>
      <c r="RSC2188" s="70"/>
      <c r="RSD2188" s="69"/>
      <c r="RSE2188" s="70"/>
      <c r="RSF2188" s="69"/>
      <c r="RSG2188" s="70"/>
      <c r="RSH2188" s="69"/>
      <c r="RSI2188" s="70"/>
      <c r="RSJ2188" s="69"/>
      <c r="RSK2188" s="70"/>
      <c r="RSL2188" s="69"/>
      <c r="RSM2188" s="70"/>
      <c r="RSN2188" s="69"/>
      <c r="RSO2188" s="70"/>
      <c r="RSP2188" s="69"/>
      <c r="RSQ2188" s="70"/>
      <c r="RSR2188" s="69"/>
      <c r="RSS2188" s="70"/>
      <c r="RST2188" s="69"/>
      <c r="RSU2188" s="70"/>
      <c r="RSV2188" s="69"/>
      <c r="RSW2188" s="70"/>
      <c r="RSX2188" s="69"/>
      <c r="RSY2188" s="70"/>
      <c r="RSZ2188" s="69"/>
      <c r="RTA2188" s="70"/>
      <c r="RTB2188" s="69"/>
      <c r="RTC2188" s="70"/>
      <c r="RTD2188" s="69"/>
      <c r="RTE2188" s="70"/>
      <c r="RTF2188" s="69"/>
      <c r="RTG2188" s="70"/>
      <c r="RTH2188" s="69"/>
      <c r="RTI2188" s="70"/>
      <c r="RTJ2188" s="69"/>
      <c r="RTK2188" s="70"/>
      <c r="RTL2188" s="69"/>
      <c r="RTM2188" s="70"/>
      <c r="RTN2188" s="69"/>
      <c r="RTO2188" s="70"/>
      <c r="RTP2188" s="69"/>
      <c r="RTQ2188" s="70"/>
      <c r="RTR2188" s="69"/>
      <c r="RTS2188" s="70"/>
      <c r="RTT2188" s="69"/>
      <c r="RTU2188" s="70"/>
      <c r="RTV2188" s="69"/>
      <c r="RTW2188" s="70"/>
      <c r="RTX2188" s="69"/>
      <c r="RTY2188" s="70"/>
      <c r="RTZ2188" s="69"/>
      <c r="RUA2188" s="70"/>
      <c r="RUB2188" s="69"/>
      <c r="RUC2188" s="70"/>
      <c r="RUD2188" s="69"/>
      <c r="RUE2188" s="70"/>
      <c r="RUF2188" s="69"/>
      <c r="RUG2188" s="70"/>
      <c r="RUH2188" s="69"/>
      <c r="RUI2188" s="70"/>
      <c r="RUJ2188" s="69"/>
      <c r="RUK2188" s="70"/>
      <c r="RUL2188" s="69"/>
      <c r="RUM2188" s="70"/>
      <c r="RUN2188" s="69"/>
      <c r="RUO2188" s="70"/>
      <c r="RUP2188" s="69"/>
      <c r="RUQ2188" s="70"/>
      <c r="RUR2188" s="69"/>
      <c r="RUS2188" s="70"/>
      <c r="RUT2188" s="69"/>
      <c r="RUU2188" s="70"/>
      <c r="RUV2188" s="69"/>
      <c r="RUW2188" s="70"/>
      <c r="RUX2188" s="69"/>
      <c r="RUY2188" s="70"/>
      <c r="RUZ2188" s="69"/>
      <c r="RVA2188" s="70"/>
      <c r="RVB2188" s="69"/>
      <c r="RVC2188" s="70"/>
      <c r="RVD2188" s="69"/>
      <c r="RVE2188" s="70"/>
      <c r="RVF2188" s="69"/>
      <c r="RVG2188" s="70"/>
      <c r="RVH2188" s="69"/>
      <c r="RVI2188" s="70"/>
      <c r="RVJ2188" s="69"/>
      <c r="RVK2188" s="70"/>
      <c r="RVL2188" s="69"/>
      <c r="RVM2188" s="70"/>
      <c r="RVN2188" s="69"/>
      <c r="RVO2188" s="70"/>
      <c r="RVP2188" s="69"/>
      <c r="RVQ2188" s="70"/>
      <c r="RVR2188" s="69"/>
      <c r="RVS2188" s="70"/>
      <c r="RVT2188" s="69"/>
      <c r="RVU2188" s="70"/>
      <c r="RVV2188" s="69"/>
      <c r="RVW2188" s="70"/>
      <c r="RVX2188" s="69"/>
      <c r="RVY2188" s="70"/>
      <c r="RVZ2188" s="69"/>
      <c r="RWA2188" s="70"/>
      <c r="RWB2188" s="69"/>
      <c r="RWC2188" s="70"/>
      <c r="RWD2188" s="69"/>
      <c r="RWE2188" s="70"/>
      <c r="RWF2188" s="69"/>
      <c r="RWG2188" s="70"/>
      <c r="RWH2188" s="69"/>
      <c r="RWI2188" s="70"/>
      <c r="RWJ2188" s="69"/>
      <c r="RWK2188" s="70"/>
      <c r="RWL2188" s="69"/>
      <c r="RWM2188" s="70"/>
      <c r="RWN2188" s="69"/>
      <c r="RWO2188" s="70"/>
      <c r="RWP2188" s="69"/>
      <c r="RWQ2188" s="70"/>
      <c r="RWR2188" s="69"/>
      <c r="RWS2188" s="70"/>
      <c r="RWT2188" s="69"/>
      <c r="RWU2188" s="70"/>
      <c r="RWV2188" s="69"/>
      <c r="RWW2188" s="70"/>
      <c r="RWX2188" s="69"/>
      <c r="RWY2188" s="70"/>
      <c r="RWZ2188" s="69"/>
      <c r="RXA2188" s="70"/>
      <c r="RXB2188" s="69"/>
      <c r="RXC2188" s="70"/>
      <c r="RXD2188" s="69"/>
      <c r="RXE2188" s="70"/>
      <c r="RXF2188" s="69"/>
      <c r="RXG2188" s="70"/>
      <c r="RXH2188" s="69"/>
      <c r="RXI2188" s="70"/>
      <c r="RXJ2188" s="69"/>
      <c r="RXK2188" s="70"/>
      <c r="RXL2188" s="69"/>
      <c r="RXM2188" s="70"/>
      <c r="RXN2188" s="69"/>
      <c r="RXO2188" s="70"/>
      <c r="RXP2188" s="69"/>
      <c r="RXQ2188" s="70"/>
      <c r="RXR2188" s="69"/>
      <c r="RXS2188" s="70"/>
      <c r="RXT2188" s="69"/>
      <c r="RXU2188" s="70"/>
      <c r="RXV2188" s="69"/>
      <c r="RXW2188" s="70"/>
      <c r="RXX2188" s="69"/>
      <c r="RXY2188" s="70"/>
      <c r="RXZ2188" s="69"/>
      <c r="RYA2188" s="70"/>
      <c r="RYB2188" s="69"/>
      <c r="RYC2188" s="70"/>
      <c r="RYD2188" s="69"/>
      <c r="RYE2188" s="70"/>
      <c r="RYF2188" s="69"/>
      <c r="RYG2188" s="70"/>
      <c r="RYH2188" s="69"/>
      <c r="RYI2188" s="70"/>
      <c r="RYJ2188" s="69"/>
      <c r="RYK2188" s="70"/>
      <c r="RYL2188" s="69"/>
      <c r="RYM2188" s="70"/>
      <c r="RYN2188" s="69"/>
      <c r="RYO2188" s="70"/>
      <c r="RYP2188" s="69"/>
      <c r="RYQ2188" s="70"/>
      <c r="RYR2188" s="69"/>
      <c r="RYS2188" s="70"/>
      <c r="RYT2188" s="69"/>
      <c r="RYU2188" s="70"/>
      <c r="RYV2188" s="69"/>
      <c r="RYW2188" s="70"/>
      <c r="RYX2188" s="69"/>
      <c r="RYY2188" s="70"/>
      <c r="RYZ2188" s="69"/>
      <c r="RZA2188" s="70"/>
      <c r="RZB2188" s="69"/>
      <c r="RZC2188" s="70"/>
      <c r="RZD2188" s="69"/>
      <c r="RZE2188" s="70"/>
      <c r="RZF2188" s="69"/>
      <c r="RZG2188" s="70"/>
      <c r="RZH2188" s="69"/>
      <c r="RZI2188" s="70"/>
      <c r="RZJ2188" s="69"/>
      <c r="RZK2188" s="70"/>
      <c r="RZL2188" s="69"/>
      <c r="RZM2188" s="70"/>
      <c r="RZN2188" s="69"/>
      <c r="RZO2188" s="70"/>
      <c r="RZP2188" s="69"/>
      <c r="RZQ2188" s="70"/>
      <c r="RZR2188" s="69"/>
      <c r="RZS2188" s="70"/>
      <c r="RZT2188" s="69"/>
      <c r="RZU2188" s="70"/>
      <c r="RZV2188" s="69"/>
      <c r="RZW2188" s="70"/>
      <c r="RZX2188" s="69"/>
      <c r="RZY2188" s="70"/>
      <c r="RZZ2188" s="69"/>
      <c r="SAA2188" s="70"/>
      <c r="SAB2188" s="69"/>
      <c r="SAC2188" s="70"/>
      <c r="SAD2188" s="69"/>
      <c r="SAE2188" s="70"/>
      <c r="SAF2188" s="69"/>
      <c r="SAG2188" s="70"/>
      <c r="SAH2188" s="69"/>
      <c r="SAI2188" s="70"/>
      <c r="SAJ2188" s="69"/>
      <c r="SAK2188" s="70"/>
      <c r="SAL2188" s="69"/>
      <c r="SAM2188" s="70"/>
      <c r="SAN2188" s="69"/>
      <c r="SAO2188" s="70"/>
      <c r="SAP2188" s="69"/>
      <c r="SAQ2188" s="70"/>
      <c r="SAR2188" s="69"/>
      <c r="SAS2188" s="70"/>
      <c r="SAT2188" s="69"/>
      <c r="SAU2188" s="70"/>
      <c r="SAV2188" s="69"/>
      <c r="SAW2188" s="70"/>
      <c r="SAX2188" s="69"/>
      <c r="SAY2188" s="70"/>
      <c r="SAZ2188" s="69"/>
      <c r="SBA2188" s="70"/>
      <c r="SBB2188" s="69"/>
      <c r="SBC2188" s="70"/>
      <c r="SBD2188" s="69"/>
      <c r="SBE2188" s="70"/>
      <c r="SBF2188" s="69"/>
      <c r="SBG2188" s="70"/>
      <c r="SBH2188" s="69"/>
      <c r="SBI2188" s="70"/>
      <c r="SBJ2188" s="69"/>
      <c r="SBK2188" s="70"/>
      <c r="SBL2188" s="69"/>
      <c r="SBM2188" s="70"/>
      <c r="SBN2188" s="69"/>
      <c r="SBO2188" s="70"/>
      <c r="SBP2188" s="69"/>
      <c r="SBQ2188" s="70"/>
      <c r="SBR2188" s="69"/>
      <c r="SBS2188" s="70"/>
      <c r="SBT2188" s="69"/>
      <c r="SBU2188" s="70"/>
      <c r="SBV2188" s="69"/>
      <c r="SBW2188" s="70"/>
      <c r="SBX2188" s="69"/>
      <c r="SBY2188" s="70"/>
      <c r="SBZ2188" s="69"/>
      <c r="SCA2188" s="70"/>
      <c r="SCB2188" s="69"/>
      <c r="SCC2188" s="70"/>
      <c r="SCD2188" s="69"/>
      <c r="SCE2188" s="70"/>
      <c r="SCF2188" s="69"/>
      <c r="SCG2188" s="70"/>
      <c r="SCH2188" s="69"/>
      <c r="SCI2188" s="70"/>
      <c r="SCJ2188" s="69"/>
      <c r="SCK2188" s="70"/>
      <c r="SCL2188" s="69"/>
      <c r="SCM2188" s="70"/>
      <c r="SCN2188" s="69"/>
      <c r="SCO2188" s="70"/>
      <c r="SCP2188" s="69"/>
      <c r="SCQ2188" s="70"/>
      <c r="SCR2188" s="69"/>
      <c r="SCS2188" s="70"/>
      <c r="SCT2188" s="69"/>
      <c r="SCU2188" s="70"/>
      <c r="SCV2188" s="69"/>
      <c r="SCW2188" s="70"/>
      <c r="SCX2188" s="69"/>
      <c r="SCY2188" s="70"/>
      <c r="SCZ2188" s="69"/>
      <c r="SDA2188" s="70"/>
      <c r="SDB2188" s="69"/>
      <c r="SDC2188" s="70"/>
      <c r="SDD2188" s="69"/>
      <c r="SDE2188" s="70"/>
      <c r="SDF2188" s="69"/>
      <c r="SDG2188" s="70"/>
      <c r="SDH2188" s="69"/>
      <c r="SDI2188" s="70"/>
      <c r="SDJ2188" s="69"/>
      <c r="SDK2188" s="70"/>
      <c r="SDL2188" s="69"/>
      <c r="SDM2188" s="70"/>
      <c r="SDN2188" s="69"/>
      <c r="SDO2188" s="70"/>
      <c r="SDP2188" s="69"/>
      <c r="SDQ2188" s="70"/>
      <c r="SDR2188" s="69"/>
      <c r="SDS2188" s="70"/>
      <c r="SDT2188" s="69"/>
      <c r="SDU2188" s="70"/>
      <c r="SDV2188" s="69"/>
      <c r="SDW2188" s="70"/>
      <c r="SDX2188" s="69"/>
      <c r="SDY2188" s="70"/>
      <c r="SDZ2188" s="69"/>
      <c r="SEA2188" s="70"/>
      <c r="SEB2188" s="69"/>
      <c r="SEC2188" s="70"/>
      <c r="SED2188" s="69"/>
      <c r="SEE2188" s="70"/>
      <c r="SEF2188" s="69"/>
      <c r="SEG2188" s="70"/>
      <c r="SEH2188" s="69"/>
      <c r="SEI2188" s="70"/>
      <c r="SEJ2188" s="69"/>
      <c r="SEK2188" s="70"/>
      <c r="SEL2188" s="69"/>
      <c r="SEM2188" s="70"/>
      <c r="SEN2188" s="69"/>
      <c r="SEO2188" s="70"/>
      <c r="SEP2188" s="69"/>
      <c r="SEQ2188" s="70"/>
      <c r="SER2188" s="69"/>
      <c r="SES2188" s="70"/>
      <c r="SET2188" s="69"/>
      <c r="SEU2188" s="70"/>
      <c r="SEV2188" s="69"/>
      <c r="SEW2188" s="70"/>
      <c r="SEX2188" s="69"/>
      <c r="SEY2188" s="70"/>
      <c r="SEZ2188" s="69"/>
      <c r="SFA2188" s="70"/>
      <c r="SFB2188" s="69"/>
      <c r="SFC2188" s="70"/>
      <c r="SFD2188" s="69"/>
      <c r="SFE2188" s="70"/>
      <c r="SFF2188" s="69"/>
      <c r="SFG2188" s="70"/>
      <c r="SFH2188" s="69"/>
      <c r="SFI2188" s="70"/>
      <c r="SFJ2188" s="69"/>
      <c r="SFK2188" s="70"/>
      <c r="SFL2188" s="69"/>
      <c r="SFM2188" s="70"/>
      <c r="SFN2188" s="69"/>
      <c r="SFO2188" s="70"/>
      <c r="SFP2188" s="69"/>
      <c r="SFQ2188" s="70"/>
      <c r="SFR2188" s="69"/>
      <c r="SFS2188" s="70"/>
      <c r="SFT2188" s="69"/>
      <c r="SFU2188" s="70"/>
      <c r="SFV2188" s="69"/>
      <c r="SFW2188" s="70"/>
      <c r="SFX2188" s="69"/>
      <c r="SFY2188" s="70"/>
      <c r="SFZ2188" s="69"/>
      <c r="SGA2188" s="70"/>
      <c r="SGB2188" s="69"/>
      <c r="SGC2188" s="70"/>
      <c r="SGD2188" s="69"/>
      <c r="SGE2188" s="70"/>
      <c r="SGF2188" s="69"/>
      <c r="SGG2188" s="70"/>
      <c r="SGH2188" s="69"/>
      <c r="SGI2188" s="70"/>
      <c r="SGJ2188" s="69"/>
      <c r="SGK2188" s="70"/>
      <c r="SGL2188" s="69"/>
      <c r="SGM2188" s="70"/>
      <c r="SGN2188" s="69"/>
      <c r="SGO2188" s="70"/>
      <c r="SGP2188" s="69"/>
      <c r="SGQ2188" s="70"/>
      <c r="SGR2188" s="69"/>
      <c r="SGS2188" s="70"/>
      <c r="SGT2188" s="69"/>
      <c r="SGU2188" s="70"/>
      <c r="SGV2188" s="69"/>
      <c r="SGW2188" s="70"/>
      <c r="SGX2188" s="69"/>
      <c r="SGY2188" s="70"/>
      <c r="SGZ2188" s="69"/>
      <c r="SHA2188" s="70"/>
      <c r="SHB2188" s="69"/>
      <c r="SHC2188" s="70"/>
      <c r="SHD2188" s="69"/>
      <c r="SHE2188" s="70"/>
      <c r="SHF2188" s="69"/>
      <c r="SHG2188" s="70"/>
      <c r="SHH2188" s="69"/>
      <c r="SHI2188" s="70"/>
      <c r="SHJ2188" s="69"/>
      <c r="SHK2188" s="70"/>
      <c r="SHL2188" s="69"/>
      <c r="SHM2188" s="70"/>
      <c r="SHN2188" s="69"/>
      <c r="SHO2188" s="70"/>
      <c r="SHP2188" s="69"/>
      <c r="SHQ2188" s="70"/>
      <c r="SHR2188" s="69"/>
      <c r="SHS2188" s="70"/>
      <c r="SHT2188" s="69"/>
      <c r="SHU2188" s="70"/>
      <c r="SHV2188" s="69"/>
      <c r="SHW2188" s="70"/>
      <c r="SHX2188" s="69"/>
      <c r="SHY2188" s="70"/>
      <c r="SHZ2188" s="69"/>
      <c r="SIA2188" s="70"/>
      <c r="SIB2188" s="69"/>
      <c r="SIC2188" s="70"/>
      <c r="SID2188" s="69"/>
      <c r="SIE2188" s="70"/>
      <c r="SIF2188" s="69"/>
      <c r="SIG2188" s="70"/>
      <c r="SIH2188" s="69"/>
      <c r="SII2188" s="70"/>
      <c r="SIJ2188" s="69"/>
      <c r="SIK2188" s="70"/>
      <c r="SIL2188" s="69"/>
      <c r="SIM2188" s="70"/>
      <c r="SIN2188" s="69"/>
      <c r="SIO2188" s="70"/>
      <c r="SIP2188" s="69"/>
      <c r="SIQ2188" s="70"/>
      <c r="SIR2188" s="69"/>
      <c r="SIS2188" s="70"/>
      <c r="SIT2188" s="69"/>
      <c r="SIU2188" s="70"/>
      <c r="SIV2188" s="69"/>
      <c r="SIW2188" s="70"/>
      <c r="SIX2188" s="69"/>
      <c r="SIY2188" s="70"/>
      <c r="SIZ2188" s="69"/>
      <c r="SJA2188" s="70"/>
      <c r="SJB2188" s="69"/>
      <c r="SJC2188" s="70"/>
      <c r="SJD2188" s="69"/>
      <c r="SJE2188" s="70"/>
      <c r="SJF2188" s="69"/>
      <c r="SJG2188" s="70"/>
      <c r="SJH2188" s="69"/>
      <c r="SJI2188" s="70"/>
      <c r="SJJ2188" s="69"/>
      <c r="SJK2188" s="70"/>
      <c r="SJL2188" s="69"/>
      <c r="SJM2188" s="70"/>
      <c r="SJN2188" s="69"/>
      <c r="SJO2188" s="70"/>
      <c r="SJP2188" s="69"/>
      <c r="SJQ2188" s="70"/>
      <c r="SJR2188" s="69"/>
      <c r="SJS2188" s="70"/>
      <c r="SJT2188" s="69"/>
      <c r="SJU2188" s="70"/>
      <c r="SJV2188" s="69"/>
      <c r="SJW2188" s="70"/>
      <c r="SJX2188" s="69"/>
      <c r="SJY2188" s="70"/>
      <c r="SJZ2188" s="69"/>
      <c r="SKA2188" s="70"/>
      <c r="SKB2188" s="69"/>
      <c r="SKC2188" s="70"/>
      <c r="SKD2188" s="69"/>
      <c r="SKE2188" s="70"/>
      <c r="SKF2188" s="69"/>
      <c r="SKG2188" s="70"/>
      <c r="SKH2188" s="69"/>
      <c r="SKI2188" s="70"/>
      <c r="SKJ2188" s="69"/>
      <c r="SKK2188" s="70"/>
      <c r="SKL2188" s="69"/>
      <c r="SKM2188" s="70"/>
      <c r="SKN2188" s="69"/>
      <c r="SKO2188" s="70"/>
      <c r="SKP2188" s="69"/>
      <c r="SKQ2188" s="70"/>
      <c r="SKR2188" s="69"/>
      <c r="SKS2188" s="70"/>
      <c r="SKT2188" s="69"/>
      <c r="SKU2188" s="70"/>
      <c r="SKV2188" s="69"/>
      <c r="SKW2188" s="70"/>
      <c r="SKX2188" s="69"/>
      <c r="SKY2188" s="70"/>
      <c r="SKZ2188" s="69"/>
      <c r="SLA2188" s="70"/>
      <c r="SLB2188" s="69"/>
      <c r="SLC2188" s="70"/>
      <c r="SLD2188" s="69"/>
      <c r="SLE2188" s="70"/>
      <c r="SLF2188" s="69"/>
      <c r="SLG2188" s="70"/>
      <c r="SLH2188" s="69"/>
      <c r="SLI2188" s="70"/>
      <c r="SLJ2188" s="69"/>
      <c r="SLK2188" s="70"/>
      <c r="SLL2188" s="69"/>
      <c r="SLM2188" s="70"/>
      <c r="SLN2188" s="69"/>
      <c r="SLO2188" s="70"/>
      <c r="SLP2188" s="69"/>
      <c r="SLQ2188" s="70"/>
      <c r="SLR2188" s="69"/>
      <c r="SLS2188" s="70"/>
      <c r="SLT2188" s="69"/>
      <c r="SLU2188" s="70"/>
      <c r="SLV2188" s="69"/>
      <c r="SLW2188" s="70"/>
      <c r="SLX2188" s="69"/>
      <c r="SLY2188" s="70"/>
      <c r="SLZ2188" s="69"/>
      <c r="SMA2188" s="70"/>
      <c r="SMB2188" s="69"/>
      <c r="SMC2188" s="70"/>
      <c r="SMD2188" s="69"/>
      <c r="SME2188" s="70"/>
      <c r="SMF2188" s="69"/>
      <c r="SMG2188" s="70"/>
      <c r="SMH2188" s="69"/>
      <c r="SMI2188" s="70"/>
      <c r="SMJ2188" s="69"/>
      <c r="SMK2188" s="70"/>
      <c r="SML2188" s="69"/>
      <c r="SMM2188" s="70"/>
      <c r="SMN2188" s="69"/>
      <c r="SMO2188" s="70"/>
      <c r="SMP2188" s="69"/>
      <c r="SMQ2188" s="70"/>
      <c r="SMR2188" s="69"/>
      <c r="SMS2188" s="70"/>
      <c r="SMT2188" s="69"/>
      <c r="SMU2188" s="70"/>
      <c r="SMV2188" s="69"/>
      <c r="SMW2188" s="70"/>
      <c r="SMX2188" s="69"/>
      <c r="SMY2188" s="70"/>
      <c r="SMZ2188" s="69"/>
      <c r="SNA2188" s="70"/>
      <c r="SNB2188" s="69"/>
      <c r="SNC2188" s="70"/>
      <c r="SND2188" s="69"/>
      <c r="SNE2188" s="70"/>
      <c r="SNF2188" s="69"/>
      <c r="SNG2188" s="70"/>
      <c r="SNH2188" s="69"/>
      <c r="SNI2188" s="70"/>
      <c r="SNJ2188" s="69"/>
      <c r="SNK2188" s="70"/>
      <c r="SNL2188" s="69"/>
      <c r="SNM2188" s="70"/>
      <c r="SNN2188" s="69"/>
      <c r="SNO2188" s="70"/>
      <c r="SNP2188" s="69"/>
      <c r="SNQ2188" s="70"/>
      <c r="SNR2188" s="69"/>
      <c r="SNS2188" s="70"/>
      <c r="SNT2188" s="69"/>
      <c r="SNU2188" s="70"/>
      <c r="SNV2188" s="69"/>
      <c r="SNW2188" s="70"/>
      <c r="SNX2188" s="69"/>
      <c r="SNY2188" s="70"/>
      <c r="SNZ2188" s="69"/>
      <c r="SOA2188" s="70"/>
      <c r="SOB2188" s="69"/>
      <c r="SOC2188" s="70"/>
      <c r="SOD2188" s="69"/>
      <c r="SOE2188" s="70"/>
      <c r="SOF2188" s="69"/>
      <c r="SOG2188" s="70"/>
      <c r="SOH2188" s="69"/>
      <c r="SOI2188" s="70"/>
      <c r="SOJ2188" s="69"/>
      <c r="SOK2188" s="70"/>
      <c r="SOL2188" s="69"/>
      <c r="SOM2188" s="70"/>
      <c r="SON2188" s="69"/>
      <c r="SOO2188" s="70"/>
      <c r="SOP2188" s="69"/>
      <c r="SOQ2188" s="70"/>
      <c r="SOR2188" s="69"/>
      <c r="SOS2188" s="70"/>
      <c r="SOT2188" s="69"/>
      <c r="SOU2188" s="70"/>
      <c r="SOV2188" s="69"/>
      <c r="SOW2188" s="70"/>
      <c r="SOX2188" s="69"/>
      <c r="SOY2188" s="70"/>
      <c r="SOZ2188" s="69"/>
      <c r="SPA2188" s="70"/>
      <c r="SPB2188" s="69"/>
      <c r="SPC2188" s="70"/>
      <c r="SPD2188" s="69"/>
      <c r="SPE2188" s="70"/>
      <c r="SPF2188" s="69"/>
      <c r="SPG2188" s="70"/>
      <c r="SPH2188" s="69"/>
      <c r="SPI2188" s="70"/>
      <c r="SPJ2188" s="69"/>
      <c r="SPK2188" s="70"/>
      <c r="SPL2188" s="69"/>
      <c r="SPM2188" s="70"/>
      <c r="SPN2188" s="69"/>
      <c r="SPO2188" s="70"/>
      <c r="SPP2188" s="69"/>
      <c r="SPQ2188" s="70"/>
      <c r="SPR2188" s="69"/>
      <c r="SPS2188" s="70"/>
      <c r="SPT2188" s="69"/>
      <c r="SPU2188" s="70"/>
      <c r="SPV2188" s="69"/>
      <c r="SPW2188" s="70"/>
      <c r="SPX2188" s="69"/>
      <c r="SPY2188" s="70"/>
      <c r="SPZ2188" s="69"/>
      <c r="SQA2188" s="70"/>
      <c r="SQB2188" s="69"/>
      <c r="SQC2188" s="70"/>
      <c r="SQD2188" s="69"/>
      <c r="SQE2188" s="70"/>
      <c r="SQF2188" s="69"/>
      <c r="SQG2188" s="70"/>
      <c r="SQH2188" s="69"/>
      <c r="SQI2188" s="70"/>
      <c r="SQJ2188" s="69"/>
      <c r="SQK2188" s="70"/>
      <c r="SQL2188" s="69"/>
      <c r="SQM2188" s="70"/>
      <c r="SQN2188" s="69"/>
      <c r="SQO2188" s="70"/>
      <c r="SQP2188" s="69"/>
      <c r="SQQ2188" s="70"/>
      <c r="SQR2188" s="69"/>
      <c r="SQS2188" s="70"/>
      <c r="SQT2188" s="69"/>
      <c r="SQU2188" s="70"/>
      <c r="SQV2188" s="69"/>
      <c r="SQW2188" s="70"/>
      <c r="SQX2188" s="69"/>
      <c r="SQY2188" s="70"/>
      <c r="SQZ2188" s="69"/>
      <c r="SRA2188" s="70"/>
      <c r="SRB2188" s="69"/>
      <c r="SRC2188" s="70"/>
      <c r="SRD2188" s="69"/>
      <c r="SRE2188" s="70"/>
      <c r="SRF2188" s="69"/>
      <c r="SRG2188" s="70"/>
      <c r="SRH2188" s="69"/>
      <c r="SRI2188" s="70"/>
      <c r="SRJ2188" s="69"/>
      <c r="SRK2188" s="70"/>
      <c r="SRL2188" s="69"/>
      <c r="SRM2188" s="70"/>
      <c r="SRN2188" s="69"/>
      <c r="SRO2188" s="70"/>
      <c r="SRP2188" s="69"/>
      <c r="SRQ2188" s="70"/>
      <c r="SRR2188" s="69"/>
      <c r="SRS2188" s="70"/>
      <c r="SRT2188" s="69"/>
      <c r="SRU2188" s="70"/>
      <c r="SRV2188" s="69"/>
      <c r="SRW2188" s="70"/>
      <c r="SRX2188" s="69"/>
      <c r="SRY2188" s="70"/>
      <c r="SRZ2188" s="69"/>
      <c r="SSA2188" s="70"/>
      <c r="SSB2188" s="69"/>
      <c r="SSC2188" s="70"/>
      <c r="SSD2188" s="69"/>
      <c r="SSE2188" s="70"/>
      <c r="SSF2188" s="69"/>
      <c r="SSG2188" s="70"/>
      <c r="SSH2188" s="69"/>
      <c r="SSI2188" s="70"/>
      <c r="SSJ2188" s="69"/>
      <c r="SSK2188" s="70"/>
      <c r="SSL2188" s="69"/>
      <c r="SSM2188" s="70"/>
      <c r="SSN2188" s="69"/>
      <c r="SSO2188" s="70"/>
      <c r="SSP2188" s="69"/>
      <c r="SSQ2188" s="70"/>
      <c r="SSR2188" s="69"/>
      <c r="SSS2188" s="70"/>
      <c r="SST2188" s="69"/>
      <c r="SSU2188" s="70"/>
      <c r="SSV2188" s="69"/>
      <c r="SSW2188" s="70"/>
      <c r="SSX2188" s="69"/>
      <c r="SSY2188" s="70"/>
      <c r="SSZ2188" s="69"/>
      <c r="STA2188" s="70"/>
      <c r="STB2188" s="69"/>
      <c r="STC2188" s="70"/>
      <c r="STD2188" s="69"/>
      <c r="STE2188" s="70"/>
      <c r="STF2188" s="69"/>
      <c r="STG2188" s="70"/>
      <c r="STH2188" s="69"/>
      <c r="STI2188" s="70"/>
      <c r="STJ2188" s="69"/>
      <c r="STK2188" s="70"/>
      <c r="STL2188" s="69"/>
      <c r="STM2188" s="70"/>
      <c r="STN2188" s="69"/>
      <c r="STO2188" s="70"/>
      <c r="STP2188" s="69"/>
      <c r="STQ2188" s="70"/>
      <c r="STR2188" s="69"/>
      <c r="STS2188" s="70"/>
      <c r="STT2188" s="69"/>
      <c r="STU2188" s="70"/>
      <c r="STV2188" s="69"/>
      <c r="STW2188" s="70"/>
      <c r="STX2188" s="69"/>
      <c r="STY2188" s="70"/>
      <c r="STZ2188" s="69"/>
      <c r="SUA2188" s="70"/>
      <c r="SUB2188" s="69"/>
      <c r="SUC2188" s="70"/>
      <c r="SUD2188" s="69"/>
      <c r="SUE2188" s="70"/>
      <c r="SUF2188" s="69"/>
      <c r="SUG2188" s="70"/>
      <c r="SUH2188" s="69"/>
      <c r="SUI2188" s="70"/>
      <c r="SUJ2188" s="69"/>
      <c r="SUK2188" s="70"/>
      <c r="SUL2188" s="69"/>
      <c r="SUM2188" s="70"/>
      <c r="SUN2188" s="69"/>
      <c r="SUO2188" s="70"/>
      <c r="SUP2188" s="69"/>
      <c r="SUQ2188" s="70"/>
      <c r="SUR2188" s="69"/>
      <c r="SUS2188" s="70"/>
      <c r="SUT2188" s="69"/>
      <c r="SUU2188" s="70"/>
      <c r="SUV2188" s="69"/>
      <c r="SUW2188" s="70"/>
      <c r="SUX2188" s="69"/>
      <c r="SUY2188" s="70"/>
      <c r="SUZ2188" s="69"/>
      <c r="SVA2188" s="70"/>
      <c r="SVB2188" s="69"/>
      <c r="SVC2188" s="70"/>
      <c r="SVD2188" s="69"/>
      <c r="SVE2188" s="70"/>
      <c r="SVF2188" s="69"/>
      <c r="SVG2188" s="70"/>
      <c r="SVH2188" s="69"/>
      <c r="SVI2188" s="70"/>
      <c r="SVJ2188" s="69"/>
      <c r="SVK2188" s="70"/>
      <c r="SVL2188" s="69"/>
      <c r="SVM2188" s="70"/>
      <c r="SVN2188" s="69"/>
      <c r="SVO2188" s="70"/>
      <c r="SVP2188" s="69"/>
      <c r="SVQ2188" s="70"/>
      <c r="SVR2188" s="69"/>
      <c r="SVS2188" s="70"/>
      <c r="SVT2188" s="69"/>
      <c r="SVU2188" s="70"/>
      <c r="SVV2188" s="69"/>
      <c r="SVW2188" s="70"/>
      <c r="SVX2188" s="69"/>
      <c r="SVY2188" s="70"/>
      <c r="SVZ2188" s="69"/>
      <c r="SWA2188" s="70"/>
      <c r="SWB2188" s="69"/>
      <c r="SWC2188" s="70"/>
      <c r="SWD2188" s="69"/>
      <c r="SWE2188" s="70"/>
      <c r="SWF2188" s="69"/>
      <c r="SWG2188" s="70"/>
      <c r="SWH2188" s="69"/>
      <c r="SWI2188" s="70"/>
      <c r="SWJ2188" s="69"/>
      <c r="SWK2188" s="70"/>
      <c r="SWL2188" s="69"/>
      <c r="SWM2188" s="70"/>
      <c r="SWN2188" s="69"/>
      <c r="SWO2188" s="70"/>
      <c r="SWP2188" s="69"/>
      <c r="SWQ2188" s="70"/>
      <c r="SWR2188" s="69"/>
      <c r="SWS2188" s="70"/>
      <c r="SWT2188" s="69"/>
      <c r="SWU2188" s="70"/>
      <c r="SWV2188" s="69"/>
      <c r="SWW2188" s="70"/>
      <c r="SWX2188" s="69"/>
      <c r="SWY2188" s="70"/>
      <c r="SWZ2188" s="69"/>
      <c r="SXA2188" s="70"/>
      <c r="SXB2188" s="69"/>
      <c r="SXC2188" s="70"/>
      <c r="SXD2188" s="69"/>
      <c r="SXE2188" s="70"/>
      <c r="SXF2188" s="69"/>
      <c r="SXG2188" s="70"/>
      <c r="SXH2188" s="69"/>
      <c r="SXI2188" s="70"/>
      <c r="SXJ2188" s="69"/>
      <c r="SXK2188" s="70"/>
      <c r="SXL2188" s="69"/>
      <c r="SXM2188" s="70"/>
      <c r="SXN2188" s="69"/>
      <c r="SXO2188" s="70"/>
      <c r="SXP2188" s="69"/>
      <c r="SXQ2188" s="70"/>
      <c r="SXR2188" s="69"/>
      <c r="SXS2188" s="70"/>
      <c r="SXT2188" s="69"/>
      <c r="SXU2188" s="70"/>
      <c r="SXV2188" s="69"/>
      <c r="SXW2188" s="70"/>
      <c r="SXX2188" s="69"/>
      <c r="SXY2188" s="70"/>
      <c r="SXZ2188" s="69"/>
      <c r="SYA2188" s="70"/>
      <c r="SYB2188" s="69"/>
      <c r="SYC2188" s="70"/>
      <c r="SYD2188" s="69"/>
      <c r="SYE2188" s="70"/>
      <c r="SYF2188" s="69"/>
      <c r="SYG2188" s="70"/>
      <c r="SYH2188" s="69"/>
      <c r="SYI2188" s="70"/>
      <c r="SYJ2188" s="69"/>
      <c r="SYK2188" s="70"/>
      <c r="SYL2188" s="69"/>
      <c r="SYM2188" s="70"/>
      <c r="SYN2188" s="69"/>
      <c r="SYO2188" s="70"/>
      <c r="SYP2188" s="69"/>
      <c r="SYQ2188" s="70"/>
      <c r="SYR2188" s="69"/>
      <c r="SYS2188" s="70"/>
      <c r="SYT2188" s="69"/>
      <c r="SYU2188" s="70"/>
      <c r="SYV2188" s="69"/>
      <c r="SYW2188" s="70"/>
      <c r="SYX2188" s="69"/>
      <c r="SYY2188" s="70"/>
      <c r="SYZ2188" s="69"/>
      <c r="SZA2188" s="70"/>
      <c r="SZB2188" s="69"/>
      <c r="SZC2188" s="70"/>
      <c r="SZD2188" s="69"/>
      <c r="SZE2188" s="70"/>
      <c r="SZF2188" s="69"/>
      <c r="SZG2188" s="70"/>
      <c r="SZH2188" s="69"/>
      <c r="SZI2188" s="70"/>
      <c r="SZJ2188" s="69"/>
      <c r="SZK2188" s="70"/>
      <c r="SZL2188" s="69"/>
      <c r="SZM2188" s="70"/>
      <c r="SZN2188" s="69"/>
      <c r="SZO2188" s="70"/>
      <c r="SZP2188" s="69"/>
      <c r="SZQ2188" s="70"/>
      <c r="SZR2188" s="69"/>
      <c r="SZS2188" s="70"/>
      <c r="SZT2188" s="69"/>
      <c r="SZU2188" s="70"/>
      <c r="SZV2188" s="69"/>
      <c r="SZW2188" s="70"/>
      <c r="SZX2188" s="69"/>
      <c r="SZY2188" s="70"/>
      <c r="SZZ2188" s="69"/>
      <c r="TAA2188" s="70"/>
      <c r="TAB2188" s="69"/>
      <c r="TAC2188" s="70"/>
      <c r="TAD2188" s="69"/>
      <c r="TAE2188" s="70"/>
      <c r="TAF2188" s="69"/>
      <c r="TAG2188" s="70"/>
      <c r="TAH2188" s="69"/>
      <c r="TAI2188" s="70"/>
      <c r="TAJ2188" s="69"/>
      <c r="TAK2188" s="70"/>
      <c r="TAL2188" s="69"/>
      <c r="TAM2188" s="70"/>
      <c r="TAN2188" s="69"/>
      <c r="TAO2188" s="70"/>
      <c r="TAP2188" s="69"/>
      <c r="TAQ2188" s="70"/>
      <c r="TAR2188" s="69"/>
      <c r="TAS2188" s="70"/>
      <c r="TAT2188" s="69"/>
      <c r="TAU2188" s="70"/>
      <c r="TAV2188" s="69"/>
      <c r="TAW2188" s="70"/>
      <c r="TAX2188" s="69"/>
      <c r="TAY2188" s="70"/>
      <c r="TAZ2188" s="69"/>
      <c r="TBA2188" s="70"/>
      <c r="TBB2188" s="69"/>
      <c r="TBC2188" s="70"/>
      <c r="TBD2188" s="69"/>
      <c r="TBE2188" s="70"/>
      <c r="TBF2188" s="69"/>
      <c r="TBG2188" s="70"/>
      <c r="TBH2188" s="69"/>
      <c r="TBI2188" s="70"/>
      <c r="TBJ2188" s="69"/>
      <c r="TBK2188" s="70"/>
      <c r="TBL2188" s="69"/>
      <c r="TBM2188" s="70"/>
      <c r="TBN2188" s="69"/>
      <c r="TBO2188" s="70"/>
      <c r="TBP2188" s="69"/>
      <c r="TBQ2188" s="70"/>
      <c r="TBR2188" s="69"/>
      <c r="TBS2188" s="70"/>
      <c r="TBT2188" s="69"/>
      <c r="TBU2188" s="70"/>
      <c r="TBV2188" s="69"/>
      <c r="TBW2188" s="70"/>
      <c r="TBX2188" s="69"/>
      <c r="TBY2188" s="70"/>
      <c r="TBZ2188" s="69"/>
      <c r="TCA2188" s="70"/>
      <c r="TCB2188" s="69"/>
      <c r="TCC2188" s="70"/>
      <c r="TCD2188" s="69"/>
      <c r="TCE2188" s="70"/>
      <c r="TCF2188" s="69"/>
      <c r="TCG2188" s="70"/>
      <c r="TCH2188" s="69"/>
      <c r="TCI2188" s="70"/>
      <c r="TCJ2188" s="69"/>
      <c r="TCK2188" s="70"/>
      <c r="TCL2188" s="69"/>
      <c r="TCM2188" s="70"/>
      <c r="TCN2188" s="69"/>
      <c r="TCO2188" s="70"/>
      <c r="TCP2188" s="69"/>
      <c r="TCQ2188" s="70"/>
      <c r="TCR2188" s="69"/>
      <c r="TCS2188" s="70"/>
      <c r="TCT2188" s="69"/>
      <c r="TCU2188" s="70"/>
      <c r="TCV2188" s="69"/>
      <c r="TCW2188" s="70"/>
      <c r="TCX2188" s="69"/>
      <c r="TCY2188" s="70"/>
      <c r="TCZ2188" s="69"/>
      <c r="TDA2188" s="70"/>
      <c r="TDB2188" s="69"/>
      <c r="TDC2188" s="70"/>
      <c r="TDD2188" s="69"/>
      <c r="TDE2188" s="70"/>
      <c r="TDF2188" s="69"/>
      <c r="TDG2188" s="70"/>
      <c r="TDH2188" s="69"/>
      <c r="TDI2188" s="70"/>
      <c r="TDJ2188" s="69"/>
      <c r="TDK2188" s="70"/>
      <c r="TDL2188" s="69"/>
      <c r="TDM2188" s="70"/>
      <c r="TDN2188" s="69"/>
      <c r="TDO2188" s="70"/>
      <c r="TDP2188" s="69"/>
      <c r="TDQ2188" s="70"/>
      <c r="TDR2188" s="69"/>
      <c r="TDS2188" s="70"/>
      <c r="TDT2188" s="69"/>
      <c r="TDU2188" s="70"/>
      <c r="TDV2188" s="69"/>
      <c r="TDW2188" s="70"/>
      <c r="TDX2188" s="69"/>
      <c r="TDY2188" s="70"/>
      <c r="TDZ2188" s="69"/>
      <c r="TEA2188" s="70"/>
      <c r="TEB2188" s="69"/>
      <c r="TEC2188" s="70"/>
      <c r="TED2188" s="69"/>
      <c r="TEE2188" s="70"/>
      <c r="TEF2188" s="69"/>
      <c r="TEG2188" s="70"/>
      <c r="TEH2188" s="69"/>
      <c r="TEI2188" s="70"/>
      <c r="TEJ2188" s="69"/>
      <c r="TEK2188" s="70"/>
      <c r="TEL2188" s="69"/>
      <c r="TEM2188" s="70"/>
      <c r="TEN2188" s="69"/>
      <c r="TEO2188" s="70"/>
      <c r="TEP2188" s="69"/>
      <c r="TEQ2188" s="70"/>
      <c r="TER2188" s="69"/>
      <c r="TES2188" s="70"/>
      <c r="TET2188" s="69"/>
      <c r="TEU2188" s="70"/>
      <c r="TEV2188" s="69"/>
      <c r="TEW2188" s="70"/>
      <c r="TEX2188" s="69"/>
      <c r="TEY2188" s="70"/>
      <c r="TEZ2188" s="69"/>
      <c r="TFA2188" s="70"/>
      <c r="TFB2188" s="69"/>
      <c r="TFC2188" s="70"/>
      <c r="TFD2188" s="69"/>
      <c r="TFE2188" s="70"/>
      <c r="TFF2188" s="69"/>
      <c r="TFG2188" s="70"/>
      <c r="TFH2188" s="69"/>
      <c r="TFI2188" s="70"/>
      <c r="TFJ2188" s="69"/>
      <c r="TFK2188" s="70"/>
      <c r="TFL2188" s="69"/>
      <c r="TFM2188" s="70"/>
      <c r="TFN2188" s="69"/>
      <c r="TFO2188" s="70"/>
      <c r="TFP2188" s="69"/>
      <c r="TFQ2188" s="70"/>
      <c r="TFR2188" s="69"/>
      <c r="TFS2188" s="70"/>
      <c r="TFT2188" s="69"/>
      <c r="TFU2188" s="70"/>
      <c r="TFV2188" s="69"/>
      <c r="TFW2188" s="70"/>
      <c r="TFX2188" s="69"/>
      <c r="TFY2188" s="70"/>
      <c r="TFZ2188" s="69"/>
      <c r="TGA2188" s="70"/>
      <c r="TGB2188" s="69"/>
      <c r="TGC2188" s="70"/>
      <c r="TGD2188" s="69"/>
      <c r="TGE2188" s="70"/>
      <c r="TGF2188" s="69"/>
      <c r="TGG2188" s="70"/>
      <c r="TGH2188" s="69"/>
      <c r="TGI2188" s="70"/>
      <c r="TGJ2188" s="69"/>
      <c r="TGK2188" s="70"/>
      <c r="TGL2188" s="69"/>
      <c r="TGM2188" s="70"/>
      <c r="TGN2188" s="69"/>
      <c r="TGO2188" s="70"/>
      <c r="TGP2188" s="69"/>
      <c r="TGQ2188" s="70"/>
      <c r="TGR2188" s="69"/>
      <c r="TGS2188" s="70"/>
      <c r="TGT2188" s="69"/>
      <c r="TGU2188" s="70"/>
      <c r="TGV2188" s="69"/>
      <c r="TGW2188" s="70"/>
      <c r="TGX2188" s="69"/>
      <c r="TGY2188" s="70"/>
      <c r="TGZ2188" s="69"/>
      <c r="THA2188" s="70"/>
      <c r="THB2188" s="69"/>
      <c r="THC2188" s="70"/>
      <c r="THD2188" s="69"/>
      <c r="THE2188" s="70"/>
      <c r="THF2188" s="69"/>
      <c r="THG2188" s="70"/>
      <c r="THH2188" s="69"/>
      <c r="THI2188" s="70"/>
      <c r="THJ2188" s="69"/>
      <c r="THK2188" s="70"/>
      <c r="THL2188" s="69"/>
      <c r="THM2188" s="70"/>
      <c r="THN2188" s="69"/>
      <c r="THO2188" s="70"/>
      <c r="THP2188" s="69"/>
      <c r="THQ2188" s="70"/>
      <c r="THR2188" s="69"/>
      <c r="THS2188" s="70"/>
      <c r="THT2188" s="69"/>
      <c r="THU2188" s="70"/>
      <c r="THV2188" s="69"/>
      <c r="THW2188" s="70"/>
      <c r="THX2188" s="69"/>
      <c r="THY2188" s="70"/>
      <c r="THZ2188" s="69"/>
      <c r="TIA2188" s="70"/>
      <c r="TIB2188" s="69"/>
      <c r="TIC2188" s="70"/>
      <c r="TID2188" s="69"/>
      <c r="TIE2188" s="70"/>
      <c r="TIF2188" s="69"/>
      <c r="TIG2188" s="70"/>
      <c r="TIH2188" s="69"/>
      <c r="TII2188" s="70"/>
      <c r="TIJ2188" s="69"/>
      <c r="TIK2188" s="70"/>
      <c r="TIL2188" s="69"/>
      <c r="TIM2188" s="70"/>
      <c r="TIN2188" s="69"/>
      <c r="TIO2188" s="70"/>
      <c r="TIP2188" s="69"/>
      <c r="TIQ2188" s="70"/>
      <c r="TIR2188" s="69"/>
      <c r="TIS2188" s="70"/>
      <c r="TIT2188" s="69"/>
      <c r="TIU2188" s="70"/>
      <c r="TIV2188" s="69"/>
      <c r="TIW2188" s="70"/>
      <c r="TIX2188" s="69"/>
      <c r="TIY2188" s="70"/>
      <c r="TIZ2188" s="69"/>
      <c r="TJA2188" s="70"/>
      <c r="TJB2188" s="69"/>
      <c r="TJC2188" s="70"/>
      <c r="TJD2188" s="69"/>
      <c r="TJE2188" s="70"/>
      <c r="TJF2188" s="69"/>
      <c r="TJG2188" s="70"/>
      <c r="TJH2188" s="69"/>
      <c r="TJI2188" s="70"/>
      <c r="TJJ2188" s="69"/>
      <c r="TJK2188" s="70"/>
      <c r="TJL2188" s="69"/>
      <c r="TJM2188" s="70"/>
      <c r="TJN2188" s="69"/>
      <c r="TJO2188" s="70"/>
      <c r="TJP2188" s="69"/>
      <c r="TJQ2188" s="70"/>
      <c r="TJR2188" s="69"/>
      <c r="TJS2188" s="70"/>
      <c r="TJT2188" s="69"/>
      <c r="TJU2188" s="70"/>
      <c r="TJV2188" s="69"/>
      <c r="TJW2188" s="70"/>
      <c r="TJX2188" s="69"/>
      <c r="TJY2188" s="70"/>
      <c r="TJZ2188" s="69"/>
      <c r="TKA2188" s="70"/>
      <c r="TKB2188" s="69"/>
      <c r="TKC2188" s="70"/>
      <c r="TKD2188" s="69"/>
      <c r="TKE2188" s="70"/>
      <c r="TKF2188" s="69"/>
      <c r="TKG2188" s="70"/>
      <c r="TKH2188" s="69"/>
      <c r="TKI2188" s="70"/>
      <c r="TKJ2188" s="69"/>
      <c r="TKK2188" s="70"/>
      <c r="TKL2188" s="69"/>
      <c r="TKM2188" s="70"/>
      <c r="TKN2188" s="69"/>
      <c r="TKO2188" s="70"/>
      <c r="TKP2188" s="69"/>
      <c r="TKQ2188" s="70"/>
      <c r="TKR2188" s="69"/>
      <c r="TKS2188" s="70"/>
      <c r="TKT2188" s="69"/>
      <c r="TKU2188" s="70"/>
      <c r="TKV2188" s="69"/>
      <c r="TKW2188" s="70"/>
      <c r="TKX2188" s="69"/>
      <c r="TKY2188" s="70"/>
      <c r="TKZ2188" s="69"/>
      <c r="TLA2188" s="70"/>
      <c r="TLB2188" s="69"/>
      <c r="TLC2188" s="70"/>
      <c r="TLD2188" s="69"/>
      <c r="TLE2188" s="70"/>
      <c r="TLF2188" s="69"/>
      <c r="TLG2188" s="70"/>
      <c r="TLH2188" s="69"/>
      <c r="TLI2188" s="70"/>
      <c r="TLJ2188" s="69"/>
      <c r="TLK2188" s="70"/>
      <c r="TLL2188" s="69"/>
      <c r="TLM2188" s="70"/>
      <c r="TLN2188" s="69"/>
      <c r="TLO2188" s="70"/>
      <c r="TLP2188" s="69"/>
      <c r="TLQ2188" s="70"/>
      <c r="TLR2188" s="69"/>
      <c r="TLS2188" s="70"/>
      <c r="TLT2188" s="69"/>
      <c r="TLU2188" s="70"/>
      <c r="TLV2188" s="69"/>
      <c r="TLW2188" s="70"/>
      <c r="TLX2188" s="69"/>
      <c r="TLY2188" s="70"/>
      <c r="TLZ2188" s="69"/>
      <c r="TMA2188" s="70"/>
      <c r="TMB2188" s="69"/>
      <c r="TMC2188" s="70"/>
      <c r="TMD2188" s="69"/>
      <c r="TME2188" s="70"/>
      <c r="TMF2188" s="69"/>
      <c r="TMG2188" s="70"/>
      <c r="TMH2188" s="69"/>
      <c r="TMI2188" s="70"/>
      <c r="TMJ2188" s="69"/>
      <c r="TMK2188" s="70"/>
      <c r="TML2188" s="69"/>
      <c r="TMM2188" s="70"/>
      <c r="TMN2188" s="69"/>
      <c r="TMO2188" s="70"/>
      <c r="TMP2188" s="69"/>
      <c r="TMQ2188" s="70"/>
      <c r="TMR2188" s="69"/>
      <c r="TMS2188" s="70"/>
      <c r="TMT2188" s="69"/>
      <c r="TMU2188" s="70"/>
      <c r="TMV2188" s="69"/>
      <c r="TMW2188" s="70"/>
      <c r="TMX2188" s="69"/>
      <c r="TMY2188" s="70"/>
      <c r="TMZ2188" s="69"/>
      <c r="TNA2188" s="70"/>
      <c r="TNB2188" s="69"/>
      <c r="TNC2188" s="70"/>
      <c r="TND2188" s="69"/>
      <c r="TNE2188" s="70"/>
      <c r="TNF2188" s="69"/>
      <c r="TNG2188" s="70"/>
      <c r="TNH2188" s="69"/>
      <c r="TNI2188" s="70"/>
      <c r="TNJ2188" s="69"/>
      <c r="TNK2188" s="70"/>
      <c r="TNL2188" s="69"/>
      <c r="TNM2188" s="70"/>
      <c r="TNN2188" s="69"/>
      <c r="TNO2188" s="70"/>
      <c r="TNP2188" s="69"/>
      <c r="TNQ2188" s="70"/>
      <c r="TNR2188" s="69"/>
      <c r="TNS2188" s="70"/>
      <c r="TNT2188" s="69"/>
      <c r="TNU2188" s="70"/>
      <c r="TNV2188" s="69"/>
      <c r="TNW2188" s="70"/>
      <c r="TNX2188" s="69"/>
      <c r="TNY2188" s="70"/>
      <c r="TNZ2188" s="69"/>
      <c r="TOA2188" s="70"/>
      <c r="TOB2188" s="69"/>
      <c r="TOC2188" s="70"/>
      <c r="TOD2188" s="69"/>
      <c r="TOE2188" s="70"/>
      <c r="TOF2188" s="69"/>
      <c r="TOG2188" s="70"/>
      <c r="TOH2188" s="69"/>
      <c r="TOI2188" s="70"/>
      <c r="TOJ2188" s="69"/>
      <c r="TOK2188" s="70"/>
      <c r="TOL2188" s="69"/>
      <c r="TOM2188" s="70"/>
      <c r="TON2188" s="69"/>
      <c r="TOO2188" s="70"/>
      <c r="TOP2188" s="69"/>
      <c r="TOQ2188" s="70"/>
      <c r="TOR2188" s="69"/>
      <c r="TOS2188" s="70"/>
      <c r="TOT2188" s="69"/>
      <c r="TOU2188" s="70"/>
      <c r="TOV2188" s="69"/>
      <c r="TOW2188" s="70"/>
      <c r="TOX2188" s="69"/>
      <c r="TOY2188" s="70"/>
      <c r="TOZ2188" s="69"/>
      <c r="TPA2188" s="70"/>
      <c r="TPB2188" s="69"/>
      <c r="TPC2188" s="70"/>
      <c r="TPD2188" s="69"/>
      <c r="TPE2188" s="70"/>
      <c r="TPF2188" s="69"/>
      <c r="TPG2188" s="70"/>
      <c r="TPH2188" s="69"/>
      <c r="TPI2188" s="70"/>
      <c r="TPJ2188" s="69"/>
      <c r="TPK2188" s="70"/>
      <c r="TPL2188" s="69"/>
      <c r="TPM2188" s="70"/>
      <c r="TPN2188" s="69"/>
      <c r="TPO2188" s="70"/>
      <c r="TPP2188" s="69"/>
      <c r="TPQ2188" s="70"/>
      <c r="TPR2188" s="69"/>
      <c r="TPS2188" s="70"/>
      <c r="TPT2188" s="69"/>
      <c r="TPU2188" s="70"/>
      <c r="TPV2188" s="69"/>
      <c r="TPW2188" s="70"/>
      <c r="TPX2188" s="69"/>
      <c r="TPY2188" s="70"/>
      <c r="TPZ2188" s="69"/>
      <c r="TQA2188" s="70"/>
      <c r="TQB2188" s="69"/>
      <c r="TQC2188" s="70"/>
      <c r="TQD2188" s="69"/>
      <c r="TQE2188" s="70"/>
      <c r="TQF2188" s="69"/>
      <c r="TQG2188" s="70"/>
      <c r="TQH2188" s="69"/>
      <c r="TQI2188" s="70"/>
      <c r="TQJ2188" s="69"/>
      <c r="TQK2188" s="70"/>
      <c r="TQL2188" s="69"/>
      <c r="TQM2188" s="70"/>
      <c r="TQN2188" s="69"/>
      <c r="TQO2188" s="70"/>
      <c r="TQP2188" s="69"/>
      <c r="TQQ2188" s="70"/>
      <c r="TQR2188" s="69"/>
      <c r="TQS2188" s="70"/>
      <c r="TQT2188" s="69"/>
      <c r="TQU2188" s="70"/>
      <c r="TQV2188" s="69"/>
      <c r="TQW2188" s="70"/>
      <c r="TQX2188" s="69"/>
      <c r="TQY2188" s="70"/>
      <c r="TQZ2188" s="69"/>
      <c r="TRA2188" s="70"/>
      <c r="TRB2188" s="69"/>
      <c r="TRC2188" s="70"/>
      <c r="TRD2188" s="69"/>
      <c r="TRE2188" s="70"/>
      <c r="TRF2188" s="69"/>
      <c r="TRG2188" s="70"/>
      <c r="TRH2188" s="69"/>
      <c r="TRI2188" s="70"/>
      <c r="TRJ2188" s="69"/>
      <c r="TRK2188" s="70"/>
      <c r="TRL2188" s="69"/>
      <c r="TRM2188" s="70"/>
      <c r="TRN2188" s="69"/>
      <c r="TRO2188" s="70"/>
      <c r="TRP2188" s="69"/>
      <c r="TRQ2188" s="70"/>
      <c r="TRR2188" s="69"/>
      <c r="TRS2188" s="70"/>
      <c r="TRT2188" s="69"/>
      <c r="TRU2188" s="70"/>
      <c r="TRV2188" s="69"/>
      <c r="TRW2188" s="70"/>
      <c r="TRX2188" s="69"/>
      <c r="TRY2188" s="70"/>
      <c r="TRZ2188" s="69"/>
      <c r="TSA2188" s="70"/>
      <c r="TSB2188" s="69"/>
      <c r="TSC2188" s="70"/>
      <c r="TSD2188" s="69"/>
      <c r="TSE2188" s="70"/>
      <c r="TSF2188" s="69"/>
      <c r="TSG2188" s="70"/>
      <c r="TSH2188" s="69"/>
      <c r="TSI2188" s="70"/>
      <c r="TSJ2188" s="69"/>
      <c r="TSK2188" s="70"/>
      <c r="TSL2188" s="69"/>
      <c r="TSM2188" s="70"/>
      <c r="TSN2188" s="69"/>
      <c r="TSO2188" s="70"/>
      <c r="TSP2188" s="69"/>
      <c r="TSQ2188" s="70"/>
      <c r="TSR2188" s="69"/>
      <c r="TSS2188" s="70"/>
      <c r="TST2188" s="69"/>
      <c r="TSU2188" s="70"/>
      <c r="TSV2188" s="69"/>
      <c r="TSW2188" s="70"/>
      <c r="TSX2188" s="69"/>
      <c r="TSY2188" s="70"/>
      <c r="TSZ2188" s="69"/>
      <c r="TTA2188" s="70"/>
      <c r="TTB2188" s="69"/>
      <c r="TTC2188" s="70"/>
      <c r="TTD2188" s="69"/>
      <c r="TTE2188" s="70"/>
      <c r="TTF2188" s="69"/>
      <c r="TTG2188" s="70"/>
      <c r="TTH2188" s="69"/>
      <c r="TTI2188" s="70"/>
      <c r="TTJ2188" s="69"/>
      <c r="TTK2188" s="70"/>
      <c r="TTL2188" s="69"/>
      <c r="TTM2188" s="70"/>
      <c r="TTN2188" s="69"/>
      <c r="TTO2188" s="70"/>
      <c r="TTP2188" s="69"/>
      <c r="TTQ2188" s="70"/>
      <c r="TTR2188" s="69"/>
      <c r="TTS2188" s="70"/>
      <c r="TTT2188" s="69"/>
      <c r="TTU2188" s="70"/>
      <c r="TTV2188" s="69"/>
      <c r="TTW2188" s="70"/>
      <c r="TTX2188" s="69"/>
      <c r="TTY2188" s="70"/>
      <c r="TTZ2188" s="69"/>
      <c r="TUA2188" s="70"/>
      <c r="TUB2188" s="69"/>
      <c r="TUC2188" s="70"/>
      <c r="TUD2188" s="69"/>
      <c r="TUE2188" s="70"/>
      <c r="TUF2188" s="69"/>
      <c r="TUG2188" s="70"/>
      <c r="TUH2188" s="69"/>
      <c r="TUI2188" s="70"/>
      <c r="TUJ2188" s="69"/>
      <c r="TUK2188" s="70"/>
      <c r="TUL2188" s="69"/>
      <c r="TUM2188" s="70"/>
      <c r="TUN2188" s="69"/>
      <c r="TUO2188" s="70"/>
      <c r="TUP2188" s="69"/>
      <c r="TUQ2188" s="70"/>
      <c r="TUR2188" s="69"/>
      <c r="TUS2188" s="70"/>
      <c r="TUT2188" s="69"/>
      <c r="TUU2188" s="70"/>
      <c r="TUV2188" s="69"/>
      <c r="TUW2188" s="70"/>
      <c r="TUX2188" s="69"/>
      <c r="TUY2188" s="70"/>
      <c r="TUZ2188" s="69"/>
      <c r="TVA2188" s="70"/>
      <c r="TVB2188" s="69"/>
      <c r="TVC2188" s="70"/>
      <c r="TVD2188" s="69"/>
      <c r="TVE2188" s="70"/>
      <c r="TVF2188" s="69"/>
      <c r="TVG2188" s="70"/>
      <c r="TVH2188" s="69"/>
      <c r="TVI2188" s="70"/>
      <c r="TVJ2188" s="69"/>
      <c r="TVK2188" s="70"/>
      <c r="TVL2188" s="69"/>
      <c r="TVM2188" s="70"/>
      <c r="TVN2188" s="69"/>
      <c r="TVO2188" s="70"/>
      <c r="TVP2188" s="69"/>
      <c r="TVQ2188" s="70"/>
      <c r="TVR2188" s="69"/>
      <c r="TVS2188" s="70"/>
      <c r="TVT2188" s="69"/>
      <c r="TVU2188" s="70"/>
      <c r="TVV2188" s="69"/>
      <c r="TVW2188" s="70"/>
      <c r="TVX2188" s="69"/>
      <c r="TVY2188" s="70"/>
      <c r="TVZ2188" s="69"/>
      <c r="TWA2188" s="70"/>
      <c r="TWB2188" s="69"/>
      <c r="TWC2188" s="70"/>
      <c r="TWD2188" s="69"/>
      <c r="TWE2188" s="70"/>
      <c r="TWF2188" s="69"/>
      <c r="TWG2188" s="70"/>
      <c r="TWH2188" s="69"/>
      <c r="TWI2188" s="70"/>
      <c r="TWJ2188" s="69"/>
      <c r="TWK2188" s="70"/>
      <c r="TWL2188" s="69"/>
      <c r="TWM2188" s="70"/>
      <c r="TWN2188" s="69"/>
      <c r="TWO2188" s="70"/>
      <c r="TWP2188" s="69"/>
      <c r="TWQ2188" s="70"/>
      <c r="TWR2188" s="69"/>
      <c r="TWS2188" s="70"/>
      <c r="TWT2188" s="69"/>
      <c r="TWU2188" s="70"/>
      <c r="TWV2188" s="69"/>
      <c r="TWW2188" s="70"/>
      <c r="TWX2188" s="69"/>
      <c r="TWY2188" s="70"/>
      <c r="TWZ2188" s="69"/>
      <c r="TXA2188" s="70"/>
      <c r="TXB2188" s="69"/>
      <c r="TXC2188" s="70"/>
      <c r="TXD2188" s="69"/>
      <c r="TXE2188" s="70"/>
      <c r="TXF2188" s="69"/>
      <c r="TXG2188" s="70"/>
      <c r="TXH2188" s="69"/>
      <c r="TXI2188" s="70"/>
      <c r="TXJ2188" s="69"/>
      <c r="TXK2188" s="70"/>
      <c r="TXL2188" s="69"/>
      <c r="TXM2188" s="70"/>
      <c r="TXN2188" s="69"/>
      <c r="TXO2188" s="70"/>
      <c r="TXP2188" s="69"/>
      <c r="TXQ2188" s="70"/>
      <c r="TXR2188" s="69"/>
      <c r="TXS2188" s="70"/>
      <c r="TXT2188" s="69"/>
      <c r="TXU2188" s="70"/>
      <c r="TXV2188" s="69"/>
      <c r="TXW2188" s="70"/>
      <c r="TXX2188" s="69"/>
      <c r="TXY2188" s="70"/>
      <c r="TXZ2188" s="69"/>
      <c r="TYA2188" s="70"/>
      <c r="TYB2188" s="69"/>
      <c r="TYC2188" s="70"/>
      <c r="TYD2188" s="69"/>
      <c r="TYE2188" s="70"/>
      <c r="TYF2188" s="69"/>
      <c r="TYG2188" s="70"/>
      <c r="TYH2188" s="69"/>
      <c r="TYI2188" s="70"/>
      <c r="TYJ2188" s="69"/>
      <c r="TYK2188" s="70"/>
      <c r="TYL2188" s="69"/>
      <c r="TYM2188" s="70"/>
      <c r="TYN2188" s="69"/>
      <c r="TYO2188" s="70"/>
      <c r="TYP2188" s="69"/>
      <c r="TYQ2188" s="70"/>
      <c r="TYR2188" s="69"/>
      <c r="TYS2188" s="70"/>
      <c r="TYT2188" s="69"/>
      <c r="TYU2188" s="70"/>
      <c r="TYV2188" s="69"/>
      <c r="TYW2188" s="70"/>
      <c r="TYX2188" s="69"/>
      <c r="TYY2188" s="70"/>
      <c r="TYZ2188" s="69"/>
      <c r="TZA2188" s="70"/>
      <c r="TZB2188" s="69"/>
      <c r="TZC2188" s="70"/>
      <c r="TZD2188" s="69"/>
      <c r="TZE2188" s="70"/>
      <c r="TZF2188" s="69"/>
      <c r="TZG2188" s="70"/>
      <c r="TZH2188" s="69"/>
      <c r="TZI2188" s="70"/>
      <c r="TZJ2188" s="69"/>
      <c r="TZK2188" s="70"/>
      <c r="TZL2188" s="69"/>
      <c r="TZM2188" s="70"/>
      <c r="TZN2188" s="69"/>
      <c r="TZO2188" s="70"/>
      <c r="TZP2188" s="69"/>
      <c r="TZQ2188" s="70"/>
      <c r="TZR2188" s="69"/>
      <c r="TZS2188" s="70"/>
      <c r="TZT2188" s="69"/>
      <c r="TZU2188" s="70"/>
      <c r="TZV2188" s="69"/>
      <c r="TZW2188" s="70"/>
      <c r="TZX2188" s="69"/>
      <c r="TZY2188" s="70"/>
      <c r="TZZ2188" s="69"/>
      <c r="UAA2188" s="70"/>
      <c r="UAB2188" s="69"/>
      <c r="UAC2188" s="70"/>
      <c r="UAD2188" s="69"/>
      <c r="UAE2188" s="70"/>
      <c r="UAF2188" s="69"/>
      <c r="UAG2188" s="70"/>
      <c r="UAH2188" s="69"/>
      <c r="UAI2188" s="70"/>
      <c r="UAJ2188" s="69"/>
      <c r="UAK2188" s="70"/>
      <c r="UAL2188" s="69"/>
      <c r="UAM2188" s="70"/>
      <c r="UAN2188" s="69"/>
      <c r="UAO2188" s="70"/>
      <c r="UAP2188" s="69"/>
      <c r="UAQ2188" s="70"/>
      <c r="UAR2188" s="69"/>
      <c r="UAS2188" s="70"/>
      <c r="UAT2188" s="69"/>
      <c r="UAU2188" s="70"/>
      <c r="UAV2188" s="69"/>
      <c r="UAW2188" s="70"/>
      <c r="UAX2188" s="69"/>
      <c r="UAY2188" s="70"/>
      <c r="UAZ2188" s="69"/>
      <c r="UBA2188" s="70"/>
      <c r="UBB2188" s="69"/>
      <c r="UBC2188" s="70"/>
      <c r="UBD2188" s="69"/>
      <c r="UBE2188" s="70"/>
      <c r="UBF2188" s="69"/>
      <c r="UBG2188" s="70"/>
      <c r="UBH2188" s="69"/>
      <c r="UBI2188" s="70"/>
      <c r="UBJ2188" s="69"/>
      <c r="UBK2188" s="70"/>
      <c r="UBL2188" s="69"/>
      <c r="UBM2188" s="70"/>
      <c r="UBN2188" s="69"/>
      <c r="UBO2188" s="70"/>
      <c r="UBP2188" s="69"/>
      <c r="UBQ2188" s="70"/>
      <c r="UBR2188" s="69"/>
      <c r="UBS2188" s="70"/>
      <c r="UBT2188" s="69"/>
      <c r="UBU2188" s="70"/>
      <c r="UBV2188" s="69"/>
      <c r="UBW2188" s="70"/>
      <c r="UBX2188" s="69"/>
      <c r="UBY2188" s="70"/>
      <c r="UBZ2188" s="69"/>
      <c r="UCA2188" s="70"/>
      <c r="UCB2188" s="69"/>
      <c r="UCC2188" s="70"/>
      <c r="UCD2188" s="69"/>
      <c r="UCE2188" s="70"/>
      <c r="UCF2188" s="69"/>
      <c r="UCG2188" s="70"/>
      <c r="UCH2188" s="69"/>
      <c r="UCI2188" s="70"/>
      <c r="UCJ2188" s="69"/>
      <c r="UCK2188" s="70"/>
      <c r="UCL2188" s="69"/>
      <c r="UCM2188" s="70"/>
      <c r="UCN2188" s="69"/>
      <c r="UCO2188" s="70"/>
      <c r="UCP2188" s="69"/>
      <c r="UCQ2188" s="70"/>
      <c r="UCR2188" s="69"/>
      <c r="UCS2188" s="70"/>
      <c r="UCT2188" s="69"/>
      <c r="UCU2188" s="70"/>
      <c r="UCV2188" s="69"/>
      <c r="UCW2188" s="70"/>
      <c r="UCX2188" s="69"/>
      <c r="UCY2188" s="70"/>
      <c r="UCZ2188" s="69"/>
      <c r="UDA2188" s="70"/>
      <c r="UDB2188" s="69"/>
      <c r="UDC2188" s="70"/>
      <c r="UDD2188" s="69"/>
      <c r="UDE2188" s="70"/>
      <c r="UDF2188" s="69"/>
      <c r="UDG2188" s="70"/>
      <c r="UDH2188" s="69"/>
      <c r="UDI2188" s="70"/>
      <c r="UDJ2188" s="69"/>
      <c r="UDK2188" s="70"/>
      <c r="UDL2188" s="69"/>
      <c r="UDM2188" s="70"/>
      <c r="UDN2188" s="69"/>
      <c r="UDO2188" s="70"/>
      <c r="UDP2188" s="69"/>
      <c r="UDQ2188" s="70"/>
      <c r="UDR2188" s="69"/>
      <c r="UDS2188" s="70"/>
      <c r="UDT2188" s="69"/>
      <c r="UDU2188" s="70"/>
      <c r="UDV2188" s="69"/>
      <c r="UDW2188" s="70"/>
      <c r="UDX2188" s="69"/>
      <c r="UDY2188" s="70"/>
      <c r="UDZ2188" s="69"/>
      <c r="UEA2188" s="70"/>
      <c r="UEB2188" s="69"/>
      <c r="UEC2188" s="70"/>
      <c r="UED2188" s="69"/>
      <c r="UEE2188" s="70"/>
      <c r="UEF2188" s="69"/>
      <c r="UEG2188" s="70"/>
      <c r="UEH2188" s="69"/>
      <c r="UEI2188" s="70"/>
      <c r="UEJ2188" s="69"/>
      <c r="UEK2188" s="70"/>
      <c r="UEL2188" s="69"/>
      <c r="UEM2188" s="70"/>
      <c r="UEN2188" s="69"/>
      <c r="UEO2188" s="70"/>
      <c r="UEP2188" s="69"/>
      <c r="UEQ2188" s="70"/>
      <c r="UER2188" s="69"/>
      <c r="UES2188" s="70"/>
      <c r="UET2188" s="69"/>
      <c r="UEU2188" s="70"/>
      <c r="UEV2188" s="69"/>
      <c r="UEW2188" s="70"/>
      <c r="UEX2188" s="69"/>
      <c r="UEY2188" s="70"/>
      <c r="UEZ2188" s="69"/>
      <c r="UFA2188" s="70"/>
      <c r="UFB2188" s="69"/>
      <c r="UFC2188" s="70"/>
      <c r="UFD2188" s="69"/>
      <c r="UFE2188" s="70"/>
      <c r="UFF2188" s="69"/>
      <c r="UFG2188" s="70"/>
      <c r="UFH2188" s="69"/>
      <c r="UFI2188" s="70"/>
      <c r="UFJ2188" s="69"/>
      <c r="UFK2188" s="70"/>
      <c r="UFL2188" s="69"/>
      <c r="UFM2188" s="70"/>
      <c r="UFN2188" s="69"/>
      <c r="UFO2188" s="70"/>
      <c r="UFP2188" s="69"/>
      <c r="UFQ2188" s="70"/>
      <c r="UFR2188" s="69"/>
      <c r="UFS2188" s="70"/>
      <c r="UFT2188" s="69"/>
      <c r="UFU2188" s="70"/>
      <c r="UFV2188" s="69"/>
      <c r="UFW2188" s="70"/>
      <c r="UFX2188" s="69"/>
      <c r="UFY2188" s="70"/>
      <c r="UFZ2188" s="69"/>
      <c r="UGA2188" s="70"/>
      <c r="UGB2188" s="69"/>
      <c r="UGC2188" s="70"/>
      <c r="UGD2188" s="69"/>
      <c r="UGE2188" s="70"/>
      <c r="UGF2188" s="69"/>
      <c r="UGG2188" s="70"/>
      <c r="UGH2188" s="69"/>
      <c r="UGI2188" s="70"/>
      <c r="UGJ2188" s="69"/>
      <c r="UGK2188" s="70"/>
      <c r="UGL2188" s="69"/>
      <c r="UGM2188" s="70"/>
      <c r="UGN2188" s="69"/>
      <c r="UGO2188" s="70"/>
      <c r="UGP2188" s="69"/>
      <c r="UGQ2188" s="70"/>
      <c r="UGR2188" s="69"/>
      <c r="UGS2188" s="70"/>
      <c r="UGT2188" s="69"/>
      <c r="UGU2188" s="70"/>
      <c r="UGV2188" s="69"/>
      <c r="UGW2188" s="70"/>
      <c r="UGX2188" s="69"/>
      <c r="UGY2188" s="70"/>
      <c r="UGZ2188" s="69"/>
      <c r="UHA2188" s="70"/>
      <c r="UHB2188" s="69"/>
      <c r="UHC2188" s="70"/>
      <c r="UHD2188" s="69"/>
      <c r="UHE2188" s="70"/>
      <c r="UHF2188" s="69"/>
      <c r="UHG2188" s="70"/>
      <c r="UHH2188" s="69"/>
      <c r="UHI2188" s="70"/>
      <c r="UHJ2188" s="69"/>
      <c r="UHK2188" s="70"/>
      <c r="UHL2188" s="69"/>
      <c r="UHM2188" s="70"/>
      <c r="UHN2188" s="69"/>
      <c r="UHO2188" s="70"/>
      <c r="UHP2188" s="69"/>
      <c r="UHQ2188" s="70"/>
      <c r="UHR2188" s="69"/>
      <c r="UHS2188" s="70"/>
      <c r="UHT2188" s="69"/>
      <c r="UHU2188" s="70"/>
      <c r="UHV2188" s="69"/>
      <c r="UHW2188" s="70"/>
      <c r="UHX2188" s="69"/>
      <c r="UHY2188" s="70"/>
      <c r="UHZ2188" s="69"/>
      <c r="UIA2188" s="70"/>
      <c r="UIB2188" s="69"/>
      <c r="UIC2188" s="70"/>
      <c r="UID2188" s="69"/>
      <c r="UIE2188" s="70"/>
      <c r="UIF2188" s="69"/>
      <c r="UIG2188" s="70"/>
      <c r="UIH2188" s="69"/>
      <c r="UII2188" s="70"/>
      <c r="UIJ2188" s="69"/>
      <c r="UIK2188" s="70"/>
      <c r="UIL2188" s="69"/>
      <c r="UIM2188" s="70"/>
      <c r="UIN2188" s="69"/>
      <c r="UIO2188" s="70"/>
      <c r="UIP2188" s="69"/>
      <c r="UIQ2188" s="70"/>
      <c r="UIR2188" s="69"/>
      <c r="UIS2188" s="70"/>
      <c r="UIT2188" s="69"/>
      <c r="UIU2188" s="70"/>
      <c r="UIV2188" s="69"/>
      <c r="UIW2188" s="70"/>
      <c r="UIX2188" s="69"/>
      <c r="UIY2188" s="70"/>
      <c r="UIZ2188" s="69"/>
      <c r="UJA2188" s="70"/>
      <c r="UJB2188" s="69"/>
      <c r="UJC2188" s="70"/>
      <c r="UJD2188" s="69"/>
      <c r="UJE2188" s="70"/>
      <c r="UJF2188" s="69"/>
      <c r="UJG2188" s="70"/>
      <c r="UJH2188" s="69"/>
      <c r="UJI2188" s="70"/>
      <c r="UJJ2188" s="69"/>
      <c r="UJK2188" s="70"/>
      <c r="UJL2188" s="69"/>
      <c r="UJM2188" s="70"/>
      <c r="UJN2188" s="69"/>
      <c r="UJO2188" s="70"/>
      <c r="UJP2188" s="69"/>
      <c r="UJQ2188" s="70"/>
      <c r="UJR2188" s="69"/>
      <c r="UJS2188" s="70"/>
      <c r="UJT2188" s="69"/>
      <c r="UJU2188" s="70"/>
      <c r="UJV2188" s="69"/>
      <c r="UJW2188" s="70"/>
      <c r="UJX2188" s="69"/>
      <c r="UJY2188" s="70"/>
      <c r="UJZ2188" s="69"/>
      <c r="UKA2188" s="70"/>
      <c r="UKB2188" s="69"/>
      <c r="UKC2188" s="70"/>
      <c r="UKD2188" s="69"/>
      <c r="UKE2188" s="70"/>
      <c r="UKF2188" s="69"/>
      <c r="UKG2188" s="70"/>
      <c r="UKH2188" s="69"/>
      <c r="UKI2188" s="70"/>
      <c r="UKJ2188" s="69"/>
      <c r="UKK2188" s="70"/>
      <c r="UKL2188" s="69"/>
      <c r="UKM2188" s="70"/>
      <c r="UKN2188" s="69"/>
      <c r="UKO2188" s="70"/>
      <c r="UKP2188" s="69"/>
      <c r="UKQ2188" s="70"/>
      <c r="UKR2188" s="69"/>
      <c r="UKS2188" s="70"/>
      <c r="UKT2188" s="69"/>
      <c r="UKU2188" s="70"/>
      <c r="UKV2188" s="69"/>
      <c r="UKW2188" s="70"/>
      <c r="UKX2188" s="69"/>
      <c r="UKY2188" s="70"/>
      <c r="UKZ2188" s="69"/>
      <c r="ULA2188" s="70"/>
      <c r="ULB2188" s="69"/>
      <c r="ULC2188" s="70"/>
      <c r="ULD2188" s="69"/>
      <c r="ULE2188" s="70"/>
      <c r="ULF2188" s="69"/>
      <c r="ULG2188" s="70"/>
      <c r="ULH2188" s="69"/>
      <c r="ULI2188" s="70"/>
      <c r="ULJ2188" s="69"/>
      <c r="ULK2188" s="70"/>
      <c r="ULL2188" s="69"/>
      <c r="ULM2188" s="70"/>
      <c r="ULN2188" s="69"/>
      <c r="ULO2188" s="70"/>
      <c r="ULP2188" s="69"/>
      <c r="ULQ2188" s="70"/>
      <c r="ULR2188" s="69"/>
      <c r="ULS2188" s="70"/>
      <c r="ULT2188" s="69"/>
      <c r="ULU2188" s="70"/>
      <c r="ULV2188" s="69"/>
      <c r="ULW2188" s="70"/>
      <c r="ULX2188" s="69"/>
      <c r="ULY2188" s="70"/>
      <c r="ULZ2188" s="69"/>
      <c r="UMA2188" s="70"/>
      <c r="UMB2188" s="69"/>
      <c r="UMC2188" s="70"/>
      <c r="UMD2188" s="69"/>
      <c r="UME2188" s="70"/>
      <c r="UMF2188" s="69"/>
      <c r="UMG2188" s="70"/>
      <c r="UMH2188" s="69"/>
      <c r="UMI2188" s="70"/>
      <c r="UMJ2188" s="69"/>
      <c r="UMK2188" s="70"/>
      <c r="UML2188" s="69"/>
      <c r="UMM2188" s="70"/>
      <c r="UMN2188" s="69"/>
      <c r="UMO2188" s="70"/>
      <c r="UMP2188" s="69"/>
      <c r="UMQ2188" s="70"/>
      <c r="UMR2188" s="69"/>
      <c r="UMS2188" s="70"/>
      <c r="UMT2188" s="69"/>
      <c r="UMU2188" s="70"/>
      <c r="UMV2188" s="69"/>
      <c r="UMW2188" s="70"/>
      <c r="UMX2188" s="69"/>
      <c r="UMY2188" s="70"/>
      <c r="UMZ2188" s="69"/>
      <c r="UNA2188" s="70"/>
      <c r="UNB2188" s="69"/>
      <c r="UNC2188" s="70"/>
      <c r="UND2188" s="69"/>
      <c r="UNE2188" s="70"/>
      <c r="UNF2188" s="69"/>
      <c r="UNG2188" s="70"/>
      <c r="UNH2188" s="69"/>
      <c r="UNI2188" s="70"/>
      <c r="UNJ2188" s="69"/>
      <c r="UNK2188" s="70"/>
      <c r="UNL2188" s="69"/>
      <c r="UNM2188" s="70"/>
      <c r="UNN2188" s="69"/>
      <c r="UNO2188" s="70"/>
      <c r="UNP2188" s="69"/>
      <c r="UNQ2188" s="70"/>
      <c r="UNR2188" s="69"/>
      <c r="UNS2188" s="70"/>
      <c r="UNT2188" s="69"/>
      <c r="UNU2188" s="70"/>
      <c r="UNV2188" s="69"/>
      <c r="UNW2188" s="70"/>
      <c r="UNX2188" s="69"/>
      <c r="UNY2188" s="70"/>
      <c r="UNZ2188" s="69"/>
      <c r="UOA2188" s="70"/>
      <c r="UOB2188" s="69"/>
      <c r="UOC2188" s="70"/>
      <c r="UOD2188" s="69"/>
      <c r="UOE2188" s="70"/>
      <c r="UOF2188" s="69"/>
      <c r="UOG2188" s="70"/>
      <c r="UOH2188" s="69"/>
      <c r="UOI2188" s="70"/>
      <c r="UOJ2188" s="69"/>
      <c r="UOK2188" s="70"/>
      <c r="UOL2188" s="69"/>
      <c r="UOM2188" s="70"/>
      <c r="UON2188" s="69"/>
      <c r="UOO2188" s="70"/>
      <c r="UOP2188" s="69"/>
      <c r="UOQ2188" s="70"/>
      <c r="UOR2188" s="69"/>
      <c r="UOS2188" s="70"/>
      <c r="UOT2188" s="69"/>
      <c r="UOU2188" s="70"/>
      <c r="UOV2188" s="69"/>
      <c r="UOW2188" s="70"/>
      <c r="UOX2188" s="69"/>
      <c r="UOY2188" s="70"/>
      <c r="UOZ2188" s="69"/>
      <c r="UPA2188" s="70"/>
      <c r="UPB2188" s="69"/>
      <c r="UPC2188" s="70"/>
      <c r="UPD2188" s="69"/>
      <c r="UPE2188" s="70"/>
      <c r="UPF2188" s="69"/>
      <c r="UPG2188" s="70"/>
      <c r="UPH2188" s="69"/>
      <c r="UPI2188" s="70"/>
      <c r="UPJ2188" s="69"/>
      <c r="UPK2188" s="70"/>
      <c r="UPL2188" s="69"/>
      <c r="UPM2188" s="70"/>
      <c r="UPN2188" s="69"/>
      <c r="UPO2188" s="70"/>
      <c r="UPP2188" s="69"/>
      <c r="UPQ2188" s="70"/>
      <c r="UPR2188" s="69"/>
      <c r="UPS2188" s="70"/>
      <c r="UPT2188" s="69"/>
      <c r="UPU2188" s="70"/>
      <c r="UPV2188" s="69"/>
      <c r="UPW2188" s="70"/>
      <c r="UPX2188" s="69"/>
      <c r="UPY2188" s="70"/>
      <c r="UPZ2188" s="69"/>
      <c r="UQA2188" s="70"/>
      <c r="UQB2188" s="69"/>
      <c r="UQC2188" s="70"/>
      <c r="UQD2188" s="69"/>
      <c r="UQE2188" s="70"/>
      <c r="UQF2188" s="69"/>
      <c r="UQG2188" s="70"/>
      <c r="UQH2188" s="69"/>
      <c r="UQI2188" s="70"/>
      <c r="UQJ2188" s="69"/>
      <c r="UQK2188" s="70"/>
      <c r="UQL2188" s="69"/>
      <c r="UQM2188" s="70"/>
      <c r="UQN2188" s="69"/>
      <c r="UQO2188" s="70"/>
      <c r="UQP2188" s="69"/>
      <c r="UQQ2188" s="70"/>
      <c r="UQR2188" s="69"/>
      <c r="UQS2188" s="70"/>
      <c r="UQT2188" s="69"/>
      <c r="UQU2188" s="70"/>
      <c r="UQV2188" s="69"/>
      <c r="UQW2188" s="70"/>
      <c r="UQX2188" s="69"/>
      <c r="UQY2188" s="70"/>
      <c r="UQZ2188" s="69"/>
      <c r="URA2188" s="70"/>
      <c r="URB2188" s="69"/>
      <c r="URC2188" s="70"/>
      <c r="URD2188" s="69"/>
      <c r="URE2188" s="70"/>
      <c r="URF2188" s="69"/>
      <c r="URG2188" s="70"/>
      <c r="URH2188" s="69"/>
      <c r="URI2188" s="70"/>
      <c r="URJ2188" s="69"/>
      <c r="URK2188" s="70"/>
      <c r="URL2188" s="69"/>
      <c r="URM2188" s="70"/>
      <c r="URN2188" s="69"/>
      <c r="URO2188" s="70"/>
      <c r="URP2188" s="69"/>
      <c r="URQ2188" s="70"/>
      <c r="URR2188" s="69"/>
      <c r="URS2188" s="70"/>
      <c r="URT2188" s="69"/>
      <c r="URU2188" s="70"/>
      <c r="URV2188" s="69"/>
      <c r="URW2188" s="70"/>
      <c r="URX2188" s="69"/>
      <c r="URY2188" s="70"/>
      <c r="URZ2188" s="69"/>
      <c r="USA2188" s="70"/>
      <c r="USB2188" s="69"/>
      <c r="USC2188" s="70"/>
      <c r="USD2188" s="69"/>
      <c r="USE2188" s="70"/>
      <c r="USF2188" s="69"/>
      <c r="USG2188" s="70"/>
      <c r="USH2188" s="69"/>
      <c r="USI2188" s="70"/>
      <c r="USJ2188" s="69"/>
      <c r="USK2188" s="70"/>
      <c r="USL2188" s="69"/>
      <c r="USM2188" s="70"/>
      <c r="USN2188" s="69"/>
      <c r="USO2188" s="70"/>
      <c r="USP2188" s="69"/>
      <c r="USQ2188" s="70"/>
      <c r="USR2188" s="69"/>
      <c r="USS2188" s="70"/>
      <c r="UST2188" s="69"/>
      <c r="USU2188" s="70"/>
      <c r="USV2188" s="69"/>
      <c r="USW2188" s="70"/>
      <c r="USX2188" s="69"/>
      <c r="USY2188" s="70"/>
      <c r="USZ2188" s="69"/>
      <c r="UTA2188" s="70"/>
      <c r="UTB2188" s="69"/>
      <c r="UTC2188" s="70"/>
      <c r="UTD2188" s="69"/>
      <c r="UTE2188" s="70"/>
      <c r="UTF2188" s="69"/>
      <c r="UTG2188" s="70"/>
      <c r="UTH2188" s="69"/>
      <c r="UTI2188" s="70"/>
      <c r="UTJ2188" s="69"/>
      <c r="UTK2188" s="70"/>
      <c r="UTL2188" s="69"/>
      <c r="UTM2188" s="70"/>
      <c r="UTN2188" s="69"/>
      <c r="UTO2188" s="70"/>
      <c r="UTP2188" s="69"/>
      <c r="UTQ2188" s="70"/>
      <c r="UTR2188" s="69"/>
      <c r="UTS2188" s="70"/>
      <c r="UTT2188" s="69"/>
      <c r="UTU2188" s="70"/>
      <c r="UTV2188" s="69"/>
      <c r="UTW2188" s="70"/>
      <c r="UTX2188" s="69"/>
      <c r="UTY2188" s="70"/>
      <c r="UTZ2188" s="69"/>
      <c r="UUA2188" s="70"/>
      <c r="UUB2188" s="69"/>
      <c r="UUC2188" s="70"/>
      <c r="UUD2188" s="69"/>
      <c r="UUE2188" s="70"/>
      <c r="UUF2188" s="69"/>
      <c r="UUG2188" s="70"/>
      <c r="UUH2188" s="69"/>
      <c r="UUI2188" s="70"/>
      <c r="UUJ2188" s="69"/>
      <c r="UUK2188" s="70"/>
      <c r="UUL2188" s="69"/>
      <c r="UUM2188" s="70"/>
      <c r="UUN2188" s="69"/>
      <c r="UUO2188" s="70"/>
      <c r="UUP2188" s="69"/>
      <c r="UUQ2188" s="70"/>
      <c r="UUR2188" s="69"/>
      <c r="UUS2188" s="70"/>
      <c r="UUT2188" s="69"/>
      <c r="UUU2188" s="70"/>
      <c r="UUV2188" s="69"/>
      <c r="UUW2188" s="70"/>
      <c r="UUX2188" s="69"/>
      <c r="UUY2188" s="70"/>
      <c r="UUZ2188" s="69"/>
      <c r="UVA2188" s="70"/>
      <c r="UVB2188" s="69"/>
      <c r="UVC2188" s="70"/>
      <c r="UVD2188" s="69"/>
      <c r="UVE2188" s="70"/>
      <c r="UVF2188" s="69"/>
      <c r="UVG2188" s="70"/>
      <c r="UVH2188" s="69"/>
      <c r="UVI2188" s="70"/>
      <c r="UVJ2188" s="69"/>
      <c r="UVK2188" s="70"/>
      <c r="UVL2188" s="69"/>
      <c r="UVM2188" s="70"/>
      <c r="UVN2188" s="69"/>
      <c r="UVO2188" s="70"/>
      <c r="UVP2188" s="69"/>
      <c r="UVQ2188" s="70"/>
      <c r="UVR2188" s="69"/>
      <c r="UVS2188" s="70"/>
      <c r="UVT2188" s="69"/>
      <c r="UVU2188" s="70"/>
      <c r="UVV2188" s="69"/>
      <c r="UVW2188" s="70"/>
      <c r="UVX2188" s="69"/>
      <c r="UVY2188" s="70"/>
      <c r="UVZ2188" s="69"/>
      <c r="UWA2188" s="70"/>
      <c r="UWB2188" s="69"/>
      <c r="UWC2188" s="70"/>
      <c r="UWD2188" s="69"/>
      <c r="UWE2188" s="70"/>
      <c r="UWF2188" s="69"/>
      <c r="UWG2188" s="70"/>
      <c r="UWH2188" s="69"/>
      <c r="UWI2188" s="70"/>
      <c r="UWJ2188" s="69"/>
      <c r="UWK2188" s="70"/>
      <c r="UWL2188" s="69"/>
      <c r="UWM2188" s="70"/>
      <c r="UWN2188" s="69"/>
      <c r="UWO2188" s="70"/>
      <c r="UWP2188" s="69"/>
      <c r="UWQ2188" s="70"/>
      <c r="UWR2188" s="69"/>
      <c r="UWS2188" s="70"/>
      <c r="UWT2188" s="69"/>
      <c r="UWU2188" s="70"/>
      <c r="UWV2188" s="69"/>
      <c r="UWW2188" s="70"/>
      <c r="UWX2188" s="69"/>
      <c r="UWY2188" s="70"/>
      <c r="UWZ2188" s="69"/>
      <c r="UXA2188" s="70"/>
      <c r="UXB2188" s="69"/>
      <c r="UXC2188" s="70"/>
      <c r="UXD2188" s="69"/>
      <c r="UXE2188" s="70"/>
      <c r="UXF2188" s="69"/>
      <c r="UXG2188" s="70"/>
      <c r="UXH2188" s="69"/>
      <c r="UXI2188" s="70"/>
      <c r="UXJ2188" s="69"/>
      <c r="UXK2188" s="70"/>
      <c r="UXL2188" s="69"/>
      <c r="UXM2188" s="70"/>
      <c r="UXN2188" s="69"/>
      <c r="UXO2188" s="70"/>
      <c r="UXP2188" s="69"/>
      <c r="UXQ2188" s="70"/>
      <c r="UXR2188" s="69"/>
      <c r="UXS2188" s="70"/>
      <c r="UXT2188" s="69"/>
      <c r="UXU2188" s="70"/>
      <c r="UXV2188" s="69"/>
      <c r="UXW2188" s="70"/>
      <c r="UXX2188" s="69"/>
      <c r="UXY2188" s="70"/>
      <c r="UXZ2188" s="69"/>
      <c r="UYA2188" s="70"/>
      <c r="UYB2188" s="69"/>
      <c r="UYC2188" s="70"/>
      <c r="UYD2188" s="69"/>
      <c r="UYE2188" s="70"/>
      <c r="UYF2188" s="69"/>
      <c r="UYG2188" s="70"/>
      <c r="UYH2188" s="69"/>
      <c r="UYI2188" s="70"/>
      <c r="UYJ2188" s="69"/>
      <c r="UYK2188" s="70"/>
      <c r="UYL2188" s="69"/>
      <c r="UYM2188" s="70"/>
      <c r="UYN2188" s="69"/>
      <c r="UYO2188" s="70"/>
      <c r="UYP2188" s="69"/>
      <c r="UYQ2188" s="70"/>
      <c r="UYR2188" s="69"/>
      <c r="UYS2188" s="70"/>
      <c r="UYT2188" s="69"/>
      <c r="UYU2188" s="70"/>
      <c r="UYV2188" s="69"/>
      <c r="UYW2188" s="70"/>
      <c r="UYX2188" s="69"/>
      <c r="UYY2188" s="70"/>
      <c r="UYZ2188" s="69"/>
      <c r="UZA2188" s="70"/>
      <c r="UZB2188" s="69"/>
      <c r="UZC2188" s="70"/>
      <c r="UZD2188" s="69"/>
      <c r="UZE2188" s="70"/>
      <c r="UZF2188" s="69"/>
      <c r="UZG2188" s="70"/>
      <c r="UZH2188" s="69"/>
      <c r="UZI2188" s="70"/>
      <c r="UZJ2188" s="69"/>
      <c r="UZK2188" s="70"/>
      <c r="UZL2188" s="69"/>
      <c r="UZM2188" s="70"/>
      <c r="UZN2188" s="69"/>
      <c r="UZO2188" s="70"/>
      <c r="UZP2188" s="69"/>
      <c r="UZQ2188" s="70"/>
      <c r="UZR2188" s="69"/>
      <c r="UZS2188" s="70"/>
      <c r="UZT2188" s="69"/>
      <c r="UZU2188" s="70"/>
      <c r="UZV2188" s="69"/>
      <c r="UZW2188" s="70"/>
      <c r="UZX2188" s="69"/>
      <c r="UZY2188" s="70"/>
      <c r="UZZ2188" s="69"/>
      <c r="VAA2188" s="70"/>
      <c r="VAB2188" s="69"/>
      <c r="VAC2188" s="70"/>
      <c r="VAD2188" s="69"/>
      <c r="VAE2188" s="70"/>
      <c r="VAF2188" s="69"/>
      <c r="VAG2188" s="70"/>
      <c r="VAH2188" s="69"/>
      <c r="VAI2188" s="70"/>
      <c r="VAJ2188" s="69"/>
      <c r="VAK2188" s="70"/>
      <c r="VAL2188" s="69"/>
      <c r="VAM2188" s="70"/>
      <c r="VAN2188" s="69"/>
      <c r="VAO2188" s="70"/>
      <c r="VAP2188" s="69"/>
      <c r="VAQ2188" s="70"/>
      <c r="VAR2188" s="69"/>
      <c r="VAS2188" s="70"/>
      <c r="VAT2188" s="69"/>
      <c r="VAU2188" s="70"/>
      <c r="VAV2188" s="69"/>
      <c r="VAW2188" s="70"/>
      <c r="VAX2188" s="69"/>
      <c r="VAY2188" s="70"/>
      <c r="VAZ2188" s="69"/>
      <c r="VBA2188" s="70"/>
      <c r="VBB2188" s="69"/>
      <c r="VBC2188" s="70"/>
      <c r="VBD2188" s="69"/>
      <c r="VBE2188" s="70"/>
      <c r="VBF2188" s="69"/>
      <c r="VBG2188" s="70"/>
      <c r="VBH2188" s="69"/>
      <c r="VBI2188" s="70"/>
      <c r="VBJ2188" s="69"/>
      <c r="VBK2188" s="70"/>
      <c r="VBL2188" s="69"/>
      <c r="VBM2188" s="70"/>
      <c r="VBN2188" s="69"/>
      <c r="VBO2188" s="70"/>
      <c r="VBP2188" s="69"/>
      <c r="VBQ2188" s="70"/>
      <c r="VBR2188" s="69"/>
      <c r="VBS2188" s="70"/>
      <c r="VBT2188" s="69"/>
      <c r="VBU2188" s="70"/>
      <c r="VBV2188" s="69"/>
      <c r="VBW2188" s="70"/>
      <c r="VBX2188" s="69"/>
      <c r="VBY2188" s="70"/>
      <c r="VBZ2188" s="69"/>
      <c r="VCA2188" s="70"/>
      <c r="VCB2188" s="69"/>
      <c r="VCC2188" s="70"/>
      <c r="VCD2188" s="69"/>
      <c r="VCE2188" s="70"/>
      <c r="VCF2188" s="69"/>
      <c r="VCG2188" s="70"/>
      <c r="VCH2188" s="69"/>
      <c r="VCI2188" s="70"/>
      <c r="VCJ2188" s="69"/>
      <c r="VCK2188" s="70"/>
      <c r="VCL2188" s="69"/>
      <c r="VCM2188" s="70"/>
      <c r="VCN2188" s="69"/>
      <c r="VCO2188" s="70"/>
      <c r="VCP2188" s="69"/>
      <c r="VCQ2188" s="70"/>
      <c r="VCR2188" s="69"/>
      <c r="VCS2188" s="70"/>
      <c r="VCT2188" s="69"/>
      <c r="VCU2188" s="70"/>
      <c r="VCV2188" s="69"/>
      <c r="VCW2188" s="70"/>
      <c r="VCX2188" s="69"/>
      <c r="VCY2188" s="70"/>
      <c r="VCZ2188" s="69"/>
      <c r="VDA2188" s="70"/>
      <c r="VDB2188" s="69"/>
      <c r="VDC2188" s="70"/>
      <c r="VDD2188" s="69"/>
      <c r="VDE2188" s="70"/>
      <c r="VDF2188" s="69"/>
      <c r="VDG2188" s="70"/>
      <c r="VDH2188" s="69"/>
      <c r="VDI2188" s="70"/>
      <c r="VDJ2188" s="69"/>
      <c r="VDK2188" s="70"/>
      <c r="VDL2188" s="69"/>
      <c r="VDM2188" s="70"/>
      <c r="VDN2188" s="69"/>
      <c r="VDO2188" s="70"/>
      <c r="VDP2188" s="69"/>
      <c r="VDQ2188" s="70"/>
      <c r="VDR2188" s="69"/>
      <c r="VDS2188" s="70"/>
      <c r="VDT2188" s="69"/>
      <c r="VDU2188" s="70"/>
      <c r="VDV2188" s="69"/>
      <c r="VDW2188" s="70"/>
      <c r="VDX2188" s="69"/>
      <c r="VDY2188" s="70"/>
      <c r="VDZ2188" s="69"/>
      <c r="VEA2188" s="70"/>
      <c r="VEB2188" s="69"/>
      <c r="VEC2188" s="70"/>
      <c r="VED2188" s="69"/>
      <c r="VEE2188" s="70"/>
      <c r="VEF2188" s="69"/>
      <c r="VEG2188" s="70"/>
      <c r="VEH2188" s="69"/>
      <c r="VEI2188" s="70"/>
      <c r="VEJ2188" s="69"/>
      <c r="VEK2188" s="70"/>
      <c r="VEL2188" s="69"/>
      <c r="VEM2188" s="70"/>
      <c r="VEN2188" s="69"/>
      <c r="VEO2188" s="70"/>
      <c r="VEP2188" s="69"/>
      <c r="VEQ2188" s="70"/>
      <c r="VER2188" s="69"/>
      <c r="VES2188" s="70"/>
      <c r="VET2188" s="69"/>
      <c r="VEU2188" s="70"/>
      <c r="VEV2188" s="69"/>
      <c r="VEW2188" s="70"/>
      <c r="VEX2188" s="69"/>
      <c r="VEY2188" s="70"/>
      <c r="VEZ2188" s="69"/>
      <c r="VFA2188" s="70"/>
      <c r="VFB2188" s="69"/>
      <c r="VFC2188" s="70"/>
      <c r="VFD2188" s="69"/>
      <c r="VFE2188" s="70"/>
      <c r="VFF2188" s="69"/>
      <c r="VFG2188" s="70"/>
      <c r="VFH2188" s="69"/>
      <c r="VFI2188" s="70"/>
      <c r="VFJ2188" s="69"/>
      <c r="VFK2188" s="70"/>
      <c r="VFL2188" s="69"/>
      <c r="VFM2188" s="70"/>
      <c r="VFN2188" s="69"/>
      <c r="VFO2188" s="70"/>
      <c r="VFP2188" s="69"/>
      <c r="VFQ2188" s="70"/>
      <c r="VFR2188" s="69"/>
      <c r="VFS2188" s="70"/>
      <c r="VFT2188" s="69"/>
      <c r="VFU2188" s="70"/>
      <c r="VFV2188" s="69"/>
      <c r="VFW2188" s="70"/>
      <c r="VFX2188" s="69"/>
      <c r="VFY2188" s="70"/>
      <c r="VFZ2188" s="69"/>
      <c r="VGA2188" s="70"/>
      <c r="VGB2188" s="69"/>
      <c r="VGC2188" s="70"/>
      <c r="VGD2188" s="69"/>
      <c r="VGE2188" s="70"/>
      <c r="VGF2188" s="69"/>
      <c r="VGG2188" s="70"/>
      <c r="VGH2188" s="69"/>
      <c r="VGI2188" s="70"/>
      <c r="VGJ2188" s="69"/>
      <c r="VGK2188" s="70"/>
      <c r="VGL2188" s="69"/>
      <c r="VGM2188" s="70"/>
      <c r="VGN2188" s="69"/>
      <c r="VGO2188" s="70"/>
      <c r="VGP2188" s="69"/>
      <c r="VGQ2188" s="70"/>
      <c r="VGR2188" s="69"/>
      <c r="VGS2188" s="70"/>
      <c r="VGT2188" s="69"/>
      <c r="VGU2188" s="70"/>
      <c r="VGV2188" s="69"/>
      <c r="VGW2188" s="70"/>
      <c r="VGX2188" s="69"/>
      <c r="VGY2188" s="70"/>
      <c r="VGZ2188" s="69"/>
      <c r="VHA2188" s="70"/>
      <c r="VHB2188" s="69"/>
      <c r="VHC2188" s="70"/>
      <c r="VHD2188" s="69"/>
      <c r="VHE2188" s="70"/>
      <c r="VHF2188" s="69"/>
      <c r="VHG2188" s="70"/>
      <c r="VHH2188" s="69"/>
      <c r="VHI2188" s="70"/>
      <c r="VHJ2188" s="69"/>
      <c r="VHK2188" s="70"/>
      <c r="VHL2188" s="69"/>
      <c r="VHM2188" s="70"/>
      <c r="VHN2188" s="69"/>
      <c r="VHO2188" s="70"/>
      <c r="VHP2188" s="69"/>
      <c r="VHQ2188" s="70"/>
      <c r="VHR2188" s="69"/>
      <c r="VHS2188" s="70"/>
      <c r="VHT2188" s="69"/>
      <c r="VHU2188" s="70"/>
      <c r="VHV2188" s="69"/>
      <c r="VHW2188" s="70"/>
      <c r="VHX2188" s="69"/>
      <c r="VHY2188" s="70"/>
      <c r="VHZ2188" s="69"/>
      <c r="VIA2188" s="70"/>
      <c r="VIB2188" s="69"/>
      <c r="VIC2188" s="70"/>
      <c r="VID2188" s="69"/>
      <c r="VIE2188" s="70"/>
      <c r="VIF2188" s="69"/>
      <c r="VIG2188" s="70"/>
      <c r="VIH2188" s="69"/>
      <c r="VII2188" s="70"/>
      <c r="VIJ2188" s="69"/>
      <c r="VIK2188" s="70"/>
      <c r="VIL2188" s="69"/>
      <c r="VIM2188" s="70"/>
      <c r="VIN2188" s="69"/>
      <c r="VIO2188" s="70"/>
      <c r="VIP2188" s="69"/>
      <c r="VIQ2188" s="70"/>
      <c r="VIR2188" s="69"/>
      <c r="VIS2188" s="70"/>
      <c r="VIT2188" s="69"/>
      <c r="VIU2188" s="70"/>
      <c r="VIV2188" s="69"/>
      <c r="VIW2188" s="70"/>
      <c r="VIX2188" s="69"/>
      <c r="VIY2188" s="70"/>
      <c r="VIZ2188" s="69"/>
      <c r="VJA2188" s="70"/>
      <c r="VJB2188" s="69"/>
      <c r="VJC2188" s="70"/>
      <c r="VJD2188" s="69"/>
      <c r="VJE2188" s="70"/>
      <c r="VJF2188" s="69"/>
      <c r="VJG2188" s="70"/>
      <c r="VJH2188" s="69"/>
      <c r="VJI2188" s="70"/>
      <c r="VJJ2188" s="69"/>
      <c r="VJK2188" s="70"/>
      <c r="VJL2188" s="69"/>
      <c r="VJM2188" s="70"/>
      <c r="VJN2188" s="69"/>
      <c r="VJO2188" s="70"/>
      <c r="VJP2188" s="69"/>
      <c r="VJQ2188" s="70"/>
      <c r="VJR2188" s="69"/>
      <c r="VJS2188" s="70"/>
      <c r="VJT2188" s="69"/>
      <c r="VJU2188" s="70"/>
      <c r="VJV2188" s="69"/>
      <c r="VJW2188" s="70"/>
      <c r="VJX2188" s="69"/>
      <c r="VJY2188" s="70"/>
      <c r="VJZ2188" s="69"/>
      <c r="VKA2188" s="70"/>
      <c r="VKB2188" s="69"/>
      <c r="VKC2188" s="70"/>
      <c r="VKD2188" s="69"/>
      <c r="VKE2188" s="70"/>
      <c r="VKF2188" s="69"/>
      <c r="VKG2188" s="70"/>
      <c r="VKH2188" s="69"/>
      <c r="VKI2188" s="70"/>
      <c r="VKJ2188" s="69"/>
      <c r="VKK2188" s="70"/>
      <c r="VKL2188" s="69"/>
      <c r="VKM2188" s="70"/>
      <c r="VKN2188" s="69"/>
      <c r="VKO2188" s="70"/>
      <c r="VKP2188" s="69"/>
      <c r="VKQ2188" s="70"/>
      <c r="VKR2188" s="69"/>
      <c r="VKS2188" s="70"/>
      <c r="VKT2188" s="69"/>
      <c r="VKU2188" s="70"/>
      <c r="VKV2188" s="69"/>
      <c r="VKW2188" s="70"/>
      <c r="VKX2188" s="69"/>
      <c r="VKY2188" s="70"/>
      <c r="VKZ2188" s="69"/>
      <c r="VLA2188" s="70"/>
      <c r="VLB2188" s="69"/>
      <c r="VLC2188" s="70"/>
      <c r="VLD2188" s="69"/>
      <c r="VLE2188" s="70"/>
      <c r="VLF2188" s="69"/>
      <c r="VLG2188" s="70"/>
      <c r="VLH2188" s="69"/>
      <c r="VLI2188" s="70"/>
      <c r="VLJ2188" s="69"/>
      <c r="VLK2188" s="70"/>
      <c r="VLL2188" s="69"/>
      <c r="VLM2188" s="70"/>
      <c r="VLN2188" s="69"/>
      <c r="VLO2188" s="70"/>
      <c r="VLP2188" s="69"/>
      <c r="VLQ2188" s="70"/>
      <c r="VLR2188" s="69"/>
      <c r="VLS2188" s="70"/>
      <c r="VLT2188" s="69"/>
      <c r="VLU2188" s="70"/>
      <c r="VLV2188" s="69"/>
      <c r="VLW2188" s="70"/>
      <c r="VLX2188" s="69"/>
      <c r="VLY2188" s="70"/>
      <c r="VLZ2188" s="69"/>
      <c r="VMA2188" s="70"/>
      <c r="VMB2188" s="69"/>
      <c r="VMC2188" s="70"/>
      <c r="VMD2188" s="69"/>
      <c r="VME2188" s="70"/>
      <c r="VMF2188" s="69"/>
      <c r="VMG2188" s="70"/>
      <c r="VMH2188" s="69"/>
      <c r="VMI2188" s="70"/>
      <c r="VMJ2188" s="69"/>
      <c r="VMK2188" s="70"/>
      <c r="VML2188" s="69"/>
      <c r="VMM2188" s="70"/>
      <c r="VMN2188" s="69"/>
      <c r="VMO2188" s="70"/>
      <c r="VMP2188" s="69"/>
      <c r="VMQ2188" s="70"/>
      <c r="VMR2188" s="69"/>
      <c r="VMS2188" s="70"/>
      <c r="VMT2188" s="69"/>
      <c r="VMU2188" s="70"/>
      <c r="VMV2188" s="69"/>
      <c r="VMW2188" s="70"/>
      <c r="VMX2188" s="69"/>
      <c r="VMY2188" s="70"/>
      <c r="VMZ2188" s="69"/>
      <c r="VNA2188" s="70"/>
      <c r="VNB2188" s="69"/>
      <c r="VNC2188" s="70"/>
      <c r="VND2188" s="69"/>
      <c r="VNE2188" s="70"/>
      <c r="VNF2188" s="69"/>
      <c r="VNG2188" s="70"/>
      <c r="VNH2188" s="69"/>
      <c r="VNI2188" s="70"/>
      <c r="VNJ2188" s="69"/>
      <c r="VNK2188" s="70"/>
      <c r="VNL2188" s="69"/>
      <c r="VNM2188" s="70"/>
      <c r="VNN2188" s="69"/>
      <c r="VNO2188" s="70"/>
      <c r="VNP2188" s="69"/>
      <c r="VNQ2188" s="70"/>
      <c r="VNR2188" s="69"/>
      <c r="VNS2188" s="70"/>
      <c r="VNT2188" s="69"/>
      <c r="VNU2188" s="70"/>
      <c r="VNV2188" s="69"/>
      <c r="VNW2188" s="70"/>
      <c r="VNX2188" s="69"/>
      <c r="VNY2188" s="70"/>
      <c r="VNZ2188" s="69"/>
      <c r="VOA2188" s="70"/>
      <c r="VOB2188" s="69"/>
      <c r="VOC2188" s="70"/>
      <c r="VOD2188" s="69"/>
      <c r="VOE2188" s="70"/>
      <c r="VOF2188" s="69"/>
      <c r="VOG2188" s="70"/>
      <c r="VOH2188" s="69"/>
      <c r="VOI2188" s="70"/>
      <c r="VOJ2188" s="69"/>
      <c r="VOK2188" s="70"/>
      <c r="VOL2188" s="69"/>
      <c r="VOM2188" s="70"/>
      <c r="VON2188" s="69"/>
      <c r="VOO2188" s="70"/>
      <c r="VOP2188" s="69"/>
      <c r="VOQ2188" s="70"/>
      <c r="VOR2188" s="69"/>
      <c r="VOS2188" s="70"/>
      <c r="VOT2188" s="69"/>
      <c r="VOU2188" s="70"/>
      <c r="VOV2188" s="69"/>
      <c r="VOW2188" s="70"/>
      <c r="VOX2188" s="69"/>
      <c r="VOY2188" s="70"/>
      <c r="VOZ2188" s="69"/>
      <c r="VPA2188" s="70"/>
      <c r="VPB2188" s="69"/>
      <c r="VPC2188" s="70"/>
      <c r="VPD2188" s="69"/>
      <c r="VPE2188" s="70"/>
      <c r="VPF2188" s="69"/>
      <c r="VPG2188" s="70"/>
      <c r="VPH2188" s="69"/>
      <c r="VPI2188" s="70"/>
      <c r="VPJ2188" s="69"/>
      <c r="VPK2188" s="70"/>
      <c r="VPL2188" s="69"/>
      <c r="VPM2188" s="70"/>
      <c r="VPN2188" s="69"/>
      <c r="VPO2188" s="70"/>
      <c r="VPP2188" s="69"/>
      <c r="VPQ2188" s="70"/>
      <c r="VPR2188" s="69"/>
      <c r="VPS2188" s="70"/>
      <c r="VPT2188" s="69"/>
      <c r="VPU2188" s="70"/>
      <c r="VPV2188" s="69"/>
      <c r="VPW2188" s="70"/>
      <c r="VPX2188" s="69"/>
      <c r="VPY2188" s="70"/>
      <c r="VPZ2188" s="69"/>
      <c r="VQA2188" s="70"/>
      <c r="VQB2188" s="69"/>
      <c r="VQC2188" s="70"/>
      <c r="VQD2188" s="69"/>
      <c r="VQE2188" s="70"/>
      <c r="VQF2188" s="69"/>
      <c r="VQG2188" s="70"/>
      <c r="VQH2188" s="69"/>
      <c r="VQI2188" s="70"/>
      <c r="VQJ2188" s="69"/>
      <c r="VQK2188" s="70"/>
      <c r="VQL2188" s="69"/>
      <c r="VQM2188" s="70"/>
      <c r="VQN2188" s="69"/>
      <c r="VQO2188" s="70"/>
      <c r="VQP2188" s="69"/>
      <c r="VQQ2188" s="70"/>
      <c r="VQR2188" s="69"/>
      <c r="VQS2188" s="70"/>
      <c r="VQT2188" s="69"/>
      <c r="VQU2188" s="70"/>
      <c r="VQV2188" s="69"/>
      <c r="VQW2188" s="70"/>
      <c r="VQX2188" s="69"/>
      <c r="VQY2188" s="70"/>
      <c r="VQZ2188" s="69"/>
      <c r="VRA2188" s="70"/>
      <c r="VRB2188" s="69"/>
      <c r="VRC2188" s="70"/>
      <c r="VRD2188" s="69"/>
      <c r="VRE2188" s="70"/>
      <c r="VRF2188" s="69"/>
      <c r="VRG2188" s="70"/>
      <c r="VRH2188" s="69"/>
      <c r="VRI2188" s="70"/>
      <c r="VRJ2188" s="69"/>
      <c r="VRK2188" s="70"/>
      <c r="VRL2188" s="69"/>
      <c r="VRM2188" s="70"/>
      <c r="VRN2188" s="69"/>
      <c r="VRO2188" s="70"/>
      <c r="VRP2188" s="69"/>
      <c r="VRQ2188" s="70"/>
      <c r="VRR2188" s="69"/>
      <c r="VRS2188" s="70"/>
      <c r="VRT2188" s="69"/>
      <c r="VRU2188" s="70"/>
      <c r="VRV2188" s="69"/>
      <c r="VRW2188" s="70"/>
      <c r="VRX2188" s="69"/>
      <c r="VRY2188" s="70"/>
      <c r="VRZ2188" s="69"/>
      <c r="VSA2188" s="70"/>
      <c r="VSB2188" s="69"/>
      <c r="VSC2188" s="70"/>
      <c r="VSD2188" s="69"/>
      <c r="VSE2188" s="70"/>
      <c r="VSF2188" s="69"/>
      <c r="VSG2188" s="70"/>
      <c r="VSH2188" s="69"/>
      <c r="VSI2188" s="70"/>
      <c r="VSJ2188" s="69"/>
      <c r="VSK2188" s="70"/>
      <c r="VSL2188" s="69"/>
      <c r="VSM2188" s="70"/>
      <c r="VSN2188" s="69"/>
      <c r="VSO2188" s="70"/>
      <c r="VSP2188" s="69"/>
      <c r="VSQ2188" s="70"/>
      <c r="VSR2188" s="69"/>
      <c r="VSS2188" s="70"/>
      <c r="VST2188" s="69"/>
      <c r="VSU2188" s="70"/>
      <c r="VSV2188" s="69"/>
      <c r="VSW2188" s="70"/>
      <c r="VSX2188" s="69"/>
      <c r="VSY2188" s="70"/>
      <c r="VSZ2188" s="69"/>
      <c r="VTA2188" s="70"/>
      <c r="VTB2188" s="69"/>
      <c r="VTC2188" s="70"/>
      <c r="VTD2188" s="69"/>
      <c r="VTE2188" s="70"/>
      <c r="VTF2188" s="69"/>
      <c r="VTG2188" s="70"/>
      <c r="VTH2188" s="69"/>
      <c r="VTI2188" s="70"/>
      <c r="VTJ2188" s="69"/>
      <c r="VTK2188" s="70"/>
      <c r="VTL2188" s="69"/>
      <c r="VTM2188" s="70"/>
      <c r="VTN2188" s="69"/>
      <c r="VTO2188" s="70"/>
      <c r="VTP2188" s="69"/>
      <c r="VTQ2188" s="70"/>
      <c r="VTR2188" s="69"/>
      <c r="VTS2188" s="70"/>
      <c r="VTT2188" s="69"/>
      <c r="VTU2188" s="70"/>
      <c r="VTV2188" s="69"/>
      <c r="VTW2188" s="70"/>
      <c r="VTX2188" s="69"/>
      <c r="VTY2188" s="70"/>
      <c r="VTZ2188" s="69"/>
      <c r="VUA2188" s="70"/>
      <c r="VUB2188" s="69"/>
      <c r="VUC2188" s="70"/>
      <c r="VUD2188" s="69"/>
      <c r="VUE2188" s="70"/>
      <c r="VUF2188" s="69"/>
      <c r="VUG2188" s="70"/>
      <c r="VUH2188" s="69"/>
      <c r="VUI2188" s="70"/>
      <c r="VUJ2188" s="69"/>
      <c r="VUK2188" s="70"/>
      <c r="VUL2188" s="69"/>
      <c r="VUM2188" s="70"/>
      <c r="VUN2188" s="69"/>
      <c r="VUO2188" s="70"/>
      <c r="VUP2188" s="69"/>
      <c r="VUQ2188" s="70"/>
      <c r="VUR2188" s="69"/>
      <c r="VUS2188" s="70"/>
      <c r="VUT2188" s="69"/>
      <c r="VUU2188" s="70"/>
      <c r="VUV2188" s="69"/>
      <c r="VUW2188" s="70"/>
      <c r="VUX2188" s="69"/>
      <c r="VUY2188" s="70"/>
      <c r="VUZ2188" s="69"/>
      <c r="VVA2188" s="70"/>
      <c r="VVB2188" s="69"/>
      <c r="VVC2188" s="70"/>
      <c r="VVD2188" s="69"/>
      <c r="VVE2188" s="70"/>
      <c r="VVF2188" s="69"/>
      <c r="VVG2188" s="70"/>
      <c r="VVH2188" s="69"/>
      <c r="VVI2188" s="70"/>
      <c r="VVJ2188" s="69"/>
      <c r="VVK2188" s="70"/>
      <c r="VVL2188" s="69"/>
      <c r="VVM2188" s="70"/>
      <c r="VVN2188" s="69"/>
      <c r="VVO2188" s="70"/>
      <c r="VVP2188" s="69"/>
      <c r="VVQ2188" s="70"/>
      <c r="VVR2188" s="69"/>
      <c r="VVS2188" s="70"/>
      <c r="VVT2188" s="69"/>
      <c r="VVU2188" s="70"/>
      <c r="VVV2188" s="69"/>
      <c r="VVW2188" s="70"/>
      <c r="VVX2188" s="69"/>
      <c r="VVY2188" s="70"/>
      <c r="VVZ2188" s="69"/>
      <c r="VWA2188" s="70"/>
      <c r="VWB2188" s="69"/>
      <c r="VWC2188" s="70"/>
      <c r="VWD2188" s="69"/>
      <c r="VWE2188" s="70"/>
      <c r="VWF2188" s="69"/>
      <c r="VWG2188" s="70"/>
      <c r="VWH2188" s="69"/>
      <c r="VWI2188" s="70"/>
      <c r="VWJ2188" s="69"/>
      <c r="VWK2188" s="70"/>
      <c r="VWL2188" s="69"/>
      <c r="VWM2188" s="70"/>
      <c r="VWN2188" s="69"/>
      <c r="VWO2188" s="70"/>
      <c r="VWP2188" s="69"/>
      <c r="VWQ2188" s="70"/>
      <c r="VWR2188" s="69"/>
      <c r="VWS2188" s="70"/>
      <c r="VWT2188" s="69"/>
      <c r="VWU2188" s="70"/>
      <c r="VWV2188" s="69"/>
      <c r="VWW2188" s="70"/>
      <c r="VWX2188" s="69"/>
      <c r="VWY2188" s="70"/>
      <c r="VWZ2188" s="69"/>
      <c r="VXA2188" s="70"/>
      <c r="VXB2188" s="69"/>
      <c r="VXC2188" s="70"/>
      <c r="VXD2188" s="69"/>
      <c r="VXE2188" s="70"/>
      <c r="VXF2188" s="69"/>
      <c r="VXG2188" s="70"/>
      <c r="VXH2188" s="69"/>
      <c r="VXI2188" s="70"/>
      <c r="VXJ2188" s="69"/>
      <c r="VXK2188" s="70"/>
      <c r="VXL2188" s="69"/>
      <c r="VXM2188" s="70"/>
      <c r="VXN2188" s="69"/>
      <c r="VXO2188" s="70"/>
      <c r="VXP2188" s="69"/>
      <c r="VXQ2188" s="70"/>
      <c r="VXR2188" s="69"/>
      <c r="VXS2188" s="70"/>
      <c r="VXT2188" s="69"/>
      <c r="VXU2188" s="70"/>
      <c r="VXV2188" s="69"/>
      <c r="VXW2188" s="70"/>
      <c r="VXX2188" s="69"/>
      <c r="VXY2188" s="70"/>
      <c r="VXZ2188" s="69"/>
      <c r="VYA2188" s="70"/>
      <c r="VYB2188" s="69"/>
      <c r="VYC2188" s="70"/>
      <c r="VYD2188" s="69"/>
      <c r="VYE2188" s="70"/>
      <c r="VYF2188" s="69"/>
      <c r="VYG2188" s="70"/>
      <c r="VYH2188" s="69"/>
      <c r="VYI2188" s="70"/>
      <c r="VYJ2188" s="69"/>
      <c r="VYK2188" s="70"/>
      <c r="VYL2188" s="69"/>
      <c r="VYM2188" s="70"/>
      <c r="VYN2188" s="69"/>
      <c r="VYO2188" s="70"/>
      <c r="VYP2188" s="69"/>
      <c r="VYQ2188" s="70"/>
      <c r="VYR2188" s="69"/>
      <c r="VYS2188" s="70"/>
      <c r="VYT2188" s="69"/>
      <c r="VYU2188" s="70"/>
      <c r="VYV2188" s="69"/>
      <c r="VYW2188" s="70"/>
      <c r="VYX2188" s="69"/>
      <c r="VYY2188" s="70"/>
      <c r="VYZ2188" s="69"/>
      <c r="VZA2188" s="70"/>
      <c r="VZB2188" s="69"/>
      <c r="VZC2188" s="70"/>
      <c r="VZD2188" s="69"/>
      <c r="VZE2188" s="70"/>
      <c r="VZF2188" s="69"/>
      <c r="VZG2188" s="70"/>
      <c r="VZH2188" s="69"/>
      <c r="VZI2188" s="70"/>
      <c r="VZJ2188" s="69"/>
      <c r="VZK2188" s="70"/>
      <c r="VZL2188" s="69"/>
      <c r="VZM2188" s="70"/>
      <c r="VZN2188" s="69"/>
      <c r="VZO2188" s="70"/>
      <c r="VZP2188" s="69"/>
      <c r="VZQ2188" s="70"/>
      <c r="VZR2188" s="69"/>
      <c r="VZS2188" s="70"/>
      <c r="VZT2188" s="69"/>
      <c r="VZU2188" s="70"/>
      <c r="VZV2188" s="69"/>
      <c r="VZW2188" s="70"/>
      <c r="VZX2188" s="69"/>
      <c r="VZY2188" s="70"/>
      <c r="VZZ2188" s="69"/>
      <c r="WAA2188" s="70"/>
      <c r="WAB2188" s="69"/>
      <c r="WAC2188" s="70"/>
      <c r="WAD2188" s="69"/>
      <c r="WAE2188" s="70"/>
      <c r="WAF2188" s="69"/>
      <c r="WAG2188" s="70"/>
      <c r="WAH2188" s="69"/>
      <c r="WAI2188" s="70"/>
      <c r="WAJ2188" s="69"/>
      <c r="WAK2188" s="70"/>
      <c r="WAL2188" s="69"/>
      <c r="WAM2188" s="70"/>
      <c r="WAN2188" s="69"/>
      <c r="WAO2188" s="70"/>
      <c r="WAP2188" s="69"/>
      <c r="WAQ2188" s="70"/>
      <c r="WAR2188" s="69"/>
      <c r="WAS2188" s="70"/>
      <c r="WAT2188" s="69"/>
      <c r="WAU2188" s="70"/>
      <c r="WAV2188" s="69"/>
      <c r="WAW2188" s="70"/>
      <c r="WAX2188" s="69"/>
      <c r="WAY2188" s="70"/>
      <c r="WAZ2188" s="69"/>
      <c r="WBA2188" s="70"/>
      <c r="WBB2188" s="69"/>
      <c r="WBC2188" s="70"/>
      <c r="WBD2188" s="69"/>
      <c r="WBE2188" s="70"/>
      <c r="WBF2188" s="69"/>
      <c r="WBG2188" s="70"/>
      <c r="WBH2188" s="69"/>
      <c r="WBI2188" s="70"/>
      <c r="WBJ2188" s="69"/>
      <c r="WBK2188" s="70"/>
      <c r="WBL2188" s="69"/>
      <c r="WBM2188" s="70"/>
      <c r="WBN2188" s="69"/>
      <c r="WBO2188" s="70"/>
      <c r="WBP2188" s="69"/>
      <c r="WBQ2188" s="70"/>
      <c r="WBR2188" s="69"/>
      <c r="WBS2188" s="70"/>
      <c r="WBT2188" s="69"/>
      <c r="WBU2188" s="70"/>
      <c r="WBV2188" s="69"/>
      <c r="WBW2188" s="70"/>
      <c r="WBX2188" s="69"/>
      <c r="WBY2188" s="70"/>
      <c r="WBZ2188" s="69"/>
      <c r="WCA2188" s="70"/>
      <c r="WCB2188" s="69"/>
      <c r="WCC2188" s="70"/>
      <c r="WCD2188" s="69"/>
      <c r="WCE2188" s="70"/>
      <c r="WCF2188" s="69"/>
      <c r="WCG2188" s="70"/>
      <c r="WCH2188" s="69"/>
      <c r="WCI2188" s="70"/>
      <c r="WCJ2188" s="69"/>
      <c r="WCK2188" s="70"/>
      <c r="WCL2188" s="69"/>
      <c r="WCM2188" s="70"/>
      <c r="WCN2188" s="69"/>
      <c r="WCO2188" s="70"/>
      <c r="WCP2188" s="69"/>
      <c r="WCQ2188" s="70"/>
      <c r="WCR2188" s="69"/>
      <c r="WCS2188" s="70"/>
      <c r="WCT2188" s="69"/>
      <c r="WCU2188" s="70"/>
      <c r="WCV2188" s="69"/>
      <c r="WCW2188" s="70"/>
      <c r="WCX2188" s="69"/>
      <c r="WCY2188" s="70"/>
      <c r="WCZ2188" s="69"/>
      <c r="WDA2188" s="70"/>
      <c r="WDB2188" s="69"/>
      <c r="WDC2188" s="70"/>
      <c r="WDD2188" s="69"/>
      <c r="WDE2188" s="70"/>
      <c r="WDF2188" s="69"/>
      <c r="WDG2188" s="70"/>
      <c r="WDH2188" s="69"/>
      <c r="WDI2188" s="70"/>
      <c r="WDJ2188" s="69"/>
      <c r="WDK2188" s="70"/>
      <c r="WDL2188" s="69"/>
      <c r="WDM2188" s="70"/>
      <c r="WDN2188" s="69"/>
      <c r="WDO2188" s="70"/>
      <c r="WDP2188" s="69"/>
      <c r="WDQ2188" s="70"/>
      <c r="WDR2188" s="69"/>
      <c r="WDS2188" s="70"/>
      <c r="WDT2188" s="69"/>
      <c r="WDU2188" s="70"/>
      <c r="WDV2188" s="69"/>
      <c r="WDW2188" s="70"/>
      <c r="WDX2188" s="69"/>
      <c r="WDY2188" s="70"/>
      <c r="WDZ2188" s="69"/>
      <c r="WEA2188" s="70"/>
      <c r="WEB2188" s="69"/>
      <c r="WEC2188" s="70"/>
      <c r="WED2188" s="69"/>
      <c r="WEE2188" s="70"/>
      <c r="WEF2188" s="69"/>
      <c r="WEG2188" s="70"/>
      <c r="WEH2188" s="69"/>
      <c r="WEI2188" s="70"/>
      <c r="WEJ2188" s="69"/>
      <c r="WEK2188" s="70"/>
      <c r="WEL2188" s="69"/>
      <c r="WEM2188" s="70"/>
      <c r="WEN2188" s="69"/>
      <c r="WEO2188" s="70"/>
      <c r="WEP2188" s="69"/>
      <c r="WEQ2188" s="70"/>
      <c r="WER2188" s="69"/>
      <c r="WES2188" s="70"/>
      <c r="WET2188" s="69"/>
      <c r="WEU2188" s="70"/>
      <c r="WEV2188" s="69"/>
      <c r="WEW2188" s="70"/>
      <c r="WEX2188" s="69"/>
      <c r="WEY2188" s="70"/>
      <c r="WEZ2188" s="69"/>
      <c r="WFA2188" s="70"/>
      <c r="WFB2188" s="69"/>
      <c r="WFC2188" s="70"/>
      <c r="WFD2188" s="69"/>
      <c r="WFE2188" s="70"/>
      <c r="WFF2188" s="69"/>
      <c r="WFG2188" s="70"/>
      <c r="WFH2188" s="69"/>
      <c r="WFI2188" s="70"/>
      <c r="WFJ2188" s="69"/>
      <c r="WFK2188" s="70"/>
      <c r="WFL2188" s="69"/>
      <c r="WFM2188" s="70"/>
      <c r="WFN2188" s="69"/>
      <c r="WFO2188" s="70"/>
      <c r="WFP2188" s="69"/>
      <c r="WFQ2188" s="70"/>
      <c r="WFR2188" s="69"/>
      <c r="WFS2188" s="70"/>
      <c r="WFT2188" s="69"/>
      <c r="WFU2188" s="70"/>
      <c r="WFV2188" s="69"/>
      <c r="WFW2188" s="70"/>
      <c r="WFX2188" s="69"/>
      <c r="WFY2188" s="70"/>
      <c r="WFZ2188" s="69"/>
      <c r="WGA2188" s="70"/>
      <c r="WGB2188" s="69"/>
      <c r="WGC2188" s="70"/>
      <c r="WGD2188" s="69"/>
      <c r="WGE2188" s="70"/>
      <c r="WGF2188" s="69"/>
      <c r="WGG2188" s="70"/>
      <c r="WGH2188" s="69"/>
      <c r="WGI2188" s="70"/>
      <c r="WGJ2188" s="69"/>
      <c r="WGK2188" s="70"/>
      <c r="WGL2188" s="69"/>
      <c r="WGM2188" s="70"/>
      <c r="WGN2188" s="69"/>
      <c r="WGO2188" s="70"/>
      <c r="WGP2188" s="69"/>
      <c r="WGQ2188" s="70"/>
      <c r="WGR2188" s="69"/>
      <c r="WGS2188" s="70"/>
      <c r="WGT2188" s="69"/>
      <c r="WGU2188" s="70"/>
      <c r="WGV2188" s="69"/>
      <c r="WGW2188" s="70"/>
      <c r="WGX2188" s="69"/>
      <c r="WGY2188" s="70"/>
      <c r="WGZ2188" s="69"/>
      <c r="WHA2188" s="70"/>
      <c r="WHB2188" s="69"/>
      <c r="WHC2188" s="70"/>
      <c r="WHD2188" s="69"/>
      <c r="WHE2188" s="70"/>
      <c r="WHF2188" s="69"/>
      <c r="WHG2188" s="70"/>
      <c r="WHH2188" s="69"/>
      <c r="WHI2188" s="70"/>
      <c r="WHJ2188" s="69"/>
      <c r="WHK2188" s="70"/>
      <c r="WHL2188" s="69"/>
      <c r="WHM2188" s="70"/>
      <c r="WHN2188" s="69"/>
      <c r="WHO2188" s="70"/>
      <c r="WHP2188" s="69"/>
      <c r="WHQ2188" s="70"/>
      <c r="WHR2188" s="69"/>
      <c r="WHS2188" s="70"/>
      <c r="WHT2188" s="69"/>
      <c r="WHU2188" s="70"/>
      <c r="WHV2188" s="69"/>
      <c r="WHW2188" s="70"/>
      <c r="WHX2188" s="69"/>
      <c r="WHY2188" s="70"/>
      <c r="WHZ2188" s="69"/>
      <c r="WIA2188" s="70"/>
      <c r="WIB2188" s="69"/>
      <c r="WIC2188" s="70"/>
      <c r="WID2188" s="69"/>
      <c r="WIE2188" s="70"/>
      <c r="WIF2188" s="69"/>
      <c r="WIG2188" s="70"/>
      <c r="WIH2188" s="69"/>
      <c r="WII2188" s="70"/>
      <c r="WIJ2188" s="69"/>
      <c r="WIK2188" s="70"/>
      <c r="WIL2188" s="69"/>
      <c r="WIM2188" s="70"/>
      <c r="WIN2188" s="69"/>
      <c r="WIO2188" s="70"/>
      <c r="WIP2188" s="69"/>
      <c r="WIQ2188" s="70"/>
      <c r="WIR2188" s="69"/>
      <c r="WIS2188" s="70"/>
      <c r="WIT2188" s="69"/>
      <c r="WIU2188" s="70"/>
      <c r="WIV2188" s="69"/>
      <c r="WIW2188" s="70"/>
      <c r="WIX2188" s="69"/>
      <c r="WIY2188" s="70"/>
      <c r="WIZ2188" s="69"/>
      <c r="WJA2188" s="70"/>
      <c r="WJB2188" s="69"/>
      <c r="WJC2188" s="70"/>
      <c r="WJD2188" s="69"/>
      <c r="WJE2188" s="70"/>
      <c r="WJF2188" s="69"/>
      <c r="WJG2188" s="70"/>
      <c r="WJH2188" s="69"/>
      <c r="WJI2188" s="70"/>
      <c r="WJJ2188" s="69"/>
      <c r="WJK2188" s="70"/>
      <c r="WJL2188" s="69"/>
      <c r="WJM2188" s="70"/>
      <c r="WJN2188" s="69"/>
      <c r="WJO2188" s="70"/>
      <c r="WJP2188" s="69"/>
      <c r="WJQ2188" s="70"/>
      <c r="WJR2188" s="69"/>
      <c r="WJS2188" s="70"/>
      <c r="WJT2188" s="69"/>
      <c r="WJU2188" s="70"/>
      <c r="WJV2188" s="69"/>
      <c r="WJW2188" s="70"/>
      <c r="WJX2188" s="69"/>
      <c r="WJY2188" s="70"/>
      <c r="WJZ2188" s="69"/>
      <c r="WKA2188" s="70"/>
      <c r="WKB2188" s="69"/>
      <c r="WKC2188" s="70"/>
      <c r="WKD2188" s="69"/>
      <c r="WKE2188" s="70"/>
      <c r="WKF2188" s="69"/>
      <c r="WKG2188" s="70"/>
      <c r="WKH2188" s="69"/>
      <c r="WKI2188" s="70"/>
      <c r="WKJ2188" s="69"/>
      <c r="WKK2188" s="70"/>
      <c r="WKL2188" s="69"/>
      <c r="WKM2188" s="70"/>
      <c r="WKN2188" s="69"/>
      <c r="WKO2188" s="70"/>
      <c r="WKP2188" s="69"/>
      <c r="WKQ2188" s="70"/>
      <c r="WKR2188" s="69"/>
      <c r="WKS2188" s="70"/>
      <c r="WKT2188" s="69"/>
      <c r="WKU2188" s="70"/>
      <c r="WKV2188" s="69"/>
      <c r="WKW2188" s="70"/>
      <c r="WKX2188" s="69"/>
      <c r="WKY2188" s="70"/>
      <c r="WKZ2188" s="69"/>
      <c r="WLA2188" s="70"/>
      <c r="WLB2188" s="69"/>
      <c r="WLC2188" s="70"/>
      <c r="WLD2188" s="69"/>
      <c r="WLE2188" s="70"/>
      <c r="WLF2188" s="69"/>
      <c r="WLG2188" s="70"/>
      <c r="WLH2188" s="69"/>
      <c r="WLI2188" s="70"/>
      <c r="WLJ2188" s="69"/>
      <c r="WLK2188" s="70"/>
      <c r="WLL2188" s="69"/>
      <c r="WLM2188" s="70"/>
      <c r="WLN2188" s="69"/>
      <c r="WLO2188" s="70"/>
      <c r="WLP2188" s="69"/>
      <c r="WLQ2188" s="70"/>
      <c r="WLR2188" s="69"/>
      <c r="WLS2188" s="70"/>
      <c r="WLT2188" s="69"/>
      <c r="WLU2188" s="70"/>
      <c r="WLV2188" s="69"/>
      <c r="WLW2188" s="70"/>
      <c r="WLX2188" s="69"/>
      <c r="WLY2188" s="70"/>
      <c r="WLZ2188" s="69"/>
      <c r="WMA2188" s="70"/>
      <c r="WMB2188" s="69"/>
      <c r="WMC2188" s="70"/>
      <c r="WMD2188" s="69"/>
      <c r="WME2188" s="70"/>
      <c r="WMF2188" s="69"/>
      <c r="WMG2188" s="70"/>
      <c r="WMH2188" s="69"/>
      <c r="WMI2188" s="70"/>
      <c r="WMJ2188" s="69"/>
      <c r="WMK2188" s="70"/>
      <c r="WML2188" s="69"/>
      <c r="WMM2188" s="70"/>
      <c r="WMN2188" s="69"/>
      <c r="WMO2188" s="70"/>
      <c r="WMP2188" s="69"/>
      <c r="WMQ2188" s="70"/>
      <c r="WMR2188" s="69"/>
      <c r="WMS2188" s="70"/>
      <c r="WMT2188" s="69"/>
      <c r="WMU2188" s="70"/>
      <c r="WMV2188" s="69"/>
      <c r="WMW2188" s="70"/>
      <c r="WMX2188" s="69"/>
      <c r="WMY2188" s="70"/>
      <c r="WMZ2188" s="69"/>
      <c r="WNA2188" s="70"/>
      <c r="WNB2188" s="69"/>
      <c r="WNC2188" s="70"/>
      <c r="WND2188" s="69"/>
      <c r="WNE2188" s="70"/>
      <c r="WNF2188" s="69"/>
      <c r="WNG2188" s="70"/>
      <c r="WNH2188" s="69"/>
      <c r="WNI2188" s="70"/>
      <c r="WNJ2188" s="69"/>
      <c r="WNK2188" s="70"/>
      <c r="WNL2188" s="69"/>
      <c r="WNM2188" s="70"/>
      <c r="WNN2188" s="69"/>
      <c r="WNO2188" s="70"/>
      <c r="WNP2188" s="69"/>
      <c r="WNQ2188" s="70"/>
      <c r="WNR2188" s="69"/>
      <c r="WNS2188" s="70"/>
      <c r="WNT2188" s="69"/>
      <c r="WNU2188" s="70"/>
      <c r="WNV2188" s="69"/>
      <c r="WNW2188" s="70"/>
      <c r="WNX2188" s="69"/>
      <c r="WNY2188" s="70"/>
      <c r="WNZ2188" s="69"/>
      <c r="WOA2188" s="70"/>
      <c r="WOB2188" s="69"/>
      <c r="WOC2188" s="70"/>
      <c r="WOD2188" s="69"/>
      <c r="WOE2188" s="70"/>
      <c r="WOF2188" s="69"/>
      <c r="WOG2188" s="70"/>
      <c r="WOH2188" s="69"/>
      <c r="WOI2188" s="70"/>
      <c r="WOJ2188" s="69"/>
      <c r="WOK2188" s="70"/>
      <c r="WOL2188" s="69"/>
      <c r="WOM2188" s="70"/>
      <c r="WON2188" s="69"/>
      <c r="WOO2188" s="70"/>
      <c r="WOP2188" s="69"/>
      <c r="WOQ2188" s="70"/>
      <c r="WOR2188" s="69"/>
      <c r="WOS2188" s="70"/>
      <c r="WOT2188" s="69"/>
      <c r="WOU2188" s="70"/>
      <c r="WOV2188" s="69"/>
      <c r="WOW2188" s="70"/>
      <c r="WOX2188" s="69"/>
      <c r="WOY2188" s="70"/>
      <c r="WOZ2188" s="69"/>
      <c r="WPA2188" s="70"/>
      <c r="WPB2188" s="69"/>
      <c r="WPC2188" s="70"/>
      <c r="WPD2188" s="69"/>
      <c r="WPE2188" s="70"/>
      <c r="WPF2188" s="69"/>
      <c r="WPG2188" s="70"/>
      <c r="WPH2188" s="69"/>
      <c r="WPI2188" s="70"/>
      <c r="WPJ2188" s="69"/>
      <c r="WPK2188" s="70"/>
      <c r="WPL2188" s="69"/>
      <c r="WPM2188" s="70"/>
      <c r="WPN2188" s="69"/>
      <c r="WPO2188" s="70"/>
      <c r="WPP2188" s="69"/>
      <c r="WPQ2188" s="70"/>
      <c r="WPR2188" s="69"/>
      <c r="WPS2188" s="70"/>
      <c r="WPT2188" s="69"/>
      <c r="WPU2188" s="70"/>
      <c r="WPV2188" s="69"/>
      <c r="WPW2188" s="70"/>
      <c r="WPX2188" s="69"/>
      <c r="WPY2188" s="70"/>
      <c r="WPZ2188" s="69"/>
      <c r="WQA2188" s="70"/>
      <c r="WQB2188" s="69"/>
      <c r="WQC2188" s="70"/>
      <c r="WQD2188" s="69"/>
      <c r="WQE2188" s="70"/>
      <c r="WQF2188" s="69"/>
      <c r="WQG2188" s="70"/>
      <c r="WQH2188" s="69"/>
      <c r="WQI2188" s="70"/>
      <c r="WQJ2188" s="69"/>
      <c r="WQK2188" s="70"/>
      <c r="WQL2188" s="69"/>
      <c r="WQM2188" s="70"/>
      <c r="WQN2188" s="69"/>
      <c r="WQO2188" s="70"/>
      <c r="WQP2188" s="69"/>
      <c r="WQQ2188" s="70"/>
      <c r="WQR2188" s="69"/>
      <c r="WQS2188" s="70"/>
      <c r="WQT2188" s="69"/>
      <c r="WQU2188" s="70"/>
      <c r="WQV2188" s="69"/>
      <c r="WQW2188" s="70"/>
      <c r="WQX2188" s="69"/>
      <c r="WQY2188" s="70"/>
      <c r="WQZ2188" s="69"/>
      <c r="WRA2188" s="70"/>
      <c r="WRB2188" s="69"/>
      <c r="WRC2188" s="70"/>
      <c r="WRD2188" s="69"/>
      <c r="WRE2188" s="70"/>
      <c r="WRF2188" s="69"/>
      <c r="WRG2188" s="70"/>
      <c r="WRH2188" s="69"/>
      <c r="WRI2188" s="70"/>
      <c r="WRJ2188" s="69"/>
      <c r="WRK2188" s="70"/>
      <c r="WRL2188" s="69"/>
      <c r="WRM2188" s="70"/>
      <c r="WRN2188" s="69"/>
      <c r="WRO2188" s="70"/>
      <c r="WRP2188" s="69"/>
      <c r="WRQ2188" s="70"/>
      <c r="WRR2188" s="69"/>
      <c r="WRS2188" s="70"/>
      <c r="WRT2188" s="69"/>
      <c r="WRU2188" s="70"/>
      <c r="WRV2188" s="69"/>
      <c r="WRW2188" s="70"/>
      <c r="WRX2188" s="69"/>
      <c r="WRY2188" s="70"/>
      <c r="WRZ2188" s="69"/>
      <c r="WSA2188" s="70"/>
      <c r="WSB2188" s="69"/>
      <c r="WSC2188" s="70"/>
      <c r="WSD2188" s="69"/>
      <c r="WSE2188" s="70"/>
      <c r="WSF2188" s="69"/>
      <c r="WSG2188" s="70"/>
      <c r="WSH2188" s="69"/>
      <c r="WSI2188" s="70"/>
      <c r="WSJ2188" s="69"/>
      <c r="WSK2188" s="70"/>
      <c r="WSL2188" s="69"/>
      <c r="WSM2188" s="70"/>
      <c r="WSN2188" s="69"/>
      <c r="WSO2188" s="70"/>
      <c r="WSP2188" s="69"/>
      <c r="WSQ2188" s="70"/>
      <c r="WSR2188" s="69"/>
      <c r="WSS2188" s="70"/>
      <c r="WST2188" s="69"/>
      <c r="WSU2188" s="70"/>
      <c r="WSV2188" s="69"/>
      <c r="WSW2188" s="70"/>
      <c r="WSX2188" s="69"/>
      <c r="WSY2188" s="70"/>
      <c r="WSZ2188" s="69"/>
      <c r="WTA2188" s="70"/>
      <c r="WTB2188" s="69"/>
      <c r="WTC2188" s="70"/>
      <c r="WTD2188" s="69"/>
      <c r="WTE2188" s="70"/>
      <c r="WTF2188" s="69"/>
      <c r="WTG2188" s="70"/>
      <c r="WTH2188" s="69"/>
      <c r="WTI2188" s="70"/>
      <c r="WTJ2188" s="69"/>
      <c r="WTK2188" s="70"/>
      <c r="WTL2188" s="69"/>
      <c r="WTM2188" s="70"/>
      <c r="WTN2188" s="69"/>
      <c r="WTO2188" s="70"/>
      <c r="WTP2188" s="69"/>
      <c r="WTQ2188" s="70"/>
      <c r="WTR2188" s="69"/>
      <c r="WTS2188" s="70"/>
      <c r="WTT2188" s="69"/>
      <c r="WTU2188" s="70"/>
      <c r="WTV2188" s="69"/>
      <c r="WTW2188" s="70"/>
      <c r="WTX2188" s="69"/>
      <c r="WTY2188" s="70"/>
      <c r="WTZ2188" s="69"/>
      <c r="WUA2188" s="70"/>
      <c r="WUB2188" s="69"/>
      <c r="WUC2188" s="70"/>
      <c r="WUD2188" s="69"/>
      <c r="WUE2188" s="70"/>
      <c r="WUF2188" s="69"/>
      <c r="WUG2188" s="70"/>
      <c r="WUH2188" s="69"/>
      <c r="WUI2188" s="70"/>
      <c r="WUJ2188" s="69"/>
      <c r="WUK2188" s="70"/>
      <c r="WUL2188" s="69"/>
      <c r="WUM2188" s="70"/>
      <c r="WUN2188" s="69"/>
      <c r="WUO2188" s="70"/>
      <c r="WUP2188" s="69"/>
      <c r="WUQ2188" s="70"/>
      <c r="WUR2188" s="69"/>
      <c r="WUS2188" s="70"/>
      <c r="WUT2188" s="69"/>
      <c r="WUU2188" s="70"/>
      <c r="WUV2188" s="69"/>
      <c r="WUW2188" s="70"/>
      <c r="WUX2188" s="69"/>
      <c r="WUY2188" s="70"/>
      <c r="WUZ2188" s="69"/>
      <c r="WVA2188" s="70"/>
      <c r="WVB2188" s="69"/>
      <c r="WVC2188" s="70"/>
      <c r="WVD2188" s="69"/>
      <c r="WVE2188" s="70"/>
      <c r="WVF2188" s="69"/>
      <c r="WVG2188" s="70"/>
      <c r="WVH2188" s="69"/>
      <c r="WVI2188" s="70"/>
      <c r="WVJ2188" s="69"/>
      <c r="WVK2188" s="70"/>
      <c r="WVL2188" s="69"/>
      <c r="WVM2188" s="70"/>
      <c r="WVN2188" s="69"/>
      <c r="WVO2188" s="70"/>
      <c r="WVP2188" s="69"/>
      <c r="WVQ2188" s="70"/>
      <c r="WVR2188" s="69"/>
      <c r="WVS2188" s="70"/>
      <c r="WVT2188" s="69"/>
      <c r="WVU2188" s="70"/>
      <c r="WVV2188" s="69"/>
      <c r="WVW2188" s="70"/>
      <c r="WVX2188" s="69"/>
      <c r="WVY2188" s="70"/>
      <c r="WVZ2188" s="69"/>
      <c r="WWA2188" s="70"/>
      <c r="WWB2188" s="69"/>
      <c r="WWC2188" s="70"/>
      <c r="WWD2188" s="69"/>
      <c r="WWE2188" s="70"/>
      <c r="WWF2188" s="69"/>
      <c r="WWG2188" s="70"/>
      <c r="WWH2188" s="69"/>
      <c r="WWI2188" s="70"/>
      <c r="WWJ2188" s="69"/>
      <c r="WWK2188" s="70"/>
      <c r="WWL2188" s="69"/>
      <c r="WWM2188" s="70"/>
      <c r="WWN2188" s="69"/>
      <c r="WWO2188" s="70"/>
      <c r="WWP2188" s="69"/>
      <c r="WWQ2188" s="70"/>
      <c r="WWR2188" s="69"/>
      <c r="WWS2188" s="70"/>
      <c r="WWT2188" s="69"/>
      <c r="WWU2188" s="70"/>
      <c r="WWV2188" s="69"/>
      <c r="WWW2188" s="70"/>
      <c r="WWX2188" s="69"/>
      <c r="WWY2188" s="70"/>
      <c r="WWZ2188" s="69"/>
      <c r="WXA2188" s="70"/>
      <c r="WXB2188" s="69"/>
      <c r="WXC2188" s="70"/>
      <c r="WXD2188" s="69"/>
      <c r="WXE2188" s="70"/>
      <c r="WXF2188" s="69"/>
      <c r="WXG2188" s="70"/>
      <c r="WXH2188" s="69"/>
      <c r="WXI2188" s="70"/>
      <c r="WXJ2188" s="69"/>
      <c r="WXK2188" s="70"/>
      <c r="WXL2188" s="69"/>
      <c r="WXM2188" s="70"/>
      <c r="WXN2188" s="69"/>
      <c r="WXO2188" s="70"/>
      <c r="WXP2188" s="69"/>
      <c r="WXQ2188" s="70"/>
      <c r="WXR2188" s="69"/>
      <c r="WXS2188" s="70"/>
      <c r="WXT2188" s="69"/>
      <c r="WXU2188" s="70"/>
      <c r="WXV2188" s="69"/>
      <c r="WXW2188" s="70"/>
      <c r="WXX2188" s="69"/>
      <c r="WXY2188" s="70"/>
      <c r="WXZ2188" s="69"/>
      <c r="WYA2188" s="70"/>
      <c r="WYB2188" s="69"/>
      <c r="WYC2188" s="70"/>
      <c r="WYD2188" s="69"/>
      <c r="WYE2188" s="70"/>
      <c r="WYF2188" s="69"/>
      <c r="WYG2188" s="70"/>
      <c r="WYH2188" s="69"/>
      <c r="WYI2188" s="70"/>
      <c r="WYJ2188" s="69"/>
      <c r="WYK2188" s="70"/>
      <c r="WYL2188" s="69"/>
      <c r="WYM2188" s="70"/>
      <c r="WYN2188" s="69"/>
      <c r="WYO2188" s="70"/>
      <c r="WYP2188" s="69"/>
      <c r="WYQ2188" s="70"/>
      <c r="WYR2188" s="69"/>
      <c r="WYS2188" s="70"/>
      <c r="WYT2188" s="69"/>
      <c r="WYU2188" s="70"/>
      <c r="WYV2188" s="69"/>
      <c r="WYW2188" s="70"/>
      <c r="WYX2188" s="69"/>
      <c r="WYY2188" s="70"/>
      <c r="WYZ2188" s="69"/>
      <c r="WZA2188" s="70"/>
      <c r="WZB2188" s="69"/>
      <c r="WZC2188" s="70"/>
      <c r="WZD2188" s="69"/>
      <c r="WZE2188" s="70"/>
      <c r="WZF2188" s="69"/>
      <c r="WZG2188" s="70"/>
      <c r="WZH2188" s="69"/>
      <c r="WZI2188" s="70"/>
      <c r="WZJ2188" s="69"/>
      <c r="WZK2188" s="70"/>
      <c r="WZL2188" s="69"/>
      <c r="WZM2188" s="70"/>
      <c r="WZN2188" s="69"/>
      <c r="WZO2188" s="70"/>
      <c r="WZP2188" s="69"/>
      <c r="WZQ2188" s="70"/>
      <c r="WZR2188" s="69"/>
      <c r="WZS2188" s="70"/>
      <c r="WZT2188" s="69"/>
      <c r="WZU2188" s="70"/>
      <c r="WZV2188" s="69"/>
      <c r="WZW2188" s="70"/>
      <c r="WZX2188" s="69"/>
      <c r="WZY2188" s="70"/>
      <c r="WZZ2188" s="69"/>
      <c r="XAA2188" s="70"/>
      <c r="XAB2188" s="69"/>
      <c r="XAC2188" s="70"/>
      <c r="XAD2188" s="69"/>
      <c r="XAE2188" s="70"/>
      <c r="XAF2188" s="69"/>
      <c r="XAG2188" s="70"/>
      <c r="XAH2188" s="69"/>
      <c r="XAI2188" s="70"/>
      <c r="XAJ2188" s="69"/>
      <c r="XAK2188" s="70"/>
      <c r="XAL2188" s="69"/>
      <c r="XAM2188" s="70"/>
      <c r="XAN2188" s="69"/>
      <c r="XAO2188" s="70"/>
      <c r="XAP2188" s="69"/>
      <c r="XAQ2188" s="70"/>
      <c r="XAR2188" s="69"/>
      <c r="XAS2188" s="70"/>
      <c r="XAT2188" s="69"/>
      <c r="XAU2188" s="70"/>
      <c r="XAV2188" s="69"/>
      <c r="XAW2188" s="70"/>
      <c r="XAX2188" s="69"/>
      <c r="XAY2188" s="70"/>
      <c r="XAZ2188" s="69"/>
      <c r="XBA2188" s="70"/>
      <c r="XBB2188" s="69"/>
      <c r="XBC2188" s="70"/>
      <c r="XBD2188" s="69"/>
      <c r="XBE2188" s="70"/>
      <c r="XBF2188" s="69"/>
      <c r="XBG2188" s="70"/>
      <c r="XBH2188" s="69"/>
      <c r="XBI2188" s="70"/>
      <c r="XBJ2188" s="69"/>
      <c r="XBK2188" s="70"/>
      <c r="XBL2188" s="69"/>
      <c r="XBM2188" s="70"/>
      <c r="XBN2188" s="69"/>
      <c r="XBO2188" s="70"/>
      <c r="XBP2188" s="69"/>
      <c r="XBQ2188" s="70"/>
      <c r="XBR2188" s="69"/>
      <c r="XBS2188" s="70"/>
      <c r="XBT2188" s="69"/>
      <c r="XBU2188" s="70"/>
      <c r="XBV2188" s="69"/>
      <c r="XBW2188" s="70"/>
      <c r="XBX2188" s="69"/>
      <c r="XBY2188" s="70"/>
      <c r="XBZ2188" s="69"/>
      <c r="XCA2188" s="70"/>
      <c r="XCB2188" s="69"/>
      <c r="XCC2188" s="70"/>
      <c r="XCD2188" s="69"/>
      <c r="XCE2188" s="70"/>
      <c r="XCF2188" s="69"/>
      <c r="XCG2188" s="70"/>
      <c r="XCH2188" s="69"/>
      <c r="XCI2188" s="70"/>
      <c r="XCJ2188" s="69"/>
      <c r="XCK2188" s="70"/>
      <c r="XCL2188" s="69"/>
      <c r="XCM2188" s="70"/>
      <c r="XCN2188" s="69"/>
      <c r="XCO2188" s="70"/>
      <c r="XCP2188" s="69"/>
      <c r="XCQ2188" s="70"/>
      <c r="XCR2188" s="69"/>
      <c r="XCS2188" s="70"/>
      <c r="XCT2188" s="69"/>
      <c r="XCU2188" s="70"/>
      <c r="XCV2188" s="69"/>
      <c r="XCW2188" s="70"/>
      <c r="XCX2188" s="69"/>
      <c r="XCY2188" s="70"/>
      <c r="XCZ2188" s="69"/>
      <c r="XDA2188" s="70"/>
      <c r="XDB2188" s="69"/>
      <c r="XDC2188" s="70"/>
      <c r="XDD2188" s="69"/>
      <c r="XDE2188" s="70"/>
      <c r="XDF2188" s="69"/>
      <c r="XDG2188" s="70"/>
      <c r="XDH2188" s="69"/>
      <c r="XDI2188" s="70"/>
      <c r="XDJ2188" s="69"/>
      <c r="XDK2188" s="70"/>
      <c r="XDL2188" s="69"/>
      <c r="XDM2188" s="70"/>
      <c r="XDN2188" s="69"/>
      <c r="XDO2188" s="70"/>
      <c r="XDP2188" s="69"/>
      <c r="XDQ2188" s="70"/>
      <c r="XDR2188" s="69"/>
      <c r="XDS2188" s="70"/>
      <c r="XDT2188" s="69"/>
      <c r="XDU2188" s="70"/>
      <c r="XDV2188" s="69"/>
      <c r="XDW2188" s="70"/>
      <c r="XDX2188" s="69"/>
      <c r="XDY2188" s="70"/>
      <c r="XDZ2188" s="69"/>
      <c r="XEA2188" s="70"/>
      <c r="XEB2188" s="69"/>
      <c r="XEC2188" s="70"/>
      <c r="XED2188" s="69"/>
      <c r="XEE2188" s="70"/>
      <c r="XEF2188" s="69"/>
      <c r="XEG2188" s="70"/>
      <c r="XEH2188" s="69"/>
      <c r="XEI2188" s="70"/>
      <c r="XEJ2188" s="69"/>
      <c r="XEK2188" s="70"/>
      <c r="XEL2188" s="69"/>
      <c r="XEM2188" s="70"/>
      <c r="XEN2188" s="69"/>
      <c r="XEO2188" s="70"/>
      <c r="XEP2188" s="69"/>
      <c r="XEQ2188" s="70"/>
      <c r="XER2188" s="69"/>
      <c r="XES2188" s="70"/>
      <c r="XET2188" s="69"/>
      <c r="XEU2188" s="70"/>
      <c r="XEV2188" s="69"/>
      <c r="XEW2188" s="70"/>
      <c r="XEX2188" s="69"/>
      <c r="XEY2188" s="70"/>
      <c r="XEZ2188" s="69"/>
      <c r="XFA2188" s="70"/>
      <c r="XFB2188" s="69"/>
      <c r="XFC2188" s="70"/>
      <c r="XFD2188" s="69"/>
    </row>
    <row r="2189" spans="1:16384" ht="14.25" thickBot="1" x14ac:dyDescent="0.3">
      <c r="B2189" s="338" t="s">
        <v>18</v>
      </c>
      <c r="C2189" s="339">
        <v>45075</v>
      </c>
    </row>
    <row r="2190" spans="1:16384" ht="14.25" thickBot="1" x14ac:dyDescent="0.3">
      <c r="B2190" s="2" t="s">
        <v>0</v>
      </c>
      <c r="C2190" s="3" t="s">
        <v>1</v>
      </c>
      <c r="D2190" s="3" t="s">
        <v>2</v>
      </c>
      <c r="E2190" s="3" t="s">
        <v>3</v>
      </c>
      <c r="F2190" s="3"/>
      <c r="G2190" s="4" t="s">
        <v>4</v>
      </c>
      <c r="H2190" s="219"/>
      <c r="P2190" s="3" t="s">
        <v>268</v>
      </c>
      <c r="Q2190" s="3" t="s">
        <v>269</v>
      </c>
      <c r="R2190" s="217"/>
    </row>
    <row r="2191" spans="1:16384" ht="14.25" thickBot="1" x14ac:dyDescent="0.3">
      <c r="B2191" s="5">
        <v>273664</v>
      </c>
      <c r="C2191" s="6">
        <v>1135749</v>
      </c>
      <c r="D2191" s="6" t="s">
        <v>7</v>
      </c>
      <c r="E2191" s="6">
        <v>6060050026</v>
      </c>
      <c r="F2191" s="6"/>
      <c r="G2191" s="7">
        <v>13</v>
      </c>
      <c r="H2191" s="218"/>
      <c r="P2191" s="7">
        <f>IF((G2199-G2191)&gt;0,G2199-G2191,0)</f>
        <v>0</v>
      </c>
      <c r="Q2191" s="7">
        <f>IF((G2191-G2199)&gt;0,G2191-G2199,0)</f>
        <v>0</v>
      </c>
      <c r="R2191" s="218"/>
    </row>
    <row r="2192" spans="1:16384" ht="14.25" thickBot="1" x14ac:dyDescent="0.3">
      <c r="B2192" s="5">
        <v>273672</v>
      </c>
      <c r="C2192" s="6">
        <v>1135750</v>
      </c>
      <c r="D2192" s="6" t="s">
        <v>9</v>
      </c>
      <c r="E2192" s="6" t="s">
        <v>15</v>
      </c>
      <c r="F2192" s="6"/>
      <c r="G2192" s="7">
        <v>46</v>
      </c>
      <c r="H2192" s="218"/>
      <c r="P2192" s="7">
        <f>IF((G2200-G2192)&gt;0,G2200-G2192,0)</f>
        <v>0</v>
      </c>
      <c r="Q2192" s="7">
        <f>IF((G2192-G2200)&gt;0,G2192-G2200,0)</f>
        <v>0</v>
      </c>
      <c r="R2192" s="218"/>
    </row>
    <row r="2193" spans="2:37" ht="14.25" thickBot="1" x14ac:dyDescent="0.3">
      <c r="B2193" s="5">
        <v>273702</v>
      </c>
      <c r="C2193" s="6">
        <v>1135753</v>
      </c>
      <c r="D2193" s="6" t="s">
        <v>10</v>
      </c>
      <c r="E2193" s="6" t="s">
        <v>16</v>
      </c>
      <c r="F2193" s="6"/>
      <c r="G2193" s="7">
        <v>0</v>
      </c>
      <c r="H2193" s="218"/>
      <c r="P2193" s="7">
        <f>IF((G2201-G2193)&gt;0,G2201-G2193,0)</f>
        <v>2</v>
      </c>
      <c r="Q2193" s="7">
        <f>IF((G2193-G2201)&gt;0,G2193-G2201,0)</f>
        <v>0</v>
      </c>
      <c r="R2193" s="218"/>
    </row>
    <row r="2194" spans="2:37" ht="14.25" thickBot="1" x14ac:dyDescent="0.3">
      <c r="B2194" s="5">
        <v>273698</v>
      </c>
      <c r="C2194" s="6">
        <v>1135752</v>
      </c>
      <c r="D2194" s="6" t="s">
        <v>11</v>
      </c>
      <c r="E2194" s="6" t="s">
        <v>17</v>
      </c>
      <c r="F2194" s="6"/>
      <c r="G2194" s="7">
        <v>4</v>
      </c>
      <c r="H2194" s="218"/>
      <c r="P2194" s="7">
        <f>IF((G2202-G2194)&gt;0,G2202-G2194,0)</f>
        <v>1</v>
      </c>
      <c r="Q2194" s="7">
        <f>IF((G2194-G2202)&gt;0,G2194-G2202,0)</f>
        <v>0</v>
      </c>
      <c r="R2194" s="218"/>
    </row>
    <row r="2195" spans="2:37" ht="14.25" thickBot="1" x14ac:dyDescent="0.3">
      <c r="B2195" s="5">
        <v>273680</v>
      </c>
      <c r="C2195" s="6">
        <v>1135751</v>
      </c>
      <c r="D2195" s="6" t="s">
        <v>12</v>
      </c>
      <c r="E2195" s="6" t="s">
        <v>13</v>
      </c>
      <c r="F2195" s="6"/>
      <c r="G2195" s="7">
        <v>0</v>
      </c>
      <c r="H2195" s="218"/>
      <c r="P2195" s="7">
        <f>IF((G2203-G2195)&gt;0,G2203-G2195,0)</f>
        <v>7</v>
      </c>
      <c r="Q2195" s="7">
        <f>IF((G2195-G2203)&gt;0,G2195-G2203,0)</f>
        <v>0</v>
      </c>
      <c r="R2195" s="218"/>
    </row>
    <row r="2197" spans="2:37" ht="14.25" thickBot="1" x14ac:dyDescent="0.3">
      <c r="B2197" s="338" t="s">
        <v>18</v>
      </c>
      <c r="C2197" s="339">
        <v>45068</v>
      </c>
    </row>
    <row r="2198" spans="2:37" ht="14.25" thickBot="1" x14ac:dyDescent="0.3">
      <c r="B2198" s="2" t="s">
        <v>0</v>
      </c>
      <c r="C2198" s="3" t="s">
        <v>1</v>
      </c>
      <c r="D2198" s="3" t="s">
        <v>2</v>
      </c>
      <c r="E2198" s="3" t="s">
        <v>3</v>
      </c>
      <c r="F2198" s="3"/>
      <c r="G2198" s="4" t="s">
        <v>4</v>
      </c>
      <c r="H2198" s="219"/>
      <c r="P2198" s="3" t="s">
        <v>268</v>
      </c>
      <c r="Q2198" s="3" t="s">
        <v>269</v>
      </c>
      <c r="R2198" s="217"/>
    </row>
    <row r="2199" spans="2:37" ht="14.25" thickBot="1" x14ac:dyDescent="0.3">
      <c r="B2199" s="5">
        <v>273664</v>
      </c>
      <c r="C2199" s="6">
        <v>1135749</v>
      </c>
      <c r="D2199" s="6" t="s">
        <v>7</v>
      </c>
      <c r="E2199" s="6">
        <v>6060050026</v>
      </c>
      <c r="F2199" s="6"/>
      <c r="G2199" s="7">
        <v>13</v>
      </c>
      <c r="H2199" s="218"/>
      <c r="P2199" s="7">
        <f>IF((G2207-G2199)&gt;0,G2207-G2199,0)</f>
        <v>0</v>
      </c>
      <c r="Q2199" s="7">
        <f>IF((G2199-G2207)&gt;0,G2199-G2207,0)</f>
        <v>0</v>
      </c>
      <c r="R2199" s="218"/>
    </row>
    <row r="2200" spans="2:37" ht="14.25" thickBot="1" x14ac:dyDescent="0.3">
      <c r="B2200" s="5">
        <v>273672</v>
      </c>
      <c r="C2200" s="6">
        <v>1135750</v>
      </c>
      <c r="D2200" s="6" t="s">
        <v>9</v>
      </c>
      <c r="E2200" s="6" t="s">
        <v>15</v>
      </c>
      <c r="F2200" s="6"/>
      <c r="G2200" s="7">
        <v>46</v>
      </c>
      <c r="H2200" s="218"/>
      <c r="P2200" s="7">
        <f>IF((G2208-G2200)&gt;0,G2208-G2200,0)</f>
        <v>0</v>
      </c>
      <c r="Q2200" s="7">
        <f>IF((G2200-G2208)&gt;0,G2200-G2208,0)</f>
        <v>0</v>
      </c>
      <c r="R2200" s="218"/>
      <c r="S2200" s="14"/>
      <c r="T2200" s="14"/>
      <c r="U2200" s="14"/>
      <c r="V2200" s="14"/>
      <c r="W2200" s="14"/>
      <c r="X2200" s="14"/>
      <c r="Y2200" s="14"/>
      <c r="Z2200" s="14"/>
      <c r="AA2200" s="14"/>
      <c r="AB2200" s="14"/>
      <c r="AC2200" s="14"/>
      <c r="AD2200" s="14"/>
      <c r="AE2200" s="14"/>
      <c r="AF2200" s="14"/>
      <c r="AG2200" s="14"/>
      <c r="AH2200" s="14"/>
      <c r="AI2200" s="14"/>
      <c r="AJ2200" s="14"/>
      <c r="AK2200" s="14"/>
    </row>
    <row r="2201" spans="2:37" ht="14.25" thickBot="1" x14ac:dyDescent="0.3">
      <c r="B2201" s="5">
        <v>273702</v>
      </c>
      <c r="C2201" s="6">
        <v>1135753</v>
      </c>
      <c r="D2201" s="6" t="s">
        <v>10</v>
      </c>
      <c r="E2201" s="6" t="s">
        <v>16</v>
      </c>
      <c r="F2201" s="6"/>
      <c r="G2201" s="7">
        <v>2</v>
      </c>
      <c r="H2201" s="218"/>
      <c r="P2201" s="7">
        <f>IF((G2209-G2201)&gt;0,G2209-G2201,0)</f>
        <v>0</v>
      </c>
      <c r="Q2201" s="7">
        <f>IF((G2201-G2209)&gt;0,G2201-G2209,0)</f>
        <v>0</v>
      </c>
      <c r="R2201" s="218"/>
      <c r="S2201" s="14"/>
      <c r="T2201" s="14"/>
      <c r="U2201" s="14"/>
      <c r="V2201" s="14"/>
      <c r="W2201" s="14"/>
      <c r="X2201" s="14"/>
      <c r="Y2201" s="14"/>
      <c r="Z2201" s="14"/>
      <c r="AA2201" s="14"/>
      <c r="AB2201" s="14"/>
      <c r="AC2201" s="14"/>
      <c r="AD2201" s="14"/>
      <c r="AE2201" s="14"/>
      <c r="AF2201" s="14"/>
      <c r="AG2201" s="14"/>
      <c r="AH2201" s="14"/>
      <c r="AI2201" s="14"/>
      <c r="AJ2201" s="14"/>
      <c r="AK2201" s="14"/>
    </row>
    <row r="2202" spans="2:37" ht="14.25" thickBot="1" x14ac:dyDescent="0.3">
      <c r="B2202" s="5">
        <v>273698</v>
      </c>
      <c r="C2202" s="6">
        <v>1135752</v>
      </c>
      <c r="D2202" s="6" t="s">
        <v>11</v>
      </c>
      <c r="E2202" s="6" t="s">
        <v>17</v>
      </c>
      <c r="F2202" s="6"/>
      <c r="G2202" s="7">
        <v>5</v>
      </c>
      <c r="H2202" s="218"/>
      <c r="P2202" s="7">
        <f>IF((G2210-G2202)&gt;0,G2210-G2202,0)</f>
        <v>0</v>
      </c>
      <c r="Q2202" s="7">
        <f>IF((G2202-G2210)&gt;0,G2202-G2210,0)</f>
        <v>0</v>
      </c>
      <c r="R2202" s="218"/>
      <c r="S2202" s="14"/>
      <c r="T2202" s="14"/>
      <c r="U2202" s="14"/>
      <c r="V2202" s="14"/>
      <c r="W2202" s="14"/>
      <c r="X2202" s="14"/>
      <c r="Y2202" s="14"/>
      <c r="Z2202" s="14"/>
      <c r="AA2202" s="14"/>
      <c r="AB2202" s="14"/>
      <c r="AC2202" s="14"/>
      <c r="AD2202" s="14"/>
      <c r="AE2202" s="14"/>
      <c r="AF2202" s="14"/>
      <c r="AG2202" s="14"/>
      <c r="AH2202" s="14"/>
      <c r="AI2202" s="14"/>
      <c r="AJ2202" s="14"/>
      <c r="AK2202" s="14"/>
    </row>
    <row r="2203" spans="2:37" ht="14.25" thickBot="1" x14ac:dyDescent="0.3">
      <c r="B2203" s="5">
        <v>273680</v>
      </c>
      <c r="C2203" s="6">
        <v>1135751</v>
      </c>
      <c r="D2203" s="6" t="s">
        <v>12</v>
      </c>
      <c r="E2203" s="6" t="s">
        <v>13</v>
      </c>
      <c r="F2203" s="6"/>
      <c r="G2203" s="7">
        <v>7</v>
      </c>
      <c r="H2203" s="218"/>
      <c r="P2203" s="7">
        <f>IF((G2211-G2203)&gt;0,G2211-G2203,0)</f>
        <v>0</v>
      </c>
      <c r="Q2203" s="7">
        <f>IF((G2203-G2211)&gt;0,G2203-G2211,0)</f>
        <v>0</v>
      </c>
      <c r="R2203" s="218"/>
      <c r="S2203" s="14"/>
      <c r="T2203" s="14"/>
      <c r="U2203" s="14"/>
      <c r="V2203" s="14"/>
      <c r="W2203" s="14"/>
      <c r="X2203" s="14"/>
      <c r="Y2203" s="14"/>
      <c r="Z2203" s="14"/>
      <c r="AA2203" s="14"/>
      <c r="AB2203" s="14"/>
      <c r="AC2203" s="14"/>
      <c r="AD2203" s="14"/>
      <c r="AE2203" s="14"/>
      <c r="AF2203" s="14"/>
      <c r="AG2203" s="14"/>
      <c r="AH2203" s="14"/>
      <c r="AI2203" s="14"/>
      <c r="AJ2203" s="14"/>
      <c r="AK2203" s="14"/>
    </row>
    <row r="2205" spans="2:37" ht="14.25" thickBot="1" x14ac:dyDescent="0.3">
      <c r="B2205" s="338" t="s">
        <v>18</v>
      </c>
      <c r="C2205" s="339">
        <v>45061</v>
      </c>
      <c r="S2205" s="14"/>
      <c r="T2205" s="14"/>
      <c r="U2205" s="14"/>
      <c r="V2205" s="14"/>
      <c r="W2205" s="14"/>
      <c r="X2205" s="14"/>
      <c r="Y2205" s="14"/>
      <c r="Z2205" s="14"/>
      <c r="AA2205" s="14"/>
      <c r="AB2205" s="14"/>
      <c r="AC2205" s="14"/>
      <c r="AD2205" s="14"/>
      <c r="AE2205" s="14"/>
      <c r="AF2205" s="14"/>
      <c r="AG2205" s="14"/>
      <c r="AH2205" s="14"/>
      <c r="AI2205" s="14"/>
      <c r="AJ2205" s="14"/>
      <c r="AK2205" s="14"/>
    </row>
    <row r="2206" spans="2:37" ht="14.25" thickBot="1" x14ac:dyDescent="0.3">
      <c r="B2206" s="2" t="s">
        <v>0</v>
      </c>
      <c r="C2206" s="3" t="s">
        <v>1</v>
      </c>
      <c r="D2206" s="3" t="s">
        <v>2</v>
      </c>
      <c r="E2206" s="3" t="s">
        <v>3</v>
      </c>
      <c r="F2206" s="3"/>
      <c r="G2206" s="4" t="s">
        <v>4</v>
      </c>
      <c r="H2206" s="219"/>
      <c r="S2206" s="14"/>
      <c r="T2206" s="14"/>
      <c r="U2206" s="14"/>
      <c r="V2206" s="14"/>
      <c r="W2206" s="14"/>
      <c r="X2206" s="14"/>
      <c r="Y2206" s="14"/>
      <c r="Z2206" s="14"/>
      <c r="AA2206" s="14"/>
      <c r="AB2206" s="14"/>
      <c r="AC2206" s="14"/>
      <c r="AD2206" s="14"/>
      <c r="AE2206" s="14"/>
      <c r="AF2206" s="14"/>
      <c r="AG2206" s="14"/>
      <c r="AH2206" s="14"/>
      <c r="AI2206" s="14"/>
      <c r="AJ2206" s="14"/>
      <c r="AK2206" s="14"/>
    </row>
    <row r="2207" spans="2:37" ht="14.25" thickBot="1" x14ac:dyDescent="0.3">
      <c r="B2207" s="5">
        <v>273664</v>
      </c>
      <c r="C2207" s="6">
        <v>1135749</v>
      </c>
      <c r="D2207" s="6" t="s">
        <v>7</v>
      </c>
      <c r="E2207" s="6">
        <v>6060050026</v>
      </c>
      <c r="F2207" s="6"/>
      <c r="G2207" s="7">
        <v>13</v>
      </c>
      <c r="H2207" s="218"/>
      <c r="S2207" s="14"/>
      <c r="T2207" s="14"/>
      <c r="U2207" s="14"/>
      <c r="V2207" s="14"/>
      <c r="W2207" s="14"/>
      <c r="X2207" s="14"/>
      <c r="Y2207" s="14"/>
      <c r="Z2207" s="14"/>
      <c r="AA2207" s="14"/>
      <c r="AB2207" s="14"/>
      <c r="AC2207" s="14"/>
      <c r="AD2207" s="14"/>
      <c r="AE2207" s="14"/>
      <c r="AF2207" s="14"/>
      <c r="AG2207" s="14"/>
      <c r="AH2207" s="14"/>
      <c r="AI2207" s="14"/>
      <c r="AJ2207" s="14"/>
      <c r="AK2207" s="14"/>
    </row>
    <row r="2208" spans="2:37" ht="14.25" thickBot="1" x14ac:dyDescent="0.3">
      <c r="B2208" s="5">
        <v>273672</v>
      </c>
      <c r="C2208" s="6">
        <v>1135750</v>
      </c>
      <c r="D2208" s="6" t="s">
        <v>9</v>
      </c>
      <c r="E2208" s="6" t="s">
        <v>15</v>
      </c>
      <c r="F2208" s="6"/>
      <c r="G2208" s="7">
        <v>46</v>
      </c>
      <c r="H2208" s="218"/>
      <c r="S2208" s="14"/>
      <c r="T2208" s="14"/>
      <c r="U2208" s="14"/>
      <c r="V2208" s="14"/>
      <c r="W2208" s="14"/>
      <c r="X2208" s="14"/>
      <c r="Y2208" s="14"/>
      <c r="Z2208" s="14"/>
      <c r="AA2208" s="14"/>
      <c r="AB2208" s="14"/>
      <c r="AC2208" s="14"/>
      <c r="AD2208" s="14"/>
      <c r="AE2208" s="14"/>
      <c r="AF2208" s="14"/>
      <c r="AG2208" s="14"/>
      <c r="AH2208" s="14"/>
      <c r="AI2208" s="14"/>
      <c r="AJ2208" s="14"/>
      <c r="AK2208" s="14"/>
    </row>
    <row r="2209" spans="2:37" ht="14.25" thickBot="1" x14ac:dyDescent="0.3">
      <c r="B2209" s="5">
        <v>273702</v>
      </c>
      <c r="C2209" s="6">
        <v>1135753</v>
      </c>
      <c r="D2209" s="6" t="s">
        <v>10</v>
      </c>
      <c r="E2209" s="6" t="s">
        <v>16</v>
      </c>
      <c r="F2209" s="6"/>
      <c r="G2209" s="7">
        <v>2</v>
      </c>
      <c r="H2209" s="218"/>
      <c r="S2209" s="14"/>
      <c r="T2209" s="14"/>
      <c r="U2209" s="14"/>
      <c r="V2209" s="14"/>
      <c r="W2209" s="14"/>
      <c r="X2209" s="14"/>
      <c r="Y2209" s="14"/>
      <c r="Z2209" s="14"/>
      <c r="AA2209" s="14"/>
      <c r="AB2209" s="14"/>
      <c r="AC2209" s="14"/>
      <c r="AD2209" s="14"/>
      <c r="AE2209" s="14"/>
      <c r="AF2209" s="14"/>
      <c r="AG2209" s="14"/>
      <c r="AH2209" s="14"/>
      <c r="AI2209" s="14"/>
      <c r="AJ2209" s="14"/>
      <c r="AK2209" s="14"/>
    </row>
    <row r="2210" spans="2:37" ht="14.25" thickBot="1" x14ac:dyDescent="0.3">
      <c r="B2210" s="5">
        <v>273698</v>
      </c>
      <c r="C2210" s="6">
        <v>1135752</v>
      </c>
      <c r="D2210" s="6" t="s">
        <v>11</v>
      </c>
      <c r="E2210" s="6" t="s">
        <v>17</v>
      </c>
      <c r="F2210" s="6"/>
      <c r="G2210" s="7">
        <v>5</v>
      </c>
      <c r="H2210" s="218"/>
      <c r="S2210" s="14"/>
      <c r="T2210" s="14"/>
      <c r="U2210" s="14"/>
      <c r="V2210" s="14"/>
      <c r="W2210" s="14"/>
      <c r="X2210" s="14"/>
      <c r="Y2210" s="14"/>
      <c r="Z2210" s="14"/>
      <c r="AA2210" s="14"/>
      <c r="AB2210" s="14"/>
      <c r="AC2210" s="14"/>
      <c r="AD2210" s="14"/>
      <c r="AE2210" s="14"/>
      <c r="AF2210" s="14"/>
      <c r="AG2210" s="14"/>
      <c r="AH2210" s="14"/>
      <c r="AI2210" s="14"/>
      <c r="AJ2210" s="14"/>
      <c r="AK2210" s="14"/>
    </row>
    <row r="2211" spans="2:37" ht="14.25" thickBot="1" x14ac:dyDescent="0.3">
      <c r="B2211" s="5">
        <v>273680</v>
      </c>
      <c r="C2211" s="6">
        <v>1135751</v>
      </c>
      <c r="D2211" s="6" t="s">
        <v>12</v>
      </c>
      <c r="E2211" s="6" t="s">
        <v>13</v>
      </c>
      <c r="F2211" s="6"/>
      <c r="G2211" s="7">
        <v>7</v>
      </c>
      <c r="H2211" s="218"/>
      <c r="S2211" s="14"/>
      <c r="T2211" s="14"/>
      <c r="U2211" s="14"/>
      <c r="V2211" s="14"/>
      <c r="W2211" s="14"/>
      <c r="X2211" s="14"/>
      <c r="Y2211" s="14"/>
      <c r="Z2211" s="14"/>
      <c r="AA2211" s="14"/>
      <c r="AB2211" s="14"/>
      <c r="AC2211" s="14"/>
      <c r="AD2211" s="14"/>
      <c r="AE2211" s="14"/>
      <c r="AF2211" s="14"/>
      <c r="AG2211" s="14"/>
      <c r="AH2211" s="14"/>
      <c r="AI2211" s="14"/>
      <c r="AJ2211" s="14"/>
      <c r="AK2211" s="14"/>
    </row>
    <row r="2213" spans="2:37" ht="14.25" thickBot="1" x14ac:dyDescent="0.3">
      <c r="B2213" s="338" t="s">
        <v>18</v>
      </c>
      <c r="C2213" s="339">
        <v>45054</v>
      </c>
      <c r="S2213" s="14"/>
      <c r="T2213" s="14"/>
      <c r="U2213" s="14"/>
      <c r="V2213" s="14"/>
      <c r="W2213" s="14"/>
      <c r="X2213" s="14"/>
      <c r="Y2213" s="14"/>
      <c r="Z2213" s="14"/>
      <c r="AA2213" s="14"/>
      <c r="AB2213" s="14"/>
      <c r="AC2213" s="14"/>
      <c r="AD2213" s="14"/>
      <c r="AE2213" s="14"/>
      <c r="AF2213" s="14"/>
      <c r="AG2213" s="14"/>
      <c r="AH2213" s="14"/>
      <c r="AI2213" s="14"/>
      <c r="AJ2213" s="14"/>
      <c r="AK2213" s="14"/>
    </row>
    <row r="2214" spans="2:37" ht="14.25" thickBot="1" x14ac:dyDescent="0.3">
      <c r="B2214" s="2" t="s">
        <v>0</v>
      </c>
      <c r="C2214" s="3" t="s">
        <v>1</v>
      </c>
      <c r="D2214" s="3" t="s">
        <v>2</v>
      </c>
      <c r="E2214" s="3" t="s">
        <v>3</v>
      </c>
      <c r="F2214" s="3"/>
      <c r="G2214" s="4" t="s">
        <v>4</v>
      </c>
      <c r="H2214" s="219"/>
      <c r="S2214" s="14"/>
      <c r="T2214" s="14"/>
      <c r="U2214" s="14"/>
      <c r="V2214" s="14"/>
      <c r="W2214" s="14"/>
      <c r="X2214" s="14"/>
      <c r="Y2214" s="14"/>
      <c r="Z2214" s="14"/>
      <c r="AA2214" s="14"/>
      <c r="AB2214" s="14"/>
      <c r="AC2214" s="14"/>
      <c r="AD2214" s="14"/>
      <c r="AE2214" s="14"/>
      <c r="AF2214" s="14"/>
      <c r="AG2214" s="14"/>
      <c r="AH2214" s="14"/>
      <c r="AI2214" s="14"/>
      <c r="AJ2214" s="14"/>
      <c r="AK2214" s="14"/>
    </row>
    <row r="2215" spans="2:37" ht="14.25" thickBot="1" x14ac:dyDescent="0.3">
      <c r="B2215" s="5">
        <v>273664</v>
      </c>
      <c r="C2215" s="6">
        <v>1135749</v>
      </c>
      <c r="D2215" s="6" t="s">
        <v>7</v>
      </c>
      <c r="E2215" s="6">
        <v>6060050026</v>
      </c>
      <c r="F2215" s="6"/>
      <c r="G2215" s="7">
        <v>13</v>
      </c>
      <c r="H2215" s="218"/>
      <c r="S2215" s="14"/>
      <c r="T2215" s="14"/>
      <c r="U2215" s="14"/>
      <c r="V2215" s="14"/>
      <c r="W2215" s="14"/>
      <c r="X2215" s="14"/>
      <c r="Y2215" s="14"/>
      <c r="Z2215" s="14"/>
      <c r="AA2215" s="14"/>
      <c r="AB2215" s="14"/>
      <c r="AC2215" s="14"/>
      <c r="AD2215" s="14"/>
      <c r="AE2215" s="14"/>
      <c r="AF2215" s="14"/>
      <c r="AG2215" s="14"/>
      <c r="AH2215" s="14"/>
      <c r="AI2215" s="14"/>
      <c r="AJ2215" s="14"/>
      <c r="AK2215" s="14"/>
    </row>
    <row r="2216" spans="2:37" ht="14.25" thickBot="1" x14ac:dyDescent="0.3">
      <c r="B2216" s="5">
        <v>273672</v>
      </c>
      <c r="C2216" s="6">
        <v>1135750</v>
      </c>
      <c r="D2216" s="6" t="s">
        <v>9</v>
      </c>
      <c r="E2216" s="6" t="s">
        <v>15</v>
      </c>
      <c r="F2216" s="6"/>
      <c r="G2216" s="7">
        <v>46</v>
      </c>
      <c r="H2216" s="218"/>
      <c r="P2216" s="14"/>
      <c r="Q2216" s="14"/>
      <c r="R2216" s="14"/>
      <c r="S2216" s="14"/>
      <c r="T2216" s="14"/>
      <c r="U2216" s="14"/>
      <c r="V2216" s="14"/>
      <c r="W2216" s="14"/>
      <c r="X2216" s="14"/>
      <c r="Y2216" s="14"/>
      <c r="Z2216" s="14"/>
      <c r="AA2216" s="14"/>
      <c r="AB2216" s="14"/>
      <c r="AC2216" s="14"/>
      <c r="AD2216" s="14"/>
      <c r="AE2216" s="14"/>
      <c r="AF2216" s="14"/>
      <c r="AG2216" s="14"/>
      <c r="AH2216" s="14"/>
      <c r="AI2216" s="14"/>
      <c r="AJ2216" s="14"/>
      <c r="AK2216" s="14"/>
    </row>
    <row r="2217" spans="2:37" ht="14.25" thickBot="1" x14ac:dyDescent="0.3">
      <c r="B2217" s="5">
        <v>273702</v>
      </c>
      <c r="C2217" s="6">
        <v>1135753</v>
      </c>
      <c r="D2217" s="6" t="s">
        <v>10</v>
      </c>
      <c r="E2217" s="6" t="s">
        <v>16</v>
      </c>
      <c r="F2217" s="6"/>
      <c r="G2217" s="7">
        <v>2</v>
      </c>
      <c r="H2217" s="218"/>
      <c r="P2217" s="14"/>
      <c r="Q2217" s="14"/>
      <c r="R2217" s="14"/>
      <c r="S2217" s="14"/>
      <c r="T2217" s="14"/>
      <c r="U2217" s="14"/>
      <c r="V2217" s="14"/>
      <c r="W2217" s="14"/>
      <c r="X2217" s="14"/>
      <c r="Y2217" s="14"/>
      <c r="Z2217" s="14"/>
      <c r="AA2217" s="14"/>
      <c r="AB2217" s="14"/>
      <c r="AC2217" s="14"/>
      <c r="AD2217" s="14"/>
      <c r="AE2217" s="14"/>
      <c r="AF2217" s="14"/>
      <c r="AG2217" s="14"/>
      <c r="AH2217" s="14"/>
      <c r="AI2217" s="14"/>
      <c r="AJ2217" s="14"/>
      <c r="AK2217" s="14"/>
    </row>
    <row r="2218" spans="2:37" ht="14.25" thickBot="1" x14ac:dyDescent="0.3">
      <c r="B2218" s="5">
        <v>273698</v>
      </c>
      <c r="C2218" s="6">
        <v>1135752</v>
      </c>
      <c r="D2218" s="6" t="s">
        <v>11</v>
      </c>
      <c r="E2218" s="6" t="s">
        <v>17</v>
      </c>
      <c r="F2218" s="6"/>
      <c r="G2218" s="7">
        <v>5</v>
      </c>
      <c r="H2218" s="218"/>
      <c r="P2218" s="14"/>
      <c r="Q2218" s="14"/>
      <c r="R2218" s="14"/>
      <c r="S2218" s="14"/>
      <c r="T2218" s="14"/>
      <c r="U2218" s="14"/>
      <c r="V2218" s="14"/>
      <c r="W2218" s="14"/>
      <c r="X2218" s="14"/>
      <c r="Y2218" s="14"/>
      <c r="Z2218" s="14"/>
      <c r="AA2218" s="14"/>
      <c r="AB2218" s="14"/>
      <c r="AC2218" s="14"/>
      <c r="AD2218" s="14"/>
      <c r="AE2218" s="14"/>
      <c r="AF2218" s="14"/>
      <c r="AG2218" s="14"/>
      <c r="AH2218" s="14"/>
      <c r="AI2218" s="14"/>
      <c r="AJ2218" s="14"/>
      <c r="AK2218" s="14"/>
    </row>
    <row r="2219" spans="2:37" ht="14.25" thickBot="1" x14ac:dyDescent="0.3">
      <c r="B2219" s="5">
        <v>273680</v>
      </c>
      <c r="C2219" s="6">
        <v>1135751</v>
      </c>
      <c r="D2219" s="6" t="s">
        <v>12</v>
      </c>
      <c r="E2219" s="6" t="s">
        <v>13</v>
      </c>
      <c r="F2219" s="6"/>
      <c r="G2219" s="7">
        <v>0</v>
      </c>
      <c r="H2219" s="218"/>
      <c r="P2219" s="14"/>
      <c r="Q2219" s="14"/>
      <c r="R2219" s="14"/>
      <c r="S2219" s="14"/>
      <c r="T2219" s="14"/>
      <c r="U2219" s="14"/>
      <c r="V2219" s="14"/>
      <c r="W2219" s="14"/>
      <c r="X2219" s="14"/>
      <c r="Y2219" s="14"/>
      <c r="Z2219" s="14"/>
      <c r="AA2219" s="14"/>
      <c r="AB2219" s="14"/>
      <c r="AC2219" s="14"/>
      <c r="AD2219" s="14"/>
      <c r="AE2219" s="14"/>
      <c r="AF2219" s="14"/>
      <c r="AG2219" s="14"/>
      <c r="AH2219" s="14"/>
      <c r="AI2219" s="14"/>
      <c r="AJ2219" s="14"/>
      <c r="AK2219" s="14"/>
    </row>
    <row r="2220" spans="2:37" x14ac:dyDescent="0.25">
      <c r="B2220" s="339"/>
      <c r="C2220" s="338"/>
      <c r="D2220" s="339"/>
      <c r="E2220" s="338"/>
      <c r="F2220" s="338"/>
      <c r="G2220" s="339"/>
      <c r="H2220" s="339"/>
      <c r="I2220" s="338"/>
      <c r="J2220" s="338"/>
      <c r="K2220" s="339"/>
      <c r="L2220" s="338"/>
      <c r="M2220" s="338"/>
      <c r="N2220" s="339"/>
      <c r="O2220" s="339"/>
      <c r="P2220" s="14"/>
      <c r="Q2220" s="14"/>
      <c r="R2220" s="14"/>
      <c r="S2220" s="14"/>
      <c r="T2220" s="14"/>
      <c r="U2220" s="14"/>
      <c r="V2220" s="14"/>
      <c r="W2220" s="14"/>
      <c r="X2220" s="14"/>
      <c r="Y2220" s="14"/>
      <c r="Z2220" s="14"/>
      <c r="AA2220" s="14"/>
      <c r="AB2220" s="14"/>
      <c r="AC2220" s="14"/>
      <c r="AD2220" s="14"/>
      <c r="AE2220" s="14"/>
      <c r="AF2220" s="14"/>
      <c r="AG2220" s="14"/>
      <c r="AH2220" s="14"/>
      <c r="AI2220" s="14"/>
      <c r="AJ2220" s="14"/>
      <c r="AK2220" s="14"/>
    </row>
    <row r="2221" spans="2:37" ht="14.25" thickBot="1" x14ac:dyDescent="0.3">
      <c r="B2221" s="338" t="s">
        <v>18</v>
      </c>
      <c r="C2221" s="339">
        <v>45047</v>
      </c>
      <c r="P2221" s="14"/>
      <c r="Q2221" s="14"/>
      <c r="R2221" s="14"/>
      <c r="S2221" s="14"/>
      <c r="T2221" s="14"/>
      <c r="U2221" s="14"/>
      <c r="V2221" s="14"/>
      <c r="W2221" s="14"/>
      <c r="X2221" s="14"/>
      <c r="Y2221" s="14"/>
      <c r="Z2221" s="14"/>
      <c r="AA2221" s="14"/>
      <c r="AB2221" s="14"/>
      <c r="AC2221" s="14"/>
      <c r="AD2221" s="14"/>
      <c r="AE2221" s="14"/>
      <c r="AF2221" s="14"/>
      <c r="AG2221" s="14"/>
      <c r="AH2221" s="14"/>
      <c r="AI2221" s="14"/>
      <c r="AJ2221" s="14"/>
      <c r="AK2221" s="14"/>
    </row>
    <row r="2222" spans="2:37" ht="14.25" thickBot="1" x14ac:dyDescent="0.3">
      <c r="B2222" s="2" t="s">
        <v>0</v>
      </c>
      <c r="C2222" s="3" t="s">
        <v>1</v>
      </c>
      <c r="D2222" s="3" t="s">
        <v>2</v>
      </c>
      <c r="E2222" s="3" t="s">
        <v>3</v>
      </c>
      <c r="F2222" s="3"/>
      <c r="G2222" s="4" t="s">
        <v>4</v>
      </c>
      <c r="H2222" s="219"/>
      <c r="P2222" s="14"/>
      <c r="Q2222" s="14"/>
      <c r="R2222" s="14"/>
      <c r="S2222" s="14"/>
      <c r="T2222" s="14"/>
      <c r="U2222" s="14"/>
      <c r="V2222" s="14"/>
      <c r="W2222" s="14"/>
      <c r="X2222" s="14"/>
      <c r="Y2222" s="14"/>
      <c r="Z2222" s="14"/>
      <c r="AA2222" s="14"/>
      <c r="AB2222" s="14"/>
      <c r="AC2222" s="14"/>
      <c r="AD2222" s="14"/>
      <c r="AE2222" s="14"/>
      <c r="AF2222" s="14"/>
      <c r="AG2222" s="14"/>
      <c r="AH2222" s="14"/>
      <c r="AI2222" s="14"/>
      <c r="AJ2222" s="14"/>
      <c r="AK2222" s="14"/>
    </row>
    <row r="2223" spans="2:37" ht="14.25" thickBot="1" x14ac:dyDescent="0.3">
      <c r="B2223" s="5">
        <v>273664</v>
      </c>
      <c r="C2223" s="6">
        <v>1135749</v>
      </c>
      <c r="D2223" s="6" t="s">
        <v>7</v>
      </c>
      <c r="E2223" s="6">
        <v>6060050026</v>
      </c>
      <c r="F2223" s="6"/>
      <c r="G2223" s="7">
        <v>13</v>
      </c>
      <c r="H2223" s="218"/>
      <c r="P2223" s="14"/>
      <c r="Q2223" s="14"/>
      <c r="R2223" s="14"/>
      <c r="S2223" s="14"/>
      <c r="T2223" s="14"/>
      <c r="U2223" s="14"/>
      <c r="V2223" s="14"/>
      <c r="W2223" s="14"/>
      <c r="X2223" s="14"/>
      <c r="Y2223" s="14"/>
      <c r="Z2223" s="14"/>
      <c r="AA2223" s="14"/>
      <c r="AB2223" s="14"/>
      <c r="AC2223" s="14"/>
      <c r="AD2223" s="14"/>
      <c r="AE2223" s="14"/>
      <c r="AF2223" s="14"/>
      <c r="AG2223" s="14"/>
      <c r="AH2223" s="14"/>
      <c r="AI2223" s="14"/>
      <c r="AJ2223" s="14"/>
      <c r="AK2223" s="14"/>
    </row>
    <row r="2224" spans="2:37" ht="14.25" thickBot="1" x14ac:dyDescent="0.3">
      <c r="B2224" s="5">
        <v>273672</v>
      </c>
      <c r="C2224" s="6">
        <v>1135750</v>
      </c>
      <c r="D2224" s="6" t="s">
        <v>9</v>
      </c>
      <c r="E2224" s="6" t="s">
        <v>15</v>
      </c>
      <c r="F2224" s="6"/>
      <c r="G2224" s="7">
        <v>46</v>
      </c>
      <c r="H2224" s="218"/>
      <c r="P2224" s="14"/>
      <c r="Q2224" s="14"/>
      <c r="R2224" s="14"/>
      <c r="S2224" s="14"/>
      <c r="T2224" s="14"/>
      <c r="U2224" s="14"/>
      <c r="V2224" s="14"/>
      <c r="W2224" s="14"/>
      <c r="X2224" s="14"/>
      <c r="Y2224" s="14"/>
      <c r="Z2224" s="14"/>
      <c r="AA2224" s="14"/>
      <c r="AB2224" s="14"/>
      <c r="AC2224" s="14"/>
      <c r="AD2224" s="14"/>
      <c r="AE2224" s="14"/>
      <c r="AF2224" s="14"/>
      <c r="AG2224" s="14"/>
      <c r="AH2224" s="14"/>
      <c r="AI2224" s="14"/>
      <c r="AJ2224" s="14"/>
      <c r="AK2224" s="14"/>
    </row>
    <row r="2225" spans="2:37" ht="14.25" thickBot="1" x14ac:dyDescent="0.3">
      <c r="B2225" s="5">
        <v>273702</v>
      </c>
      <c r="C2225" s="6">
        <v>1135753</v>
      </c>
      <c r="D2225" s="6" t="s">
        <v>10</v>
      </c>
      <c r="E2225" s="6" t="s">
        <v>16</v>
      </c>
      <c r="F2225" s="6"/>
      <c r="G2225" s="7">
        <v>2</v>
      </c>
      <c r="H2225" s="218"/>
      <c r="P2225" s="14"/>
      <c r="Q2225" s="14"/>
      <c r="R2225" s="14"/>
      <c r="S2225" s="14"/>
      <c r="T2225" s="14"/>
      <c r="U2225" s="14"/>
      <c r="V2225" s="14"/>
      <c r="W2225" s="14"/>
      <c r="X2225" s="14"/>
      <c r="Y2225" s="14"/>
      <c r="Z2225" s="14"/>
      <c r="AA2225" s="14"/>
      <c r="AB2225" s="14"/>
      <c r="AC2225" s="14"/>
      <c r="AD2225" s="14"/>
      <c r="AE2225" s="14"/>
      <c r="AF2225" s="14"/>
      <c r="AG2225" s="14"/>
      <c r="AH2225" s="14"/>
      <c r="AI2225" s="14"/>
      <c r="AJ2225" s="14"/>
      <c r="AK2225" s="14"/>
    </row>
    <row r="2226" spans="2:37" ht="14.25" thickBot="1" x14ac:dyDescent="0.3">
      <c r="B2226" s="5">
        <v>273698</v>
      </c>
      <c r="C2226" s="6">
        <v>1135752</v>
      </c>
      <c r="D2226" s="6" t="s">
        <v>11</v>
      </c>
      <c r="E2226" s="6" t="s">
        <v>17</v>
      </c>
      <c r="F2226" s="6"/>
      <c r="G2226" s="7">
        <v>5</v>
      </c>
      <c r="H2226" s="218"/>
      <c r="P2226" s="14"/>
      <c r="Q2226" s="14"/>
      <c r="R2226" s="14"/>
      <c r="S2226" s="14"/>
      <c r="T2226" s="14"/>
      <c r="U2226" s="14"/>
      <c r="V2226" s="14"/>
      <c r="W2226" s="14"/>
      <c r="X2226" s="14"/>
      <c r="Y2226" s="14"/>
      <c r="Z2226" s="14"/>
      <c r="AA2226" s="14"/>
      <c r="AB2226" s="14"/>
      <c r="AC2226" s="14"/>
      <c r="AD2226" s="14"/>
      <c r="AE2226" s="14"/>
      <c r="AF2226" s="14"/>
      <c r="AG2226" s="14"/>
      <c r="AH2226" s="14"/>
      <c r="AI2226" s="14"/>
      <c r="AJ2226" s="14"/>
      <c r="AK2226" s="14"/>
    </row>
    <row r="2227" spans="2:37" ht="14.25" thickBot="1" x14ac:dyDescent="0.3">
      <c r="B2227" s="5">
        <v>273680</v>
      </c>
      <c r="C2227" s="6">
        <v>1135751</v>
      </c>
      <c r="D2227" s="6" t="s">
        <v>12</v>
      </c>
      <c r="E2227" s="6" t="s">
        <v>13</v>
      </c>
      <c r="F2227" s="6"/>
      <c r="G2227" s="7">
        <v>0</v>
      </c>
      <c r="H2227" s="218"/>
      <c r="P2227" s="14"/>
      <c r="Q2227" s="14"/>
      <c r="R2227" s="14"/>
      <c r="S2227" s="14"/>
      <c r="T2227" s="14"/>
      <c r="U2227" s="14"/>
      <c r="V2227" s="14"/>
      <c r="W2227" s="14"/>
      <c r="X2227" s="14"/>
      <c r="Y2227" s="14"/>
      <c r="Z2227" s="14"/>
      <c r="AA2227" s="14"/>
      <c r="AB2227" s="14"/>
      <c r="AC2227" s="14"/>
      <c r="AD2227" s="14"/>
      <c r="AE2227" s="14"/>
      <c r="AF2227" s="14"/>
      <c r="AG2227" s="14"/>
      <c r="AH2227" s="14"/>
      <c r="AI2227" s="14"/>
      <c r="AJ2227" s="14"/>
      <c r="AK2227" s="14"/>
    </row>
    <row r="2229" spans="2:37" ht="14.25" thickBot="1" x14ac:dyDescent="0.3">
      <c r="B2229" s="338" t="s">
        <v>18</v>
      </c>
      <c r="C2229" s="339">
        <v>45040</v>
      </c>
      <c r="P2229" s="14"/>
      <c r="Q2229" s="14"/>
      <c r="R2229" s="14"/>
      <c r="S2229" s="14"/>
      <c r="T2229" s="14"/>
      <c r="U2229" s="14"/>
      <c r="V2229" s="14"/>
      <c r="W2229" s="14"/>
      <c r="X2229" s="14"/>
      <c r="Y2229" s="14"/>
      <c r="Z2229" s="14"/>
      <c r="AA2229" s="14"/>
      <c r="AB2229" s="14"/>
      <c r="AC2229" s="14"/>
      <c r="AD2229" s="14"/>
      <c r="AE2229" s="14"/>
      <c r="AF2229" s="14"/>
      <c r="AG2229" s="14"/>
      <c r="AH2229" s="14"/>
      <c r="AI2229" s="14"/>
      <c r="AJ2229" s="14"/>
      <c r="AK2229" s="14"/>
    </row>
    <row r="2230" spans="2:37" ht="14.25" thickBot="1" x14ac:dyDescent="0.3">
      <c r="B2230" s="2" t="s">
        <v>0</v>
      </c>
      <c r="C2230" s="3" t="s">
        <v>1</v>
      </c>
      <c r="D2230" s="3" t="s">
        <v>2</v>
      </c>
      <c r="E2230" s="3" t="s">
        <v>3</v>
      </c>
      <c r="F2230" s="3"/>
      <c r="G2230" s="4" t="s">
        <v>4</v>
      </c>
      <c r="H2230" s="219"/>
      <c r="P2230" s="14"/>
      <c r="Q2230" s="14"/>
      <c r="R2230" s="14"/>
      <c r="S2230" s="14"/>
      <c r="T2230" s="14"/>
      <c r="U2230" s="14"/>
      <c r="V2230" s="14"/>
      <c r="W2230" s="14"/>
      <c r="X2230" s="14"/>
      <c r="Y2230" s="14"/>
      <c r="Z2230" s="14"/>
      <c r="AA2230" s="14"/>
      <c r="AB2230" s="14"/>
      <c r="AC2230" s="14"/>
      <c r="AD2230" s="14"/>
      <c r="AE2230" s="14"/>
      <c r="AF2230" s="14"/>
      <c r="AG2230" s="14"/>
      <c r="AH2230" s="14"/>
      <c r="AI2230" s="14"/>
      <c r="AJ2230" s="14"/>
      <c r="AK2230" s="14"/>
    </row>
    <row r="2231" spans="2:37" ht="14.25" thickBot="1" x14ac:dyDescent="0.3">
      <c r="B2231" s="5">
        <v>273664</v>
      </c>
      <c r="C2231" s="6">
        <v>1135749</v>
      </c>
      <c r="D2231" s="6" t="s">
        <v>7</v>
      </c>
      <c r="E2231" s="6">
        <v>6060050026</v>
      </c>
      <c r="F2231" s="6"/>
      <c r="G2231" s="7">
        <v>13</v>
      </c>
      <c r="H2231" s="218"/>
      <c r="P2231" s="14"/>
      <c r="Q2231" s="14"/>
      <c r="R2231" s="14"/>
      <c r="S2231" s="14"/>
      <c r="T2231" s="14"/>
      <c r="U2231" s="14"/>
      <c r="V2231" s="14"/>
      <c r="W2231" s="14"/>
      <c r="X2231" s="14"/>
      <c r="Y2231" s="14"/>
      <c r="Z2231" s="14"/>
      <c r="AA2231" s="14"/>
      <c r="AB2231" s="14"/>
      <c r="AC2231" s="14"/>
      <c r="AD2231" s="14"/>
      <c r="AE2231" s="14"/>
      <c r="AF2231" s="14"/>
      <c r="AG2231" s="14"/>
      <c r="AH2231" s="14"/>
      <c r="AI2231" s="14"/>
      <c r="AJ2231" s="14"/>
      <c r="AK2231" s="14"/>
    </row>
    <row r="2232" spans="2:37" ht="14.25" thickBot="1" x14ac:dyDescent="0.3">
      <c r="B2232" s="5">
        <v>273672</v>
      </c>
      <c r="C2232" s="6">
        <v>1135750</v>
      </c>
      <c r="D2232" s="6" t="s">
        <v>9</v>
      </c>
      <c r="E2232" s="6" t="s">
        <v>15</v>
      </c>
      <c r="F2232" s="6"/>
      <c r="G2232" s="7">
        <v>36</v>
      </c>
      <c r="H2232" s="218"/>
      <c r="K2232" s="14"/>
      <c r="L2232" s="14"/>
      <c r="M2232" s="14"/>
      <c r="N2232" s="14"/>
      <c r="O2232" s="14"/>
      <c r="P2232" s="14"/>
      <c r="Q2232" s="14"/>
      <c r="R2232" s="14"/>
      <c r="S2232" s="14"/>
      <c r="T2232" s="14"/>
      <c r="U2232" s="14"/>
      <c r="V2232" s="14"/>
      <c r="W2232" s="14"/>
      <c r="X2232" s="14"/>
      <c r="Y2232" s="14"/>
      <c r="Z2232" s="14"/>
      <c r="AA2232" s="14"/>
      <c r="AB2232" s="14"/>
      <c r="AC2232" s="14"/>
      <c r="AD2232" s="14"/>
      <c r="AE2232" s="14"/>
      <c r="AF2232" s="14"/>
      <c r="AG2232" s="14"/>
      <c r="AH2232" s="14"/>
      <c r="AI2232" s="14"/>
      <c r="AJ2232" s="14"/>
      <c r="AK2232" s="14"/>
    </row>
    <row r="2233" spans="2:37" ht="14.25" thickBot="1" x14ac:dyDescent="0.3">
      <c r="B2233" s="5">
        <v>273702</v>
      </c>
      <c r="C2233" s="6">
        <v>1135753</v>
      </c>
      <c r="D2233" s="6" t="s">
        <v>10</v>
      </c>
      <c r="E2233" s="6" t="s">
        <v>16</v>
      </c>
      <c r="F2233" s="6"/>
      <c r="G2233" s="7">
        <v>2</v>
      </c>
      <c r="H2233" s="218"/>
      <c r="K2233" s="14"/>
      <c r="L2233" s="14"/>
      <c r="M2233" s="14"/>
      <c r="N2233" s="14"/>
      <c r="O2233" s="14"/>
      <c r="P2233" s="14"/>
      <c r="Q2233" s="14"/>
      <c r="R2233" s="14"/>
      <c r="S2233" s="14"/>
      <c r="T2233" s="14"/>
      <c r="U2233" s="14"/>
      <c r="V2233" s="14"/>
      <c r="W2233" s="14"/>
      <c r="X2233" s="14"/>
      <c r="Y2233" s="14"/>
      <c r="Z2233" s="14"/>
      <c r="AA2233" s="14"/>
      <c r="AB2233" s="14"/>
      <c r="AC2233" s="14"/>
      <c r="AD2233" s="14"/>
      <c r="AE2233" s="14"/>
      <c r="AF2233" s="14"/>
      <c r="AG2233" s="14"/>
      <c r="AH2233" s="14"/>
      <c r="AI2233" s="14"/>
      <c r="AJ2233" s="14"/>
      <c r="AK2233" s="14"/>
    </row>
    <row r="2234" spans="2:37" ht="14.25" thickBot="1" x14ac:dyDescent="0.3">
      <c r="B2234" s="5">
        <v>273698</v>
      </c>
      <c r="C2234" s="6">
        <v>1135752</v>
      </c>
      <c r="D2234" s="6" t="s">
        <v>11</v>
      </c>
      <c r="E2234" s="6" t="s">
        <v>17</v>
      </c>
      <c r="F2234" s="6"/>
      <c r="G2234" s="7">
        <v>5</v>
      </c>
      <c r="H2234" s="218"/>
      <c r="K2234" s="14"/>
      <c r="L2234" s="14"/>
      <c r="M2234" s="14"/>
      <c r="N2234" s="14"/>
      <c r="O2234" s="14"/>
      <c r="P2234" s="14"/>
      <c r="Q2234" s="14"/>
      <c r="R2234" s="14"/>
      <c r="S2234" s="14"/>
      <c r="T2234" s="14"/>
      <c r="U2234" s="14"/>
      <c r="V2234" s="14"/>
      <c r="W2234" s="14"/>
      <c r="X2234" s="14"/>
      <c r="Y2234" s="14"/>
      <c r="Z2234" s="14"/>
      <c r="AA2234" s="14"/>
      <c r="AB2234" s="14"/>
      <c r="AC2234" s="14"/>
      <c r="AD2234" s="14"/>
      <c r="AE2234" s="14"/>
      <c r="AF2234" s="14"/>
      <c r="AG2234" s="14"/>
      <c r="AH2234" s="14"/>
      <c r="AI2234" s="14"/>
      <c r="AJ2234" s="14"/>
      <c r="AK2234" s="14"/>
    </row>
    <row r="2235" spans="2:37" ht="14.25" thickBot="1" x14ac:dyDescent="0.3">
      <c r="B2235" s="5">
        <v>273680</v>
      </c>
      <c r="C2235" s="6">
        <v>1135751</v>
      </c>
      <c r="D2235" s="6" t="s">
        <v>12</v>
      </c>
      <c r="E2235" s="6" t="s">
        <v>13</v>
      </c>
      <c r="F2235" s="6"/>
      <c r="G2235" s="7">
        <v>1</v>
      </c>
      <c r="H2235" s="218"/>
      <c r="K2235" s="14"/>
      <c r="L2235" s="14"/>
      <c r="M2235" s="14"/>
      <c r="N2235" s="14"/>
      <c r="O2235" s="14"/>
      <c r="P2235" s="14"/>
      <c r="Q2235" s="14"/>
      <c r="R2235" s="14"/>
      <c r="S2235" s="14"/>
      <c r="T2235" s="14"/>
      <c r="U2235" s="14"/>
      <c r="V2235" s="14"/>
      <c r="W2235" s="14"/>
      <c r="X2235" s="14"/>
      <c r="Y2235" s="14"/>
      <c r="Z2235" s="14"/>
      <c r="AA2235" s="14"/>
      <c r="AB2235" s="14"/>
      <c r="AC2235" s="14"/>
      <c r="AD2235" s="14"/>
      <c r="AE2235" s="14"/>
      <c r="AF2235" s="14"/>
      <c r="AG2235" s="14"/>
      <c r="AH2235" s="14"/>
      <c r="AI2235" s="14"/>
      <c r="AJ2235" s="14"/>
      <c r="AK2235" s="14"/>
    </row>
    <row r="2237" spans="2:37" ht="15.75" thickBot="1" x14ac:dyDescent="0.3">
      <c r="B2237" s="338" t="s">
        <v>18</v>
      </c>
      <c r="C2237" s="339">
        <v>45026</v>
      </c>
      <c r="D2237" s="306"/>
      <c r="E2237" s="306"/>
      <c r="F2237" s="306"/>
      <c r="G2237" s="306"/>
      <c r="H2237" s="306"/>
      <c r="I2237" s="306"/>
      <c r="J2237" s="306"/>
      <c r="K2237" s="14"/>
      <c r="L2237" s="14"/>
      <c r="M2237" s="14"/>
      <c r="N2237" s="14"/>
      <c r="O2237" s="14"/>
      <c r="P2237" s="14"/>
      <c r="Q2237" s="14"/>
      <c r="R2237" s="14"/>
      <c r="S2237" s="14"/>
      <c r="T2237" s="14"/>
      <c r="U2237" s="14"/>
      <c r="V2237" s="14"/>
      <c r="W2237" s="14"/>
      <c r="X2237" s="14"/>
      <c r="Y2237" s="14"/>
      <c r="Z2237" s="14"/>
      <c r="AA2237" s="14"/>
      <c r="AB2237" s="14"/>
      <c r="AC2237" s="14"/>
      <c r="AD2237" s="14"/>
      <c r="AE2237" s="14"/>
      <c r="AF2237" s="14"/>
      <c r="AG2237" s="14"/>
      <c r="AH2237" s="14"/>
      <c r="AI2237" s="14"/>
      <c r="AJ2237" s="14"/>
      <c r="AK2237" s="14"/>
    </row>
    <row r="2238" spans="2:37" ht="14.25" thickBot="1" x14ac:dyDescent="0.3">
      <c r="B2238" s="2" t="s">
        <v>0</v>
      </c>
      <c r="C2238" s="3" t="s">
        <v>1</v>
      </c>
      <c r="D2238" s="3" t="s">
        <v>2</v>
      </c>
      <c r="E2238" s="3" t="s">
        <v>3</v>
      </c>
      <c r="F2238" s="3"/>
      <c r="G2238" s="4" t="s">
        <v>4</v>
      </c>
      <c r="H2238" s="4"/>
      <c r="I2238" s="3" t="s">
        <v>5</v>
      </c>
      <c r="J2238" s="217"/>
      <c r="K2238" s="14"/>
      <c r="L2238" s="14"/>
      <c r="M2238" s="14"/>
      <c r="N2238" s="14"/>
      <c r="O2238" s="14"/>
      <c r="P2238" s="14"/>
      <c r="Q2238" s="14"/>
      <c r="R2238" s="14"/>
      <c r="S2238" s="14"/>
      <c r="T2238" s="14"/>
      <c r="U2238" s="14"/>
      <c r="V2238" s="14"/>
      <c r="W2238" s="14"/>
      <c r="X2238" s="14"/>
      <c r="Y2238" s="14"/>
      <c r="Z2238" s="14"/>
      <c r="AA2238" s="14"/>
      <c r="AB2238" s="14"/>
      <c r="AC2238" s="14"/>
      <c r="AD2238" s="14"/>
      <c r="AE2238" s="14"/>
      <c r="AF2238" s="14"/>
      <c r="AG2238" s="14"/>
      <c r="AH2238" s="14"/>
      <c r="AI2238" s="14"/>
      <c r="AJ2238" s="14"/>
      <c r="AK2238" s="14"/>
    </row>
    <row r="2239" spans="2:37" ht="14.25" thickBot="1" x14ac:dyDescent="0.3">
      <c r="B2239" s="5">
        <v>273664</v>
      </c>
      <c r="C2239" s="6">
        <v>1135749</v>
      </c>
      <c r="D2239" s="6" t="s">
        <v>7</v>
      </c>
      <c r="E2239" s="6">
        <v>6060050026</v>
      </c>
      <c r="F2239" s="6"/>
      <c r="G2239" s="7">
        <v>15</v>
      </c>
      <c r="H2239" s="7"/>
      <c r="I2239" s="7"/>
      <c r="J2239" s="218"/>
      <c r="K2239" s="14"/>
      <c r="L2239" s="14"/>
      <c r="M2239" s="14"/>
      <c r="N2239" s="14"/>
      <c r="O2239" s="14"/>
      <c r="P2239" s="14"/>
      <c r="Q2239" s="14"/>
      <c r="R2239" s="14"/>
      <c r="S2239" s="14"/>
      <c r="T2239" s="14"/>
      <c r="U2239" s="14"/>
      <c r="V2239" s="14"/>
      <c r="W2239" s="14"/>
      <c r="X2239" s="14"/>
      <c r="Y2239" s="14"/>
      <c r="Z2239" s="14"/>
      <c r="AA2239" s="14"/>
      <c r="AB2239" s="14"/>
      <c r="AC2239" s="14"/>
      <c r="AD2239" s="14"/>
      <c r="AE2239" s="14"/>
      <c r="AF2239" s="14"/>
      <c r="AG2239" s="14"/>
      <c r="AH2239" s="14"/>
      <c r="AI2239" s="14"/>
      <c r="AJ2239" s="14"/>
      <c r="AK2239" s="14"/>
    </row>
    <row r="2240" spans="2:37" ht="14.25" thickBot="1" x14ac:dyDescent="0.3">
      <c r="B2240" s="5">
        <v>273672</v>
      </c>
      <c r="C2240" s="6">
        <v>1135750</v>
      </c>
      <c r="D2240" s="6" t="s">
        <v>9</v>
      </c>
      <c r="E2240" s="6" t="s">
        <v>15</v>
      </c>
      <c r="F2240" s="6"/>
      <c r="G2240" s="7">
        <v>42</v>
      </c>
      <c r="H2240" s="7"/>
      <c r="I2240" s="7"/>
      <c r="J2240" s="218"/>
      <c r="K2240" s="14"/>
      <c r="L2240" s="14"/>
      <c r="M2240" s="14"/>
      <c r="N2240" s="14"/>
      <c r="O2240" s="14"/>
      <c r="P2240" s="14"/>
      <c r="Q2240" s="14"/>
      <c r="R2240" s="14"/>
      <c r="S2240" s="14"/>
      <c r="T2240" s="14"/>
      <c r="U2240" s="14"/>
      <c r="V2240" s="14"/>
      <c r="W2240" s="14"/>
      <c r="X2240" s="14"/>
      <c r="Y2240" s="14"/>
      <c r="Z2240" s="14"/>
      <c r="AA2240" s="14"/>
      <c r="AB2240" s="14"/>
      <c r="AC2240" s="14"/>
      <c r="AD2240" s="14"/>
      <c r="AE2240" s="14"/>
      <c r="AF2240" s="14"/>
      <c r="AG2240" s="14"/>
      <c r="AH2240" s="14"/>
      <c r="AI2240" s="14"/>
      <c r="AJ2240" s="14"/>
      <c r="AK2240" s="14"/>
    </row>
    <row r="2241" spans="2:37" ht="14.25" thickBot="1" x14ac:dyDescent="0.3">
      <c r="B2241" s="5">
        <v>273702</v>
      </c>
      <c r="C2241" s="6">
        <v>1135753</v>
      </c>
      <c r="D2241" s="6" t="s">
        <v>10</v>
      </c>
      <c r="E2241" s="6" t="s">
        <v>16</v>
      </c>
      <c r="F2241" s="6"/>
      <c r="G2241" s="7">
        <v>2</v>
      </c>
      <c r="H2241" s="7"/>
      <c r="I2241" s="7"/>
      <c r="J2241" s="218"/>
      <c r="K2241" s="14"/>
      <c r="L2241" s="14"/>
      <c r="M2241" s="14"/>
      <c r="N2241" s="14"/>
      <c r="O2241" s="14"/>
      <c r="P2241" s="14"/>
      <c r="Q2241" s="14"/>
      <c r="R2241" s="14"/>
      <c r="S2241" s="14"/>
      <c r="T2241" s="14"/>
      <c r="U2241" s="14"/>
      <c r="V2241" s="14"/>
      <c r="W2241" s="14"/>
      <c r="X2241" s="14"/>
      <c r="Y2241" s="14"/>
      <c r="Z2241" s="14"/>
      <c r="AA2241" s="14"/>
      <c r="AB2241" s="14"/>
      <c r="AC2241" s="14"/>
      <c r="AD2241" s="14"/>
      <c r="AE2241" s="14"/>
      <c r="AF2241" s="14"/>
      <c r="AG2241" s="14"/>
      <c r="AH2241" s="14"/>
      <c r="AI2241" s="14"/>
      <c r="AJ2241" s="14"/>
      <c r="AK2241" s="14"/>
    </row>
    <row r="2242" spans="2:37" ht="14.25" thickBot="1" x14ac:dyDescent="0.3">
      <c r="B2242" s="5">
        <v>273698</v>
      </c>
      <c r="C2242" s="6">
        <v>1135752</v>
      </c>
      <c r="D2242" s="6" t="s">
        <v>11</v>
      </c>
      <c r="E2242" s="6" t="s">
        <v>17</v>
      </c>
      <c r="F2242" s="6"/>
      <c r="G2242" s="7">
        <v>5</v>
      </c>
      <c r="H2242" s="7"/>
      <c r="I2242" s="7"/>
      <c r="J2242" s="218"/>
      <c r="K2242" s="14"/>
      <c r="L2242" s="14"/>
      <c r="M2242" s="14"/>
      <c r="N2242" s="14"/>
      <c r="O2242" s="14"/>
      <c r="P2242" s="14"/>
      <c r="Q2242" s="14"/>
      <c r="R2242" s="14"/>
      <c r="S2242" s="14"/>
      <c r="T2242" s="14"/>
      <c r="U2242" s="14"/>
      <c r="V2242" s="14"/>
      <c r="W2242" s="14"/>
      <c r="X2242" s="14"/>
      <c r="Y2242" s="14"/>
      <c r="Z2242" s="14"/>
      <c r="AA2242" s="14"/>
      <c r="AB2242" s="14"/>
      <c r="AC2242" s="14"/>
      <c r="AD2242" s="14"/>
      <c r="AE2242" s="14"/>
      <c r="AF2242" s="14"/>
      <c r="AG2242" s="14"/>
      <c r="AH2242" s="14"/>
      <c r="AI2242" s="14"/>
      <c r="AJ2242" s="14"/>
      <c r="AK2242" s="14"/>
    </row>
    <row r="2243" spans="2:37" ht="14.25" thickBot="1" x14ac:dyDescent="0.3">
      <c r="B2243" s="5">
        <v>273680</v>
      </c>
      <c r="C2243" s="6">
        <v>1135751</v>
      </c>
      <c r="D2243" s="6" t="s">
        <v>12</v>
      </c>
      <c r="E2243" s="6" t="s">
        <v>13</v>
      </c>
      <c r="F2243" s="6"/>
      <c r="G2243" s="7">
        <v>1</v>
      </c>
      <c r="H2243" s="7"/>
      <c r="I2243" s="7"/>
      <c r="J2243" s="218"/>
      <c r="K2243" s="14"/>
      <c r="L2243" s="14"/>
      <c r="M2243" s="14"/>
      <c r="N2243" s="14"/>
      <c r="O2243" s="14"/>
      <c r="P2243" s="14"/>
      <c r="Q2243" s="14"/>
      <c r="R2243" s="14"/>
      <c r="S2243" s="14"/>
      <c r="T2243" s="14"/>
      <c r="U2243" s="14"/>
      <c r="V2243" s="14"/>
      <c r="W2243" s="14"/>
      <c r="X2243" s="14"/>
      <c r="Y2243" s="14"/>
      <c r="Z2243" s="14"/>
      <c r="AA2243" s="14"/>
      <c r="AB2243" s="14"/>
      <c r="AC2243" s="14"/>
      <c r="AD2243" s="14"/>
      <c r="AE2243" s="14"/>
      <c r="AF2243" s="14"/>
      <c r="AG2243" s="14"/>
      <c r="AH2243" s="14"/>
      <c r="AI2243" s="14"/>
      <c r="AJ2243" s="14"/>
      <c r="AK2243" s="14"/>
    </row>
    <row r="2244" spans="2:37" ht="15" x14ac:dyDescent="0.25">
      <c r="B2244" s="341"/>
      <c r="C2244" s="306"/>
      <c r="D2244" s="306"/>
      <c r="E2244" s="306"/>
      <c r="F2244" s="306"/>
      <c r="G2244" s="306"/>
      <c r="H2244" s="306"/>
      <c r="I2244" s="306"/>
      <c r="J2244" s="306"/>
      <c r="K2244" s="14"/>
      <c r="L2244" s="14"/>
      <c r="M2244" s="14"/>
      <c r="N2244" s="14"/>
      <c r="O2244" s="14"/>
      <c r="P2244" s="14"/>
      <c r="Q2244" s="14"/>
      <c r="R2244" s="14"/>
      <c r="S2244" s="14"/>
      <c r="T2244" s="14"/>
      <c r="U2244" s="14"/>
      <c r="V2244" s="14"/>
      <c r="W2244" s="14"/>
      <c r="X2244" s="14"/>
      <c r="Y2244" s="14"/>
      <c r="Z2244" s="14"/>
      <c r="AA2244" s="14"/>
      <c r="AB2244" s="14"/>
      <c r="AC2244" s="14"/>
      <c r="AD2244" s="14"/>
      <c r="AE2244" s="14"/>
      <c r="AF2244" s="14"/>
      <c r="AG2244" s="14"/>
      <c r="AH2244" s="14"/>
      <c r="AI2244" s="14"/>
      <c r="AJ2244" s="14"/>
      <c r="AK2244" s="14"/>
    </row>
    <row r="2245" spans="2:37" ht="15.75" thickBot="1" x14ac:dyDescent="0.3">
      <c r="B2245" s="338" t="s">
        <v>18</v>
      </c>
      <c r="C2245" s="339">
        <v>45019</v>
      </c>
      <c r="D2245" s="306"/>
      <c r="E2245" s="306"/>
      <c r="F2245" s="306"/>
      <c r="G2245" s="306"/>
      <c r="H2245" s="306"/>
      <c r="I2245" s="306"/>
      <c r="J2245" s="306"/>
      <c r="K2245" s="14"/>
      <c r="L2245" s="14"/>
      <c r="M2245" s="14"/>
      <c r="N2245" s="14"/>
      <c r="O2245" s="14"/>
      <c r="P2245" s="14"/>
      <c r="Q2245" s="14"/>
      <c r="R2245" s="14"/>
      <c r="S2245" s="14"/>
      <c r="T2245" s="14"/>
      <c r="U2245" s="14"/>
      <c r="V2245" s="14"/>
      <c r="W2245" s="14"/>
      <c r="X2245" s="14"/>
      <c r="Y2245" s="14"/>
      <c r="Z2245" s="14"/>
      <c r="AA2245" s="14"/>
      <c r="AB2245" s="14"/>
      <c r="AC2245" s="14"/>
      <c r="AD2245" s="14"/>
      <c r="AE2245" s="14"/>
      <c r="AF2245" s="14"/>
      <c r="AG2245" s="14"/>
      <c r="AH2245" s="14"/>
      <c r="AI2245" s="14"/>
      <c r="AJ2245" s="14"/>
      <c r="AK2245" s="14"/>
    </row>
    <row r="2246" spans="2:37" ht="14.25" thickBot="1" x14ac:dyDescent="0.3">
      <c r="B2246" s="2" t="s">
        <v>0</v>
      </c>
      <c r="C2246" s="3" t="s">
        <v>1</v>
      </c>
      <c r="D2246" s="3" t="s">
        <v>2</v>
      </c>
      <c r="E2246" s="3" t="s">
        <v>3</v>
      </c>
      <c r="F2246" s="3"/>
      <c r="G2246" s="4" t="s">
        <v>4</v>
      </c>
      <c r="H2246" s="4"/>
      <c r="I2246" s="3" t="s">
        <v>5</v>
      </c>
      <c r="J2246" s="217"/>
      <c r="K2246" s="14"/>
      <c r="L2246" s="14"/>
      <c r="M2246" s="14"/>
      <c r="N2246" s="14"/>
      <c r="O2246" s="14"/>
      <c r="P2246" s="14"/>
      <c r="Q2246" s="14"/>
      <c r="R2246" s="14"/>
      <c r="S2246" s="14"/>
      <c r="T2246" s="14"/>
      <c r="U2246" s="14"/>
      <c r="V2246" s="14"/>
      <c r="W2246" s="14"/>
      <c r="X2246" s="14"/>
      <c r="Y2246" s="14"/>
      <c r="Z2246" s="14"/>
      <c r="AA2246" s="14"/>
      <c r="AB2246" s="14"/>
      <c r="AC2246" s="14"/>
      <c r="AD2246" s="14"/>
      <c r="AE2246" s="14"/>
      <c r="AF2246" s="14"/>
      <c r="AG2246" s="14"/>
      <c r="AH2246" s="14"/>
      <c r="AI2246" s="14"/>
      <c r="AJ2246" s="14"/>
      <c r="AK2246" s="14"/>
    </row>
    <row r="2247" spans="2:37" ht="14.25" thickBot="1" x14ac:dyDescent="0.3">
      <c r="B2247" s="5">
        <v>273664</v>
      </c>
      <c r="C2247" s="6">
        <v>1135749</v>
      </c>
      <c r="D2247" s="6" t="s">
        <v>7</v>
      </c>
      <c r="E2247" s="6">
        <v>6060050026</v>
      </c>
      <c r="F2247" s="6"/>
      <c r="G2247" s="7">
        <v>15</v>
      </c>
      <c r="H2247" s="7"/>
      <c r="I2247" s="7"/>
      <c r="J2247" s="218"/>
      <c r="K2247" s="14"/>
      <c r="L2247" s="14"/>
      <c r="M2247" s="14"/>
      <c r="N2247" s="14"/>
      <c r="O2247" s="14"/>
      <c r="P2247" s="14"/>
      <c r="Q2247" s="14"/>
      <c r="R2247" s="14"/>
      <c r="S2247" s="14"/>
      <c r="T2247" s="14"/>
      <c r="U2247" s="14"/>
      <c r="V2247" s="14"/>
      <c r="W2247" s="14"/>
      <c r="X2247" s="14"/>
      <c r="Y2247" s="14"/>
      <c r="Z2247" s="14"/>
      <c r="AA2247" s="14"/>
      <c r="AB2247" s="14"/>
      <c r="AC2247" s="14"/>
      <c r="AD2247" s="14"/>
      <c r="AE2247" s="14"/>
      <c r="AF2247" s="14"/>
      <c r="AG2247" s="14"/>
      <c r="AH2247" s="14"/>
      <c r="AI2247" s="14"/>
      <c r="AJ2247" s="14"/>
      <c r="AK2247" s="14"/>
    </row>
    <row r="2248" spans="2:37" ht="14.25" thickBot="1" x14ac:dyDescent="0.3">
      <c r="B2248" s="5">
        <v>273672</v>
      </c>
      <c r="C2248" s="6">
        <v>1135750</v>
      </c>
      <c r="D2248" s="6" t="s">
        <v>9</v>
      </c>
      <c r="E2248" s="6" t="s">
        <v>15</v>
      </c>
      <c r="F2248" s="6"/>
      <c r="G2248" s="7">
        <v>42</v>
      </c>
      <c r="H2248" s="7"/>
      <c r="I2248" s="7"/>
      <c r="J2248" s="218"/>
      <c r="AC2248" s="14"/>
      <c r="AD2248" s="14"/>
      <c r="AE2248" s="14"/>
      <c r="AF2248" s="14"/>
      <c r="AG2248" s="14"/>
      <c r="AH2248" s="14"/>
      <c r="AI2248" s="14"/>
      <c r="AJ2248" s="14"/>
      <c r="AK2248" s="14"/>
    </row>
    <row r="2249" spans="2:37" ht="14.25" thickBot="1" x14ac:dyDescent="0.3">
      <c r="B2249" s="5">
        <v>273702</v>
      </c>
      <c r="C2249" s="6">
        <v>1135753</v>
      </c>
      <c r="D2249" s="6" t="s">
        <v>10</v>
      </c>
      <c r="E2249" s="6" t="s">
        <v>16</v>
      </c>
      <c r="F2249" s="6"/>
      <c r="G2249" s="7">
        <v>2</v>
      </c>
      <c r="H2249" s="7"/>
      <c r="I2249" s="7"/>
      <c r="J2249" s="218"/>
      <c r="AC2249" s="14"/>
      <c r="AD2249" s="14"/>
      <c r="AE2249" s="14"/>
      <c r="AF2249" s="14"/>
      <c r="AG2249" s="14"/>
      <c r="AH2249" s="14"/>
      <c r="AI2249" s="14"/>
      <c r="AJ2249" s="14"/>
      <c r="AK2249" s="14"/>
    </row>
    <row r="2250" spans="2:37" ht="14.25" thickBot="1" x14ac:dyDescent="0.3">
      <c r="B2250" s="5">
        <v>273698</v>
      </c>
      <c r="C2250" s="6">
        <v>1135752</v>
      </c>
      <c r="D2250" s="6" t="s">
        <v>11</v>
      </c>
      <c r="E2250" s="6" t="s">
        <v>17</v>
      </c>
      <c r="F2250" s="6"/>
      <c r="G2250" s="7">
        <v>5</v>
      </c>
      <c r="H2250" s="7"/>
      <c r="I2250" s="7"/>
      <c r="J2250" s="218"/>
      <c r="AC2250" s="14"/>
      <c r="AD2250" s="14"/>
      <c r="AE2250" s="14"/>
      <c r="AF2250" s="14"/>
      <c r="AG2250" s="14"/>
      <c r="AH2250" s="14"/>
      <c r="AI2250" s="14"/>
      <c r="AJ2250" s="14"/>
      <c r="AK2250" s="14"/>
    </row>
    <row r="2251" spans="2:37" ht="14.25" thickBot="1" x14ac:dyDescent="0.3">
      <c r="B2251" s="5">
        <v>273680</v>
      </c>
      <c r="C2251" s="6">
        <v>1135751</v>
      </c>
      <c r="D2251" s="6" t="s">
        <v>12</v>
      </c>
      <c r="E2251" s="6" t="s">
        <v>13</v>
      </c>
      <c r="F2251" s="6"/>
      <c r="G2251" s="7">
        <v>1</v>
      </c>
      <c r="H2251" s="7"/>
      <c r="I2251" s="7"/>
      <c r="J2251" s="218"/>
      <c r="AC2251" s="14"/>
      <c r="AD2251" s="14"/>
      <c r="AE2251" s="14"/>
      <c r="AF2251" s="14"/>
      <c r="AG2251" s="14"/>
      <c r="AH2251" s="14"/>
      <c r="AI2251" s="14"/>
      <c r="AJ2251" s="14"/>
      <c r="AK2251" s="14"/>
    </row>
    <row r="2252" spans="2:37" ht="15" x14ac:dyDescent="0.25">
      <c r="B2252" s="341"/>
      <c r="C2252" s="306"/>
      <c r="D2252" s="306"/>
      <c r="E2252" s="306"/>
      <c r="F2252" s="306"/>
      <c r="G2252" s="306"/>
      <c r="H2252" s="306"/>
      <c r="I2252" s="306"/>
      <c r="J2252" s="306"/>
      <c r="AC2252" s="14"/>
      <c r="AD2252" s="14"/>
      <c r="AE2252" s="14"/>
      <c r="AF2252" s="14"/>
      <c r="AG2252" s="14"/>
      <c r="AH2252" s="14"/>
      <c r="AI2252" s="14"/>
      <c r="AJ2252" s="14"/>
      <c r="AK2252" s="14"/>
    </row>
    <row r="2253" spans="2:37" ht="14.25" thickBot="1" x14ac:dyDescent="0.3">
      <c r="B2253" s="338" t="s">
        <v>18</v>
      </c>
      <c r="C2253" s="339">
        <v>45012</v>
      </c>
      <c r="AC2253" s="14"/>
      <c r="AD2253" s="14"/>
      <c r="AE2253" s="14"/>
      <c r="AF2253" s="14"/>
      <c r="AG2253" s="14"/>
      <c r="AH2253" s="14"/>
      <c r="AI2253" s="14"/>
      <c r="AJ2253" s="14"/>
      <c r="AK2253" s="14"/>
    </row>
    <row r="2254" spans="2:37" ht="14.25" thickBot="1" x14ac:dyDescent="0.3">
      <c r="B2254" s="2" t="s">
        <v>0</v>
      </c>
      <c r="C2254" s="3" t="s">
        <v>1</v>
      </c>
      <c r="D2254" s="3" t="s">
        <v>2</v>
      </c>
      <c r="E2254" s="3" t="s">
        <v>3</v>
      </c>
      <c r="F2254" s="3"/>
      <c r="G2254" s="4" t="s">
        <v>4</v>
      </c>
      <c r="H2254" s="219"/>
      <c r="AC2254" s="14"/>
      <c r="AD2254" s="14"/>
      <c r="AE2254" s="14"/>
      <c r="AF2254" s="14"/>
      <c r="AG2254" s="14"/>
      <c r="AH2254" s="14"/>
      <c r="AI2254" s="14"/>
      <c r="AJ2254" s="14"/>
      <c r="AK2254" s="14"/>
    </row>
    <row r="2255" spans="2:37" ht="14.25" thickBot="1" x14ac:dyDescent="0.3">
      <c r="B2255" s="5">
        <v>273664</v>
      </c>
      <c r="C2255" s="6">
        <v>1135749</v>
      </c>
      <c r="D2255" s="6" t="s">
        <v>7</v>
      </c>
      <c r="E2255" s="6">
        <v>6060050026</v>
      </c>
      <c r="F2255" s="6"/>
      <c r="G2255" s="7">
        <v>15</v>
      </c>
      <c r="H2255" s="218"/>
      <c r="U2255" s="290" t="s">
        <v>19</v>
      </c>
      <c r="V2255" s="290" t="s">
        <v>170</v>
      </c>
      <c r="AA2255" s="290" t="s">
        <v>162</v>
      </c>
      <c r="AC2255" s="14"/>
      <c r="AD2255" s="14"/>
      <c r="AE2255" s="14"/>
      <c r="AF2255" s="14"/>
      <c r="AG2255" s="14"/>
      <c r="AH2255" s="14"/>
      <c r="AI2255" s="14"/>
      <c r="AJ2255" s="14"/>
      <c r="AK2255" s="14"/>
    </row>
    <row r="2256" spans="2:37" ht="14.25" thickBot="1" x14ac:dyDescent="0.3">
      <c r="B2256" s="5">
        <v>273672</v>
      </c>
      <c r="C2256" s="6">
        <v>1135750</v>
      </c>
      <c r="D2256" s="6" t="s">
        <v>9</v>
      </c>
      <c r="E2256" s="6" t="s">
        <v>15</v>
      </c>
      <c r="F2256" s="6"/>
      <c r="G2256" s="7">
        <v>42</v>
      </c>
      <c r="H2256" s="218"/>
      <c r="S2256" s="305">
        <f>P2272-Q2272</f>
        <v>2</v>
      </c>
      <c r="T2256" s="305"/>
      <c r="U2256" s="290">
        <v>2</v>
      </c>
      <c r="V2256" s="290">
        <f>S2256-U2256</f>
        <v>0</v>
      </c>
      <c r="AA2256" s="290">
        <v>4500349096</v>
      </c>
      <c r="AC2256" s="14"/>
      <c r="AD2256" s="14"/>
      <c r="AE2256" s="14"/>
      <c r="AF2256" s="14"/>
      <c r="AG2256" s="14"/>
      <c r="AH2256" s="14"/>
      <c r="AI2256" s="14"/>
      <c r="AJ2256" s="14"/>
      <c r="AK2256" s="14"/>
    </row>
    <row r="2257" spans="2:37" ht="14.25" thickBot="1" x14ac:dyDescent="0.3">
      <c r="B2257" s="5">
        <v>273702</v>
      </c>
      <c r="C2257" s="6">
        <v>1135753</v>
      </c>
      <c r="D2257" s="6" t="s">
        <v>10</v>
      </c>
      <c r="E2257" s="6" t="s">
        <v>16</v>
      </c>
      <c r="F2257" s="6"/>
      <c r="G2257" s="7">
        <v>2</v>
      </c>
      <c r="H2257" s="218"/>
      <c r="S2257" s="305">
        <f>P2273-Q2273</f>
        <v>18</v>
      </c>
      <c r="T2257" s="305"/>
      <c r="U2257" s="290">
        <v>2</v>
      </c>
      <c r="V2257" s="290">
        <f>S2257-U2257</f>
        <v>16</v>
      </c>
      <c r="AA2257" s="290">
        <v>4500342261</v>
      </c>
      <c r="AB2257" s="290" t="s">
        <v>163</v>
      </c>
      <c r="AC2257" s="14"/>
      <c r="AD2257" s="14"/>
      <c r="AE2257" s="14"/>
      <c r="AF2257" s="14"/>
      <c r="AG2257" s="14"/>
      <c r="AH2257" s="14"/>
      <c r="AI2257" s="14"/>
      <c r="AJ2257" s="14"/>
      <c r="AK2257" s="14"/>
    </row>
    <row r="2258" spans="2:37" ht="14.25" thickBot="1" x14ac:dyDescent="0.3">
      <c r="B2258" s="5">
        <v>273698</v>
      </c>
      <c r="C2258" s="6">
        <v>1135752</v>
      </c>
      <c r="D2258" s="6" t="s">
        <v>11</v>
      </c>
      <c r="E2258" s="6" t="s">
        <v>17</v>
      </c>
      <c r="F2258" s="6"/>
      <c r="G2258" s="7">
        <v>5</v>
      </c>
      <c r="H2258" s="218"/>
      <c r="S2258" s="305">
        <f>P2274-Q2274</f>
        <v>1</v>
      </c>
      <c r="T2258" s="305"/>
      <c r="V2258" s="290">
        <f>S2258-U2258</f>
        <v>1</v>
      </c>
      <c r="AC2258" s="14"/>
      <c r="AD2258" s="14"/>
      <c r="AE2258" s="14"/>
      <c r="AF2258" s="14"/>
      <c r="AG2258" s="14"/>
      <c r="AH2258" s="14"/>
      <c r="AI2258" s="14"/>
      <c r="AJ2258" s="14"/>
      <c r="AK2258" s="14"/>
    </row>
    <row r="2259" spans="2:37" ht="14.25" thickBot="1" x14ac:dyDescent="0.3">
      <c r="B2259" s="5">
        <v>273680</v>
      </c>
      <c r="C2259" s="6">
        <v>1135751</v>
      </c>
      <c r="D2259" s="6" t="s">
        <v>12</v>
      </c>
      <c r="E2259" s="6" t="s">
        <v>13</v>
      </c>
      <c r="F2259" s="6"/>
      <c r="G2259" s="7">
        <v>1</v>
      </c>
      <c r="H2259" s="218"/>
      <c r="S2259" s="305">
        <f>P2275-Q2275</f>
        <v>1</v>
      </c>
      <c r="T2259" s="305"/>
      <c r="U2259" s="290">
        <v>1</v>
      </c>
      <c r="V2259" s="290">
        <f>S2259-U2259</f>
        <v>0</v>
      </c>
      <c r="AA2259" s="290">
        <v>4500334773</v>
      </c>
      <c r="AB2259" s="290" t="s">
        <v>164</v>
      </c>
      <c r="AC2259" s="14"/>
      <c r="AD2259" s="14"/>
      <c r="AE2259" s="14"/>
      <c r="AF2259" s="14"/>
      <c r="AG2259" s="14"/>
      <c r="AH2259" s="14"/>
      <c r="AI2259" s="14"/>
      <c r="AJ2259" s="14"/>
      <c r="AK2259" s="14"/>
    </row>
    <row r="2260" spans="2:37" x14ac:dyDescent="0.25">
      <c r="S2260" s="305">
        <f>P2276-Q2276</f>
        <v>6</v>
      </c>
      <c r="T2260" s="305"/>
      <c r="U2260" s="290">
        <v>5</v>
      </c>
      <c r="V2260" s="290">
        <f>S2260-U2260</f>
        <v>1</v>
      </c>
      <c r="AB2260" s="290" t="s">
        <v>165</v>
      </c>
      <c r="AC2260" s="14"/>
      <c r="AD2260" s="14"/>
      <c r="AE2260" s="14"/>
      <c r="AF2260" s="14"/>
      <c r="AG2260" s="14"/>
      <c r="AH2260" s="14"/>
      <c r="AI2260" s="14"/>
      <c r="AJ2260" s="14"/>
      <c r="AK2260" s="14"/>
    </row>
    <row r="2261" spans="2:37" ht="14.25" thickBot="1" x14ac:dyDescent="0.3">
      <c r="B2261" s="338" t="s">
        <v>18</v>
      </c>
      <c r="C2261" s="339">
        <v>44998</v>
      </c>
      <c r="AC2261" s="14"/>
      <c r="AD2261" s="14"/>
      <c r="AE2261" s="14"/>
      <c r="AF2261" s="14"/>
      <c r="AG2261" s="14"/>
      <c r="AH2261" s="14"/>
      <c r="AI2261" s="14"/>
      <c r="AJ2261" s="14"/>
      <c r="AK2261" s="14"/>
    </row>
    <row r="2262" spans="2:37" ht="14.25" thickBot="1" x14ac:dyDescent="0.3">
      <c r="B2262" s="2" t="s">
        <v>0</v>
      </c>
      <c r="C2262" s="3" t="s">
        <v>1</v>
      </c>
      <c r="D2262" s="3" t="s">
        <v>2</v>
      </c>
      <c r="E2262" s="3" t="s">
        <v>3</v>
      </c>
      <c r="F2262" s="3"/>
      <c r="G2262" s="4" t="s">
        <v>4</v>
      </c>
      <c r="H2262" s="4"/>
      <c r="I2262" s="3" t="s">
        <v>5</v>
      </c>
      <c r="J2262" s="217"/>
      <c r="AC2262" s="14"/>
      <c r="AD2262" s="14"/>
      <c r="AE2262" s="14"/>
      <c r="AF2262" s="14"/>
      <c r="AG2262" s="14"/>
      <c r="AH2262" s="14"/>
      <c r="AI2262" s="14"/>
      <c r="AJ2262" s="14"/>
      <c r="AK2262" s="14"/>
    </row>
    <row r="2263" spans="2:37" ht="14.25" thickBot="1" x14ac:dyDescent="0.3">
      <c r="B2263" s="5">
        <v>273664</v>
      </c>
      <c r="C2263" s="6">
        <v>1135749</v>
      </c>
      <c r="D2263" s="6" t="s">
        <v>7</v>
      </c>
      <c r="E2263" s="6">
        <v>6060050026</v>
      </c>
      <c r="F2263" s="6"/>
      <c r="G2263" s="7">
        <v>15</v>
      </c>
      <c r="H2263" s="7"/>
      <c r="I2263" s="7"/>
      <c r="J2263" s="218"/>
      <c r="AC2263" s="14"/>
      <c r="AD2263" s="14"/>
      <c r="AE2263" s="14"/>
      <c r="AF2263" s="14"/>
      <c r="AG2263" s="14"/>
      <c r="AH2263" s="14"/>
      <c r="AI2263" s="14"/>
      <c r="AJ2263" s="14"/>
      <c r="AK2263" s="14"/>
    </row>
    <row r="2264" spans="2:37" ht="14.25" thickBot="1" x14ac:dyDescent="0.3">
      <c r="B2264" s="5">
        <v>273672</v>
      </c>
      <c r="C2264" s="6">
        <v>1135750</v>
      </c>
      <c r="D2264" s="6" t="s">
        <v>9</v>
      </c>
      <c r="E2264" s="6" t="s">
        <v>15</v>
      </c>
      <c r="F2264" s="6"/>
      <c r="G2264" s="7">
        <v>42</v>
      </c>
      <c r="H2264" s="7"/>
      <c r="I2264" s="7"/>
      <c r="J2264" s="218"/>
      <c r="R2264" s="14"/>
      <c r="S2264" s="14"/>
      <c r="T2264" s="14"/>
      <c r="U2264" s="14"/>
      <c r="V2264" s="14"/>
      <c r="W2264" s="14"/>
      <c r="X2264" s="14"/>
      <c r="Y2264" s="14"/>
      <c r="Z2264" s="14"/>
      <c r="AA2264" s="14"/>
      <c r="AB2264" s="14"/>
      <c r="AC2264" s="14"/>
      <c r="AD2264" s="14"/>
      <c r="AE2264" s="14"/>
      <c r="AF2264" s="14"/>
      <c r="AG2264" s="14"/>
      <c r="AH2264" s="14"/>
      <c r="AI2264" s="14"/>
      <c r="AJ2264" s="14"/>
      <c r="AK2264" s="14"/>
    </row>
    <row r="2265" spans="2:37" ht="14.25" thickBot="1" x14ac:dyDescent="0.3">
      <c r="B2265" s="5">
        <v>273702</v>
      </c>
      <c r="C2265" s="6">
        <v>1135753</v>
      </c>
      <c r="D2265" s="6" t="s">
        <v>10</v>
      </c>
      <c r="E2265" s="6" t="s">
        <v>16</v>
      </c>
      <c r="F2265" s="6"/>
      <c r="G2265" s="7">
        <v>2</v>
      </c>
      <c r="H2265" s="7"/>
      <c r="I2265" s="7"/>
      <c r="J2265" s="218"/>
      <c r="R2265" s="14"/>
      <c r="S2265" s="14"/>
      <c r="T2265" s="14"/>
      <c r="U2265" s="14"/>
      <c r="V2265" s="14"/>
      <c r="W2265" s="14"/>
      <c r="X2265" s="14"/>
      <c r="Y2265" s="14"/>
      <c r="Z2265" s="14"/>
      <c r="AA2265" s="14"/>
      <c r="AB2265" s="14"/>
      <c r="AC2265" s="14"/>
      <c r="AD2265" s="14"/>
      <c r="AE2265" s="14"/>
      <c r="AF2265" s="14"/>
      <c r="AG2265" s="14"/>
      <c r="AH2265" s="14"/>
      <c r="AI2265" s="14"/>
      <c r="AJ2265" s="14"/>
      <c r="AK2265" s="14"/>
    </row>
    <row r="2266" spans="2:37" ht="14.25" thickBot="1" x14ac:dyDescent="0.3">
      <c r="B2266" s="5">
        <v>273698</v>
      </c>
      <c r="C2266" s="6">
        <v>1135752</v>
      </c>
      <c r="D2266" s="6" t="s">
        <v>11</v>
      </c>
      <c r="E2266" s="6" t="s">
        <v>17</v>
      </c>
      <c r="F2266" s="6"/>
      <c r="G2266" s="7">
        <v>5</v>
      </c>
      <c r="H2266" s="7"/>
      <c r="I2266" s="7"/>
      <c r="J2266" s="218"/>
      <c r="R2266" s="14"/>
      <c r="S2266" s="14"/>
      <c r="T2266" s="14"/>
      <c r="U2266" s="14"/>
      <c r="V2266" s="14"/>
      <c r="W2266" s="14"/>
      <c r="X2266" s="14"/>
      <c r="Y2266" s="14"/>
      <c r="Z2266" s="14"/>
      <c r="AA2266" s="14"/>
      <c r="AB2266" s="14"/>
      <c r="AC2266" s="14"/>
      <c r="AD2266" s="14"/>
      <c r="AE2266" s="14"/>
      <c r="AF2266" s="14"/>
      <c r="AG2266" s="14"/>
      <c r="AH2266" s="14"/>
      <c r="AI2266" s="14"/>
      <c r="AJ2266" s="14"/>
      <c r="AK2266" s="14"/>
    </row>
    <row r="2267" spans="2:37" ht="14.25" thickBot="1" x14ac:dyDescent="0.3">
      <c r="B2267" s="5">
        <v>273680</v>
      </c>
      <c r="C2267" s="6">
        <v>1135751</v>
      </c>
      <c r="D2267" s="6" t="s">
        <v>12</v>
      </c>
      <c r="E2267" s="6" t="s">
        <v>13</v>
      </c>
      <c r="F2267" s="6"/>
      <c r="G2267" s="7">
        <v>1</v>
      </c>
      <c r="H2267" s="7"/>
      <c r="I2267" s="7"/>
      <c r="J2267" s="218"/>
      <c r="R2267" s="14"/>
      <c r="S2267" s="14"/>
      <c r="T2267" s="14"/>
      <c r="U2267" s="14"/>
      <c r="V2267" s="14"/>
      <c r="W2267" s="14"/>
      <c r="X2267" s="14"/>
      <c r="Y2267" s="14"/>
      <c r="Z2267" s="14"/>
      <c r="AA2267" s="14"/>
      <c r="AB2267" s="14"/>
      <c r="AC2267" s="14"/>
      <c r="AD2267" s="14"/>
      <c r="AE2267" s="14"/>
      <c r="AF2267" s="14"/>
      <c r="AG2267" s="14"/>
      <c r="AH2267" s="14"/>
      <c r="AI2267" s="14"/>
      <c r="AJ2267" s="14"/>
      <c r="AK2267" s="14"/>
    </row>
    <row r="2269" spans="2:37" ht="14.25" thickBot="1" x14ac:dyDescent="0.3">
      <c r="B2269" s="338" t="s">
        <v>18</v>
      </c>
      <c r="C2269" s="339">
        <v>44980</v>
      </c>
      <c r="R2269" s="14"/>
      <c r="S2269" s="14"/>
      <c r="T2269" s="14"/>
      <c r="U2269" s="14"/>
      <c r="V2269" s="14"/>
      <c r="W2269" s="14"/>
      <c r="X2269" s="14"/>
      <c r="Y2269" s="14"/>
      <c r="Z2269" s="14"/>
      <c r="AA2269" s="14"/>
      <c r="AB2269" s="14"/>
      <c r="AC2269" s="14"/>
      <c r="AD2269" s="14"/>
      <c r="AE2269" s="14"/>
      <c r="AF2269" s="14"/>
      <c r="AG2269" s="14"/>
      <c r="AH2269" s="14"/>
      <c r="AI2269" s="14"/>
      <c r="AJ2269" s="14"/>
      <c r="AK2269" s="14"/>
    </row>
    <row r="2270" spans="2:37" ht="14.25" thickBot="1" x14ac:dyDescent="0.3">
      <c r="B2270" s="2" t="s">
        <v>0</v>
      </c>
      <c r="C2270" s="3" t="s">
        <v>1</v>
      </c>
      <c r="D2270" s="3" t="s">
        <v>2</v>
      </c>
      <c r="E2270" s="3" t="s">
        <v>3</v>
      </c>
      <c r="F2270" s="3"/>
      <c r="G2270" s="4" t="s">
        <v>4</v>
      </c>
      <c r="H2270" s="4"/>
      <c r="I2270" s="3" t="s">
        <v>5</v>
      </c>
      <c r="J2270" s="217"/>
      <c r="R2270" s="14"/>
      <c r="S2270" s="14"/>
      <c r="T2270" s="14"/>
      <c r="U2270" s="14"/>
      <c r="V2270" s="14"/>
      <c r="W2270" s="14"/>
      <c r="X2270" s="14"/>
      <c r="Y2270" s="14"/>
      <c r="Z2270" s="14"/>
      <c r="AA2270" s="14"/>
      <c r="AB2270" s="14"/>
      <c r="AC2270" s="14"/>
      <c r="AD2270" s="14"/>
      <c r="AE2270" s="14"/>
      <c r="AF2270" s="14"/>
      <c r="AG2270" s="14"/>
      <c r="AH2270" s="14"/>
      <c r="AI2270" s="14"/>
      <c r="AJ2270" s="14"/>
      <c r="AK2270" s="14"/>
    </row>
    <row r="2271" spans="2:37" ht="14.25" thickBot="1" x14ac:dyDescent="0.3">
      <c r="B2271" s="5">
        <v>273664</v>
      </c>
      <c r="C2271" s="6">
        <v>1135749</v>
      </c>
      <c r="D2271" s="6" t="s">
        <v>7</v>
      </c>
      <c r="E2271" s="6">
        <v>6060050026</v>
      </c>
      <c r="F2271" s="6"/>
      <c r="G2271" s="7">
        <v>15</v>
      </c>
      <c r="H2271" s="7"/>
      <c r="I2271" s="7"/>
      <c r="J2271" s="218"/>
      <c r="P2271" s="3" t="s">
        <v>161</v>
      </c>
      <c r="Q2271" s="290" t="s">
        <v>167</v>
      </c>
      <c r="R2271" s="14"/>
      <c r="S2271" s="14"/>
      <c r="T2271" s="14"/>
      <c r="U2271" s="14"/>
      <c r="V2271" s="14"/>
      <c r="W2271" s="14"/>
      <c r="X2271" s="14"/>
      <c r="Y2271" s="14"/>
      <c r="Z2271" s="14"/>
      <c r="AA2271" s="14"/>
      <c r="AB2271" s="14"/>
      <c r="AC2271" s="14"/>
      <c r="AD2271" s="14"/>
      <c r="AE2271" s="14"/>
      <c r="AF2271" s="14"/>
      <c r="AG2271" s="14"/>
      <c r="AH2271" s="14"/>
      <c r="AI2271" s="14"/>
      <c r="AJ2271" s="14"/>
      <c r="AK2271" s="14"/>
    </row>
    <row r="2272" spans="2:37" ht="14.25" thickBot="1" x14ac:dyDescent="0.3">
      <c r="B2272" s="5">
        <v>273672</v>
      </c>
      <c r="C2272" s="6">
        <v>1135750</v>
      </c>
      <c r="D2272" s="6" t="s">
        <v>9</v>
      </c>
      <c r="E2272" s="6" t="s">
        <v>15</v>
      </c>
      <c r="F2272" s="6"/>
      <c r="G2272" s="7">
        <v>22</v>
      </c>
      <c r="H2272" s="7"/>
      <c r="I2272" s="7"/>
      <c r="J2272" s="218"/>
      <c r="P2272" s="7">
        <f>L2288-N2288</f>
        <v>6</v>
      </c>
      <c r="Q2272" s="290">
        <v>4</v>
      </c>
      <c r="R2272" s="14"/>
      <c r="S2272" s="14"/>
      <c r="T2272" s="14"/>
      <c r="U2272" s="14"/>
      <c r="V2272" s="14"/>
      <c r="W2272" s="14"/>
      <c r="X2272" s="14"/>
      <c r="Y2272" s="14"/>
      <c r="Z2272" s="14"/>
      <c r="AA2272" s="14"/>
      <c r="AB2272" s="14"/>
      <c r="AC2272" s="14"/>
      <c r="AD2272" s="14"/>
      <c r="AE2272" s="14"/>
      <c r="AF2272" s="14"/>
      <c r="AG2272" s="14"/>
      <c r="AH2272" s="14"/>
      <c r="AI2272" s="14"/>
      <c r="AJ2272" s="14"/>
      <c r="AK2272" s="14"/>
    </row>
    <row r="2273" spans="2:37" ht="14.25" thickBot="1" x14ac:dyDescent="0.3">
      <c r="B2273" s="5">
        <v>273702</v>
      </c>
      <c r="C2273" s="6">
        <v>1135753</v>
      </c>
      <c r="D2273" s="6" t="s">
        <v>10</v>
      </c>
      <c r="E2273" s="6" t="s">
        <v>16</v>
      </c>
      <c r="F2273" s="6"/>
      <c r="G2273" s="7">
        <v>2</v>
      </c>
      <c r="H2273" s="7"/>
      <c r="I2273" s="7"/>
      <c r="J2273" s="218"/>
      <c r="P2273" s="7">
        <f>L2289-N2289</f>
        <v>24</v>
      </c>
      <c r="Q2273" s="290">
        <v>6</v>
      </c>
      <c r="R2273" s="14"/>
      <c r="S2273" s="14"/>
      <c r="T2273" s="14"/>
      <c r="U2273" s="14"/>
      <c r="V2273" s="14"/>
      <c r="W2273" s="14"/>
      <c r="X2273" s="14"/>
      <c r="Y2273" s="14"/>
      <c r="Z2273" s="14"/>
      <c r="AA2273" s="14"/>
      <c r="AB2273" s="14"/>
      <c r="AC2273" s="14"/>
      <c r="AD2273" s="14"/>
      <c r="AE2273" s="14"/>
      <c r="AF2273" s="14"/>
      <c r="AG2273" s="14"/>
      <c r="AH2273" s="14"/>
      <c r="AI2273" s="14"/>
      <c r="AJ2273" s="14"/>
      <c r="AK2273" s="14"/>
    </row>
    <row r="2274" spans="2:37" ht="14.25" thickBot="1" x14ac:dyDescent="0.3">
      <c r="B2274" s="5">
        <v>273698</v>
      </c>
      <c r="C2274" s="6">
        <v>1135752</v>
      </c>
      <c r="D2274" s="6" t="s">
        <v>11</v>
      </c>
      <c r="E2274" s="6" t="s">
        <v>17</v>
      </c>
      <c r="F2274" s="6"/>
      <c r="G2274" s="7">
        <v>5</v>
      </c>
      <c r="H2274" s="7"/>
      <c r="I2274" s="7"/>
      <c r="J2274" s="218"/>
      <c r="P2274" s="7">
        <f>L2290-N2290</f>
        <v>2</v>
      </c>
      <c r="Q2274" s="290">
        <v>1</v>
      </c>
      <c r="R2274" s="14"/>
      <c r="S2274" s="14"/>
      <c r="T2274" s="14"/>
      <c r="U2274" s="14"/>
      <c r="V2274" s="14"/>
      <c r="W2274" s="14"/>
      <c r="X2274" s="14"/>
      <c r="Y2274" s="14"/>
      <c r="Z2274" s="14"/>
      <c r="AA2274" s="14"/>
      <c r="AB2274" s="14"/>
      <c r="AC2274" s="14"/>
      <c r="AD2274" s="14"/>
      <c r="AE2274" s="14"/>
      <c r="AF2274" s="14"/>
      <c r="AG2274" s="14"/>
      <c r="AH2274" s="14"/>
      <c r="AI2274" s="14"/>
      <c r="AJ2274" s="14"/>
      <c r="AK2274" s="14"/>
    </row>
    <row r="2275" spans="2:37" ht="14.25" thickBot="1" x14ac:dyDescent="0.3">
      <c r="B2275" s="5">
        <v>273680</v>
      </c>
      <c r="C2275" s="6">
        <v>1135751</v>
      </c>
      <c r="D2275" s="6" t="s">
        <v>12</v>
      </c>
      <c r="E2275" s="6" t="s">
        <v>13</v>
      </c>
      <c r="F2275" s="6"/>
      <c r="G2275" s="7">
        <v>1</v>
      </c>
      <c r="H2275" s="7"/>
      <c r="I2275" s="7"/>
      <c r="J2275" s="218"/>
      <c r="P2275" s="7">
        <f>L2291-N2291</f>
        <v>1</v>
      </c>
      <c r="R2275" s="14"/>
      <c r="S2275" s="14"/>
      <c r="T2275" s="14"/>
      <c r="U2275" s="14"/>
      <c r="V2275" s="14"/>
      <c r="W2275" s="14"/>
      <c r="X2275" s="14"/>
      <c r="Y2275" s="14"/>
      <c r="Z2275" s="14"/>
      <c r="AA2275" s="14"/>
      <c r="AB2275" s="14"/>
      <c r="AC2275" s="14"/>
      <c r="AD2275" s="14"/>
      <c r="AE2275" s="14"/>
      <c r="AF2275" s="14"/>
      <c r="AG2275" s="14"/>
      <c r="AH2275" s="14"/>
      <c r="AI2275" s="14"/>
      <c r="AJ2275" s="14"/>
      <c r="AK2275" s="14"/>
    </row>
    <row r="2276" spans="2:37" ht="14.25" thickBot="1" x14ac:dyDescent="0.3">
      <c r="P2276" s="7">
        <f>L2292-N2292</f>
        <v>6</v>
      </c>
      <c r="R2276" s="14"/>
      <c r="S2276" s="14"/>
      <c r="T2276" s="14"/>
      <c r="U2276" s="14"/>
      <c r="V2276" s="14"/>
      <c r="W2276" s="14"/>
      <c r="X2276" s="14"/>
      <c r="Y2276" s="14"/>
      <c r="Z2276" s="14"/>
      <c r="AA2276" s="14"/>
      <c r="AB2276" s="14"/>
      <c r="AC2276" s="14"/>
      <c r="AD2276" s="14"/>
      <c r="AE2276" s="14"/>
      <c r="AF2276" s="14"/>
      <c r="AG2276" s="14"/>
      <c r="AH2276" s="14"/>
      <c r="AI2276" s="14"/>
      <c r="AJ2276" s="14"/>
      <c r="AK2276" s="14"/>
    </row>
    <row r="2277" spans="2:37" ht="15.75" thickBot="1" x14ac:dyDescent="0.3">
      <c r="B2277" s="338" t="s">
        <v>18</v>
      </c>
      <c r="C2277" s="339">
        <v>44963</v>
      </c>
      <c r="D2277" s="306"/>
      <c r="E2277" s="306"/>
      <c r="F2277" s="306"/>
      <c r="G2277" s="306"/>
      <c r="H2277" s="306"/>
      <c r="I2277" s="306"/>
      <c r="J2277" s="306"/>
      <c r="R2277" s="14"/>
      <c r="S2277" s="14"/>
      <c r="T2277" s="14"/>
      <c r="U2277" s="14"/>
      <c r="V2277" s="14"/>
      <c r="W2277" s="14"/>
      <c r="X2277" s="14"/>
      <c r="Y2277" s="14"/>
      <c r="Z2277" s="14"/>
      <c r="AA2277" s="14"/>
      <c r="AB2277" s="14"/>
      <c r="AC2277" s="14"/>
      <c r="AD2277" s="14"/>
      <c r="AE2277" s="14"/>
      <c r="AF2277" s="14"/>
      <c r="AG2277" s="14"/>
      <c r="AH2277" s="14"/>
      <c r="AI2277" s="14"/>
      <c r="AJ2277" s="14"/>
      <c r="AK2277" s="14"/>
    </row>
    <row r="2278" spans="2:37" ht="14.25" thickBot="1" x14ac:dyDescent="0.3">
      <c r="B2278" s="2" t="s">
        <v>0</v>
      </c>
      <c r="C2278" s="3" t="s">
        <v>1</v>
      </c>
      <c r="D2278" s="3" t="s">
        <v>2</v>
      </c>
      <c r="E2278" s="3" t="s">
        <v>3</v>
      </c>
      <c r="F2278" s="3"/>
      <c r="G2278" s="4" t="s">
        <v>4</v>
      </c>
      <c r="H2278" s="4"/>
      <c r="I2278" s="3" t="s">
        <v>5</v>
      </c>
      <c r="J2278" s="217"/>
      <c r="R2278" s="14"/>
      <c r="S2278" s="14"/>
      <c r="T2278" s="14"/>
      <c r="U2278" s="14"/>
      <c r="V2278" s="14"/>
      <c r="W2278" s="14"/>
      <c r="X2278" s="14"/>
      <c r="Y2278" s="14"/>
      <c r="Z2278" s="14"/>
      <c r="AA2278" s="14"/>
      <c r="AB2278" s="14"/>
      <c r="AC2278" s="14"/>
      <c r="AD2278" s="14"/>
      <c r="AE2278" s="14"/>
      <c r="AF2278" s="14"/>
      <c r="AG2278" s="14"/>
      <c r="AH2278" s="14"/>
      <c r="AI2278" s="14"/>
      <c r="AJ2278" s="14"/>
      <c r="AK2278" s="14"/>
    </row>
    <row r="2279" spans="2:37" ht="16.5" thickBot="1" x14ac:dyDescent="0.3">
      <c r="B2279" s="5">
        <v>273664</v>
      </c>
      <c r="C2279" s="6">
        <v>1135749</v>
      </c>
      <c r="D2279" s="6" t="s">
        <v>7</v>
      </c>
      <c r="E2279" s="6">
        <v>6060050026</v>
      </c>
      <c r="F2279" s="6"/>
      <c r="G2279" s="117">
        <v>2</v>
      </c>
      <c r="H2279" s="117"/>
      <c r="I2279" s="7"/>
      <c r="J2279" s="218"/>
      <c r="R2279" s="14"/>
      <c r="S2279" s="14"/>
      <c r="T2279" s="14"/>
      <c r="U2279" s="14"/>
      <c r="V2279" s="14"/>
      <c r="W2279" s="14"/>
      <c r="X2279" s="14"/>
      <c r="Y2279" s="14"/>
      <c r="Z2279" s="14"/>
      <c r="AA2279" s="14"/>
      <c r="AB2279" s="14"/>
      <c r="AC2279" s="14"/>
      <c r="AD2279" s="14"/>
      <c r="AE2279" s="14"/>
      <c r="AF2279" s="14"/>
      <c r="AG2279" s="14"/>
      <c r="AH2279" s="14"/>
      <c r="AI2279" s="14"/>
      <c r="AJ2279" s="14"/>
      <c r="AK2279" s="14"/>
    </row>
    <row r="2280" spans="2:37" ht="14.25" thickBot="1" x14ac:dyDescent="0.3">
      <c r="B2280" s="5">
        <v>273672</v>
      </c>
      <c r="C2280" s="6">
        <v>1135750</v>
      </c>
      <c r="D2280" s="6" t="s">
        <v>9</v>
      </c>
      <c r="E2280" s="6" t="s">
        <v>15</v>
      </c>
      <c r="F2280" s="6"/>
      <c r="G2280" s="7">
        <v>20</v>
      </c>
      <c r="H2280" s="7"/>
      <c r="I2280" s="7"/>
      <c r="J2280" s="218"/>
      <c r="P2280" s="14"/>
      <c r="Q2280" s="14"/>
      <c r="R2280" s="14"/>
      <c r="S2280" s="14"/>
      <c r="T2280" s="14"/>
      <c r="U2280" s="14"/>
      <c r="V2280" s="14"/>
      <c r="W2280" s="14"/>
      <c r="X2280" s="14"/>
      <c r="Y2280" s="14"/>
      <c r="Z2280" s="14"/>
      <c r="AA2280" s="14"/>
      <c r="AB2280" s="14"/>
      <c r="AC2280" s="14"/>
      <c r="AD2280" s="14"/>
      <c r="AE2280" s="14"/>
      <c r="AF2280" s="14"/>
      <c r="AG2280" s="14"/>
      <c r="AH2280" s="14"/>
      <c r="AI2280" s="14"/>
      <c r="AJ2280" s="14"/>
      <c r="AK2280" s="14"/>
    </row>
    <row r="2281" spans="2:37" ht="16.5" thickBot="1" x14ac:dyDescent="0.3">
      <c r="B2281" s="5">
        <v>273702</v>
      </c>
      <c r="C2281" s="6">
        <v>1135753</v>
      </c>
      <c r="D2281" s="6" t="s">
        <v>10</v>
      </c>
      <c r="E2281" s="6" t="s">
        <v>16</v>
      </c>
      <c r="F2281" s="6"/>
      <c r="G2281" s="117">
        <v>1</v>
      </c>
      <c r="H2281" s="117"/>
      <c r="I2281" s="7"/>
      <c r="J2281" s="218"/>
      <c r="P2281" s="14"/>
      <c r="Q2281" s="14"/>
      <c r="R2281" s="14"/>
      <c r="S2281" s="14"/>
      <c r="T2281" s="14"/>
      <c r="U2281" s="14"/>
      <c r="V2281" s="14"/>
      <c r="W2281" s="14"/>
      <c r="X2281" s="14"/>
      <c r="Y2281" s="14"/>
      <c r="Z2281" s="14"/>
      <c r="AA2281" s="14"/>
      <c r="AB2281" s="14"/>
      <c r="AC2281" s="14"/>
      <c r="AD2281" s="14"/>
      <c r="AE2281" s="14"/>
      <c r="AF2281" s="14"/>
      <c r="AG2281" s="14"/>
      <c r="AH2281" s="14"/>
      <c r="AI2281" s="14"/>
      <c r="AJ2281" s="14"/>
      <c r="AK2281" s="14"/>
    </row>
    <row r="2282" spans="2:37" ht="16.5" thickBot="1" x14ac:dyDescent="0.3">
      <c r="B2282" s="5">
        <v>273698</v>
      </c>
      <c r="C2282" s="6">
        <v>1135752</v>
      </c>
      <c r="D2282" s="6" t="s">
        <v>11</v>
      </c>
      <c r="E2282" s="6" t="s">
        <v>17</v>
      </c>
      <c r="F2282" s="6"/>
      <c r="G2282" s="117">
        <v>0</v>
      </c>
      <c r="H2282" s="117"/>
      <c r="I2282" s="7"/>
      <c r="J2282" s="218"/>
      <c r="P2282" s="14"/>
      <c r="Q2282" s="14"/>
      <c r="R2282" s="14"/>
      <c r="S2282" s="14"/>
      <c r="T2282" s="14"/>
      <c r="U2282" s="14"/>
      <c r="V2282" s="14"/>
      <c r="W2282" s="14"/>
      <c r="X2282" s="14"/>
      <c r="Y2282" s="14"/>
      <c r="Z2282" s="14"/>
      <c r="AA2282" s="14"/>
      <c r="AB2282" s="14"/>
      <c r="AC2282" s="14"/>
      <c r="AD2282" s="14"/>
      <c r="AE2282" s="14"/>
      <c r="AF2282" s="14"/>
      <c r="AG2282" s="14"/>
      <c r="AH2282" s="14"/>
      <c r="AI2282" s="14"/>
      <c r="AJ2282" s="14"/>
      <c r="AK2282" s="14"/>
    </row>
    <row r="2283" spans="2:37" ht="16.5" thickBot="1" x14ac:dyDescent="0.3">
      <c r="B2283" s="5">
        <v>273680</v>
      </c>
      <c r="C2283" s="6">
        <v>1135751</v>
      </c>
      <c r="D2283" s="6" t="s">
        <v>12</v>
      </c>
      <c r="E2283" s="6" t="s">
        <v>13</v>
      </c>
      <c r="F2283" s="6"/>
      <c r="G2283" s="117">
        <v>1</v>
      </c>
      <c r="H2283" s="117"/>
      <c r="I2283" s="7"/>
      <c r="J2283" s="218"/>
      <c r="P2283" s="14"/>
      <c r="Q2283" s="14"/>
      <c r="R2283" s="14"/>
      <c r="S2283" s="14"/>
      <c r="T2283" s="14"/>
      <c r="U2283" s="14"/>
      <c r="V2283" s="14"/>
      <c r="W2283" s="14"/>
      <c r="X2283" s="14"/>
      <c r="Y2283" s="14"/>
      <c r="Z2283" s="14"/>
      <c r="AA2283" s="14"/>
      <c r="AB2283" s="14"/>
      <c r="AC2283" s="14"/>
      <c r="AD2283" s="14"/>
      <c r="AE2283" s="14"/>
      <c r="AF2283" s="14"/>
      <c r="AG2283" s="14"/>
      <c r="AH2283" s="14"/>
      <c r="AI2283" s="14"/>
      <c r="AJ2283" s="14"/>
      <c r="AK2283" s="14"/>
    </row>
    <row r="2285" spans="2:37" ht="14.25" thickBot="1" x14ac:dyDescent="0.3">
      <c r="B2285" s="338" t="s">
        <v>18</v>
      </c>
      <c r="C2285" s="339">
        <v>44956</v>
      </c>
      <c r="P2285" s="14"/>
      <c r="Q2285" s="14"/>
      <c r="R2285" s="14"/>
      <c r="S2285" s="14"/>
      <c r="T2285" s="14"/>
      <c r="U2285" s="14"/>
      <c r="V2285" s="14"/>
      <c r="W2285" s="14"/>
      <c r="X2285" s="14"/>
      <c r="Y2285" s="14"/>
      <c r="Z2285" s="14"/>
      <c r="AA2285" s="14"/>
      <c r="AB2285" s="14"/>
      <c r="AC2285" s="14"/>
      <c r="AD2285" s="14"/>
      <c r="AE2285" s="14"/>
      <c r="AF2285" s="14"/>
      <c r="AG2285" s="14"/>
      <c r="AH2285" s="14"/>
      <c r="AI2285" s="14"/>
      <c r="AJ2285" s="14"/>
      <c r="AK2285" s="14"/>
    </row>
    <row r="2286" spans="2:37" ht="14.25" thickBot="1" x14ac:dyDescent="0.3">
      <c r="B2286" s="2" t="s">
        <v>0</v>
      </c>
      <c r="C2286" s="3" t="s">
        <v>1</v>
      </c>
      <c r="D2286" s="3" t="s">
        <v>2</v>
      </c>
      <c r="E2286" s="3" t="s">
        <v>3</v>
      </c>
      <c r="F2286" s="3"/>
      <c r="G2286" s="4" t="s">
        <v>168</v>
      </c>
      <c r="H2286" s="4"/>
      <c r="I2286" s="3" t="s">
        <v>5</v>
      </c>
      <c r="J2286" s="3"/>
      <c r="K2286" s="3" t="s">
        <v>160</v>
      </c>
      <c r="P2286" s="14"/>
      <c r="Q2286" s="14"/>
      <c r="R2286" s="14"/>
      <c r="S2286" s="14"/>
      <c r="T2286" s="14"/>
      <c r="U2286" s="14"/>
      <c r="V2286" s="14"/>
      <c r="W2286" s="14"/>
      <c r="X2286" s="14"/>
      <c r="Y2286" s="14"/>
      <c r="Z2286" s="14"/>
      <c r="AA2286" s="14"/>
      <c r="AB2286" s="14"/>
      <c r="AC2286" s="14"/>
      <c r="AD2286" s="14"/>
      <c r="AE2286" s="14"/>
      <c r="AF2286" s="14"/>
      <c r="AG2286" s="14"/>
      <c r="AH2286" s="14"/>
      <c r="AI2286" s="14"/>
      <c r="AJ2286" s="14"/>
      <c r="AK2286" s="14"/>
    </row>
    <row r="2287" spans="2:37" ht="14.25" thickBot="1" x14ac:dyDescent="0.3">
      <c r="B2287" s="5">
        <v>273664</v>
      </c>
      <c r="C2287" s="6">
        <v>1135749</v>
      </c>
      <c r="D2287" s="6" t="s">
        <v>7</v>
      </c>
      <c r="E2287" s="6">
        <v>6060050026</v>
      </c>
      <c r="F2287" s="6"/>
      <c r="G2287" s="76">
        <v>0</v>
      </c>
      <c r="H2287" s="76"/>
      <c r="I2287" s="7">
        <v>0</v>
      </c>
      <c r="J2287" s="7"/>
      <c r="K2287" s="7">
        <v>0</v>
      </c>
      <c r="L2287" s="4" t="s">
        <v>169</v>
      </c>
      <c r="M2287" s="4"/>
      <c r="N2287" s="3" t="s">
        <v>166</v>
      </c>
      <c r="O2287" s="217"/>
      <c r="P2287" s="14"/>
      <c r="Q2287" s="14"/>
      <c r="R2287" s="14"/>
      <c r="S2287" s="14"/>
      <c r="T2287" s="14"/>
      <c r="U2287" s="14"/>
      <c r="V2287" s="14"/>
      <c r="W2287" s="14"/>
      <c r="X2287" s="14"/>
      <c r="Y2287" s="14"/>
      <c r="Z2287" s="14"/>
      <c r="AA2287" s="14"/>
      <c r="AB2287" s="14"/>
      <c r="AC2287" s="14"/>
      <c r="AD2287" s="14"/>
      <c r="AE2287" s="14"/>
      <c r="AF2287" s="14"/>
      <c r="AG2287" s="14"/>
      <c r="AH2287" s="14"/>
      <c r="AI2287" s="14"/>
      <c r="AJ2287" s="14"/>
      <c r="AK2287" s="14"/>
    </row>
    <row r="2288" spans="2:37" ht="14.25" thickBot="1" x14ac:dyDescent="0.3">
      <c r="B2288" s="5">
        <v>273672</v>
      </c>
      <c r="C2288" s="6">
        <v>1135750</v>
      </c>
      <c r="D2288" s="6" t="s">
        <v>9</v>
      </c>
      <c r="E2288" s="6" t="s">
        <v>15</v>
      </c>
      <c r="F2288" s="6"/>
      <c r="G2288" s="76">
        <v>18</v>
      </c>
      <c r="H2288" s="76"/>
      <c r="I2288" s="7">
        <v>19</v>
      </c>
      <c r="J2288" s="7"/>
      <c r="K2288" s="7">
        <v>1</v>
      </c>
      <c r="L2288" s="7">
        <v>12</v>
      </c>
      <c r="M2288" s="7"/>
      <c r="N2288" s="7">
        <v>6</v>
      </c>
      <c r="O2288" s="218"/>
      <c r="P2288" s="14"/>
      <c r="Q2288" s="14"/>
      <c r="R2288" s="14"/>
      <c r="S2288" s="14"/>
      <c r="T2288" s="14"/>
      <c r="U2288" s="14"/>
      <c r="V2288" s="14"/>
      <c r="W2288" s="14"/>
      <c r="X2288" s="14"/>
      <c r="Y2288" s="14"/>
      <c r="Z2288" s="14"/>
      <c r="AA2288" s="14"/>
      <c r="AB2288" s="14"/>
      <c r="AC2288" s="14"/>
      <c r="AD2288" s="14"/>
      <c r="AE2288" s="14"/>
      <c r="AF2288" s="14"/>
      <c r="AG2288" s="14"/>
      <c r="AH2288" s="14"/>
      <c r="AI2288" s="14"/>
      <c r="AJ2288" s="14"/>
      <c r="AK2288" s="14"/>
    </row>
    <row r="2289" spans="2:37" ht="14.25" thickBot="1" x14ac:dyDescent="0.3">
      <c r="B2289" s="5">
        <v>273702</v>
      </c>
      <c r="C2289" s="6">
        <v>1135753</v>
      </c>
      <c r="D2289" s="6" t="s">
        <v>10</v>
      </c>
      <c r="E2289" s="6" t="s">
        <v>16</v>
      </c>
      <c r="F2289" s="6"/>
      <c r="G2289" s="76">
        <v>1</v>
      </c>
      <c r="H2289" s="76"/>
      <c r="I2289" s="7">
        <v>1</v>
      </c>
      <c r="J2289" s="7"/>
      <c r="K2289" s="7">
        <v>0</v>
      </c>
      <c r="L2289" s="7">
        <v>42</v>
      </c>
      <c r="M2289" s="7"/>
      <c r="N2289" s="7">
        <v>18</v>
      </c>
      <c r="O2289" s="218"/>
      <c r="P2289" s="14"/>
      <c r="Q2289" s="14"/>
      <c r="R2289" s="14"/>
      <c r="S2289" s="14"/>
      <c r="T2289" s="14"/>
      <c r="U2289" s="14"/>
      <c r="V2289" s="14"/>
      <c r="W2289" s="14"/>
      <c r="X2289" s="14"/>
      <c r="Y2289" s="14"/>
      <c r="Z2289" s="14"/>
      <c r="AA2289" s="14"/>
      <c r="AB2289" s="14"/>
      <c r="AC2289" s="14"/>
      <c r="AD2289" s="14"/>
      <c r="AE2289" s="14"/>
      <c r="AF2289" s="14"/>
      <c r="AG2289" s="14"/>
      <c r="AH2289" s="14"/>
      <c r="AI2289" s="14"/>
      <c r="AJ2289" s="14"/>
      <c r="AK2289" s="14"/>
    </row>
    <row r="2290" spans="2:37" ht="14.25" thickBot="1" x14ac:dyDescent="0.3">
      <c r="B2290" s="5">
        <v>273698</v>
      </c>
      <c r="C2290" s="6">
        <v>1135752</v>
      </c>
      <c r="D2290" s="6" t="s">
        <v>11</v>
      </c>
      <c r="E2290" s="6" t="s">
        <v>17</v>
      </c>
      <c r="F2290" s="6"/>
      <c r="G2290" s="76">
        <v>0</v>
      </c>
      <c r="H2290" s="76"/>
      <c r="I2290" s="7">
        <v>2</v>
      </c>
      <c r="J2290" s="7"/>
      <c r="K2290" s="7">
        <v>2</v>
      </c>
      <c r="L2290" s="7">
        <v>3</v>
      </c>
      <c r="M2290" s="7"/>
      <c r="N2290" s="7">
        <v>1</v>
      </c>
      <c r="O2290" s="218"/>
      <c r="P2290" s="14"/>
      <c r="Q2290" s="14"/>
      <c r="R2290" s="14"/>
      <c r="S2290" s="14"/>
      <c r="T2290" s="14"/>
      <c r="U2290" s="14"/>
      <c r="V2290" s="14"/>
      <c r="W2290" s="14"/>
      <c r="X2290" s="14"/>
      <c r="Y2290" s="14"/>
      <c r="Z2290" s="14"/>
      <c r="AA2290" s="14"/>
      <c r="AB2290" s="14"/>
      <c r="AC2290" s="14"/>
      <c r="AD2290" s="14"/>
      <c r="AE2290" s="14"/>
      <c r="AF2290" s="14"/>
      <c r="AG2290" s="14"/>
      <c r="AH2290" s="14"/>
      <c r="AI2290" s="14"/>
      <c r="AJ2290" s="14"/>
      <c r="AK2290" s="14"/>
    </row>
    <row r="2291" spans="2:37" ht="14.25" thickBot="1" x14ac:dyDescent="0.3">
      <c r="B2291" s="5">
        <v>273680</v>
      </c>
      <c r="C2291" s="6">
        <v>1135751</v>
      </c>
      <c r="D2291" s="6" t="s">
        <v>12</v>
      </c>
      <c r="E2291" s="6" t="s">
        <v>13</v>
      </c>
      <c r="F2291" s="6"/>
      <c r="G2291" s="76">
        <v>1</v>
      </c>
      <c r="H2291" s="76"/>
      <c r="I2291" s="7">
        <v>8</v>
      </c>
      <c r="J2291" s="7"/>
      <c r="K2291" s="7">
        <v>7</v>
      </c>
      <c r="L2291" s="7">
        <v>5</v>
      </c>
      <c r="M2291" s="7"/>
      <c r="N2291" s="7">
        <v>4</v>
      </c>
      <c r="O2291" s="218"/>
      <c r="P2291" s="14"/>
      <c r="Q2291" s="14"/>
      <c r="R2291" s="14"/>
      <c r="S2291" s="14"/>
      <c r="T2291" s="14"/>
      <c r="U2291" s="14"/>
      <c r="V2291" s="14"/>
      <c r="W2291" s="14"/>
      <c r="X2291" s="14"/>
      <c r="Y2291" s="14"/>
      <c r="Z2291" s="14"/>
      <c r="AA2291" s="14"/>
      <c r="AB2291" s="14"/>
      <c r="AC2291" s="14"/>
      <c r="AD2291" s="14"/>
      <c r="AE2291" s="14"/>
      <c r="AF2291" s="14"/>
      <c r="AG2291" s="14"/>
      <c r="AH2291" s="14"/>
      <c r="AI2291" s="14"/>
      <c r="AJ2291" s="14"/>
      <c r="AK2291" s="14"/>
    </row>
    <row r="2292" spans="2:37" ht="14.25" thickBot="1" x14ac:dyDescent="0.3">
      <c r="L2292" s="7">
        <v>6</v>
      </c>
      <c r="M2292" s="7"/>
      <c r="N2292" s="7">
        <v>0</v>
      </c>
      <c r="O2292" s="218"/>
      <c r="P2292" s="14"/>
      <c r="Q2292" s="14"/>
      <c r="R2292" s="14"/>
      <c r="S2292" s="14"/>
      <c r="T2292" s="14"/>
      <c r="U2292" s="14"/>
      <c r="V2292" s="14"/>
      <c r="W2292" s="14"/>
      <c r="X2292" s="14"/>
      <c r="Y2292" s="14"/>
      <c r="Z2292" s="14"/>
      <c r="AA2292" s="14"/>
      <c r="AB2292" s="14"/>
      <c r="AC2292" s="14"/>
      <c r="AD2292" s="14"/>
      <c r="AE2292" s="14"/>
      <c r="AF2292" s="14"/>
      <c r="AG2292" s="14"/>
      <c r="AH2292" s="14"/>
      <c r="AI2292" s="14"/>
      <c r="AJ2292" s="14"/>
      <c r="AK2292" s="14"/>
    </row>
    <row r="2293" spans="2:37" ht="14.25" thickBot="1" x14ac:dyDescent="0.3">
      <c r="B2293" s="338" t="s">
        <v>18</v>
      </c>
      <c r="C2293" s="339">
        <v>44949</v>
      </c>
      <c r="P2293" s="14"/>
      <c r="Q2293" s="14"/>
      <c r="R2293" s="14"/>
      <c r="S2293" s="14"/>
      <c r="T2293" s="14"/>
      <c r="U2293" s="14"/>
      <c r="V2293" s="14"/>
      <c r="W2293" s="14"/>
      <c r="X2293" s="14"/>
      <c r="Y2293" s="14"/>
      <c r="Z2293" s="14"/>
      <c r="AA2293" s="14"/>
      <c r="AB2293" s="14"/>
      <c r="AC2293" s="14"/>
      <c r="AD2293" s="14"/>
      <c r="AE2293" s="14"/>
      <c r="AF2293" s="14"/>
      <c r="AG2293" s="14"/>
      <c r="AH2293" s="14"/>
      <c r="AI2293" s="14"/>
      <c r="AJ2293" s="14"/>
      <c r="AK2293" s="14"/>
    </row>
    <row r="2294" spans="2:37" ht="14.25" thickBot="1" x14ac:dyDescent="0.3">
      <c r="B2294" s="2" t="s">
        <v>0</v>
      </c>
      <c r="C2294" s="3" t="s">
        <v>1</v>
      </c>
      <c r="D2294" s="3" t="s">
        <v>2</v>
      </c>
      <c r="E2294" s="3" t="s">
        <v>3</v>
      </c>
      <c r="F2294" s="3"/>
      <c r="G2294" s="4" t="s">
        <v>168</v>
      </c>
      <c r="H2294" s="4"/>
      <c r="I2294" s="3" t="s">
        <v>5</v>
      </c>
      <c r="J2294" s="217"/>
      <c r="P2294" s="14"/>
      <c r="Q2294" s="14"/>
      <c r="R2294" s="14"/>
      <c r="S2294" s="14"/>
      <c r="T2294" s="14"/>
      <c r="U2294" s="14"/>
      <c r="V2294" s="14"/>
      <c r="W2294" s="14"/>
      <c r="X2294" s="14"/>
      <c r="Y2294" s="14"/>
      <c r="Z2294" s="14"/>
      <c r="AA2294" s="14"/>
      <c r="AB2294" s="14"/>
      <c r="AC2294" s="14"/>
      <c r="AD2294" s="14"/>
      <c r="AE2294" s="14"/>
      <c r="AF2294" s="14"/>
      <c r="AG2294" s="14"/>
      <c r="AH2294" s="14"/>
      <c r="AI2294" s="14"/>
      <c r="AJ2294" s="14"/>
      <c r="AK2294" s="14"/>
    </row>
    <row r="2295" spans="2:37" ht="14.25" thickBot="1" x14ac:dyDescent="0.3">
      <c r="B2295" s="5">
        <v>273664</v>
      </c>
      <c r="C2295" s="6">
        <v>1135749</v>
      </c>
      <c r="D2295" s="6" t="s">
        <v>7</v>
      </c>
      <c r="E2295" s="6">
        <v>6060050026</v>
      </c>
      <c r="F2295" s="6"/>
      <c r="G2295" s="76">
        <v>0</v>
      </c>
      <c r="H2295" s="76"/>
      <c r="I2295" s="7">
        <v>0</v>
      </c>
      <c r="J2295" s="218"/>
      <c r="P2295" s="14"/>
      <c r="Q2295" s="14"/>
      <c r="R2295" s="14"/>
      <c r="S2295" s="14"/>
      <c r="T2295" s="14"/>
      <c r="U2295" s="14"/>
      <c r="V2295" s="14"/>
      <c r="W2295" s="14"/>
      <c r="X2295" s="14"/>
      <c r="Y2295" s="14"/>
      <c r="Z2295" s="14"/>
      <c r="AA2295" s="14"/>
      <c r="AB2295" s="14"/>
      <c r="AC2295" s="14"/>
      <c r="AD2295" s="14"/>
      <c r="AE2295" s="14"/>
      <c r="AF2295" s="14"/>
      <c r="AG2295" s="14"/>
      <c r="AH2295" s="14"/>
      <c r="AI2295" s="14"/>
      <c r="AJ2295" s="14"/>
      <c r="AK2295" s="14"/>
    </row>
    <row r="2296" spans="2:37" ht="14.25" thickBot="1" x14ac:dyDescent="0.3">
      <c r="B2296" s="5">
        <v>273672</v>
      </c>
      <c r="C2296" s="6">
        <v>1135750</v>
      </c>
      <c r="D2296" s="6" t="s">
        <v>9</v>
      </c>
      <c r="E2296" s="6" t="s">
        <v>15</v>
      </c>
      <c r="F2296" s="6"/>
      <c r="G2296" s="76">
        <v>18</v>
      </c>
      <c r="H2296" s="76"/>
      <c r="I2296" s="7">
        <v>19</v>
      </c>
      <c r="J2296" s="218"/>
      <c r="K2296" s="14"/>
      <c r="L2296" s="14"/>
      <c r="M2296" s="14"/>
      <c r="N2296" s="14"/>
      <c r="O2296" s="14"/>
      <c r="P2296" s="14"/>
      <c r="Q2296" s="14"/>
      <c r="R2296" s="14"/>
      <c r="S2296" s="14"/>
      <c r="T2296" s="14"/>
      <c r="U2296" s="14"/>
      <c r="V2296" s="14"/>
      <c r="W2296" s="14"/>
      <c r="X2296" s="14"/>
      <c r="Y2296" s="14"/>
      <c r="Z2296" s="14"/>
      <c r="AA2296" s="14"/>
      <c r="AB2296" s="14"/>
      <c r="AC2296" s="14"/>
      <c r="AD2296" s="14"/>
      <c r="AE2296" s="14"/>
      <c r="AF2296" s="14"/>
      <c r="AG2296" s="14"/>
      <c r="AH2296" s="14"/>
      <c r="AI2296" s="14"/>
      <c r="AJ2296" s="14"/>
      <c r="AK2296" s="14"/>
    </row>
    <row r="2297" spans="2:37" ht="14.25" thickBot="1" x14ac:dyDescent="0.3">
      <c r="B2297" s="5">
        <v>273702</v>
      </c>
      <c r="C2297" s="6">
        <v>1135753</v>
      </c>
      <c r="D2297" s="6" t="s">
        <v>10</v>
      </c>
      <c r="E2297" s="6" t="s">
        <v>16</v>
      </c>
      <c r="F2297" s="6"/>
      <c r="G2297" s="76">
        <v>1</v>
      </c>
      <c r="H2297" s="76"/>
      <c r="I2297" s="7">
        <v>1</v>
      </c>
      <c r="J2297" s="218"/>
      <c r="K2297" s="14"/>
      <c r="L2297" s="14"/>
      <c r="M2297" s="14"/>
      <c r="N2297" s="14"/>
      <c r="O2297" s="14"/>
      <c r="P2297" s="14"/>
      <c r="Q2297" s="14"/>
      <c r="R2297" s="14"/>
      <c r="S2297" s="14"/>
      <c r="T2297" s="14"/>
      <c r="U2297" s="14"/>
      <c r="V2297" s="14"/>
      <c r="W2297" s="14"/>
      <c r="X2297" s="14"/>
      <c r="Y2297" s="14"/>
      <c r="Z2297" s="14"/>
      <c r="AA2297" s="14"/>
      <c r="AB2297" s="14"/>
      <c r="AC2297" s="14"/>
      <c r="AD2297" s="14"/>
      <c r="AE2297" s="14"/>
      <c r="AF2297" s="14"/>
      <c r="AG2297" s="14"/>
      <c r="AH2297" s="14"/>
      <c r="AI2297" s="14"/>
      <c r="AJ2297" s="14"/>
      <c r="AK2297" s="14"/>
    </row>
    <row r="2298" spans="2:37" ht="14.25" thickBot="1" x14ac:dyDescent="0.3">
      <c r="B2298" s="5">
        <v>273698</v>
      </c>
      <c r="C2298" s="6">
        <v>1135752</v>
      </c>
      <c r="D2298" s="6" t="s">
        <v>11</v>
      </c>
      <c r="E2298" s="6" t="s">
        <v>17</v>
      </c>
      <c r="F2298" s="6"/>
      <c r="G2298" s="76">
        <v>0</v>
      </c>
      <c r="H2298" s="76"/>
      <c r="I2298" s="7">
        <v>2</v>
      </c>
      <c r="J2298" s="218"/>
      <c r="K2298" s="14"/>
      <c r="L2298" s="14"/>
      <c r="M2298" s="14"/>
      <c r="N2298" s="14"/>
      <c r="O2298" s="14"/>
      <c r="P2298" s="14"/>
      <c r="Q2298" s="14"/>
      <c r="R2298" s="14"/>
      <c r="S2298" s="14"/>
      <c r="T2298" s="14"/>
      <c r="U2298" s="14"/>
      <c r="V2298" s="14"/>
      <c r="W2298" s="14"/>
      <c r="X2298" s="14"/>
      <c r="Y2298" s="14"/>
      <c r="Z2298" s="14"/>
      <c r="AA2298" s="14"/>
      <c r="AB2298" s="14"/>
      <c r="AC2298" s="14"/>
      <c r="AD2298" s="14"/>
      <c r="AE2298" s="14"/>
      <c r="AF2298" s="14"/>
      <c r="AG2298" s="14"/>
      <c r="AH2298" s="14"/>
      <c r="AI2298" s="14"/>
      <c r="AJ2298" s="14"/>
      <c r="AK2298" s="14"/>
    </row>
    <row r="2299" spans="2:37" ht="14.25" thickBot="1" x14ac:dyDescent="0.3">
      <c r="B2299" s="5">
        <v>273680</v>
      </c>
      <c r="C2299" s="6">
        <v>1135751</v>
      </c>
      <c r="D2299" s="6" t="s">
        <v>12</v>
      </c>
      <c r="E2299" s="6" t="s">
        <v>13</v>
      </c>
      <c r="F2299" s="6"/>
      <c r="G2299" s="76">
        <v>1</v>
      </c>
      <c r="H2299" s="76"/>
      <c r="I2299" s="7">
        <v>8</v>
      </c>
      <c r="J2299" s="218"/>
      <c r="K2299" s="14"/>
      <c r="L2299" s="14"/>
      <c r="M2299" s="14"/>
      <c r="N2299" s="14"/>
      <c r="O2299" s="14"/>
      <c r="P2299" s="14"/>
      <c r="Q2299" s="14"/>
      <c r="R2299" s="14"/>
      <c r="S2299" s="14"/>
      <c r="T2299" s="14"/>
      <c r="U2299" s="14"/>
      <c r="V2299" s="14"/>
      <c r="W2299" s="14"/>
      <c r="X2299" s="14"/>
      <c r="Y2299" s="14"/>
      <c r="Z2299" s="14"/>
      <c r="AA2299" s="14"/>
      <c r="AB2299" s="14"/>
      <c r="AC2299" s="14"/>
      <c r="AD2299" s="14"/>
      <c r="AE2299" s="14"/>
      <c r="AF2299" s="14"/>
      <c r="AG2299" s="14"/>
      <c r="AH2299" s="14"/>
      <c r="AI2299" s="14"/>
      <c r="AJ2299" s="14"/>
      <c r="AK2299" s="14"/>
    </row>
    <row r="2301" spans="2:37" ht="14.25" thickBot="1" x14ac:dyDescent="0.3">
      <c r="B2301" s="338" t="s">
        <v>18</v>
      </c>
      <c r="C2301" s="339">
        <v>44942</v>
      </c>
      <c r="K2301" s="14"/>
      <c r="L2301" s="14"/>
      <c r="M2301" s="14"/>
      <c r="N2301" s="14"/>
      <c r="O2301" s="14"/>
      <c r="P2301" s="14"/>
      <c r="Q2301" s="14"/>
      <c r="R2301" s="14"/>
      <c r="S2301" s="14"/>
      <c r="T2301" s="14"/>
      <c r="U2301" s="14"/>
      <c r="V2301" s="14"/>
      <c r="W2301" s="14"/>
      <c r="X2301" s="14"/>
      <c r="Y2301" s="14"/>
      <c r="Z2301" s="14"/>
      <c r="AA2301" s="14"/>
      <c r="AB2301" s="14"/>
      <c r="AC2301" s="14"/>
      <c r="AD2301" s="14"/>
      <c r="AE2301" s="14"/>
      <c r="AF2301" s="14"/>
      <c r="AG2301" s="14"/>
      <c r="AH2301" s="14"/>
      <c r="AI2301" s="14"/>
      <c r="AJ2301" s="14"/>
      <c r="AK2301" s="14"/>
    </row>
    <row r="2302" spans="2:37" ht="14.25" thickBot="1" x14ac:dyDescent="0.3">
      <c r="B2302" s="2" t="s">
        <v>0</v>
      </c>
      <c r="C2302" s="3" t="s">
        <v>1</v>
      </c>
      <c r="D2302" s="3" t="s">
        <v>2</v>
      </c>
      <c r="E2302" s="3" t="s">
        <v>3</v>
      </c>
      <c r="F2302" s="3"/>
      <c r="G2302" s="4" t="s">
        <v>4</v>
      </c>
      <c r="H2302" s="4"/>
      <c r="I2302" s="3" t="s">
        <v>5</v>
      </c>
      <c r="J2302" s="217"/>
      <c r="K2302" s="14"/>
      <c r="L2302" s="14"/>
      <c r="M2302" s="14"/>
      <c r="N2302" s="14"/>
      <c r="O2302" s="14"/>
      <c r="P2302" s="14"/>
      <c r="Q2302" s="14"/>
      <c r="R2302" s="14"/>
      <c r="S2302" s="14"/>
      <c r="T2302" s="14"/>
      <c r="U2302" s="14"/>
      <c r="V2302" s="14"/>
      <c r="W2302" s="14"/>
      <c r="X2302" s="14"/>
      <c r="Y2302" s="14"/>
      <c r="Z2302" s="14"/>
      <c r="AA2302" s="14"/>
      <c r="AB2302" s="14"/>
      <c r="AC2302" s="14"/>
      <c r="AD2302" s="14"/>
      <c r="AE2302" s="14"/>
      <c r="AF2302" s="14"/>
      <c r="AG2302" s="14"/>
      <c r="AH2302" s="14"/>
      <c r="AI2302" s="14"/>
      <c r="AJ2302" s="14"/>
      <c r="AK2302" s="14"/>
    </row>
    <row r="2303" spans="2:37" ht="14.25" thickBot="1" x14ac:dyDescent="0.3">
      <c r="B2303" s="5">
        <v>273664</v>
      </c>
      <c r="C2303" s="6">
        <v>1135749</v>
      </c>
      <c r="D2303" s="6" t="s">
        <v>7</v>
      </c>
      <c r="E2303" s="6">
        <v>6060050026</v>
      </c>
      <c r="F2303" s="6"/>
      <c r="G2303" s="7">
        <v>0</v>
      </c>
      <c r="H2303" s="7"/>
      <c r="I2303" s="7"/>
      <c r="J2303" s="218"/>
      <c r="K2303" s="14"/>
      <c r="L2303" s="14"/>
      <c r="M2303" s="14"/>
      <c r="N2303" s="14"/>
      <c r="O2303" s="14"/>
      <c r="P2303" s="14"/>
      <c r="Q2303" s="14"/>
      <c r="R2303" s="14"/>
      <c r="S2303" s="14"/>
      <c r="T2303" s="14"/>
      <c r="U2303" s="14"/>
      <c r="V2303" s="14"/>
      <c r="W2303" s="14"/>
      <c r="X2303" s="14"/>
      <c r="Y2303" s="14"/>
      <c r="Z2303" s="14"/>
      <c r="AA2303" s="14"/>
      <c r="AB2303" s="14"/>
      <c r="AC2303" s="14"/>
      <c r="AD2303" s="14"/>
      <c r="AE2303" s="14"/>
      <c r="AF2303" s="14"/>
      <c r="AG2303" s="14"/>
      <c r="AH2303" s="14"/>
      <c r="AI2303" s="14"/>
      <c r="AJ2303" s="14"/>
      <c r="AK2303" s="14"/>
    </row>
    <row r="2304" spans="2:37" ht="14.25" thickBot="1" x14ac:dyDescent="0.3">
      <c r="B2304" s="5">
        <v>273672</v>
      </c>
      <c r="C2304" s="6">
        <v>1135750</v>
      </c>
      <c r="D2304" s="6" t="s">
        <v>9</v>
      </c>
      <c r="E2304" s="6" t="s">
        <v>15</v>
      </c>
      <c r="F2304" s="6"/>
      <c r="G2304" s="7">
        <v>20</v>
      </c>
      <c r="H2304" s="7"/>
      <c r="I2304" s="7"/>
      <c r="J2304" s="218"/>
      <c r="K2304" s="14"/>
      <c r="L2304" s="14"/>
      <c r="M2304" s="14"/>
      <c r="N2304" s="14"/>
      <c r="O2304" s="14"/>
      <c r="P2304" s="14"/>
      <c r="Q2304" s="14"/>
      <c r="R2304" s="14"/>
      <c r="S2304" s="14"/>
      <c r="T2304" s="14"/>
      <c r="U2304" s="14"/>
      <c r="V2304" s="14"/>
      <c r="W2304" s="14"/>
      <c r="X2304" s="14"/>
      <c r="Y2304" s="14"/>
      <c r="Z2304" s="14"/>
      <c r="AA2304" s="14"/>
      <c r="AB2304" s="14"/>
      <c r="AC2304" s="14"/>
      <c r="AD2304" s="14"/>
      <c r="AE2304" s="14"/>
      <c r="AF2304" s="14"/>
      <c r="AG2304" s="14"/>
      <c r="AH2304" s="14"/>
      <c r="AI2304" s="14"/>
      <c r="AJ2304" s="14"/>
      <c r="AK2304" s="14"/>
    </row>
    <row r="2305" spans="2:37" ht="14.25" thickBot="1" x14ac:dyDescent="0.3">
      <c r="B2305" s="5">
        <v>273702</v>
      </c>
      <c r="C2305" s="6">
        <v>1135753</v>
      </c>
      <c r="D2305" s="6" t="s">
        <v>10</v>
      </c>
      <c r="E2305" s="6" t="s">
        <v>16</v>
      </c>
      <c r="F2305" s="6"/>
      <c r="G2305" s="7">
        <v>2</v>
      </c>
      <c r="H2305" s="7"/>
      <c r="I2305" s="7"/>
      <c r="J2305" s="218"/>
      <c r="K2305" s="14"/>
      <c r="L2305" s="14"/>
      <c r="M2305" s="14"/>
      <c r="N2305" s="14"/>
      <c r="O2305" s="14"/>
      <c r="P2305" s="14"/>
      <c r="Q2305" s="14"/>
      <c r="R2305" s="14"/>
      <c r="S2305" s="14"/>
      <c r="T2305" s="14"/>
      <c r="U2305" s="14"/>
      <c r="V2305" s="14"/>
      <c r="W2305" s="14"/>
      <c r="X2305" s="14"/>
      <c r="Y2305" s="14"/>
      <c r="Z2305" s="14"/>
      <c r="AA2305" s="14"/>
      <c r="AB2305" s="14"/>
      <c r="AC2305" s="14"/>
      <c r="AD2305" s="14"/>
      <c r="AE2305" s="14"/>
      <c r="AF2305" s="14"/>
      <c r="AG2305" s="14"/>
      <c r="AH2305" s="14"/>
      <c r="AI2305" s="14"/>
      <c r="AJ2305" s="14"/>
      <c r="AK2305" s="14"/>
    </row>
    <row r="2306" spans="2:37" ht="14.25" thickBot="1" x14ac:dyDescent="0.3">
      <c r="B2306" s="5">
        <v>273698</v>
      </c>
      <c r="C2306" s="6">
        <v>1135752</v>
      </c>
      <c r="D2306" s="6" t="s">
        <v>11</v>
      </c>
      <c r="E2306" s="6" t="s">
        <v>17</v>
      </c>
      <c r="F2306" s="6"/>
      <c r="G2306" s="7">
        <v>0</v>
      </c>
      <c r="H2306" s="7"/>
      <c r="I2306" s="7"/>
      <c r="J2306" s="218"/>
      <c r="K2306" s="14"/>
      <c r="L2306" s="14"/>
      <c r="M2306" s="14"/>
      <c r="N2306" s="14"/>
      <c r="O2306" s="14"/>
      <c r="P2306" s="14"/>
      <c r="Q2306" s="14"/>
      <c r="R2306" s="14"/>
      <c r="S2306" s="14"/>
      <c r="T2306" s="14"/>
      <c r="U2306" s="14"/>
      <c r="V2306" s="14"/>
      <c r="W2306" s="14"/>
      <c r="X2306" s="14"/>
      <c r="Y2306" s="14"/>
      <c r="Z2306" s="14"/>
      <c r="AA2306" s="14"/>
      <c r="AB2306" s="14"/>
      <c r="AC2306" s="14"/>
      <c r="AD2306" s="14"/>
      <c r="AE2306" s="14"/>
      <c r="AF2306" s="14"/>
      <c r="AG2306" s="14"/>
      <c r="AH2306" s="14"/>
      <c r="AI2306" s="14"/>
      <c r="AJ2306" s="14"/>
      <c r="AK2306" s="14"/>
    </row>
    <row r="2307" spans="2:37" ht="14.25" thickBot="1" x14ac:dyDescent="0.3">
      <c r="B2307" s="5">
        <v>273680</v>
      </c>
      <c r="C2307" s="6">
        <v>1135751</v>
      </c>
      <c r="D2307" s="6" t="s">
        <v>12</v>
      </c>
      <c r="E2307" s="6" t="s">
        <v>13</v>
      </c>
      <c r="F2307" s="6"/>
      <c r="G2307" s="7">
        <v>1</v>
      </c>
      <c r="H2307" s="7"/>
      <c r="I2307" s="7"/>
      <c r="J2307" s="218"/>
      <c r="K2307" s="14"/>
      <c r="L2307" s="14"/>
      <c r="M2307" s="14"/>
      <c r="N2307" s="14"/>
      <c r="O2307" s="14"/>
      <c r="P2307" s="14"/>
      <c r="Q2307" s="14"/>
      <c r="R2307" s="14"/>
      <c r="S2307" s="14"/>
      <c r="T2307" s="14"/>
      <c r="U2307" s="14"/>
      <c r="V2307" s="14"/>
      <c r="W2307" s="14"/>
      <c r="X2307" s="14"/>
      <c r="Y2307" s="14"/>
      <c r="Z2307" s="14"/>
      <c r="AA2307" s="14"/>
      <c r="AB2307" s="14"/>
      <c r="AC2307" s="14"/>
      <c r="AD2307" s="14"/>
      <c r="AE2307" s="14"/>
      <c r="AF2307" s="14"/>
      <c r="AG2307" s="14"/>
      <c r="AH2307" s="14"/>
      <c r="AI2307" s="14"/>
      <c r="AJ2307" s="14"/>
      <c r="AK2307" s="14"/>
    </row>
    <row r="2309" spans="2:37" ht="14.25" thickBot="1" x14ac:dyDescent="0.3">
      <c r="B2309" s="338" t="s">
        <v>18</v>
      </c>
      <c r="C2309" s="339">
        <v>44935</v>
      </c>
      <c r="K2309" s="14"/>
      <c r="L2309" s="14"/>
      <c r="M2309" s="14"/>
      <c r="N2309" s="14"/>
      <c r="O2309" s="14"/>
      <c r="P2309" s="14"/>
      <c r="Q2309" s="14"/>
      <c r="R2309" s="14"/>
      <c r="S2309" s="14"/>
      <c r="T2309" s="14"/>
      <c r="U2309" s="14"/>
      <c r="V2309" s="14"/>
      <c r="W2309" s="14"/>
      <c r="X2309" s="14"/>
      <c r="Y2309" s="14"/>
      <c r="Z2309" s="14"/>
      <c r="AA2309" s="14"/>
      <c r="AB2309" s="14"/>
      <c r="AC2309" s="14"/>
      <c r="AD2309" s="14"/>
      <c r="AE2309" s="14"/>
      <c r="AF2309" s="14"/>
      <c r="AG2309" s="14"/>
      <c r="AH2309" s="14"/>
      <c r="AI2309" s="14"/>
      <c r="AJ2309" s="14"/>
      <c r="AK2309" s="14"/>
    </row>
    <row r="2310" spans="2:37" ht="14.25" thickBot="1" x14ac:dyDescent="0.3">
      <c r="B2310" s="2" t="s">
        <v>0</v>
      </c>
      <c r="C2310" s="3" t="s">
        <v>1</v>
      </c>
      <c r="D2310" s="3" t="s">
        <v>2</v>
      </c>
      <c r="E2310" s="3" t="s">
        <v>3</v>
      </c>
      <c r="F2310" s="3"/>
      <c r="G2310" s="4" t="s">
        <v>4</v>
      </c>
      <c r="H2310" s="4"/>
      <c r="I2310" s="3" t="s">
        <v>5</v>
      </c>
      <c r="J2310" s="217"/>
      <c r="K2310" s="14"/>
      <c r="L2310" s="14"/>
      <c r="M2310" s="14"/>
      <c r="N2310" s="14"/>
      <c r="O2310" s="14"/>
      <c r="P2310" s="14"/>
      <c r="Q2310" s="14"/>
      <c r="R2310" s="14"/>
      <c r="S2310" s="14"/>
      <c r="T2310" s="14"/>
      <c r="U2310" s="14"/>
      <c r="V2310" s="14"/>
      <c r="W2310" s="14"/>
      <c r="X2310" s="14"/>
      <c r="Y2310" s="14"/>
      <c r="Z2310" s="14"/>
      <c r="AA2310" s="14"/>
      <c r="AB2310" s="14"/>
      <c r="AC2310" s="14"/>
      <c r="AD2310" s="14"/>
      <c r="AE2310" s="14"/>
      <c r="AF2310" s="14"/>
      <c r="AG2310" s="14"/>
      <c r="AH2310" s="14"/>
      <c r="AI2310" s="14"/>
      <c r="AJ2310" s="14"/>
      <c r="AK2310" s="14"/>
    </row>
    <row r="2311" spans="2:37" ht="14.25" thickBot="1" x14ac:dyDescent="0.3">
      <c r="B2311" s="5">
        <v>273664</v>
      </c>
      <c r="C2311" s="6">
        <v>1135749</v>
      </c>
      <c r="D2311" s="6" t="s">
        <v>7</v>
      </c>
      <c r="E2311" s="6">
        <v>6060050026</v>
      </c>
      <c r="F2311" s="6"/>
      <c r="G2311" s="7">
        <v>0</v>
      </c>
      <c r="H2311" s="7"/>
      <c r="I2311" s="7"/>
      <c r="J2311" s="218"/>
      <c r="K2311" s="14"/>
      <c r="L2311" s="14"/>
      <c r="M2311" s="14"/>
      <c r="N2311" s="14"/>
      <c r="O2311" s="14"/>
      <c r="P2311" s="14"/>
      <c r="Q2311" s="14"/>
      <c r="R2311" s="14"/>
      <c r="S2311" s="14"/>
      <c r="T2311" s="14"/>
      <c r="U2311" s="14"/>
      <c r="V2311" s="14"/>
      <c r="W2311" s="14"/>
      <c r="X2311" s="14"/>
      <c r="Y2311" s="14"/>
      <c r="Z2311" s="14"/>
      <c r="AA2311" s="14"/>
      <c r="AB2311" s="14"/>
      <c r="AC2311" s="14"/>
      <c r="AD2311" s="14"/>
      <c r="AE2311" s="14"/>
      <c r="AF2311" s="14"/>
      <c r="AG2311" s="14"/>
      <c r="AH2311" s="14"/>
      <c r="AI2311" s="14"/>
      <c r="AJ2311" s="14"/>
      <c r="AK2311" s="14"/>
    </row>
    <row r="2312" spans="2:37" ht="14.25" thickBot="1" x14ac:dyDescent="0.3">
      <c r="B2312" s="5">
        <v>273672</v>
      </c>
      <c r="C2312" s="6">
        <v>1135750</v>
      </c>
      <c r="D2312" s="6" t="s">
        <v>9</v>
      </c>
      <c r="E2312" s="6" t="s">
        <v>15</v>
      </c>
      <c r="F2312" s="6"/>
      <c r="G2312" s="7">
        <v>20</v>
      </c>
      <c r="H2312" s="7"/>
      <c r="I2312" s="7"/>
      <c r="J2312" s="218"/>
      <c r="K2312" s="14"/>
      <c r="L2312" s="14"/>
      <c r="M2312" s="14"/>
      <c r="N2312" s="14"/>
      <c r="O2312" s="14"/>
      <c r="P2312" s="14"/>
      <c r="Q2312" s="14"/>
      <c r="R2312" s="14"/>
      <c r="S2312" s="14"/>
      <c r="T2312" s="14"/>
      <c r="U2312" s="14"/>
      <c r="V2312" s="14"/>
      <c r="W2312" s="14"/>
      <c r="X2312" s="14"/>
      <c r="Y2312" s="14"/>
      <c r="Z2312" s="14"/>
      <c r="AA2312" s="14"/>
      <c r="AB2312" s="14"/>
      <c r="AC2312" s="14"/>
      <c r="AD2312" s="14"/>
      <c r="AE2312" s="14"/>
      <c r="AF2312" s="14"/>
      <c r="AG2312" s="14"/>
      <c r="AH2312" s="14"/>
      <c r="AI2312" s="14"/>
      <c r="AJ2312" s="14"/>
      <c r="AK2312" s="14"/>
    </row>
    <row r="2313" spans="2:37" ht="14.25" thickBot="1" x14ac:dyDescent="0.3">
      <c r="B2313" s="5">
        <v>273702</v>
      </c>
      <c r="C2313" s="6">
        <v>1135753</v>
      </c>
      <c r="D2313" s="6" t="s">
        <v>10</v>
      </c>
      <c r="E2313" s="6" t="s">
        <v>16</v>
      </c>
      <c r="F2313" s="6"/>
      <c r="G2313" s="7">
        <v>2</v>
      </c>
      <c r="H2313" s="7"/>
      <c r="I2313" s="7"/>
      <c r="J2313" s="218"/>
      <c r="K2313" s="14"/>
      <c r="L2313" s="14"/>
      <c r="M2313" s="14"/>
      <c r="N2313" s="14"/>
      <c r="O2313" s="14"/>
      <c r="P2313" s="14"/>
      <c r="Q2313" s="14"/>
      <c r="R2313" s="14"/>
      <c r="S2313" s="14"/>
      <c r="T2313" s="14"/>
      <c r="U2313" s="14"/>
      <c r="V2313" s="14"/>
      <c r="W2313" s="14"/>
      <c r="X2313" s="14"/>
      <c r="Y2313" s="14"/>
      <c r="Z2313" s="14"/>
      <c r="AA2313" s="14"/>
      <c r="AB2313" s="14"/>
      <c r="AC2313" s="14"/>
      <c r="AD2313" s="14"/>
      <c r="AE2313" s="14"/>
      <c r="AF2313" s="14"/>
      <c r="AG2313" s="14"/>
      <c r="AH2313" s="14"/>
      <c r="AI2313" s="14"/>
      <c r="AJ2313" s="14"/>
      <c r="AK2313" s="14"/>
    </row>
    <row r="2314" spans="2:37" ht="14.25" thickBot="1" x14ac:dyDescent="0.3">
      <c r="B2314" s="5">
        <v>273698</v>
      </c>
      <c r="C2314" s="6">
        <v>1135752</v>
      </c>
      <c r="D2314" s="6" t="s">
        <v>11</v>
      </c>
      <c r="E2314" s="6" t="s">
        <v>17</v>
      </c>
      <c r="F2314" s="6"/>
      <c r="G2314" s="7">
        <v>0</v>
      </c>
      <c r="H2314" s="7"/>
      <c r="I2314" s="7"/>
      <c r="J2314" s="218"/>
      <c r="K2314" s="14"/>
      <c r="L2314" s="14"/>
      <c r="M2314" s="14"/>
      <c r="N2314" s="14"/>
      <c r="O2314" s="14"/>
      <c r="P2314" s="14"/>
      <c r="Q2314" s="14"/>
      <c r="R2314" s="14"/>
      <c r="S2314" s="14"/>
      <c r="T2314" s="14"/>
      <c r="U2314" s="14"/>
      <c r="V2314" s="14"/>
      <c r="W2314" s="14"/>
      <c r="X2314" s="14"/>
      <c r="Y2314" s="14"/>
      <c r="Z2314" s="14"/>
      <c r="AA2314" s="14"/>
      <c r="AB2314" s="14"/>
      <c r="AC2314" s="14"/>
      <c r="AD2314" s="14"/>
      <c r="AE2314" s="14"/>
      <c r="AF2314" s="14"/>
      <c r="AG2314" s="14"/>
      <c r="AH2314" s="14"/>
      <c r="AI2314" s="14"/>
      <c r="AJ2314" s="14"/>
      <c r="AK2314" s="14"/>
    </row>
    <row r="2315" spans="2:37" ht="14.25" thickBot="1" x14ac:dyDescent="0.3">
      <c r="B2315" s="5">
        <v>273680</v>
      </c>
      <c r="C2315" s="6">
        <v>1135751</v>
      </c>
      <c r="D2315" s="6" t="s">
        <v>12</v>
      </c>
      <c r="E2315" s="6" t="s">
        <v>13</v>
      </c>
      <c r="F2315" s="6"/>
      <c r="G2315" s="7">
        <v>1</v>
      </c>
      <c r="H2315" s="7"/>
      <c r="I2315" s="7"/>
      <c r="J2315" s="218"/>
      <c r="K2315" s="14"/>
      <c r="L2315" s="14"/>
      <c r="M2315" s="14"/>
      <c r="N2315" s="14"/>
      <c r="O2315" s="14"/>
      <c r="P2315" s="14"/>
      <c r="Q2315" s="14"/>
      <c r="R2315" s="14"/>
      <c r="S2315" s="14"/>
      <c r="T2315" s="14"/>
      <c r="U2315" s="14"/>
      <c r="V2315" s="14"/>
      <c r="W2315" s="14"/>
      <c r="X2315" s="14"/>
      <c r="Y2315" s="14"/>
      <c r="Z2315" s="14"/>
      <c r="AA2315" s="14"/>
      <c r="AB2315" s="14"/>
      <c r="AC2315" s="14"/>
      <c r="AD2315" s="14"/>
      <c r="AE2315" s="14"/>
      <c r="AF2315" s="14"/>
      <c r="AG2315" s="14"/>
      <c r="AH2315" s="14"/>
      <c r="AI2315" s="14"/>
      <c r="AJ2315" s="14"/>
      <c r="AK2315" s="14"/>
    </row>
    <row r="2317" spans="2:37" ht="14.25" thickBot="1" x14ac:dyDescent="0.3">
      <c r="B2317" s="338" t="s">
        <v>18</v>
      </c>
      <c r="C2317" s="339">
        <v>44928</v>
      </c>
      <c r="K2317" s="14"/>
      <c r="L2317" s="14"/>
      <c r="M2317" s="14"/>
      <c r="N2317" s="14"/>
      <c r="O2317" s="14"/>
      <c r="P2317" s="14"/>
      <c r="Q2317" s="14"/>
      <c r="R2317" s="14"/>
      <c r="S2317" s="14"/>
      <c r="T2317" s="14"/>
      <c r="U2317" s="14"/>
      <c r="V2317" s="14"/>
      <c r="W2317" s="14"/>
      <c r="X2317" s="14"/>
      <c r="Y2317" s="14"/>
      <c r="Z2317" s="14"/>
      <c r="AA2317" s="14"/>
      <c r="AB2317" s="14"/>
      <c r="AC2317" s="14"/>
      <c r="AD2317" s="14"/>
      <c r="AE2317" s="14"/>
      <c r="AF2317" s="14"/>
      <c r="AG2317" s="14"/>
      <c r="AH2317" s="14"/>
      <c r="AI2317" s="14"/>
      <c r="AJ2317" s="14"/>
      <c r="AK2317" s="14"/>
    </row>
    <row r="2318" spans="2:37" ht="14.25" thickBot="1" x14ac:dyDescent="0.3">
      <c r="B2318" s="2" t="s">
        <v>0</v>
      </c>
      <c r="C2318" s="3" t="s">
        <v>1</v>
      </c>
      <c r="D2318" s="3" t="s">
        <v>2</v>
      </c>
      <c r="E2318" s="3" t="s">
        <v>3</v>
      </c>
      <c r="F2318" s="3"/>
      <c r="G2318" s="4" t="s">
        <v>4</v>
      </c>
      <c r="H2318" s="4"/>
      <c r="I2318" s="3" t="s">
        <v>5</v>
      </c>
      <c r="J2318" s="217"/>
      <c r="K2318" s="14"/>
      <c r="L2318" s="14"/>
      <c r="M2318" s="14"/>
      <c r="N2318" s="14"/>
      <c r="O2318" s="14"/>
      <c r="P2318" s="14"/>
      <c r="Q2318" s="14"/>
      <c r="R2318" s="14"/>
      <c r="S2318" s="14"/>
      <c r="T2318" s="14"/>
      <c r="U2318" s="14"/>
      <c r="V2318" s="14"/>
      <c r="W2318" s="14"/>
      <c r="X2318" s="14"/>
      <c r="Y2318" s="14"/>
      <c r="Z2318" s="14"/>
      <c r="AA2318" s="14"/>
      <c r="AB2318" s="14"/>
      <c r="AC2318" s="14"/>
      <c r="AD2318" s="14"/>
      <c r="AE2318" s="14"/>
      <c r="AF2318" s="14"/>
      <c r="AG2318" s="14"/>
      <c r="AH2318" s="14"/>
      <c r="AI2318" s="14"/>
      <c r="AJ2318" s="14"/>
      <c r="AK2318" s="14"/>
    </row>
    <row r="2319" spans="2:37" ht="14.25" thickBot="1" x14ac:dyDescent="0.3">
      <c r="B2319" s="5">
        <v>273664</v>
      </c>
      <c r="C2319" s="6">
        <v>1135749</v>
      </c>
      <c r="D2319" s="6" t="s">
        <v>7</v>
      </c>
      <c r="E2319" s="6">
        <v>6060050026</v>
      </c>
      <c r="F2319" s="6"/>
      <c r="G2319" s="7">
        <v>0</v>
      </c>
      <c r="H2319" s="7"/>
      <c r="I2319" s="7"/>
      <c r="J2319" s="218"/>
      <c r="K2319" s="14"/>
      <c r="L2319" s="14"/>
      <c r="M2319" s="14"/>
      <c r="N2319" s="14"/>
      <c r="O2319" s="14"/>
      <c r="P2319" s="14"/>
      <c r="Q2319" s="14"/>
      <c r="R2319" s="14"/>
      <c r="S2319" s="14"/>
      <c r="T2319" s="14"/>
      <c r="U2319" s="14"/>
      <c r="V2319" s="14"/>
      <c r="W2319" s="14"/>
      <c r="X2319" s="14"/>
      <c r="Y2319" s="14"/>
      <c r="Z2319" s="14"/>
      <c r="AA2319" s="14"/>
      <c r="AB2319" s="14"/>
      <c r="AC2319" s="14"/>
      <c r="AD2319" s="14"/>
      <c r="AE2319" s="14"/>
      <c r="AF2319" s="14"/>
      <c r="AG2319" s="14"/>
      <c r="AH2319" s="14"/>
      <c r="AI2319" s="14"/>
      <c r="AJ2319" s="14"/>
      <c r="AK2319" s="14"/>
    </row>
    <row r="2320" spans="2:37" ht="14.25" thickBot="1" x14ac:dyDescent="0.3">
      <c r="B2320" s="5">
        <v>273672</v>
      </c>
      <c r="C2320" s="6">
        <v>1135750</v>
      </c>
      <c r="D2320" s="6" t="s">
        <v>9</v>
      </c>
      <c r="E2320" s="6" t="s">
        <v>15</v>
      </c>
      <c r="F2320" s="6"/>
      <c r="G2320" s="7">
        <v>20</v>
      </c>
      <c r="H2320" s="7"/>
      <c r="I2320" s="7"/>
      <c r="J2320" s="218"/>
      <c r="K2320" s="14"/>
      <c r="L2320" s="14"/>
      <c r="M2320" s="14"/>
      <c r="N2320" s="14"/>
      <c r="O2320" s="14"/>
      <c r="P2320" s="14"/>
      <c r="Q2320" s="14"/>
      <c r="R2320" s="14"/>
      <c r="S2320" s="14"/>
      <c r="T2320" s="14"/>
      <c r="U2320" s="14"/>
      <c r="V2320" s="14"/>
      <c r="W2320" s="14"/>
      <c r="X2320" s="14"/>
      <c r="Y2320" s="14"/>
      <c r="Z2320" s="14"/>
      <c r="AA2320" s="14"/>
      <c r="AB2320" s="14"/>
      <c r="AC2320" s="14"/>
      <c r="AD2320" s="14"/>
      <c r="AE2320" s="14"/>
      <c r="AF2320" s="14"/>
      <c r="AG2320" s="14"/>
      <c r="AH2320" s="14"/>
      <c r="AI2320" s="14"/>
      <c r="AJ2320" s="14"/>
      <c r="AK2320" s="14"/>
    </row>
    <row r="2321" spans="2:37" ht="14.25" thickBot="1" x14ac:dyDescent="0.3">
      <c r="B2321" s="5">
        <v>273702</v>
      </c>
      <c r="C2321" s="6">
        <v>1135753</v>
      </c>
      <c r="D2321" s="6" t="s">
        <v>10</v>
      </c>
      <c r="E2321" s="6" t="s">
        <v>16</v>
      </c>
      <c r="F2321" s="6"/>
      <c r="G2321" s="7">
        <v>2</v>
      </c>
      <c r="H2321" s="7"/>
      <c r="I2321" s="7"/>
      <c r="J2321" s="218"/>
      <c r="K2321" s="14"/>
      <c r="L2321" s="14"/>
      <c r="M2321" s="14"/>
      <c r="N2321" s="14"/>
      <c r="O2321" s="14"/>
      <c r="P2321" s="14"/>
      <c r="Q2321" s="14"/>
      <c r="R2321" s="14"/>
      <c r="S2321" s="14"/>
      <c r="T2321" s="14"/>
      <c r="U2321" s="14"/>
      <c r="V2321" s="14"/>
      <c r="W2321" s="14"/>
      <c r="X2321" s="14"/>
      <c r="Y2321" s="14"/>
      <c r="Z2321" s="14"/>
      <c r="AA2321" s="14"/>
      <c r="AB2321" s="14"/>
      <c r="AC2321" s="14"/>
      <c r="AD2321" s="14"/>
      <c r="AE2321" s="14"/>
      <c r="AF2321" s="14"/>
      <c r="AG2321" s="14"/>
      <c r="AH2321" s="14"/>
      <c r="AI2321" s="14"/>
      <c r="AJ2321" s="14"/>
      <c r="AK2321" s="14"/>
    </row>
    <row r="2322" spans="2:37" ht="14.25" thickBot="1" x14ac:dyDescent="0.3">
      <c r="B2322" s="5">
        <v>273698</v>
      </c>
      <c r="C2322" s="6">
        <v>1135752</v>
      </c>
      <c r="D2322" s="6" t="s">
        <v>11</v>
      </c>
      <c r="E2322" s="6" t="s">
        <v>17</v>
      </c>
      <c r="F2322" s="6"/>
      <c r="G2322" s="7">
        <v>0</v>
      </c>
      <c r="H2322" s="7"/>
      <c r="I2322" s="7"/>
      <c r="J2322" s="218"/>
      <c r="K2322" s="14"/>
      <c r="L2322" s="14"/>
      <c r="M2322" s="14"/>
      <c r="N2322" s="14"/>
      <c r="O2322" s="14"/>
      <c r="P2322" s="14"/>
      <c r="Q2322" s="14"/>
      <c r="R2322" s="14"/>
      <c r="S2322" s="14"/>
      <c r="T2322" s="14"/>
      <c r="U2322" s="14"/>
      <c r="V2322" s="14"/>
      <c r="W2322" s="14"/>
      <c r="X2322" s="14"/>
      <c r="Y2322" s="14"/>
      <c r="Z2322" s="14"/>
      <c r="AA2322" s="14"/>
      <c r="AB2322" s="14"/>
      <c r="AC2322" s="14"/>
      <c r="AD2322" s="14"/>
      <c r="AE2322" s="14"/>
      <c r="AF2322" s="14"/>
      <c r="AG2322" s="14"/>
      <c r="AH2322" s="14"/>
      <c r="AI2322" s="14"/>
      <c r="AJ2322" s="14"/>
      <c r="AK2322" s="14"/>
    </row>
    <row r="2323" spans="2:37" ht="14.25" thickBot="1" x14ac:dyDescent="0.3">
      <c r="B2323" s="5">
        <v>273680</v>
      </c>
      <c r="C2323" s="6">
        <v>1135751</v>
      </c>
      <c r="D2323" s="6" t="s">
        <v>12</v>
      </c>
      <c r="E2323" s="6" t="s">
        <v>13</v>
      </c>
      <c r="F2323" s="6"/>
      <c r="G2323" s="7">
        <v>1</v>
      </c>
      <c r="H2323" s="7"/>
      <c r="I2323" s="7"/>
      <c r="J2323" s="218"/>
      <c r="K2323" s="14"/>
      <c r="L2323" s="14"/>
      <c r="M2323" s="14"/>
      <c r="N2323" s="14"/>
      <c r="O2323" s="14"/>
      <c r="P2323" s="14"/>
      <c r="Q2323" s="14"/>
      <c r="R2323" s="14"/>
      <c r="S2323" s="14"/>
      <c r="T2323" s="14"/>
      <c r="U2323" s="14"/>
      <c r="V2323" s="14"/>
      <c r="W2323" s="14"/>
      <c r="X2323" s="14"/>
      <c r="Y2323" s="14"/>
      <c r="Z2323" s="14"/>
      <c r="AA2323" s="14"/>
      <c r="AB2323" s="14"/>
      <c r="AC2323" s="14"/>
      <c r="AD2323" s="14"/>
      <c r="AE2323" s="14"/>
      <c r="AF2323" s="14"/>
      <c r="AG2323" s="14"/>
      <c r="AH2323" s="14"/>
      <c r="AI2323" s="14"/>
      <c r="AJ2323" s="14"/>
      <c r="AK2323" s="14"/>
    </row>
    <row r="2324" spans="2:37" x14ac:dyDescent="0.25">
      <c r="B2324" s="80"/>
      <c r="C2324" s="80"/>
      <c r="D2324" s="80"/>
      <c r="E2324" s="80"/>
      <c r="F2324" s="80"/>
      <c r="G2324" s="79"/>
      <c r="H2324" s="79"/>
      <c r="I2324" s="79"/>
      <c r="J2324" s="79"/>
      <c r="K2324" s="14"/>
      <c r="L2324" s="14"/>
      <c r="M2324" s="14"/>
      <c r="N2324" s="14"/>
      <c r="O2324" s="14"/>
      <c r="P2324" s="14"/>
      <c r="Q2324" s="14"/>
      <c r="R2324" s="14"/>
      <c r="S2324" s="14"/>
      <c r="T2324" s="14"/>
      <c r="U2324" s="14"/>
      <c r="V2324" s="14"/>
      <c r="W2324" s="14"/>
      <c r="X2324" s="14"/>
      <c r="Y2324" s="14"/>
      <c r="Z2324" s="14"/>
      <c r="AA2324" s="14"/>
      <c r="AB2324" s="14"/>
      <c r="AC2324" s="14"/>
      <c r="AD2324" s="14"/>
      <c r="AE2324" s="14"/>
      <c r="AF2324" s="14"/>
      <c r="AG2324" s="14"/>
      <c r="AH2324" s="14"/>
      <c r="AI2324" s="14"/>
      <c r="AJ2324" s="14"/>
      <c r="AK2324" s="14"/>
    </row>
    <row r="2325" spans="2:37" ht="14.25" thickBot="1" x14ac:dyDescent="0.3">
      <c r="B2325" s="338" t="s">
        <v>18</v>
      </c>
      <c r="C2325" s="339">
        <v>44914</v>
      </c>
      <c r="K2325" s="14"/>
      <c r="L2325" s="14"/>
      <c r="M2325" s="14"/>
      <c r="N2325" s="14"/>
      <c r="O2325" s="14"/>
      <c r="P2325" s="14"/>
      <c r="Q2325" s="14"/>
      <c r="R2325" s="14"/>
      <c r="S2325" s="14"/>
      <c r="T2325" s="14"/>
      <c r="U2325" s="14"/>
      <c r="V2325" s="14"/>
      <c r="W2325" s="14"/>
      <c r="X2325" s="14"/>
      <c r="Y2325" s="14"/>
      <c r="Z2325" s="14"/>
      <c r="AA2325" s="14"/>
      <c r="AB2325" s="14"/>
      <c r="AC2325" s="14"/>
      <c r="AD2325" s="14"/>
      <c r="AE2325" s="14"/>
      <c r="AF2325" s="14"/>
      <c r="AG2325" s="14"/>
      <c r="AH2325" s="14"/>
      <c r="AI2325" s="14"/>
      <c r="AJ2325" s="14"/>
      <c r="AK2325" s="14"/>
    </row>
    <row r="2326" spans="2:37" x14ac:dyDescent="0.25">
      <c r="B2326" s="471" t="s">
        <v>0</v>
      </c>
      <c r="C2326" s="471" t="s">
        <v>1</v>
      </c>
      <c r="D2326" s="471" t="s">
        <v>2</v>
      </c>
      <c r="E2326" s="471" t="s">
        <v>3</v>
      </c>
      <c r="F2326" s="288"/>
      <c r="G2326" s="469" t="s">
        <v>4</v>
      </c>
      <c r="H2326" s="389"/>
      <c r="I2326" s="75" t="s">
        <v>5</v>
      </c>
      <c r="J2326" s="217"/>
      <c r="K2326" s="14"/>
      <c r="L2326" s="14"/>
      <c r="M2326" s="14"/>
      <c r="N2326" s="14"/>
      <c r="O2326" s="14"/>
      <c r="P2326" s="14"/>
      <c r="Q2326" s="14"/>
      <c r="R2326" s="14"/>
      <c r="S2326" s="14"/>
      <c r="T2326" s="14"/>
      <c r="U2326" s="14"/>
      <c r="V2326" s="14"/>
      <c r="W2326" s="14"/>
      <c r="X2326" s="14"/>
      <c r="Y2326" s="14"/>
      <c r="Z2326" s="14"/>
      <c r="AA2326" s="14"/>
      <c r="AB2326" s="14"/>
      <c r="AC2326" s="14"/>
      <c r="AD2326" s="14"/>
      <c r="AE2326" s="14"/>
      <c r="AF2326" s="14"/>
      <c r="AG2326" s="14"/>
      <c r="AH2326" s="14"/>
      <c r="AI2326" s="14"/>
      <c r="AJ2326" s="14"/>
      <c r="AK2326" s="14"/>
    </row>
    <row r="2327" spans="2:37" ht="14.25" thickBot="1" x14ac:dyDescent="0.3">
      <c r="B2327" s="472"/>
      <c r="C2327" s="472"/>
      <c r="D2327" s="472"/>
      <c r="E2327" s="472"/>
      <c r="F2327" s="289"/>
      <c r="G2327" s="470"/>
      <c r="H2327" s="390"/>
      <c r="I2327" s="76" t="s">
        <v>155</v>
      </c>
      <c r="J2327" s="217"/>
      <c r="K2327" s="14"/>
      <c r="L2327" s="14"/>
      <c r="M2327" s="14"/>
      <c r="N2327" s="14"/>
      <c r="O2327" s="14"/>
      <c r="P2327" s="14"/>
      <c r="Q2327" s="14"/>
      <c r="R2327" s="14"/>
      <c r="S2327" s="14"/>
      <c r="T2327" s="14"/>
      <c r="U2327" s="14"/>
      <c r="V2327" s="14"/>
      <c r="W2327" s="14"/>
      <c r="X2327" s="14"/>
      <c r="Y2327" s="14"/>
      <c r="Z2327" s="14"/>
      <c r="AA2327" s="14"/>
      <c r="AB2327" s="14"/>
      <c r="AC2327" s="14"/>
      <c r="AD2327" s="14"/>
      <c r="AE2327" s="14"/>
      <c r="AF2327" s="14"/>
      <c r="AG2327" s="14"/>
      <c r="AH2327" s="14"/>
      <c r="AI2327" s="14"/>
      <c r="AJ2327" s="14"/>
      <c r="AK2327" s="14"/>
    </row>
    <row r="2328" spans="2:37" ht="14.25" thickBot="1" x14ac:dyDescent="0.3">
      <c r="B2328" s="5">
        <v>273664</v>
      </c>
      <c r="C2328" s="6">
        <v>1135749</v>
      </c>
      <c r="D2328" s="6" t="s">
        <v>7</v>
      </c>
      <c r="E2328" s="6">
        <v>6060050026</v>
      </c>
      <c r="F2328" s="6"/>
      <c r="G2328" s="7">
        <v>0</v>
      </c>
      <c r="H2328" s="7"/>
      <c r="I2328" s="7" t="s">
        <v>156</v>
      </c>
      <c r="J2328" s="218"/>
      <c r="K2328" s="14"/>
      <c r="L2328" s="14"/>
      <c r="M2328" s="14"/>
      <c r="N2328" s="14"/>
      <c r="O2328" s="14"/>
      <c r="P2328" s="14"/>
      <c r="Q2328" s="14"/>
      <c r="R2328" s="14"/>
      <c r="S2328" s="14"/>
      <c r="T2328" s="14"/>
      <c r="U2328" s="14"/>
      <c r="V2328" s="14"/>
      <c r="W2328" s="14"/>
      <c r="X2328" s="14"/>
      <c r="Y2328" s="14"/>
      <c r="Z2328" s="14"/>
      <c r="AA2328" s="14"/>
      <c r="AB2328" s="14"/>
      <c r="AC2328" s="14"/>
      <c r="AD2328" s="14"/>
      <c r="AE2328" s="14"/>
      <c r="AF2328" s="14"/>
      <c r="AG2328" s="14"/>
      <c r="AH2328" s="14"/>
      <c r="AI2328" s="14"/>
      <c r="AJ2328" s="14"/>
      <c r="AK2328" s="14"/>
    </row>
    <row r="2329" spans="2:37" ht="14.25" thickBot="1" x14ac:dyDescent="0.3">
      <c r="B2329" s="5">
        <v>273672</v>
      </c>
      <c r="C2329" s="6">
        <v>1135750</v>
      </c>
      <c r="D2329" s="6" t="s">
        <v>9</v>
      </c>
      <c r="E2329" s="6" t="s">
        <v>15</v>
      </c>
      <c r="F2329" s="6"/>
      <c r="G2329" s="7">
        <v>27</v>
      </c>
      <c r="H2329" s="7"/>
      <c r="I2329" s="7" t="s">
        <v>157</v>
      </c>
      <c r="J2329" s="218"/>
      <c r="K2329" s="14"/>
      <c r="L2329" s="14"/>
      <c r="M2329" s="14"/>
      <c r="N2329" s="14"/>
      <c r="O2329" s="14"/>
      <c r="P2329" s="14"/>
      <c r="Q2329" s="14"/>
      <c r="R2329" s="14"/>
      <c r="S2329" s="14"/>
      <c r="T2329" s="14"/>
      <c r="U2329" s="14"/>
      <c r="V2329" s="14"/>
      <c r="W2329" s="14"/>
      <c r="X2329" s="14"/>
      <c r="Y2329" s="14"/>
      <c r="Z2329" s="14"/>
      <c r="AA2329" s="14"/>
      <c r="AB2329" s="14"/>
      <c r="AC2329" s="14"/>
      <c r="AD2329" s="14"/>
      <c r="AE2329" s="14"/>
      <c r="AF2329" s="14"/>
      <c r="AG2329" s="14"/>
      <c r="AH2329" s="14"/>
      <c r="AI2329" s="14"/>
      <c r="AJ2329" s="14"/>
      <c r="AK2329" s="14"/>
    </row>
    <row r="2330" spans="2:37" ht="14.25" thickBot="1" x14ac:dyDescent="0.3">
      <c r="B2330" s="5">
        <v>273702</v>
      </c>
      <c r="C2330" s="6">
        <v>1135753</v>
      </c>
      <c r="D2330" s="6" t="s">
        <v>10</v>
      </c>
      <c r="E2330" s="6" t="s">
        <v>16</v>
      </c>
      <c r="F2330" s="6"/>
      <c r="G2330" s="7">
        <v>2</v>
      </c>
      <c r="H2330" s="7"/>
      <c r="I2330" s="7" t="s">
        <v>158</v>
      </c>
      <c r="J2330" s="218"/>
      <c r="K2330" s="14"/>
      <c r="L2330" s="14"/>
      <c r="M2330" s="14"/>
      <c r="N2330" s="14"/>
      <c r="O2330" s="14"/>
      <c r="P2330" s="14"/>
      <c r="Q2330" s="14"/>
      <c r="R2330" s="14"/>
      <c r="S2330" s="14"/>
      <c r="T2330" s="14"/>
      <c r="U2330" s="14"/>
      <c r="V2330" s="14"/>
      <c r="W2330" s="14"/>
      <c r="X2330" s="14"/>
      <c r="Y2330" s="14"/>
      <c r="Z2330" s="14"/>
      <c r="AA2330" s="14"/>
      <c r="AB2330" s="14"/>
      <c r="AC2330" s="14"/>
      <c r="AD2330" s="14"/>
      <c r="AE2330" s="14"/>
      <c r="AF2330" s="14"/>
      <c r="AG2330" s="14"/>
      <c r="AH2330" s="14"/>
      <c r="AI2330" s="14"/>
      <c r="AJ2330" s="14"/>
      <c r="AK2330" s="14"/>
    </row>
    <row r="2331" spans="2:37" ht="14.25" thickBot="1" x14ac:dyDescent="0.3">
      <c r="B2331" s="5">
        <v>273698</v>
      </c>
      <c r="C2331" s="6">
        <v>1135752</v>
      </c>
      <c r="D2331" s="6" t="s">
        <v>11</v>
      </c>
      <c r="E2331" s="6" t="s">
        <v>17</v>
      </c>
      <c r="F2331" s="6"/>
      <c r="G2331" s="7">
        <v>0</v>
      </c>
      <c r="H2331" s="7"/>
      <c r="I2331" s="7" t="s">
        <v>159</v>
      </c>
      <c r="J2331" s="218"/>
      <c r="K2331" s="14"/>
      <c r="L2331" s="14"/>
      <c r="M2331" s="14"/>
      <c r="N2331" s="14"/>
      <c r="O2331" s="14"/>
      <c r="P2331" s="14"/>
      <c r="Q2331" s="14"/>
      <c r="R2331" s="14"/>
      <c r="S2331" s="14"/>
      <c r="T2331" s="14"/>
      <c r="U2331" s="14"/>
      <c r="V2331" s="14"/>
      <c r="W2331" s="14"/>
      <c r="X2331" s="14"/>
      <c r="Y2331" s="14"/>
      <c r="Z2331" s="14"/>
      <c r="AA2331" s="14"/>
      <c r="AB2331" s="14"/>
      <c r="AC2331" s="14"/>
      <c r="AD2331" s="14"/>
      <c r="AE2331" s="14"/>
      <c r="AF2331" s="14"/>
      <c r="AG2331" s="14"/>
      <c r="AH2331" s="14"/>
      <c r="AI2331" s="14"/>
      <c r="AJ2331" s="14"/>
      <c r="AK2331" s="14"/>
    </row>
    <row r="2332" spans="2:37" ht="14.25" thickBot="1" x14ac:dyDescent="0.3">
      <c r="B2332" s="5">
        <v>273680</v>
      </c>
      <c r="C2332" s="6">
        <v>1135751</v>
      </c>
      <c r="D2332" s="6" t="s">
        <v>12</v>
      </c>
      <c r="E2332" s="6" t="s">
        <v>13</v>
      </c>
      <c r="F2332" s="6"/>
      <c r="G2332" s="7">
        <v>1</v>
      </c>
      <c r="H2332" s="7"/>
      <c r="I2332" s="7" t="s">
        <v>159</v>
      </c>
      <c r="J2332" s="218"/>
      <c r="K2332" s="14"/>
      <c r="L2332" s="14"/>
      <c r="M2332" s="14"/>
      <c r="N2332" s="14"/>
      <c r="O2332" s="14"/>
      <c r="P2332" s="14"/>
      <c r="Q2332" s="14"/>
      <c r="R2332" s="14"/>
      <c r="S2332" s="14"/>
      <c r="T2332" s="14"/>
      <c r="U2332" s="14"/>
      <c r="V2332" s="14"/>
      <c r="W2332" s="14"/>
      <c r="X2332" s="14"/>
      <c r="Y2332" s="14"/>
      <c r="Z2332" s="14"/>
      <c r="AA2332" s="14"/>
      <c r="AB2332" s="14"/>
      <c r="AC2332" s="14"/>
      <c r="AD2332" s="14"/>
      <c r="AE2332" s="14"/>
      <c r="AF2332" s="14"/>
      <c r="AG2332" s="14"/>
      <c r="AH2332" s="14"/>
      <c r="AI2332" s="14"/>
      <c r="AJ2332" s="14"/>
      <c r="AK2332" s="14"/>
    </row>
    <row r="2333" spans="2:37" x14ac:dyDescent="0.25">
      <c r="B2333" s="77"/>
      <c r="C2333" s="77"/>
      <c r="D2333" s="77"/>
      <c r="E2333" s="77"/>
      <c r="F2333" s="77"/>
      <c r="G2333" s="78"/>
      <c r="H2333" s="78"/>
      <c r="I2333" s="78"/>
      <c r="J2333" s="78"/>
      <c r="K2333" s="14"/>
      <c r="L2333" s="14"/>
      <c r="M2333" s="14"/>
      <c r="N2333" s="14"/>
      <c r="O2333" s="14"/>
      <c r="P2333" s="14"/>
      <c r="Q2333" s="14"/>
      <c r="R2333" s="14"/>
      <c r="S2333" s="14"/>
      <c r="T2333" s="14"/>
      <c r="U2333" s="14"/>
      <c r="V2333" s="14"/>
      <c r="W2333" s="14"/>
      <c r="X2333" s="14"/>
      <c r="Y2333" s="14"/>
      <c r="Z2333" s="14"/>
      <c r="AA2333" s="14"/>
      <c r="AB2333" s="14"/>
      <c r="AC2333" s="14"/>
      <c r="AD2333" s="14"/>
      <c r="AE2333" s="14"/>
      <c r="AF2333" s="14"/>
      <c r="AG2333" s="14"/>
      <c r="AH2333" s="14"/>
      <c r="AI2333" s="14"/>
      <c r="AJ2333" s="14"/>
      <c r="AK2333" s="14"/>
    </row>
    <row r="2334" spans="2:37" ht="14.25" thickBot="1" x14ac:dyDescent="0.3">
      <c r="B2334" s="338" t="s">
        <v>18</v>
      </c>
      <c r="C2334" s="339">
        <v>44907</v>
      </c>
      <c r="K2334" s="14"/>
      <c r="L2334" s="14"/>
      <c r="M2334" s="14"/>
      <c r="N2334" s="14"/>
      <c r="O2334" s="14"/>
      <c r="P2334" s="14"/>
      <c r="Q2334" s="14"/>
      <c r="R2334" s="14"/>
      <c r="S2334" s="14"/>
      <c r="T2334" s="14"/>
      <c r="U2334" s="14"/>
      <c r="V2334" s="14"/>
      <c r="W2334" s="14"/>
      <c r="X2334" s="14"/>
      <c r="Y2334" s="14"/>
      <c r="Z2334" s="14"/>
      <c r="AA2334" s="14"/>
      <c r="AB2334" s="14"/>
      <c r="AC2334" s="14"/>
      <c r="AD2334" s="14"/>
      <c r="AE2334" s="14"/>
      <c r="AF2334" s="14"/>
      <c r="AG2334" s="14"/>
      <c r="AH2334" s="14"/>
      <c r="AI2334" s="14"/>
      <c r="AJ2334" s="14"/>
      <c r="AK2334" s="14"/>
    </row>
    <row r="2335" spans="2:37" ht="14.25" thickBot="1" x14ac:dyDescent="0.3">
      <c r="B2335" s="2" t="s">
        <v>0</v>
      </c>
      <c r="C2335" s="3" t="s">
        <v>1</v>
      </c>
      <c r="D2335" s="3" t="s">
        <v>2</v>
      </c>
      <c r="E2335" s="3" t="s">
        <v>3</v>
      </c>
      <c r="F2335" s="3"/>
      <c r="G2335" s="4" t="s">
        <v>4</v>
      </c>
      <c r="H2335" s="4"/>
      <c r="I2335" s="3" t="s">
        <v>5</v>
      </c>
      <c r="J2335" s="217"/>
      <c r="K2335" s="14"/>
      <c r="L2335" s="14"/>
      <c r="M2335" s="14"/>
      <c r="N2335" s="14"/>
      <c r="O2335" s="14"/>
      <c r="P2335" s="14"/>
      <c r="Q2335" s="14"/>
      <c r="R2335" s="14"/>
      <c r="S2335" s="14"/>
      <c r="T2335" s="14"/>
      <c r="U2335" s="14"/>
      <c r="V2335" s="14"/>
      <c r="W2335" s="14"/>
      <c r="X2335" s="14"/>
      <c r="Y2335" s="14"/>
      <c r="Z2335" s="14"/>
      <c r="AA2335" s="14"/>
      <c r="AB2335" s="14"/>
      <c r="AC2335" s="14"/>
      <c r="AD2335" s="14"/>
      <c r="AE2335" s="14"/>
      <c r="AF2335" s="14"/>
      <c r="AG2335" s="14"/>
      <c r="AH2335" s="14"/>
      <c r="AI2335" s="14"/>
      <c r="AJ2335" s="14"/>
      <c r="AK2335" s="14"/>
    </row>
    <row r="2336" spans="2:37" ht="14.25" thickBot="1" x14ac:dyDescent="0.3">
      <c r="B2336" s="5">
        <v>273664</v>
      </c>
      <c r="C2336" s="6">
        <v>1135749</v>
      </c>
      <c r="D2336" s="6" t="s">
        <v>7</v>
      </c>
      <c r="E2336" s="6">
        <v>6060050026</v>
      </c>
      <c r="F2336" s="6"/>
      <c r="G2336" s="7">
        <v>4</v>
      </c>
      <c r="H2336" s="7"/>
      <c r="I2336" s="7">
        <v>4</v>
      </c>
      <c r="J2336" s="218"/>
      <c r="K2336" s="14"/>
      <c r="L2336" s="14"/>
      <c r="M2336" s="14"/>
      <c r="N2336" s="14"/>
      <c r="O2336" s="14"/>
      <c r="P2336" s="14"/>
      <c r="Q2336" s="14"/>
      <c r="R2336" s="14"/>
      <c r="S2336" s="14"/>
      <c r="T2336" s="14"/>
      <c r="U2336" s="14"/>
      <c r="V2336" s="14"/>
      <c r="W2336" s="14"/>
      <c r="X2336" s="14"/>
      <c r="Y2336" s="14"/>
      <c r="Z2336" s="14"/>
      <c r="AA2336" s="14"/>
      <c r="AB2336" s="14"/>
      <c r="AC2336" s="14"/>
      <c r="AD2336" s="14"/>
      <c r="AE2336" s="14"/>
      <c r="AF2336" s="14"/>
      <c r="AG2336" s="14"/>
      <c r="AH2336" s="14"/>
      <c r="AI2336" s="14"/>
      <c r="AJ2336" s="14"/>
      <c r="AK2336" s="14"/>
    </row>
    <row r="2337" spans="2:37" ht="14.25" thickBot="1" x14ac:dyDescent="0.3">
      <c r="B2337" s="5">
        <v>273672</v>
      </c>
      <c r="C2337" s="6">
        <v>1135750</v>
      </c>
      <c r="D2337" s="6" t="s">
        <v>9</v>
      </c>
      <c r="E2337" s="6" t="s">
        <v>15</v>
      </c>
      <c r="F2337" s="6"/>
      <c r="G2337" s="7">
        <v>27</v>
      </c>
      <c r="H2337" s="7"/>
      <c r="I2337" s="7">
        <v>36</v>
      </c>
      <c r="J2337" s="218"/>
      <c r="K2337" s="14"/>
      <c r="L2337" s="14"/>
      <c r="M2337" s="14"/>
      <c r="N2337" s="14"/>
      <c r="O2337" s="14"/>
      <c r="P2337" s="14"/>
      <c r="Q2337" s="14"/>
      <c r="R2337" s="14"/>
      <c r="S2337" s="14"/>
      <c r="T2337" s="14"/>
      <c r="U2337" s="14"/>
      <c r="V2337" s="14"/>
      <c r="W2337" s="14"/>
      <c r="X2337" s="14"/>
      <c r="Y2337" s="14"/>
      <c r="Z2337" s="14"/>
      <c r="AA2337" s="14"/>
      <c r="AB2337" s="14"/>
      <c r="AC2337" s="14"/>
      <c r="AD2337" s="14"/>
      <c r="AE2337" s="14"/>
      <c r="AF2337" s="14"/>
      <c r="AG2337" s="14"/>
      <c r="AH2337" s="14"/>
      <c r="AI2337" s="14"/>
      <c r="AJ2337" s="14"/>
      <c r="AK2337" s="14"/>
    </row>
    <row r="2338" spans="2:37" ht="14.25" thickBot="1" x14ac:dyDescent="0.3">
      <c r="B2338" s="5">
        <v>273702</v>
      </c>
      <c r="C2338" s="6">
        <v>1135753</v>
      </c>
      <c r="D2338" s="6" t="s">
        <v>10</v>
      </c>
      <c r="E2338" s="6" t="s">
        <v>16</v>
      </c>
      <c r="F2338" s="6"/>
      <c r="G2338" s="7">
        <v>2</v>
      </c>
      <c r="H2338" s="7"/>
      <c r="I2338" s="7">
        <v>1</v>
      </c>
      <c r="J2338" s="218"/>
      <c r="K2338" s="14"/>
      <c r="L2338" s="14"/>
      <c r="M2338" s="14"/>
      <c r="N2338" s="14"/>
      <c r="O2338" s="14"/>
      <c r="P2338" s="14"/>
      <c r="Q2338" s="14"/>
      <c r="R2338" s="14"/>
      <c r="S2338" s="14"/>
      <c r="T2338" s="14"/>
      <c r="U2338" s="14"/>
      <c r="V2338" s="14"/>
      <c r="W2338" s="14"/>
      <c r="X2338" s="14"/>
      <c r="Y2338" s="14"/>
      <c r="Z2338" s="14"/>
      <c r="AA2338" s="14"/>
      <c r="AB2338" s="14"/>
      <c r="AC2338" s="14"/>
      <c r="AD2338" s="14"/>
      <c r="AE2338" s="14"/>
      <c r="AF2338" s="14"/>
      <c r="AG2338" s="14"/>
      <c r="AH2338" s="14"/>
      <c r="AI2338" s="14"/>
      <c r="AJ2338" s="14"/>
      <c r="AK2338" s="14"/>
    </row>
    <row r="2339" spans="2:37" ht="14.25" thickBot="1" x14ac:dyDescent="0.3">
      <c r="B2339" s="5">
        <v>273698</v>
      </c>
      <c r="C2339" s="6">
        <v>1135752</v>
      </c>
      <c r="D2339" s="6" t="s">
        <v>11</v>
      </c>
      <c r="E2339" s="6" t="s">
        <v>17</v>
      </c>
      <c r="F2339" s="6"/>
      <c r="G2339" s="7">
        <v>0</v>
      </c>
      <c r="H2339" s="7"/>
      <c r="I2339" s="7">
        <v>2</v>
      </c>
      <c r="J2339" s="218"/>
      <c r="K2339" s="14"/>
      <c r="L2339" s="14"/>
      <c r="M2339" s="14"/>
      <c r="N2339" s="14"/>
      <c r="O2339" s="14"/>
      <c r="P2339" s="14"/>
      <c r="Q2339" s="14"/>
      <c r="R2339" s="14"/>
      <c r="S2339" s="14"/>
      <c r="T2339" s="14"/>
      <c r="U2339" s="14"/>
      <c r="V2339" s="14"/>
      <c r="W2339" s="14"/>
      <c r="X2339" s="14"/>
      <c r="Y2339" s="14"/>
      <c r="Z2339" s="14"/>
      <c r="AA2339" s="14"/>
      <c r="AB2339" s="14"/>
      <c r="AC2339" s="14"/>
      <c r="AD2339" s="14"/>
      <c r="AE2339" s="14"/>
      <c r="AF2339" s="14"/>
      <c r="AG2339" s="14"/>
      <c r="AH2339" s="14"/>
      <c r="AI2339" s="14"/>
      <c r="AJ2339" s="14"/>
      <c r="AK2339" s="14"/>
    </row>
    <row r="2340" spans="2:37" ht="14.25" thickBot="1" x14ac:dyDescent="0.3">
      <c r="B2340" s="5">
        <v>273680</v>
      </c>
      <c r="C2340" s="6">
        <v>1135751</v>
      </c>
      <c r="D2340" s="6" t="s">
        <v>12</v>
      </c>
      <c r="E2340" s="6" t="s">
        <v>13</v>
      </c>
      <c r="F2340" s="6"/>
      <c r="G2340" s="7">
        <v>0</v>
      </c>
      <c r="H2340" s="7"/>
      <c r="I2340" s="7">
        <v>2</v>
      </c>
      <c r="J2340" s="218"/>
      <c r="K2340" s="14"/>
      <c r="L2340" s="14"/>
      <c r="M2340" s="14"/>
      <c r="N2340" s="14"/>
      <c r="O2340" s="14"/>
      <c r="P2340" s="14"/>
      <c r="Q2340" s="14"/>
      <c r="R2340" s="14"/>
      <c r="S2340" s="14"/>
      <c r="T2340" s="14"/>
      <c r="U2340" s="14"/>
      <c r="V2340" s="14"/>
      <c r="W2340" s="14"/>
      <c r="X2340" s="14"/>
      <c r="Y2340" s="14"/>
      <c r="Z2340" s="14"/>
      <c r="AA2340" s="14"/>
      <c r="AB2340" s="14"/>
      <c r="AC2340" s="14"/>
      <c r="AD2340" s="14"/>
      <c r="AE2340" s="14"/>
      <c r="AF2340" s="14"/>
      <c r="AG2340" s="14"/>
      <c r="AH2340" s="14"/>
      <c r="AI2340" s="14"/>
      <c r="AJ2340" s="14"/>
      <c r="AK2340" s="14"/>
    </row>
    <row r="2342" spans="2:37" ht="14.25" thickBot="1" x14ac:dyDescent="0.3">
      <c r="B2342" s="338" t="s">
        <v>18</v>
      </c>
      <c r="C2342" s="339">
        <v>44900</v>
      </c>
      <c r="K2342" s="14"/>
      <c r="L2342" s="14"/>
      <c r="M2342" s="14"/>
      <c r="N2342" s="14"/>
      <c r="O2342" s="14"/>
      <c r="P2342" s="14"/>
      <c r="Q2342" s="14"/>
      <c r="R2342" s="14"/>
      <c r="S2342" s="14"/>
      <c r="T2342" s="14"/>
      <c r="U2342" s="14"/>
      <c r="V2342" s="14"/>
      <c r="W2342" s="14"/>
      <c r="X2342" s="14"/>
      <c r="Y2342" s="14"/>
      <c r="Z2342" s="14"/>
      <c r="AA2342" s="14"/>
      <c r="AB2342" s="14"/>
      <c r="AC2342" s="14"/>
      <c r="AD2342" s="14"/>
      <c r="AE2342" s="14"/>
      <c r="AF2342" s="14"/>
      <c r="AG2342" s="14"/>
      <c r="AH2342" s="14"/>
      <c r="AI2342" s="14"/>
      <c r="AJ2342" s="14"/>
      <c r="AK2342" s="14"/>
    </row>
    <row r="2343" spans="2:37" ht="14.25" thickBot="1" x14ac:dyDescent="0.3">
      <c r="B2343" s="2" t="s">
        <v>0</v>
      </c>
      <c r="C2343" s="3" t="s">
        <v>1</v>
      </c>
      <c r="D2343" s="3" t="s">
        <v>2</v>
      </c>
      <c r="E2343" s="3" t="s">
        <v>3</v>
      </c>
      <c r="F2343" s="3"/>
      <c r="G2343" s="4" t="s">
        <v>4</v>
      </c>
      <c r="H2343" s="4"/>
      <c r="I2343" s="3" t="s">
        <v>5</v>
      </c>
      <c r="J2343" s="217"/>
      <c r="K2343" s="14"/>
      <c r="L2343" s="14"/>
      <c r="M2343" s="14"/>
      <c r="N2343" s="14"/>
      <c r="O2343" s="14"/>
      <c r="P2343" s="14"/>
      <c r="Q2343" s="14"/>
      <c r="R2343" s="14"/>
      <c r="S2343" s="14"/>
      <c r="T2343" s="14"/>
      <c r="U2343" s="14"/>
      <c r="V2343" s="14"/>
      <c r="W2343" s="14"/>
      <c r="X2343" s="14"/>
      <c r="Y2343" s="14"/>
      <c r="Z2343" s="14"/>
      <c r="AA2343" s="14"/>
      <c r="AB2343" s="14"/>
      <c r="AC2343" s="14"/>
      <c r="AD2343" s="14"/>
      <c r="AE2343" s="14"/>
      <c r="AF2343" s="14"/>
      <c r="AG2343" s="14"/>
      <c r="AH2343" s="14"/>
      <c r="AI2343" s="14"/>
      <c r="AJ2343" s="14"/>
      <c r="AK2343" s="14"/>
    </row>
    <row r="2344" spans="2:37" ht="14.25" thickBot="1" x14ac:dyDescent="0.3">
      <c r="B2344" s="5">
        <v>273664</v>
      </c>
      <c r="C2344" s="6">
        <v>1135749</v>
      </c>
      <c r="D2344" s="6" t="s">
        <v>7</v>
      </c>
      <c r="E2344" s="6">
        <v>6060050026</v>
      </c>
      <c r="F2344" s="6"/>
      <c r="G2344" s="7">
        <v>4</v>
      </c>
      <c r="H2344" s="7"/>
      <c r="I2344" s="7"/>
      <c r="J2344" s="218"/>
      <c r="K2344" s="14"/>
      <c r="L2344" s="14"/>
      <c r="M2344" s="14"/>
      <c r="N2344" s="14"/>
      <c r="O2344" s="14"/>
      <c r="P2344" s="14"/>
      <c r="Q2344" s="14"/>
      <c r="R2344" s="14"/>
      <c r="S2344" s="14"/>
      <c r="T2344" s="14"/>
      <c r="U2344" s="14"/>
      <c r="V2344" s="14"/>
      <c r="W2344" s="14"/>
      <c r="X2344" s="14"/>
      <c r="Y2344" s="14"/>
      <c r="Z2344" s="14"/>
      <c r="AA2344" s="14"/>
      <c r="AB2344" s="14"/>
      <c r="AC2344" s="14"/>
      <c r="AD2344" s="14"/>
      <c r="AE2344" s="14"/>
      <c r="AF2344" s="14"/>
      <c r="AG2344" s="14"/>
      <c r="AH2344" s="14"/>
      <c r="AI2344" s="14"/>
      <c r="AJ2344" s="14"/>
      <c r="AK2344" s="14"/>
    </row>
    <row r="2345" spans="2:37" ht="14.25" thickBot="1" x14ac:dyDescent="0.3">
      <c r="B2345" s="5">
        <v>273672</v>
      </c>
      <c r="C2345" s="6">
        <v>1135750</v>
      </c>
      <c r="D2345" s="6" t="s">
        <v>9</v>
      </c>
      <c r="E2345" s="6" t="s">
        <v>15</v>
      </c>
      <c r="F2345" s="6"/>
      <c r="G2345" s="7">
        <v>27</v>
      </c>
      <c r="H2345" s="7"/>
      <c r="I2345" s="7"/>
      <c r="J2345" s="218"/>
      <c r="K2345" s="14"/>
      <c r="L2345" s="14"/>
      <c r="M2345" s="14"/>
      <c r="N2345" s="14"/>
      <c r="O2345" s="14"/>
      <c r="P2345" s="14"/>
      <c r="Q2345" s="14"/>
      <c r="R2345" s="14"/>
      <c r="S2345" s="14"/>
      <c r="T2345" s="14"/>
      <c r="U2345" s="14"/>
      <c r="V2345" s="14"/>
      <c r="W2345" s="14"/>
      <c r="X2345" s="14"/>
      <c r="Y2345" s="14"/>
      <c r="Z2345" s="14"/>
      <c r="AA2345" s="14"/>
      <c r="AB2345" s="14"/>
      <c r="AC2345" s="14"/>
      <c r="AD2345" s="14"/>
      <c r="AE2345" s="14"/>
      <c r="AF2345" s="14"/>
      <c r="AG2345" s="14"/>
      <c r="AH2345" s="14"/>
      <c r="AI2345" s="14"/>
      <c r="AJ2345" s="14"/>
      <c r="AK2345" s="14"/>
    </row>
    <row r="2346" spans="2:37" ht="14.25" thickBot="1" x14ac:dyDescent="0.3">
      <c r="B2346" s="5">
        <v>273702</v>
      </c>
      <c r="C2346" s="6">
        <v>1135753</v>
      </c>
      <c r="D2346" s="6" t="s">
        <v>10</v>
      </c>
      <c r="E2346" s="6" t="s">
        <v>16</v>
      </c>
      <c r="F2346" s="6"/>
      <c r="G2346" s="7">
        <v>2</v>
      </c>
      <c r="H2346" s="7"/>
      <c r="I2346" s="7"/>
      <c r="J2346" s="218"/>
      <c r="K2346" s="14"/>
      <c r="L2346" s="14"/>
      <c r="M2346" s="14"/>
      <c r="N2346" s="14"/>
      <c r="O2346" s="14"/>
      <c r="P2346" s="14"/>
      <c r="Q2346" s="14"/>
      <c r="R2346" s="14"/>
      <c r="S2346" s="14"/>
      <c r="T2346" s="14"/>
      <c r="U2346" s="14"/>
      <c r="V2346" s="14"/>
      <c r="W2346" s="14"/>
      <c r="X2346" s="14"/>
      <c r="Y2346" s="14"/>
      <c r="Z2346" s="14"/>
      <c r="AA2346" s="14"/>
      <c r="AB2346" s="14"/>
      <c r="AC2346" s="14"/>
      <c r="AD2346" s="14"/>
      <c r="AE2346" s="14"/>
      <c r="AF2346" s="14"/>
      <c r="AG2346" s="14"/>
      <c r="AH2346" s="14"/>
      <c r="AI2346" s="14"/>
      <c r="AJ2346" s="14"/>
      <c r="AK2346" s="14"/>
    </row>
    <row r="2347" spans="2:37" ht="14.25" thickBot="1" x14ac:dyDescent="0.3">
      <c r="B2347" s="5">
        <v>273698</v>
      </c>
      <c r="C2347" s="6">
        <v>1135752</v>
      </c>
      <c r="D2347" s="6" t="s">
        <v>11</v>
      </c>
      <c r="E2347" s="6" t="s">
        <v>17</v>
      </c>
      <c r="F2347" s="6"/>
      <c r="G2347" s="7">
        <v>0</v>
      </c>
      <c r="H2347" s="7"/>
      <c r="I2347" s="7"/>
      <c r="J2347" s="218"/>
      <c r="K2347" s="14"/>
      <c r="L2347" s="14"/>
      <c r="M2347" s="14"/>
      <c r="N2347" s="14"/>
      <c r="O2347" s="14"/>
      <c r="P2347" s="14"/>
      <c r="Q2347" s="14"/>
      <c r="R2347" s="14"/>
      <c r="S2347" s="14"/>
      <c r="T2347" s="14"/>
      <c r="U2347" s="14"/>
      <c r="V2347" s="14"/>
      <c r="W2347" s="14"/>
      <c r="X2347" s="14"/>
      <c r="Y2347" s="14"/>
      <c r="Z2347" s="14"/>
      <c r="AA2347" s="14"/>
      <c r="AB2347" s="14"/>
      <c r="AC2347" s="14"/>
      <c r="AD2347" s="14"/>
      <c r="AE2347" s="14"/>
      <c r="AF2347" s="14"/>
      <c r="AG2347" s="14"/>
      <c r="AH2347" s="14"/>
      <c r="AI2347" s="14"/>
      <c r="AJ2347" s="14"/>
      <c r="AK2347" s="14"/>
    </row>
    <row r="2348" spans="2:37" ht="14.25" thickBot="1" x14ac:dyDescent="0.3">
      <c r="B2348" s="5">
        <v>273680</v>
      </c>
      <c r="C2348" s="6">
        <v>1135751</v>
      </c>
      <c r="D2348" s="6" t="s">
        <v>12</v>
      </c>
      <c r="E2348" s="6" t="s">
        <v>13</v>
      </c>
      <c r="F2348" s="6"/>
      <c r="G2348" s="7">
        <v>0</v>
      </c>
      <c r="H2348" s="7"/>
      <c r="I2348" s="7"/>
      <c r="J2348" s="218"/>
      <c r="K2348" s="14"/>
      <c r="L2348" s="14"/>
      <c r="M2348" s="14"/>
      <c r="N2348" s="14"/>
      <c r="O2348" s="14"/>
      <c r="P2348" s="14"/>
      <c r="Q2348" s="14"/>
      <c r="R2348" s="14"/>
      <c r="S2348" s="14"/>
      <c r="T2348" s="14"/>
      <c r="U2348" s="14"/>
      <c r="V2348" s="14"/>
      <c r="W2348" s="14"/>
      <c r="X2348" s="14"/>
      <c r="Y2348" s="14"/>
      <c r="Z2348" s="14"/>
      <c r="AA2348" s="14"/>
      <c r="AB2348" s="14"/>
      <c r="AC2348" s="14"/>
      <c r="AD2348" s="14"/>
      <c r="AE2348" s="14"/>
      <c r="AF2348" s="14"/>
      <c r="AG2348" s="14"/>
      <c r="AH2348" s="14"/>
      <c r="AI2348" s="14"/>
      <c r="AJ2348" s="14"/>
      <c r="AK2348" s="14"/>
    </row>
    <row r="2350" spans="2:37" ht="14.25" thickBot="1" x14ac:dyDescent="0.3">
      <c r="B2350" s="338" t="s">
        <v>18</v>
      </c>
      <c r="C2350" s="339">
        <v>44893</v>
      </c>
      <c r="K2350" s="14"/>
      <c r="L2350" s="14"/>
      <c r="M2350" s="14"/>
      <c r="N2350" s="14"/>
      <c r="O2350" s="14"/>
      <c r="P2350" s="14"/>
      <c r="Q2350" s="14"/>
      <c r="R2350" s="14"/>
      <c r="S2350" s="14"/>
      <c r="T2350" s="14"/>
      <c r="U2350" s="14"/>
      <c r="V2350" s="14"/>
      <c r="W2350" s="14"/>
      <c r="X2350" s="14"/>
      <c r="Y2350" s="14"/>
      <c r="Z2350" s="14"/>
      <c r="AA2350" s="14"/>
      <c r="AB2350" s="14"/>
      <c r="AC2350" s="14"/>
      <c r="AD2350" s="14"/>
      <c r="AE2350" s="14"/>
      <c r="AF2350" s="14"/>
      <c r="AG2350" s="14"/>
      <c r="AH2350" s="14"/>
      <c r="AI2350" s="14"/>
      <c r="AJ2350" s="14"/>
      <c r="AK2350" s="14"/>
    </row>
    <row r="2351" spans="2:37" ht="14.25" thickBot="1" x14ac:dyDescent="0.3">
      <c r="B2351" s="2" t="s">
        <v>0</v>
      </c>
      <c r="C2351" s="3" t="s">
        <v>1</v>
      </c>
      <c r="D2351" s="3" t="s">
        <v>2</v>
      </c>
      <c r="E2351" s="3" t="s">
        <v>3</v>
      </c>
      <c r="F2351" s="3"/>
      <c r="G2351" s="4" t="s">
        <v>4</v>
      </c>
      <c r="H2351" s="4"/>
      <c r="I2351" s="3" t="s">
        <v>5</v>
      </c>
      <c r="J2351" s="217"/>
      <c r="K2351" s="14"/>
      <c r="L2351" s="14"/>
      <c r="M2351" s="14"/>
      <c r="N2351" s="14"/>
      <c r="O2351" s="14"/>
      <c r="P2351" s="14"/>
      <c r="Q2351" s="14"/>
      <c r="R2351" s="14"/>
      <c r="S2351" s="14"/>
      <c r="T2351" s="14"/>
      <c r="U2351" s="14"/>
      <c r="V2351" s="14"/>
      <c r="W2351" s="14"/>
      <c r="X2351" s="14"/>
      <c r="Y2351" s="14"/>
      <c r="Z2351" s="14"/>
      <c r="AA2351" s="14"/>
      <c r="AB2351" s="14"/>
      <c r="AC2351" s="14"/>
      <c r="AD2351" s="14"/>
      <c r="AE2351" s="14"/>
      <c r="AF2351" s="14"/>
      <c r="AG2351" s="14"/>
      <c r="AH2351" s="14"/>
      <c r="AI2351" s="14"/>
      <c r="AJ2351" s="14"/>
      <c r="AK2351" s="14"/>
    </row>
    <row r="2352" spans="2:37" ht="14.25" thickBot="1" x14ac:dyDescent="0.3">
      <c r="B2352" s="5">
        <v>273664</v>
      </c>
      <c r="C2352" s="6">
        <v>1135749</v>
      </c>
      <c r="D2352" s="6" t="s">
        <v>7</v>
      </c>
      <c r="E2352" s="6">
        <v>6060050026</v>
      </c>
      <c r="F2352" s="6"/>
      <c r="G2352" s="7">
        <v>4</v>
      </c>
      <c r="H2352" s="7"/>
      <c r="I2352" s="7"/>
      <c r="J2352" s="218"/>
      <c r="K2352" s="14"/>
      <c r="L2352" s="14"/>
      <c r="M2352" s="14"/>
      <c r="N2352" s="14"/>
      <c r="O2352" s="14"/>
      <c r="P2352" s="14"/>
      <c r="Q2352" s="14"/>
      <c r="R2352" s="14"/>
      <c r="S2352" s="14"/>
      <c r="T2352" s="14"/>
      <c r="U2352" s="14"/>
      <c r="V2352" s="14"/>
      <c r="W2352" s="14"/>
      <c r="X2352" s="14"/>
      <c r="Y2352" s="14"/>
      <c r="Z2352" s="14"/>
      <c r="AA2352" s="14"/>
      <c r="AB2352" s="14"/>
      <c r="AC2352" s="14"/>
      <c r="AD2352" s="14"/>
      <c r="AE2352" s="14"/>
      <c r="AF2352" s="14"/>
      <c r="AG2352" s="14"/>
      <c r="AH2352" s="14"/>
      <c r="AI2352" s="14"/>
      <c r="AJ2352" s="14"/>
      <c r="AK2352" s="14"/>
    </row>
    <row r="2353" spans="2:37" ht="14.25" thickBot="1" x14ac:dyDescent="0.3">
      <c r="B2353" s="5">
        <v>273672</v>
      </c>
      <c r="C2353" s="6">
        <v>1135750</v>
      </c>
      <c r="D2353" s="6" t="s">
        <v>9</v>
      </c>
      <c r="E2353" s="6" t="s">
        <v>15</v>
      </c>
      <c r="F2353" s="6"/>
      <c r="G2353" s="7">
        <v>35</v>
      </c>
      <c r="H2353" s="7"/>
      <c r="I2353" s="7"/>
      <c r="J2353" s="218"/>
      <c r="K2353" s="14"/>
      <c r="L2353" s="14"/>
      <c r="M2353" s="14"/>
      <c r="N2353" s="14"/>
      <c r="O2353" s="14"/>
      <c r="P2353" s="14"/>
      <c r="Q2353" s="14"/>
      <c r="R2353" s="14"/>
      <c r="S2353" s="14"/>
      <c r="T2353" s="14"/>
      <c r="U2353" s="14"/>
      <c r="V2353" s="14"/>
      <c r="W2353" s="14"/>
      <c r="X2353" s="14"/>
      <c r="Y2353" s="14"/>
      <c r="Z2353" s="14"/>
      <c r="AA2353" s="14"/>
      <c r="AB2353" s="14"/>
      <c r="AC2353" s="14"/>
      <c r="AD2353" s="14"/>
      <c r="AE2353" s="14"/>
      <c r="AF2353" s="14"/>
      <c r="AG2353" s="14"/>
      <c r="AH2353" s="14"/>
      <c r="AI2353" s="14"/>
      <c r="AJ2353" s="14"/>
      <c r="AK2353" s="14"/>
    </row>
    <row r="2354" spans="2:37" ht="14.25" thickBot="1" x14ac:dyDescent="0.3">
      <c r="B2354" s="5">
        <v>273702</v>
      </c>
      <c r="C2354" s="6">
        <v>1135753</v>
      </c>
      <c r="D2354" s="6" t="s">
        <v>10</v>
      </c>
      <c r="E2354" s="6" t="s">
        <v>16</v>
      </c>
      <c r="F2354" s="6"/>
      <c r="G2354" s="7">
        <v>3</v>
      </c>
      <c r="H2354" s="7"/>
      <c r="I2354" s="7"/>
      <c r="J2354" s="218"/>
      <c r="K2354" s="14"/>
      <c r="L2354" s="14"/>
      <c r="M2354" s="14"/>
      <c r="N2354" s="14"/>
      <c r="O2354" s="14"/>
      <c r="P2354" s="14"/>
      <c r="Q2354" s="14"/>
      <c r="R2354" s="14"/>
      <c r="S2354" s="14"/>
      <c r="T2354" s="14"/>
      <c r="U2354" s="14"/>
      <c r="V2354" s="14"/>
      <c r="W2354" s="14"/>
      <c r="X2354" s="14"/>
      <c r="Y2354" s="14"/>
      <c r="Z2354" s="14"/>
      <c r="AA2354" s="14"/>
      <c r="AB2354" s="14"/>
      <c r="AC2354" s="14"/>
      <c r="AD2354" s="14"/>
      <c r="AE2354" s="14"/>
      <c r="AF2354" s="14"/>
      <c r="AG2354" s="14"/>
      <c r="AH2354" s="14"/>
      <c r="AI2354" s="14"/>
      <c r="AJ2354" s="14"/>
      <c r="AK2354" s="14"/>
    </row>
    <row r="2355" spans="2:37" ht="14.25" thickBot="1" x14ac:dyDescent="0.3">
      <c r="B2355" s="5">
        <v>273698</v>
      </c>
      <c r="C2355" s="6">
        <v>1135752</v>
      </c>
      <c r="D2355" s="6" t="s">
        <v>11</v>
      </c>
      <c r="E2355" s="6" t="s">
        <v>17</v>
      </c>
      <c r="F2355" s="6"/>
      <c r="G2355" s="7">
        <v>4</v>
      </c>
      <c r="H2355" s="7"/>
      <c r="I2355" s="7"/>
      <c r="J2355" s="218"/>
      <c r="K2355" s="14"/>
      <c r="L2355" s="14"/>
      <c r="M2355" s="14"/>
      <c r="N2355" s="14"/>
      <c r="O2355" s="14"/>
      <c r="P2355" s="14"/>
      <c r="Q2355" s="14"/>
      <c r="R2355" s="14"/>
      <c r="S2355" s="14"/>
      <c r="T2355" s="14"/>
      <c r="U2355" s="14"/>
      <c r="V2355" s="14"/>
      <c r="W2355" s="14"/>
      <c r="X2355" s="14"/>
      <c r="Y2355" s="14"/>
      <c r="Z2355" s="14"/>
      <c r="AA2355" s="14"/>
      <c r="AB2355" s="14"/>
      <c r="AC2355" s="14"/>
      <c r="AD2355" s="14"/>
      <c r="AE2355" s="14"/>
      <c r="AF2355" s="14"/>
      <c r="AG2355" s="14"/>
      <c r="AH2355" s="14"/>
      <c r="AI2355" s="14"/>
      <c r="AJ2355" s="14"/>
      <c r="AK2355" s="14"/>
    </row>
    <row r="2356" spans="2:37" ht="14.25" thickBot="1" x14ac:dyDescent="0.3">
      <c r="B2356" s="5">
        <v>273680</v>
      </c>
      <c r="C2356" s="6">
        <v>1135751</v>
      </c>
      <c r="D2356" s="6" t="s">
        <v>12</v>
      </c>
      <c r="E2356" s="6" t="s">
        <v>13</v>
      </c>
      <c r="F2356" s="6"/>
      <c r="G2356" s="7">
        <v>0</v>
      </c>
      <c r="H2356" s="7"/>
      <c r="I2356" s="7"/>
      <c r="J2356" s="218"/>
      <c r="K2356" s="14"/>
      <c r="L2356" s="14"/>
      <c r="M2356" s="14"/>
      <c r="N2356" s="14"/>
      <c r="O2356" s="14"/>
      <c r="P2356" s="14"/>
      <c r="Q2356" s="14"/>
      <c r="R2356" s="14"/>
      <c r="S2356" s="14"/>
      <c r="T2356" s="14"/>
      <c r="U2356" s="14"/>
      <c r="V2356" s="14"/>
      <c r="W2356" s="14"/>
      <c r="X2356" s="14"/>
      <c r="Y2356" s="14"/>
      <c r="Z2356" s="14"/>
      <c r="AA2356" s="14"/>
      <c r="AB2356" s="14"/>
      <c r="AC2356" s="14"/>
      <c r="AD2356" s="14"/>
      <c r="AE2356" s="14"/>
      <c r="AF2356" s="14"/>
      <c r="AG2356" s="14"/>
      <c r="AH2356" s="14"/>
      <c r="AI2356" s="14"/>
      <c r="AJ2356" s="14"/>
      <c r="AK2356" s="14"/>
    </row>
    <row r="2358" spans="2:37" ht="14.25" thickBot="1" x14ac:dyDescent="0.3">
      <c r="B2358" s="338" t="s">
        <v>18</v>
      </c>
      <c r="C2358" s="339">
        <v>44872</v>
      </c>
      <c r="K2358" s="14"/>
      <c r="L2358" s="14"/>
      <c r="M2358" s="14"/>
      <c r="N2358" s="14"/>
      <c r="O2358" s="14"/>
      <c r="P2358" s="14"/>
      <c r="Q2358" s="14"/>
      <c r="R2358" s="14"/>
      <c r="S2358" s="14"/>
      <c r="T2358" s="14"/>
      <c r="U2358" s="14"/>
      <c r="V2358" s="14"/>
      <c r="W2358" s="14"/>
      <c r="X2358" s="14"/>
      <c r="Y2358" s="14"/>
      <c r="Z2358" s="14"/>
      <c r="AA2358" s="14"/>
      <c r="AB2358" s="14"/>
      <c r="AC2358" s="14"/>
      <c r="AD2358" s="14"/>
      <c r="AE2358" s="14"/>
      <c r="AF2358" s="14"/>
      <c r="AG2358" s="14"/>
      <c r="AH2358" s="14"/>
      <c r="AI2358" s="14"/>
      <c r="AJ2358" s="14"/>
      <c r="AK2358" s="14"/>
    </row>
    <row r="2359" spans="2:37" ht="14.25" thickBot="1" x14ac:dyDescent="0.3">
      <c r="B2359" s="2" t="s">
        <v>0</v>
      </c>
      <c r="C2359" s="3" t="s">
        <v>1</v>
      </c>
      <c r="D2359" s="3" t="s">
        <v>2</v>
      </c>
      <c r="E2359" s="3" t="s">
        <v>3</v>
      </c>
      <c r="F2359" s="3"/>
      <c r="G2359" s="4" t="s">
        <v>4</v>
      </c>
      <c r="H2359" s="4"/>
      <c r="I2359" s="3" t="s">
        <v>5</v>
      </c>
      <c r="J2359" s="217"/>
      <c r="K2359" s="14"/>
      <c r="L2359" s="14"/>
      <c r="M2359" s="14"/>
      <c r="N2359" s="14"/>
      <c r="O2359" s="14"/>
      <c r="P2359" s="14"/>
      <c r="Q2359" s="14"/>
      <c r="R2359" s="14"/>
      <c r="S2359" s="14"/>
      <c r="T2359" s="14"/>
      <c r="U2359" s="14"/>
      <c r="V2359" s="14"/>
      <c r="W2359" s="14"/>
      <c r="X2359" s="14"/>
      <c r="Y2359" s="14"/>
      <c r="Z2359" s="14"/>
      <c r="AA2359" s="14"/>
      <c r="AB2359" s="14"/>
      <c r="AC2359" s="14"/>
      <c r="AD2359" s="14"/>
      <c r="AE2359" s="14"/>
      <c r="AF2359" s="14"/>
      <c r="AG2359" s="14"/>
      <c r="AH2359" s="14"/>
      <c r="AI2359" s="14"/>
      <c r="AJ2359" s="14"/>
      <c r="AK2359" s="14"/>
    </row>
    <row r="2360" spans="2:37" ht="14.25" thickBot="1" x14ac:dyDescent="0.3">
      <c r="B2360" s="5">
        <v>273664</v>
      </c>
      <c r="C2360" s="6">
        <v>1135749</v>
      </c>
      <c r="D2360" s="6" t="s">
        <v>7</v>
      </c>
      <c r="E2360" s="6">
        <v>6060050026</v>
      </c>
      <c r="F2360" s="6"/>
      <c r="G2360" s="7">
        <v>5</v>
      </c>
      <c r="H2360" s="7"/>
      <c r="I2360" s="7"/>
      <c r="J2360" s="218"/>
      <c r="K2360" s="14"/>
      <c r="L2360" s="14"/>
      <c r="M2360" s="14"/>
      <c r="N2360" s="14"/>
      <c r="O2360" s="14"/>
      <c r="P2360" s="14"/>
      <c r="Q2360" s="14"/>
      <c r="R2360" s="14"/>
      <c r="S2360" s="14"/>
      <c r="T2360" s="14"/>
      <c r="U2360" s="14"/>
      <c r="V2360" s="14"/>
      <c r="W2360" s="14"/>
      <c r="X2360" s="14"/>
      <c r="Y2360" s="14"/>
      <c r="Z2360" s="14"/>
      <c r="AA2360" s="14"/>
      <c r="AB2360" s="14"/>
      <c r="AC2360" s="14"/>
      <c r="AD2360" s="14"/>
      <c r="AE2360" s="14"/>
      <c r="AF2360" s="14"/>
      <c r="AG2360" s="14"/>
      <c r="AH2360" s="14"/>
      <c r="AI2360" s="14"/>
      <c r="AJ2360" s="14"/>
      <c r="AK2360" s="14"/>
    </row>
    <row r="2361" spans="2:37" ht="14.25" thickBot="1" x14ac:dyDescent="0.3">
      <c r="B2361" s="5">
        <v>273672</v>
      </c>
      <c r="C2361" s="6">
        <v>1135750</v>
      </c>
      <c r="D2361" s="6" t="s">
        <v>9</v>
      </c>
      <c r="E2361" s="6" t="s">
        <v>15</v>
      </c>
      <c r="F2361" s="6"/>
      <c r="G2361" s="7">
        <v>39</v>
      </c>
      <c r="H2361" s="7"/>
      <c r="I2361" s="7"/>
      <c r="J2361" s="218"/>
      <c r="K2361" s="14"/>
      <c r="L2361" s="14"/>
      <c r="M2361" s="14"/>
      <c r="N2361" s="14"/>
      <c r="O2361" s="14"/>
      <c r="P2361" s="14"/>
      <c r="Q2361" s="14"/>
      <c r="R2361" s="14"/>
      <c r="S2361" s="14"/>
      <c r="T2361" s="14"/>
      <c r="U2361" s="14"/>
      <c r="V2361" s="14"/>
      <c r="W2361" s="14"/>
      <c r="X2361" s="14"/>
      <c r="Y2361" s="14"/>
      <c r="Z2361" s="14"/>
      <c r="AA2361" s="14"/>
      <c r="AB2361" s="14"/>
      <c r="AC2361" s="14"/>
      <c r="AD2361" s="14"/>
      <c r="AE2361" s="14"/>
      <c r="AF2361" s="14"/>
      <c r="AG2361" s="14"/>
      <c r="AH2361" s="14"/>
      <c r="AI2361" s="14"/>
      <c r="AJ2361" s="14"/>
      <c r="AK2361" s="14"/>
    </row>
    <row r="2362" spans="2:37" ht="14.25" thickBot="1" x14ac:dyDescent="0.3">
      <c r="B2362" s="5">
        <v>273702</v>
      </c>
      <c r="C2362" s="6">
        <v>1135753</v>
      </c>
      <c r="D2362" s="6" t="s">
        <v>10</v>
      </c>
      <c r="E2362" s="6" t="s">
        <v>16</v>
      </c>
      <c r="F2362" s="6"/>
      <c r="G2362" s="7">
        <v>3</v>
      </c>
      <c r="H2362" s="7"/>
      <c r="I2362" s="7"/>
      <c r="J2362" s="218"/>
      <c r="K2362" s="14"/>
      <c r="L2362" s="14"/>
      <c r="M2362" s="14"/>
      <c r="N2362" s="14"/>
      <c r="O2362" s="14"/>
      <c r="P2362" s="14"/>
      <c r="Q2362" s="14"/>
      <c r="R2362" s="14"/>
      <c r="S2362" s="14"/>
      <c r="T2362" s="14"/>
      <c r="U2362" s="14"/>
      <c r="V2362" s="14"/>
      <c r="W2362" s="14"/>
      <c r="X2362" s="14"/>
      <c r="Y2362" s="14"/>
      <c r="Z2362" s="14"/>
      <c r="AA2362" s="14"/>
      <c r="AB2362" s="14"/>
      <c r="AC2362" s="14"/>
      <c r="AD2362" s="14"/>
      <c r="AE2362" s="14"/>
      <c r="AF2362" s="14"/>
      <c r="AG2362" s="14"/>
      <c r="AH2362" s="14"/>
      <c r="AI2362" s="14"/>
      <c r="AJ2362" s="14"/>
      <c r="AK2362" s="14"/>
    </row>
    <row r="2363" spans="2:37" ht="14.25" thickBot="1" x14ac:dyDescent="0.3">
      <c r="B2363" s="5">
        <v>273698</v>
      </c>
      <c r="C2363" s="6">
        <v>1135752</v>
      </c>
      <c r="D2363" s="6" t="s">
        <v>11</v>
      </c>
      <c r="E2363" s="6" t="s">
        <v>17</v>
      </c>
      <c r="F2363" s="6"/>
      <c r="G2363" s="7">
        <v>5</v>
      </c>
      <c r="H2363" s="7"/>
      <c r="I2363" s="7"/>
      <c r="J2363" s="218"/>
      <c r="K2363" s="14"/>
      <c r="L2363" s="14"/>
      <c r="M2363" s="14"/>
      <c r="N2363" s="14"/>
      <c r="O2363" s="14"/>
      <c r="P2363" s="14"/>
      <c r="Q2363" s="14"/>
      <c r="R2363" s="14"/>
      <c r="S2363" s="14"/>
      <c r="T2363" s="14"/>
      <c r="U2363" s="14"/>
      <c r="V2363" s="14"/>
      <c r="W2363" s="14"/>
      <c r="X2363" s="14"/>
      <c r="Y2363" s="14"/>
      <c r="Z2363" s="14"/>
      <c r="AA2363" s="14"/>
      <c r="AB2363" s="14"/>
      <c r="AC2363" s="14"/>
      <c r="AD2363" s="14"/>
      <c r="AE2363" s="14"/>
      <c r="AF2363" s="14"/>
      <c r="AG2363" s="14"/>
      <c r="AH2363" s="14"/>
      <c r="AI2363" s="14"/>
      <c r="AJ2363" s="14"/>
      <c r="AK2363" s="14"/>
    </row>
    <row r="2364" spans="2:37" ht="14.25" thickBot="1" x14ac:dyDescent="0.3">
      <c r="B2364" s="5">
        <v>273680</v>
      </c>
      <c r="C2364" s="6">
        <v>1135751</v>
      </c>
      <c r="D2364" s="6" t="s">
        <v>12</v>
      </c>
      <c r="E2364" s="6" t="s">
        <v>13</v>
      </c>
      <c r="F2364" s="6"/>
      <c r="G2364" s="7">
        <v>7</v>
      </c>
      <c r="H2364" s="7"/>
      <c r="I2364" s="7"/>
      <c r="J2364" s="218"/>
      <c r="K2364" s="14"/>
      <c r="L2364" s="14"/>
      <c r="M2364" s="14"/>
      <c r="N2364" s="14"/>
      <c r="O2364" s="14"/>
      <c r="P2364" s="14"/>
      <c r="Q2364" s="14"/>
      <c r="R2364" s="14"/>
      <c r="S2364" s="14"/>
      <c r="T2364" s="14"/>
      <c r="U2364" s="14"/>
      <c r="V2364" s="14"/>
      <c r="W2364" s="14"/>
      <c r="X2364" s="14"/>
      <c r="Y2364" s="14"/>
      <c r="Z2364" s="14"/>
      <c r="AA2364" s="14"/>
      <c r="AB2364" s="14"/>
      <c r="AC2364" s="14"/>
      <c r="AD2364" s="14"/>
      <c r="AE2364" s="14"/>
      <c r="AF2364" s="14"/>
      <c r="AG2364" s="14"/>
      <c r="AH2364" s="14"/>
      <c r="AI2364" s="14"/>
      <c r="AJ2364" s="14"/>
      <c r="AK2364" s="14"/>
    </row>
    <row r="2366" spans="2:37" ht="14.25" thickBot="1" x14ac:dyDescent="0.3">
      <c r="B2366" s="338" t="s">
        <v>18</v>
      </c>
      <c r="C2366" s="339">
        <v>44851</v>
      </c>
      <c r="K2366" s="14"/>
      <c r="L2366" s="14"/>
      <c r="M2366" s="14"/>
      <c r="N2366" s="14"/>
      <c r="O2366" s="14"/>
      <c r="P2366" s="14"/>
      <c r="Q2366" s="14"/>
      <c r="R2366" s="14"/>
      <c r="S2366" s="14"/>
      <c r="T2366" s="14"/>
      <c r="U2366" s="14"/>
      <c r="V2366" s="14"/>
      <c r="W2366" s="14"/>
      <c r="X2366" s="14"/>
      <c r="Y2366" s="14"/>
      <c r="Z2366" s="14"/>
      <c r="AA2366" s="14"/>
      <c r="AB2366" s="14"/>
      <c r="AC2366" s="14"/>
      <c r="AD2366" s="14"/>
      <c r="AE2366" s="14"/>
      <c r="AF2366" s="14"/>
      <c r="AG2366" s="14"/>
      <c r="AH2366" s="14"/>
      <c r="AI2366" s="14"/>
      <c r="AJ2366" s="14"/>
      <c r="AK2366" s="14"/>
    </row>
    <row r="2367" spans="2:37" ht="14.25" thickBot="1" x14ac:dyDescent="0.3">
      <c r="B2367" s="2" t="s">
        <v>0</v>
      </c>
      <c r="C2367" s="3" t="s">
        <v>1</v>
      </c>
      <c r="D2367" s="3" t="s">
        <v>2</v>
      </c>
      <c r="E2367" s="3" t="s">
        <v>3</v>
      </c>
      <c r="F2367" s="3"/>
      <c r="G2367" s="4" t="s">
        <v>4</v>
      </c>
      <c r="H2367" s="4"/>
      <c r="I2367" s="3" t="s">
        <v>5</v>
      </c>
      <c r="J2367" s="217"/>
      <c r="K2367" s="14"/>
      <c r="L2367" s="14"/>
      <c r="M2367" s="14"/>
      <c r="N2367" s="14"/>
      <c r="O2367" s="14"/>
      <c r="P2367" s="14"/>
      <c r="Q2367" s="14"/>
      <c r="R2367" s="14"/>
      <c r="S2367" s="14"/>
      <c r="T2367" s="14"/>
      <c r="U2367" s="14"/>
      <c r="V2367" s="14"/>
      <c r="W2367" s="14"/>
      <c r="X2367" s="14"/>
      <c r="Y2367" s="14"/>
      <c r="Z2367" s="14"/>
      <c r="AA2367" s="14"/>
      <c r="AB2367" s="14"/>
      <c r="AC2367" s="14"/>
      <c r="AD2367" s="14"/>
      <c r="AE2367" s="14"/>
      <c r="AF2367" s="14"/>
      <c r="AG2367" s="14"/>
      <c r="AH2367" s="14"/>
      <c r="AI2367" s="14"/>
      <c r="AJ2367" s="14"/>
      <c r="AK2367" s="14"/>
    </row>
    <row r="2368" spans="2:37" ht="14.25" thickBot="1" x14ac:dyDescent="0.3">
      <c r="B2368" s="5">
        <v>273664</v>
      </c>
      <c r="C2368" s="6">
        <v>1135749</v>
      </c>
      <c r="D2368" s="6" t="s">
        <v>7</v>
      </c>
      <c r="E2368" s="6">
        <v>6060050026</v>
      </c>
      <c r="F2368" s="6"/>
      <c r="G2368" s="7">
        <v>5</v>
      </c>
      <c r="H2368" s="7"/>
      <c r="I2368" s="7"/>
      <c r="J2368" s="218"/>
      <c r="K2368" s="14"/>
      <c r="L2368" s="14"/>
      <c r="M2368" s="14"/>
      <c r="N2368" s="14"/>
      <c r="O2368" s="14"/>
      <c r="P2368" s="14"/>
      <c r="Q2368" s="14"/>
      <c r="R2368" s="14"/>
      <c r="S2368" s="14"/>
      <c r="T2368" s="14"/>
      <c r="U2368" s="14"/>
      <c r="V2368" s="14"/>
      <c r="W2368" s="14"/>
      <c r="X2368" s="14"/>
      <c r="Y2368" s="14"/>
      <c r="Z2368" s="14"/>
      <c r="AA2368" s="14"/>
      <c r="AB2368" s="14"/>
      <c r="AC2368" s="14"/>
      <c r="AD2368" s="14"/>
      <c r="AE2368" s="14"/>
      <c r="AF2368" s="14"/>
      <c r="AG2368" s="14"/>
      <c r="AH2368" s="14"/>
      <c r="AI2368" s="14"/>
      <c r="AJ2368" s="14"/>
      <c r="AK2368" s="14"/>
    </row>
    <row r="2369" spans="2:37" ht="14.25" thickBot="1" x14ac:dyDescent="0.3">
      <c r="B2369" s="5">
        <v>273672</v>
      </c>
      <c r="C2369" s="6">
        <v>1135750</v>
      </c>
      <c r="D2369" s="6" t="s">
        <v>9</v>
      </c>
      <c r="E2369" s="6" t="s">
        <v>15</v>
      </c>
      <c r="F2369" s="6"/>
      <c r="G2369" s="7">
        <v>35</v>
      </c>
      <c r="H2369" s="7"/>
      <c r="I2369" s="7"/>
      <c r="J2369" s="218"/>
      <c r="K2369" s="14"/>
      <c r="L2369" s="14"/>
      <c r="M2369" s="14"/>
      <c r="N2369" s="14"/>
      <c r="O2369" s="14"/>
      <c r="P2369" s="14"/>
      <c r="Q2369" s="14"/>
      <c r="R2369" s="14"/>
      <c r="S2369" s="14"/>
      <c r="T2369" s="14"/>
      <c r="U2369" s="14"/>
      <c r="V2369" s="14"/>
      <c r="W2369" s="14"/>
      <c r="X2369" s="14"/>
      <c r="Y2369" s="14"/>
      <c r="Z2369" s="14"/>
      <c r="AA2369" s="14"/>
      <c r="AB2369" s="14"/>
      <c r="AC2369" s="14"/>
      <c r="AD2369" s="14"/>
      <c r="AE2369" s="14"/>
      <c r="AF2369" s="14"/>
      <c r="AG2369" s="14"/>
      <c r="AH2369" s="14"/>
      <c r="AI2369" s="14"/>
      <c r="AJ2369" s="14"/>
      <c r="AK2369" s="14"/>
    </row>
    <row r="2370" spans="2:37" ht="14.25" thickBot="1" x14ac:dyDescent="0.3">
      <c r="B2370" s="5">
        <v>273702</v>
      </c>
      <c r="C2370" s="6">
        <v>1135753</v>
      </c>
      <c r="D2370" s="6" t="s">
        <v>10</v>
      </c>
      <c r="E2370" s="6" t="s">
        <v>16</v>
      </c>
      <c r="F2370" s="6"/>
      <c r="G2370" s="7">
        <v>3</v>
      </c>
      <c r="H2370" s="7"/>
      <c r="I2370" s="7"/>
      <c r="J2370" s="218"/>
      <c r="K2370" s="14"/>
      <c r="L2370" s="14"/>
      <c r="M2370" s="14"/>
      <c r="N2370" s="14"/>
      <c r="O2370" s="14"/>
      <c r="P2370" s="14"/>
      <c r="Q2370" s="14"/>
      <c r="R2370" s="14"/>
      <c r="S2370" s="14"/>
      <c r="T2370" s="14"/>
      <c r="U2370" s="14"/>
      <c r="V2370" s="14"/>
      <c r="W2370" s="14"/>
      <c r="X2370" s="14"/>
      <c r="Y2370" s="14"/>
      <c r="Z2370" s="14"/>
      <c r="AA2370" s="14"/>
      <c r="AB2370" s="14"/>
      <c r="AC2370" s="14"/>
      <c r="AD2370" s="14"/>
      <c r="AE2370" s="14"/>
      <c r="AF2370" s="14"/>
      <c r="AG2370" s="14"/>
      <c r="AH2370" s="14"/>
      <c r="AI2370" s="14"/>
      <c r="AJ2370" s="14"/>
      <c r="AK2370" s="14"/>
    </row>
    <row r="2371" spans="2:37" ht="14.25" thickBot="1" x14ac:dyDescent="0.3">
      <c r="B2371" s="5">
        <v>273698</v>
      </c>
      <c r="C2371" s="6">
        <v>1135752</v>
      </c>
      <c r="D2371" s="6" t="s">
        <v>11</v>
      </c>
      <c r="E2371" s="6" t="s">
        <v>17</v>
      </c>
      <c r="F2371" s="6"/>
      <c r="G2371" s="7">
        <v>4</v>
      </c>
      <c r="H2371" s="7"/>
      <c r="I2371" s="7"/>
      <c r="J2371" s="218"/>
      <c r="K2371" s="14"/>
      <c r="L2371" s="14"/>
      <c r="M2371" s="14"/>
      <c r="N2371" s="14"/>
      <c r="O2371" s="14"/>
      <c r="P2371" s="14"/>
      <c r="Q2371" s="14"/>
      <c r="R2371" s="14"/>
      <c r="S2371" s="14"/>
      <c r="T2371" s="14"/>
      <c r="U2371" s="14"/>
      <c r="V2371" s="14"/>
      <c r="W2371" s="14"/>
      <c r="X2371" s="14"/>
      <c r="Y2371" s="14"/>
      <c r="Z2371" s="14"/>
      <c r="AA2371" s="14"/>
      <c r="AB2371" s="14"/>
      <c r="AC2371" s="14"/>
      <c r="AD2371" s="14"/>
      <c r="AE2371" s="14"/>
      <c r="AF2371" s="14"/>
      <c r="AG2371" s="14"/>
      <c r="AH2371" s="14"/>
      <c r="AI2371" s="14"/>
      <c r="AJ2371" s="14"/>
      <c r="AK2371" s="14"/>
    </row>
    <row r="2372" spans="2:37" ht="14.25" thickBot="1" x14ac:dyDescent="0.3">
      <c r="B2372" s="5">
        <v>273680</v>
      </c>
      <c r="C2372" s="6">
        <v>1135751</v>
      </c>
      <c r="D2372" s="6" t="s">
        <v>12</v>
      </c>
      <c r="E2372" s="6" t="s">
        <v>13</v>
      </c>
      <c r="F2372" s="6"/>
      <c r="G2372" s="7">
        <v>7</v>
      </c>
      <c r="H2372" s="7"/>
      <c r="I2372" s="7"/>
      <c r="J2372" s="218"/>
      <c r="K2372" s="14"/>
      <c r="L2372" s="14"/>
      <c r="M2372" s="14"/>
      <c r="N2372" s="14"/>
      <c r="O2372" s="14"/>
      <c r="P2372" s="14"/>
      <c r="Q2372" s="14"/>
      <c r="R2372" s="14"/>
      <c r="S2372" s="14"/>
      <c r="T2372" s="14"/>
      <c r="U2372" s="14"/>
      <c r="V2372" s="14"/>
      <c r="W2372" s="14"/>
      <c r="X2372" s="14"/>
      <c r="Y2372" s="14"/>
      <c r="Z2372" s="14"/>
      <c r="AA2372" s="14"/>
      <c r="AB2372" s="14"/>
      <c r="AC2372" s="14"/>
      <c r="AD2372" s="14"/>
      <c r="AE2372" s="14"/>
      <c r="AF2372" s="14"/>
      <c r="AG2372" s="14"/>
      <c r="AH2372" s="14"/>
      <c r="AI2372" s="14"/>
      <c r="AJ2372" s="14"/>
      <c r="AK2372" s="14"/>
    </row>
    <row r="2373" spans="2:37" ht="15" x14ac:dyDescent="0.25">
      <c r="B2373" s="341"/>
      <c r="C2373" s="306"/>
      <c r="D2373" s="306"/>
      <c r="E2373" s="306"/>
      <c r="F2373" s="306"/>
      <c r="G2373" s="306"/>
      <c r="H2373" s="306"/>
      <c r="I2373" s="306"/>
      <c r="J2373" s="306"/>
      <c r="K2373" s="14"/>
      <c r="L2373" s="14"/>
      <c r="M2373" s="14"/>
      <c r="N2373" s="14"/>
      <c r="O2373" s="14"/>
      <c r="P2373" s="14"/>
      <c r="Q2373" s="14"/>
      <c r="R2373" s="14"/>
      <c r="S2373" s="14"/>
      <c r="T2373" s="14"/>
      <c r="U2373" s="14"/>
      <c r="V2373" s="14"/>
      <c r="W2373" s="14"/>
      <c r="X2373" s="14"/>
      <c r="Y2373" s="14"/>
      <c r="Z2373" s="14"/>
      <c r="AA2373" s="14"/>
      <c r="AB2373" s="14"/>
      <c r="AC2373" s="14"/>
      <c r="AD2373" s="14"/>
      <c r="AE2373" s="14"/>
      <c r="AF2373" s="14"/>
      <c r="AG2373" s="14"/>
      <c r="AH2373" s="14"/>
      <c r="AI2373" s="14"/>
      <c r="AJ2373" s="14"/>
      <c r="AK2373" s="14"/>
    </row>
    <row r="2374" spans="2:37" ht="14.25" thickBot="1" x14ac:dyDescent="0.3">
      <c r="B2374" s="338" t="s">
        <v>18</v>
      </c>
      <c r="C2374" s="339">
        <v>44844</v>
      </c>
      <c r="K2374" s="14"/>
      <c r="L2374" s="14"/>
      <c r="M2374" s="14"/>
      <c r="N2374" s="14"/>
      <c r="O2374" s="14"/>
      <c r="P2374" s="14"/>
      <c r="Q2374" s="14"/>
      <c r="R2374" s="14"/>
      <c r="S2374" s="14"/>
      <c r="T2374" s="14"/>
      <c r="U2374" s="14"/>
      <c r="V2374" s="14"/>
      <c r="W2374" s="14"/>
      <c r="X2374" s="14"/>
      <c r="Y2374" s="14"/>
      <c r="Z2374" s="14"/>
      <c r="AA2374" s="14"/>
      <c r="AB2374" s="14"/>
      <c r="AC2374" s="14"/>
      <c r="AD2374" s="14"/>
      <c r="AE2374" s="14"/>
      <c r="AF2374" s="14"/>
      <c r="AG2374" s="14"/>
      <c r="AH2374" s="14"/>
      <c r="AI2374" s="14"/>
      <c r="AJ2374" s="14"/>
      <c r="AK2374" s="14"/>
    </row>
    <row r="2375" spans="2:37" ht="14.25" thickBot="1" x14ac:dyDescent="0.3">
      <c r="B2375" s="2" t="s">
        <v>0</v>
      </c>
      <c r="C2375" s="3" t="s">
        <v>1</v>
      </c>
      <c r="D2375" s="3" t="s">
        <v>2</v>
      </c>
      <c r="E2375" s="3" t="s">
        <v>3</v>
      </c>
      <c r="F2375" s="3"/>
      <c r="G2375" s="4" t="s">
        <v>4</v>
      </c>
      <c r="H2375" s="4"/>
      <c r="I2375" s="3" t="s">
        <v>5</v>
      </c>
      <c r="J2375" s="217"/>
      <c r="K2375" s="14"/>
      <c r="L2375" s="14"/>
      <c r="M2375" s="14"/>
      <c r="N2375" s="14"/>
      <c r="O2375" s="14"/>
      <c r="P2375" s="14"/>
      <c r="Q2375" s="14"/>
      <c r="R2375" s="14"/>
      <c r="S2375" s="14"/>
      <c r="T2375" s="14"/>
      <c r="U2375" s="14"/>
      <c r="V2375" s="14"/>
      <c r="W2375" s="14"/>
      <c r="X2375" s="14"/>
      <c r="Y2375" s="14"/>
      <c r="Z2375" s="14"/>
      <c r="AA2375" s="14"/>
      <c r="AB2375" s="14"/>
      <c r="AC2375" s="14"/>
      <c r="AD2375" s="14"/>
      <c r="AE2375" s="14"/>
      <c r="AF2375" s="14"/>
      <c r="AG2375" s="14"/>
      <c r="AH2375" s="14"/>
      <c r="AI2375" s="14"/>
      <c r="AJ2375" s="14"/>
      <c r="AK2375" s="14"/>
    </row>
    <row r="2376" spans="2:37" ht="14.25" thickBot="1" x14ac:dyDescent="0.3">
      <c r="B2376" s="5">
        <v>273664</v>
      </c>
      <c r="C2376" s="6">
        <v>1135749</v>
      </c>
      <c r="D2376" s="6" t="s">
        <v>7</v>
      </c>
      <c r="E2376" s="6">
        <v>6060050026</v>
      </c>
      <c r="F2376" s="6"/>
      <c r="G2376" s="7">
        <v>7</v>
      </c>
      <c r="H2376" s="7"/>
      <c r="I2376" s="7"/>
      <c r="J2376" s="218"/>
      <c r="K2376" s="14"/>
      <c r="L2376" s="14"/>
      <c r="M2376" s="14"/>
      <c r="N2376" s="14"/>
      <c r="O2376" s="14"/>
      <c r="P2376" s="14"/>
      <c r="Q2376" s="14"/>
      <c r="R2376" s="14"/>
      <c r="S2376" s="14"/>
      <c r="T2376" s="14"/>
      <c r="U2376" s="14"/>
      <c r="V2376" s="14"/>
      <c r="W2376" s="14"/>
      <c r="X2376" s="14"/>
      <c r="Y2376" s="14"/>
      <c r="Z2376" s="14"/>
      <c r="AA2376" s="14"/>
      <c r="AB2376" s="14"/>
      <c r="AC2376" s="14"/>
      <c r="AD2376" s="14"/>
      <c r="AE2376" s="14"/>
      <c r="AF2376" s="14"/>
      <c r="AG2376" s="14"/>
      <c r="AH2376" s="14"/>
      <c r="AI2376" s="14"/>
      <c r="AJ2376" s="14"/>
      <c r="AK2376" s="14"/>
    </row>
    <row r="2377" spans="2:37" ht="14.25" thickBot="1" x14ac:dyDescent="0.3">
      <c r="B2377" s="5">
        <v>273672</v>
      </c>
      <c r="C2377" s="6">
        <v>1135750</v>
      </c>
      <c r="D2377" s="6" t="s">
        <v>9</v>
      </c>
      <c r="E2377" s="6" t="s">
        <v>15</v>
      </c>
      <c r="F2377" s="6"/>
      <c r="G2377" s="7">
        <v>35</v>
      </c>
      <c r="H2377" s="7"/>
      <c r="I2377" s="7"/>
      <c r="J2377" s="218"/>
      <c r="K2377" s="14"/>
      <c r="L2377" s="14"/>
      <c r="M2377" s="14"/>
      <c r="N2377" s="14"/>
      <c r="O2377" s="14"/>
      <c r="P2377" s="14"/>
      <c r="Q2377" s="14"/>
      <c r="R2377" s="14"/>
      <c r="S2377" s="14"/>
      <c r="T2377" s="14"/>
      <c r="U2377" s="14"/>
      <c r="V2377" s="14"/>
      <c r="W2377" s="14"/>
      <c r="X2377" s="14"/>
      <c r="Y2377" s="14"/>
      <c r="Z2377" s="14"/>
      <c r="AA2377" s="14"/>
      <c r="AB2377" s="14"/>
      <c r="AC2377" s="14"/>
      <c r="AD2377" s="14"/>
      <c r="AE2377" s="14"/>
      <c r="AF2377" s="14"/>
      <c r="AG2377" s="14"/>
      <c r="AH2377" s="14"/>
      <c r="AI2377" s="14"/>
      <c r="AJ2377" s="14"/>
      <c r="AK2377" s="14"/>
    </row>
    <row r="2378" spans="2:37" ht="14.25" thickBot="1" x14ac:dyDescent="0.3">
      <c r="B2378" s="5">
        <v>273702</v>
      </c>
      <c r="C2378" s="6">
        <v>1135753</v>
      </c>
      <c r="D2378" s="6" t="s">
        <v>10</v>
      </c>
      <c r="E2378" s="6" t="s">
        <v>16</v>
      </c>
      <c r="F2378" s="6"/>
      <c r="G2378" s="7">
        <v>3</v>
      </c>
      <c r="H2378" s="7"/>
      <c r="I2378" s="7"/>
      <c r="J2378" s="218"/>
      <c r="K2378" s="14"/>
      <c r="L2378" s="14"/>
      <c r="M2378" s="14"/>
      <c r="N2378" s="14"/>
      <c r="O2378" s="14"/>
      <c r="P2378" s="14"/>
      <c r="Q2378" s="14"/>
      <c r="R2378" s="14"/>
      <c r="S2378" s="14"/>
      <c r="T2378" s="14"/>
      <c r="U2378" s="14"/>
      <c r="V2378" s="14"/>
      <c r="W2378" s="14"/>
      <c r="X2378" s="14"/>
      <c r="Y2378" s="14"/>
      <c r="Z2378" s="14"/>
      <c r="AA2378" s="14"/>
      <c r="AB2378" s="14"/>
      <c r="AC2378" s="14"/>
      <c r="AD2378" s="14"/>
      <c r="AE2378" s="14"/>
      <c r="AF2378" s="14"/>
      <c r="AG2378" s="14"/>
      <c r="AH2378" s="14"/>
      <c r="AI2378" s="14"/>
      <c r="AJ2378" s="14"/>
      <c r="AK2378" s="14"/>
    </row>
    <row r="2379" spans="2:37" ht="14.25" thickBot="1" x14ac:dyDescent="0.3">
      <c r="B2379" s="5">
        <v>273698</v>
      </c>
      <c r="C2379" s="6">
        <v>1135752</v>
      </c>
      <c r="D2379" s="6" t="s">
        <v>11</v>
      </c>
      <c r="E2379" s="6" t="s">
        <v>17</v>
      </c>
      <c r="F2379" s="6"/>
      <c r="G2379" s="7">
        <v>4</v>
      </c>
      <c r="H2379" s="7"/>
      <c r="I2379" s="7"/>
      <c r="J2379" s="218"/>
      <c r="K2379" s="14"/>
      <c r="L2379" s="14"/>
      <c r="M2379" s="14"/>
      <c r="N2379" s="14"/>
      <c r="O2379" s="14"/>
      <c r="P2379" s="14"/>
      <c r="Q2379" s="14"/>
      <c r="R2379" s="14"/>
      <c r="S2379" s="14"/>
      <c r="T2379" s="14"/>
      <c r="U2379" s="14"/>
      <c r="V2379" s="14"/>
      <c r="W2379" s="14"/>
      <c r="X2379" s="14"/>
      <c r="Y2379" s="14"/>
      <c r="Z2379" s="14"/>
      <c r="AA2379" s="14"/>
      <c r="AB2379" s="14"/>
      <c r="AC2379" s="14"/>
      <c r="AD2379" s="14"/>
      <c r="AE2379" s="14"/>
      <c r="AF2379" s="14"/>
      <c r="AG2379" s="14"/>
      <c r="AH2379" s="14"/>
      <c r="AI2379" s="14"/>
      <c r="AJ2379" s="14"/>
      <c r="AK2379" s="14"/>
    </row>
    <row r="2380" spans="2:37" ht="14.25" thickBot="1" x14ac:dyDescent="0.3">
      <c r="B2380" s="5">
        <v>273680</v>
      </c>
      <c r="C2380" s="6">
        <v>1135751</v>
      </c>
      <c r="D2380" s="6" t="s">
        <v>12</v>
      </c>
      <c r="E2380" s="6" t="s">
        <v>13</v>
      </c>
      <c r="F2380" s="6"/>
      <c r="G2380" s="7">
        <v>7</v>
      </c>
      <c r="H2380" s="7"/>
      <c r="I2380" s="7"/>
      <c r="J2380" s="218"/>
      <c r="K2380" s="14"/>
      <c r="L2380" s="14"/>
      <c r="M2380" s="14"/>
      <c r="N2380" s="14"/>
      <c r="O2380" s="14"/>
      <c r="P2380" s="14"/>
      <c r="Q2380" s="14"/>
      <c r="R2380" s="14"/>
      <c r="S2380" s="14"/>
      <c r="T2380" s="14"/>
      <c r="U2380" s="14"/>
      <c r="V2380" s="14"/>
      <c r="W2380" s="14"/>
      <c r="X2380" s="14"/>
      <c r="Y2380" s="14"/>
      <c r="Z2380" s="14"/>
      <c r="AA2380" s="14"/>
      <c r="AB2380" s="14"/>
      <c r="AC2380" s="14"/>
      <c r="AD2380" s="14"/>
      <c r="AE2380" s="14"/>
      <c r="AF2380" s="14"/>
      <c r="AG2380" s="14"/>
      <c r="AH2380" s="14"/>
      <c r="AI2380" s="14"/>
      <c r="AJ2380" s="14"/>
      <c r="AK2380" s="14"/>
    </row>
    <row r="2382" spans="2:37" ht="14.25" thickBot="1" x14ac:dyDescent="0.3">
      <c r="B2382" s="338" t="s">
        <v>18</v>
      </c>
      <c r="C2382" s="339">
        <v>44837</v>
      </c>
      <c r="K2382" s="14"/>
      <c r="L2382" s="14"/>
      <c r="M2382" s="14"/>
      <c r="N2382" s="14"/>
      <c r="O2382" s="14"/>
      <c r="P2382" s="14"/>
      <c r="Q2382" s="14"/>
      <c r="R2382" s="14"/>
      <c r="S2382" s="14"/>
      <c r="T2382" s="14"/>
      <c r="U2382" s="14"/>
      <c r="V2382" s="14"/>
      <c r="W2382" s="14"/>
      <c r="X2382" s="14"/>
      <c r="Y2382" s="14"/>
      <c r="Z2382" s="14"/>
      <c r="AA2382" s="14"/>
      <c r="AB2382" s="14"/>
      <c r="AC2382" s="14"/>
      <c r="AD2382" s="14"/>
      <c r="AE2382" s="14"/>
      <c r="AF2382" s="14"/>
      <c r="AG2382" s="14"/>
      <c r="AH2382" s="14"/>
      <c r="AI2382" s="14"/>
      <c r="AJ2382" s="14"/>
      <c r="AK2382" s="14"/>
    </row>
    <row r="2383" spans="2:37" ht="14.25" thickBot="1" x14ac:dyDescent="0.3">
      <c r="B2383" s="2" t="s">
        <v>0</v>
      </c>
      <c r="C2383" s="3" t="s">
        <v>1</v>
      </c>
      <c r="D2383" s="3" t="s">
        <v>2</v>
      </c>
      <c r="E2383" s="3" t="s">
        <v>3</v>
      </c>
      <c r="F2383" s="3"/>
      <c r="G2383" s="4" t="s">
        <v>4</v>
      </c>
      <c r="H2383" s="4"/>
      <c r="I2383" s="3" t="s">
        <v>5</v>
      </c>
      <c r="J2383" s="217"/>
      <c r="K2383" s="14"/>
      <c r="L2383" s="14"/>
      <c r="M2383" s="14"/>
      <c r="N2383" s="14"/>
      <c r="O2383" s="14"/>
      <c r="P2383" s="14"/>
      <c r="Q2383" s="14"/>
      <c r="R2383" s="14"/>
      <c r="S2383" s="14"/>
      <c r="T2383" s="14"/>
      <c r="U2383" s="14"/>
      <c r="V2383" s="14"/>
      <c r="W2383" s="14"/>
      <c r="X2383" s="14"/>
      <c r="Y2383" s="14"/>
      <c r="Z2383" s="14"/>
      <c r="AA2383" s="14"/>
      <c r="AB2383" s="14"/>
      <c r="AC2383" s="14"/>
      <c r="AD2383" s="14"/>
      <c r="AE2383" s="14"/>
      <c r="AF2383" s="14"/>
      <c r="AG2383" s="14"/>
      <c r="AH2383" s="14"/>
      <c r="AI2383" s="14"/>
      <c r="AJ2383" s="14"/>
      <c r="AK2383" s="14"/>
    </row>
    <row r="2384" spans="2:37" ht="14.25" thickBot="1" x14ac:dyDescent="0.3">
      <c r="B2384" s="5">
        <v>273664</v>
      </c>
      <c r="C2384" s="6">
        <v>1135749</v>
      </c>
      <c r="D2384" s="6" t="s">
        <v>7</v>
      </c>
      <c r="E2384" s="6">
        <v>6060050026</v>
      </c>
      <c r="F2384" s="6"/>
      <c r="G2384" s="7">
        <v>7</v>
      </c>
      <c r="H2384" s="7"/>
      <c r="I2384" s="7"/>
      <c r="J2384" s="218"/>
      <c r="K2384" s="14"/>
      <c r="L2384" s="14"/>
      <c r="M2384" s="14"/>
      <c r="N2384" s="14"/>
      <c r="O2384" s="14"/>
      <c r="P2384" s="14"/>
      <c r="Q2384" s="14"/>
      <c r="R2384" s="14"/>
      <c r="S2384" s="14"/>
      <c r="T2384" s="14"/>
      <c r="U2384" s="14"/>
      <c r="V2384" s="14"/>
      <c r="W2384" s="14"/>
      <c r="X2384" s="14"/>
      <c r="Y2384" s="14"/>
      <c r="Z2384" s="14"/>
      <c r="AA2384" s="14"/>
      <c r="AB2384" s="14"/>
      <c r="AC2384" s="14"/>
      <c r="AD2384" s="14"/>
      <c r="AE2384" s="14"/>
      <c r="AF2384" s="14"/>
      <c r="AG2384" s="14"/>
      <c r="AH2384" s="14"/>
      <c r="AI2384" s="14"/>
      <c r="AJ2384" s="14"/>
      <c r="AK2384" s="14"/>
    </row>
    <row r="2385" spans="2:37" ht="14.25" thickBot="1" x14ac:dyDescent="0.3">
      <c r="B2385" s="5">
        <v>273672</v>
      </c>
      <c r="C2385" s="6">
        <v>1135750</v>
      </c>
      <c r="D2385" s="6" t="s">
        <v>9</v>
      </c>
      <c r="E2385" s="6" t="s">
        <v>15</v>
      </c>
      <c r="F2385" s="6"/>
      <c r="G2385" s="7">
        <v>20</v>
      </c>
      <c r="H2385" s="7"/>
      <c r="I2385" s="7"/>
      <c r="J2385" s="218"/>
      <c r="K2385" s="14"/>
      <c r="L2385" s="14"/>
      <c r="M2385" s="14"/>
      <c r="N2385" s="14"/>
      <c r="O2385" s="14"/>
      <c r="P2385" s="14"/>
      <c r="Q2385" s="14"/>
      <c r="R2385" s="14"/>
      <c r="S2385" s="14"/>
      <c r="T2385" s="14"/>
      <c r="U2385" s="14"/>
      <c r="V2385" s="14"/>
      <c r="W2385" s="14"/>
      <c r="X2385" s="14"/>
      <c r="Y2385" s="14"/>
      <c r="Z2385" s="14"/>
      <c r="AA2385" s="14"/>
      <c r="AB2385" s="14"/>
      <c r="AC2385" s="14"/>
      <c r="AD2385" s="14"/>
      <c r="AE2385" s="14"/>
      <c r="AF2385" s="14"/>
      <c r="AG2385" s="14"/>
      <c r="AH2385" s="14"/>
      <c r="AI2385" s="14"/>
      <c r="AJ2385" s="14"/>
      <c r="AK2385" s="14"/>
    </row>
    <row r="2386" spans="2:37" ht="14.25" thickBot="1" x14ac:dyDescent="0.3">
      <c r="B2386" s="5">
        <v>273702</v>
      </c>
      <c r="C2386" s="6">
        <v>1135753</v>
      </c>
      <c r="D2386" s="6" t="s">
        <v>10</v>
      </c>
      <c r="E2386" s="6" t="s">
        <v>16</v>
      </c>
      <c r="F2386" s="6"/>
      <c r="G2386" s="7">
        <v>3</v>
      </c>
      <c r="H2386" s="7"/>
      <c r="I2386" s="7"/>
      <c r="J2386" s="218"/>
      <c r="K2386" s="14"/>
      <c r="L2386" s="14"/>
      <c r="M2386" s="14"/>
      <c r="N2386" s="14"/>
      <c r="O2386" s="14"/>
      <c r="P2386" s="14"/>
      <c r="Q2386" s="14"/>
      <c r="R2386" s="14"/>
      <c r="S2386" s="14"/>
      <c r="T2386" s="14"/>
      <c r="U2386" s="14"/>
      <c r="V2386" s="14"/>
      <c r="W2386" s="14"/>
      <c r="X2386" s="14"/>
      <c r="Y2386" s="14"/>
      <c r="Z2386" s="14"/>
      <c r="AA2386" s="14"/>
      <c r="AB2386" s="14"/>
      <c r="AC2386" s="14"/>
      <c r="AD2386" s="14"/>
      <c r="AE2386" s="14"/>
      <c r="AF2386" s="14"/>
      <c r="AG2386" s="14"/>
      <c r="AH2386" s="14"/>
      <c r="AI2386" s="14"/>
      <c r="AJ2386" s="14"/>
      <c r="AK2386" s="14"/>
    </row>
    <row r="2387" spans="2:37" ht="14.25" thickBot="1" x14ac:dyDescent="0.3">
      <c r="B2387" s="5">
        <v>273698</v>
      </c>
      <c r="C2387" s="6">
        <v>1135752</v>
      </c>
      <c r="D2387" s="6" t="s">
        <v>11</v>
      </c>
      <c r="E2387" s="6" t="s">
        <v>17</v>
      </c>
      <c r="F2387" s="6"/>
      <c r="G2387" s="7">
        <v>4</v>
      </c>
      <c r="H2387" s="7"/>
      <c r="I2387" s="7"/>
      <c r="J2387" s="218"/>
      <c r="K2387" s="14"/>
      <c r="L2387" s="14"/>
      <c r="M2387" s="14"/>
      <c r="N2387" s="14"/>
      <c r="O2387" s="14"/>
      <c r="P2387" s="14"/>
      <c r="Q2387" s="14"/>
      <c r="R2387" s="14"/>
      <c r="S2387" s="14"/>
      <c r="T2387" s="14"/>
      <c r="U2387" s="14"/>
      <c r="V2387" s="14"/>
      <c r="W2387" s="14"/>
      <c r="X2387" s="14"/>
      <c r="Y2387" s="14"/>
      <c r="Z2387" s="14"/>
      <c r="AA2387" s="14"/>
      <c r="AB2387" s="14"/>
      <c r="AC2387" s="14"/>
      <c r="AD2387" s="14"/>
      <c r="AE2387" s="14"/>
      <c r="AF2387" s="14"/>
      <c r="AG2387" s="14"/>
      <c r="AH2387" s="14"/>
      <c r="AI2387" s="14"/>
      <c r="AJ2387" s="14"/>
      <c r="AK2387" s="14"/>
    </row>
    <row r="2388" spans="2:37" ht="14.25" thickBot="1" x14ac:dyDescent="0.3">
      <c r="B2388" s="5">
        <v>273680</v>
      </c>
      <c r="C2388" s="6">
        <v>1135751</v>
      </c>
      <c r="D2388" s="6" t="s">
        <v>12</v>
      </c>
      <c r="E2388" s="6" t="s">
        <v>13</v>
      </c>
      <c r="F2388" s="6"/>
      <c r="G2388" s="7">
        <v>10</v>
      </c>
      <c r="H2388" s="7"/>
      <c r="I2388" s="7"/>
      <c r="J2388" s="218"/>
      <c r="K2388" s="14"/>
      <c r="L2388" s="14"/>
      <c r="M2388" s="14"/>
      <c r="N2388" s="14"/>
      <c r="O2388" s="14"/>
      <c r="P2388" s="14"/>
      <c r="Q2388" s="14"/>
      <c r="R2388" s="14"/>
      <c r="S2388" s="14"/>
      <c r="T2388" s="14"/>
      <c r="U2388" s="14"/>
      <c r="V2388" s="14"/>
      <c r="W2388" s="14"/>
      <c r="X2388" s="14"/>
      <c r="Y2388" s="14"/>
      <c r="Z2388" s="14"/>
      <c r="AA2388" s="14"/>
      <c r="AB2388" s="14"/>
      <c r="AC2388" s="14"/>
      <c r="AD2388" s="14"/>
      <c r="AE2388" s="14"/>
      <c r="AF2388" s="14"/>
      <c r="AG2388" s="14"/>
      <c r="AH2388" s="14"/>
      <c r="AI2388" s="14"/>
      <c r="AJ2388" s="14"/>
      <c r="AK2388" s="14"/>
    </row>
    <row r="2390" spans="2:37" ht="14.25" thickBot="1" x14ac:dyDescent="0.3">
      <c r="B2390" s="338" t="s">
        <v>18</v>
      </c>
      <c r="C2390" s="339">
        <v>44830</v>
      </c>
      <c r="K2390" s="14"/>
      <c r="L2390" s="14"/>
      <c r="M2390" s="14"/>
      <c r="N2390" s="14"/>
      <c r="O2390" s="14"/>
      <c r="P2390" s="14"/>
      <c r="Q2390" s="14"/>
      <c r="R2390" s="14"/>
      <c r="S2390" s="14"/>
      <c r="T2390" s="14"/>
      <c r="U2390" s="14"/>
      <c r="V2390" s="14"/>
      <c r="W2390" s="14"/>
      <c r="X2390" s="14"/>
      <c r="Y2390" s="14"/>
      <c r="Z2390" s="14"/>
      <c r="AA2390" s="14"/>
      <c r="AB2390" s="14"/>
      <c r="AC2390" s="14"/>
      <c r="AD2390" s="14"/>
      <c r="AE2390" s="14"/>
      <c r="AF2390" s="14"/>
      <c r="AG2390" s="14"/>
      <c r="AH2390" s="14"/>
      <c r="AI2390" s="14"/>
      <c r="AJ2390" s="14"/>
      <c r="AK2390" s="14"/>
    </row>
    <row r="2391" spans="2:37" ht="14.25" thickBot="1" x14ac:dyDescent="0.3">
      <c r="B2391" s="2" t="s">
        <v>0</v>
      </c>
      <c r="C2391" s="3" t="s">
        <v>1</v>
      </c>
      <c r="D2391" s="3" t="s">
        <v>2</v>
      </c>
      <c r="E2391" s="3" t="s">
        <v>3</v>
      </c>
      <c r="F2391" s="3"/>
      <c r="G2391" s="4" t="s">
        <v>4</v>
      </c>
      <c r="H2391" s="4"/>
      <c r="I2391" s="3" t="s">
        <v>5</v>
      </c>
      <c r="J2391" s="217"/>
      <c r="K2391" s="14"/>
      <c r="L2391" s="14"/>
      <c r="M2391" s="14"/>
      <c r="N2391" s="14"/>
      <c r="O2391" s="14"/>
      <c r="P2391" s="14"/>
      <c r="Q2391" s="14"/>
      <c r="R2391" s="14"/>
      <c r="S2391" s="14"/>
      <c r="T2391" s="14"/>
      <c r="U2391" s="14"/>
      <c r="V2391" s="14"/>
      <c r="W2391" s="14"/>
      <c r="X2391" s="14"/>
      <c r="Y2391" s="14"/>
      <c r="Z2391" s="14"/>
      <c r="AA2391" s="14"/>
      <c r="AB2391" s="14"/>
      <c r="AC2391" s="14"/>
      <c r="AD2391" s="14"/>
      <c r="AE2391" s="14"/>
      <c r="AF2391" s="14"/>
      <c r="AG2391" s="14"/>
      <c r="AH2391" s="14"/>
      <c r="AI2391" s="14"/>
      <c r="AJ2391" s="14"/>
      <c r="AK2391" s="14"/>
    </row>
    <row r="2392" spans="2:37" ht="14.25" thickBot="1" x14ac:dyDescent="0.3">
      <c r="B2392" s="5">
        <v>273664</v>
      </c>
      <c r="C2392" s="6">
        <v>1135749</v>
      </c>
      <c r="D2392" s="6" t="s">
        <v>7</v>
      </c>
      <c r="E2392" s="6">
        <v>6060050026</v>
      </c>
      <c r="F2392" s="6"/>
      <c r="G2392" s="7">
        <v>7</v>
      </c>
      <c r="H2392" s="7"/>
      <c r="I2392" s="7"/>
      <c r="J2392" s="218"/>
      <c r="K2392" s="14"/>
      <c r="L2392" s="14"/>
      <c r="M2392" s="14"/>
      <c r="N2392" s="14"/>
      <c r="O2392" s="14"/>
      <c r="P2392" s="14"/>
      <c r="Q2392" s="14"/>
      <c r="R2392" s="14"/>
      <c r="S2392" s="14"/>
      <c r="T2392" s="14"/>
      <c r="U2392" s="14"/>
      <c r="V2392" s="14"/>
      <c r="W2392" s="14"/>
      <c r="X2392" s="14"/>
      <c r="Y2392" s="14"/>
      <c r="Z2392" s="14"/>
      <c r="AA2392" s="14"/>
      <c r="AB2392" s="14"/>
      <c r="AC2392" s="14"/>
      <c r="AD2392" s="14"/>
      <c r="AE2392" s="14"/>
      <c r="AF2392" s="14"/>
      <c r="AG2392" s="14"/>
      <c r="AH2392" s="14"/>
      <c r="AI2392" s="14"/>
      <c r="AJ2392" s="14"/>
      <c r="AK2392" s="14"/>
    </row>
    <row r="2393" spans="2:37" ht="14.25" thickBot="1" x14ac:dyDescent="0.3">
      <c r="B2393" s="5">
        <v>273672</v>
      </c>
      <c r="C2393" s="6">
        <v>1135750</v>
      </c>
      <c r="D2393" s="6" t="s">
        <v>9</v>
      </c>
      <c r="E2393" s="6" t="s">
        <v>15</v>
      </c>
      <c r="F2393" s="6"/>
      <c r="G2393" s="7">
        <v>20</v>
      </c>
      <c r="H2393" s="7"/>
      <c r="I2393" s="7"/>
      <c r="J2393" s="218"/>
      <c r="K2393" s="14"/>
      <c r="L2393" s="14"/>
      <c r="M2393" s="14"/>
      <c r="N2393" s="14"/>
      <c r="O2393" s="14"/>
      <c r="P2393" s="14"/>
      <c r="Q2393" s="14"/>
      <c r="R2393" s="14"/>
      <c r="S2393" s="14"/>
      <c r="T2393" s="14"/>
      <c r="U2393" s="14"/>
      <c r="V2393" s="14"/>
      <c r="W2393" s="14"/>
      <c r="X2393" s="14"/>
      <c r="Y2393" s="14"/>
      <c r="Z2393" s="14"/>
      <c r="AA2393" s="14"/>
      <c r="AB2393" s="14"/>
      <c r="AC2393" s="14"/>
      <c r="AD2393" s="14"/>
      <c r="AE2393" s="14"/>
      <c r="AF2393" s="14"/>
      <c r="AG2393" s="14"/>
      <c r="AH2393" s="14"/>
      <c r="AI2393" s="14"/>
      <c r="AJ2393" s="14"/>
      <c r="AK2393" s="14"/>
    </row>
    <row r="2394" spans="2:37" ht="14.25" thickBot="1" x14ac:dyDescent="0.3">
      <c r="B2394" s="5">
        <v>273702</v>
      </c>
      <c r="C2394" s="6">
        <v>1135753</v>
      </c>
      <c r="D2394" s="6" t="s">
        <v>10</v>
      </c>
      <c r="E2394" s="6" t="s">
        <v>16</v>
      </c>
      <c r="F2394" s="6"/>
      <c r="G2394" s="7">
        <v>3</v>
      </c>
      <c r="H2394" s="7"/>
      <c r="I2394" s="7"/>
      <c r="J2394" s="218"/>
      <c r="K2394" s="14"/>
      <c r="L2394" s="14"/>
      <c r="M2394" s="14"/>
      <c r="N2394" s="14"/>
      <c r="O2394" s="14"/>
      <c r="P2394" s="14"/>
      <c r="Q2394" s="14"/>
      <c r="R2394" s="14"/>
      <c r="S2394" s="14"/>
      <c r="T2394" s="14"/>
      <c r="U2394" s="14"/>
      <c r="V2394" s="14"/>
      <c r="W2394" s="14"/>
      <c r="X2394" s="14"/>
      <c r="Y2394" s="14"/>
      <c r="Z2394" s="14"/>
      <c r="AA2394" s="14"/>
      <c r="AB2394" s="14"/>
      <c r="AC2394" s="14"/>
      <c r="AD2394" s="14"/>
      <c r="AE2394" s="14"/>
      <c r="AF2394" s="14"/>
      <c r="AG2394" s="14"/>
      <c r="AH2394" s="14"/>
      <c r="AI2394" s="14"/>
      <c r="AJ2394" s="14"/>
      <c r="AK2394" s="14"/>
    </row>
    <row r="2395" spans="2:37" ht="14.25" thickBot="1" x14ac:dyDescent="0.3">
      <c r="B2395" s="5">
        <v>273698</v>
      </c>
      <c r="C2395" s="6">
        <v>1135752</v>
      </c>
      <c r="D2395" s="6" t="s">
        <v>11</v>
      </c>
      <c r="E2395" s="6" t="s">
        <v>17</v>
      </c>
      <c r="F2395" s="6"/>
      <c r="G2395" s="7">
        <v>4</v>
      </c>
      <c r="H2395" s="7"/>
      <c r="I2395" s="7"/>
      <c r="J2395" s="218"/>
      <c r="K2395" s="14"/>
      <c r="L2395" s="14"/>
      <c r="M2395" s="14"/>
      <c r="N2395" s="14"/>
      <c r="O2395" s="14"/>
      <c r="P2395" s="14"/>
      <c r="Q2395" s="14"/>
      <c r="R2395" s="14"/>
      <c r="S2395" s="14"/>
      <c r="T2395" s="14"/>
      <c r="U2395" s="14"/>
      <c r="V2395" s="14"/>
      <c r="W2395" s="14"/>
      <c r="X2395" s="14"/>
      <c r="Y2395" s="14"/>
      <c r="Z2395" s="14"/>
      <c r="AA2395" s="14"/>
      <c r="AB2395" s="14"/>
      <c r="AC2395" s="14"/>
      <c r="AD2395" s="14"/>
      <c r="AE2395" s="14"/>
      <c r="AF2395" s="14"/>
      <c r="AG2395" s="14"/>
      <c r="AH2395" s="14"/>
      <c r="AI2395" s="14"/>
      <c r="AJ2395" s="14"/>
      <c r="AK2395" s="14"/>
    </row>
    <row r="2396" spans="2:37" ht="14.25" thickBot="1" x14ac:dyDescent="0.3">
      <c r="B2396" s="5">
        <v>273680</v>
      </c>
      <c r="C2396" s="6">
        <v>1135751</v>
      </c>
      <c r="D2396" s="6" t="s">
        <v>12</v>
      </c>
      <c r="E2396" s="6" t="s">
        <v>13</v>
      </c>
      <c r="F2396" s="6"/>
      <c r="G2396" s="7">
        <v>10</v>
      </c>
      <c r="H2396" s="7"/>
      <c r="I2396" s="7"/>
      <c r="J2396" s="218"/>
      <c r="K2396" s="14"/>
      <c r="L2396" s="14"/>
      <c r="M2396" s="14"/>
      <c r="N2396" s="14"/>
      <c r="O2396" s="14"/>
      <c r="P2396" s="14"/>
      <c r="Q2396" s="14"/>
      <c r="R2396" s="14"/>
      <c r="S2396" s="14"/>
      <c r="T2396" s="14"/>
      <c r="U2396" s="14"/>
      <c r="V2396" s="14"/>
      <c r="W2396" s="14"/>
      <c r="X2396" s="14"/>
      <c r="Y2396" s="14"/>
      <c r="Z2396" s="14"/>
      <c r="AA2396" s="14"/>
      <c r="AB2396" s="14"/>
      <c r="AC2396" s="14"/>
      <c r="AD2396" s="14"/>
      <c r="AE2396" s="14"/>
      <c r="AF2396" s="14"/>
      <c r="AG2396" s="14"/>
      <c r="AH2396" s="14"/>
      <c r="AI2396" s="14"/>
      <c r="AJ2396" s="14"/>
      <c r="AK2396" s="14"/>
    </row>
    <row r="2398" spans="2:37" ht="14.25" thickBot="1" x14ac:dyDescent="0.3">
      <c r="B2398" s="338" t="s">
        <v>18</v>
      </c>
      <c r="C2398" s="339">
        <v>44823</v>
      </c>
      <c r="D2398" s="342"/>
      <c r="E2398" s="342"/>
      <c r="F2398" s="342"/>
      <c r="G2398" s="342"/>
      <c r="H2398" s="342"/>
      <c r="I2398" s="342"/>
      <c r="J2398" s="342"/>
      <c r="K2398" s="14"/>
      <c r="L2398" s="14"/>
      <c r="M2398" s="14"/>
      <c r="N2398" s="14"/>
      <c r="O2398" s="14"/>
      <c r="P2398" s="14"/>
      <c r="Q2398" s="14"/>
      <c r="R2398" s="14"/>
      <c r="S2398" s="14"/>
      <c r="T2398" s="14"/>
      <c r="U2398" s="14"/>
      <c r="V2398" s="14"/>
      <c r="W2398" s="14"/>
      <c r="X2398" s="14"/>
      <c r="Y2398" s="14"/>
      <c r="Z2398" s="14"/>
      <c r="AA2398" s="14"/>
      <c r="AB2398" s="14"/>
      <c r="AC2398" s="14"/>
      <c r="AD2398" s="14"/>
      <c r="AE2398" s="14"/>
      <c r="AF2398" s="14"/>
      <c r="AG2398" s="14"/>
      <c r="AH2398" s="14"/>
      <c r="AI2398" s="14"/>
      <c r="AJ2398" s="14"/>
      <c r="AK2398" s="14"/>
    </row>
    <row r="2399" spans="2:37" ht="14.25" thickBot="1" x14ac:dyDescent="0.3">
      <c r="B2399" s="2" t="s">
        <v>0</v>
      </c>
      <c r="C2399" s="3" t="s">
        <v>1</v>
      </c>
      <c r="D2399" s="3" t="s">
        <v>2</v>
      </c>
      <c r="E2399" s="3" t="s">
        <v>3</v>
      </c>
      <c r="F2399" s="3"/>
      <c r="G2399" s="4" t="s">
        <v>4</v>
      </c>
      <c r="H2399" s="4"/>
      <c r="I2399" s="3" t="s">
        <v>5</v>
      </c>
      <c r="J2399" s="217"/>
      <c r="K2399" s="14"/>
      <c r="L2399" s="14"/>
      <c r="M2399" s="14"/>
      <c r="N2399" s="14"/>
      <c r="O2399" s="14"/>
      <c r="P2399" s="14"/>
      <c r="Q2399" s="14"/>
      <c r="R2399" s="14"/>
      <c r="S2399" s="14"/>
      <c r="T2399" s="14"/>
      <c r="U2399" s="14"/>
      <c r="V2399" s="14"/>
      <c r="W2399" s="14"/>
      <c r="X2399" s="14"/>
      <c r="Y2399" s="14"/>
      <c r="Z2399" s="14"/>
      <c r="AA2399" s="14"/>
      <c r="AB2399" s="14"/>
      <c r="AC2399" s="14"/>
      <c r="AD2399" s="14"/>
      <c r="AE2399" s="14"/>
      <c r="AF2399" s="14"/>
      <c r="AG2399" s="14"/>
      <c r="AH2399" s="14"/>
      <c r="AI2399" s="14"/>
      <c r="AJ2399" s="14"/>
      <c r="AK2399" s="14"/>
    </row>
    <row r="2400" spans="2:37" ht="14.25" thickBot="1" x14ac:dyDescent="0.3">
      <c r="B2400" s="5">
        <v>273664</v>
      </c>
      <c r="C2400" s="6">
        <v>1135749</v>
      </c>
      <c r="D2400" s="6" t="s">
        <v>7</v>
      </c>
      <c r="E2400" s="6">
        <v>6060050026</v>
      </c>
      <c r="F2400" s="6"/>
      <c r="G2400" s="7">
        <v>7</v>
      </c>
      <c r="H2400" s="7"/>
      <c r="I2400" s="7"/>
      <c r="J2400" s="218"/>
      <c r="K2400" s="14"/>
      <c r="L2400" s="14"/>
      <c r="M2400" s="14"/>
      <c r="N2400" s="14"/>
      <c r="O2400" s="14"/>
      <c r="P2400" s="14"/>
      <c r="Q2400" s="14"/>
      <c r="R2400" s="14"/>
      <c r="S2400" s="14"/>
      <c r="T2400" s="14"/>
      <c r="U2400" s="14"/>
      <c r="V2400" s="14"/>
      <c r="W2400" s="14"/>
      <c r="X2400" s="14"/>
      <c r="Y2400" s="14"/>
      <c r="Z2400" s="14"/>
      <c r="AA2400" s="14"/>
      <c r="AB2400" s="14"/>
      <c r="AC2400" s="14"/>
      <c r="AD2400" s="14"/>
      <c r="AE2400" s="14"/>
      <c r="AF2400" s="14"/>
      <c r="AG2400" s="14"/>
      <c r="AH2400" s="14"/>
      <c r="AI2400" s="14"/>
      <c r="AJ2400" s="14"/>
      <c r="AK2400" s="14"/>
    </row>
    <row r="2401" spans="2:37" ht="14.25" thickBot="1" x14ac:dyDescent="0.3">
      <c r="B2401" s="5">
        <v>273672</v>
      </c>
      <c r="C2401" s="6">
        <v>1135750</v>
      </c>
      <c r="D2401" s="6" t="s">
        <v>9</v>
      </c>
      <c r="E2401" s="6" t="s">
        <v>15</v>
      </c>
      <c r="F2401" s="6"/>
      <c r="G2401" s="7">
        <v>9</v>
      </c>
      <c r="H2401" s="7"/>
      <c r="I2401" s="7"/>
      <c r="J2401" s="218"/>
      <c r="K2401" s="14"/>
      <c r="L2401" s="14"/>
      <c r="M2401" s="14"/>
      <c r="N2401" s="14"/>
      <c r="O2401" s="14"/>
      <c r="P2401" s="14"/>
      <c r="Q2401" s="14"/>
      <c r="R2401" s="14"/>
      <c r="S2401" s="14"/>
      <c r="T2401" s="14"/>
      <c r="U2401" s="14"/>
      <c r="V2401" s="14"/>
      <c r="W2401" s="14"/>
      <c r="X2401" s="14"/>
      <c r="Y2401" s="14"/>
      <c r="Z2401" s="14"/>
      <c r="AA2401" s="14"/>
      <c r="AB2401" s="14"/>
      <c r="AC2401" s="14"/>
      <c r="AD2401" s="14"/>
      <c r="AE2401" s="14"/>
      <c r="AF2401" s="14"/>
      <c r="AG2401" s="14"/>
      <c r="AH2401" s="14"/>
      <c r="AI2401" s="14"/>
      <c r="AJ2401" s="14"/>
      <c r="AK2401" s="14"/>
    </row>
    <row r="2402" spans="2:37" ht="14.25" thickBot="1" x14ac:dyDescent="0.3">
      <c r="B2402" s="5">
        <v>273702</v>
      </c>
      <c r="C2402" s="6">
        <v>1135753</v>
      </c>
      <c r="D2402" s="6" t="s">
        <v>10</v>
      </c>
      <c r="E2402" s="6" t="s">
        <v>16</v>
      </c>
      <c r="F2402" s="6"/>
      <c r="G2402" s="7">
        <v>3</v>
      </c>
      <c r="H2402" s="7"/>
      <c r="I2402" s="7"/>
      <c r="J2402" s="218"/>
      <c r="K2402" s="14"/>
      <c r="L2402" s="14"/>
      <c r="M2402" s="14"/>
      <c r="N2402" s="14"/>
      <c r="O2402" s="14"/>
      <c r="P2402" s="14"/>
      <c r="Q2402" s="14"/>
      <c r="R2402" s="14"/>
      <c r="S2402" s="14"/>
      <c r="T2402" s="14"/>
      <c r="U2402" s="14"/>
      <c r="V2402" s="14"/>
      <c r="W2402" s="14"/>
      <c r="X2402" s="14"/>
      <c r="Y2402" s="14"/>
      <c r="Z2402" s="14"/>
      <c r="AA2402" s="14"/>
      <c r="AB2402" s="14"/>
      <c r="AC2402" s="14"/>
      <c r="AD2402" s="14"/>
      <c r="AE2402" s="14"/>
      <c r="AF2402" s="14"/>
      <c r="AG2402" s="14"/>
      <c r="AH2402" s="14"/>
      <c r="AI2402" s="14"/>
      <c r="AJ2402" s="14"/>
      <c r="AK2402" s="14"/>
    </row>
    <row r="2403" spans="2:37" ht="14.25" thickBot="1" x14ac:dyDescent="0.3">
      <c r="B2403" s="5">
        <v>273698</v>
      </c>
      <c r="C2403" s="6">
        <v>1135752</v>
      </c>
      <c r="D2403" s="6" t="s">
        <v>11</v>
      </c>
      <c r="E2403" s="6" t="s">
        <v>17</v>
      </c>
      <c r="F2403" s="6"/>
      <c r="G2403" s="7">
        <v>4</v>
      </c>
      <c r="H2403" s="7"/>
      <c r="I2403" s="7"/>
      <c r="J2403" s="218"/>
      <c r="K2403" s="14"/>
      <c r="L2403" s="14"/>
      <c r="M2403" s="14"/>
      <c r="N2403" s="14"/>
      <c r="O2403" s="14"/>
      <c r="P2403" s="14"/>
      <c r="Q2403" s="14"/>
      <c r="R2403" s="14"/>
      <c r="S2403" s="14"/>
      <c r="T2403" s="14"/>
      <c r="U2403" s="14"/>
      <c r="V2403" s="14"/>
      <c r="W2403" s="14"/>
      <c r="X2403" s="14"/>
      <c r="Y2403" s="14"/>
      <c r="Z2403" s="14"/>
      <c r="AA2403" s="14"/>
      <c r="AB2403" s="14"/>
      <c r="AC2403" s="14"/>
      <c r="AD2403" s="14"/>
      <c r="AE2403" s="14"/>
      <c r="AF2403" s="14"/>
      <c r="AG2403" s="14"/>
      <c r="AH2403" s="14"/>
      <c r="AI2403" s="14"/>
      <c r="AJ2403" s="14"/>
      <c r="AK2403" s="14"/>
    </row>
    <row r="2404" spans="2:37" ht="14.25" thickBot="1" x14ac:dyDescent="0.3">
      <c r="B2404" s="5">
        <v>273680</v>
      </c>
      <c r="C2404" s="6">
        <v>1135751</v>
      </c>
      <c r="D2404" s="6" t="s">
        <v>12</v>
      </c>
      <c r="E2404" s="6" t="s">
        <v>13</v>
      </c>
      <c r="F2404" s="6"/>
      <c r="G2404" s="7">
        <v>10</v>
      </c>
      <c r="H2404" s="7"/>
      <c r="I2404" s="7"/>
      <c r="J2404" s="218"/>
      <c r="K2404" s="14"/>
      <c r="L2404" s="14"/>
      <c r="M2404" s="14"/>
      <c r="N2404" s="14"/>
      <c r="O2404" s="14"/>
      <c r="P2404" s="14"/>
      <c r="Q2404" s="14"/>
      <c r="R2404" s="14"/>
      <c r="S2404" s="14"/>
      <c r="T2404" s="14"/>
      <c r="U2404" s="14"/>
      <c r="V2404" s="14"/>
      <c r="W2404" s="14"/>
      <c r="X2404" s="14"/>
      <c r="Y2404" s="14"/>
      <c r="Z2404" s="14"/>
      <c r="AA2404" s="14"/>
      <c r="AB2404" s="14"/>
      <c r="AC2404" s="14"/>
      <c r="AD2404" s="14"/>
      <c r="AE2404" s="14"/>
      <c r="AF2404" s="14"/>
      <c r="AG2404" s="14"/>
      <c r="AH2404" s="14"/>
      <c r="AI2404" s="14"/>
      <c r="AJ2404" s="14"/>
      <c r="AK2404" s="14"/>
    </row>
    <row r="2406" spans="2:37" ht="14.25" thickBot="1" x14ac:dyDescent="0.3">
      <c r="B2406" s="322" t="s">
        <v>18</v>
      </c>
      <c r="C2406" s="325">
        <v>44816</v>
      </c>
      <c r="K2406" s="14"/>
      <c r="L2406" s="14"/>
      <c r="M2406" s="14"/>
      <c r="N2406" s="14"/>
      <c r="O2406" s="14"/>
      <c r="P2406" s="14"/>
      <c r="Q2406" s="14"/>
      <c r="R2406" s="14"/>
      <c r="S2406" s="14"/>
      <c r="T2406" s="14"/>
      <c r="U2406" s="14"/>
      <c r="V2406" s="14"/>
      <c r="W2406" s="14"/>
      <c r="X2406" s="14"/>
      <c r="Y2406" s="14"/>
      <c r="Z2406" s="14"/>
      <c r="AA2406" s="14"/>
      <c r="AB2406" s="14"/>
      <c r="AC2406" s="14"/>
      <c r="AD2406" s="14"/>
      <c r="AE2406" s="14"/>
      <c r="AF2406" s="14"/>
      <c r="AG2406" s="14"/>
      <c r="AH2406" s="14"/>
      <c r="AI2406" s="14"/>
      <c r="AJ2406" s="14"/>
      <c r="AK2406" s="14"/>
    </row>
    <row r="2407" spans="2:37" ht="14.25" thickBot="1" x14ac:dyDescent="0.3">
      <c r="B2407" s="2" t="s">
        <v>0</v>
      </c>
      <c r="C2407" s="3" t="s">
        <v>1</v>
      </c>
      <c r="D2407" s="3" t="s">
        <v>2</v>
      </c>
      <c r="E2407" s="3" t="s">
        <v>3</v>
      </c>
      <c r="F2407" s="3"/>
      <c r="G2407" s="4" t="s">
        <v>4</v>
      </c>
      <c r="H2407" s="4"/>
      <c r="I2407" s="3" t="s">
        <v>5</v>
      </c>
      <c r="J2407" s="217"/>
      <c r="K2407" s="14"/>
      <c r="L2407" s="14"/>
      <c r="M2407" s="14"/>
      <c r="N2407" s="14"/>
      <c r="O2407" s="14"/>
      <c r="P2407" s="14"/>
      <c r="Q2407" s="14"/>
      <c r="R2407" s="14"/>
      <c r="S2407" s="14"/>
      <c r="T2407" s="14"/>
      <c r="U2407" s="14"/>
      <c r="V2407" s="14"/>
      <c r="W2407" s="14"/>
      <c r="X2407" s="14"/>
      <c r="Y2407" s="14"/>
      <c r="Z2407" s="14"/>
      <c r="AA2407" s="14"/>
      <c r="AB2407" s="14"/>
      <c r="AC2407" s="14"/>
      <c r="AD2407" s="14"/>
      <c r="AE2407" s="14"/>
      <c r="AF2407" s="14"/>
      <c r="AG2407" s="14"/>
      <c r="AH2407" s="14"/>
      <c r="AI2407" s="14"/>
      <c r="AJ2407" s="14"/>
      <c r="AK2407" s="14"/>
    </row>
    <row r="2408" spans="2:37" ht="14.25" thickBot="1" x14ac:dyDescent="0.3">
      <c r="B2408" s="5">
        <v>273664</v>
      </c>
      <c r="C2408" s="6">
        <v>1135749</v>
      </c>
      <c r="D2408" s="6" t="s">
        <v>7</v>
      </c>
      <c r="E2408" s="6">
        <v>6060050026</v>
      </c>
      <c r="F2408" s="6"/>
      <c r="G2408" s="7">
        <v>9</v>
      </c>
      <c r="H2408" s="7"/>
      <c r="I2408" s="7"/>
      <c r="J2408" s="218"/>
      <c r="K2408" s="14"/>
      <c r="L2408" s="14"/>
      <c r="M2408" s="14"/>
      <c r="N2408" s="14"/>
      <c r="O2408" s="14"/>
      <c r="P2408" s="14"/>
      <c r="Q2408" s="14"/>
      <c r="R2408" s="14"/>
      <c r="S2408" s="14"/>
      <c r="T2408" s="14"/>
      <c r="U2408" s="14"/>
      <c r="V2408" s="14"/>
      <c r="W2408" s="14"/>
      <c r="X2408" s="14"/>
      <c r="Y2408" s="14"/>
      <c r="Z2408" s="14"/>
      <c r="AA2408" s="14"/>
      <c r="AB2408" s="14"/>
      <c r="AC2408" s="14"/>
      <c r="AD2408" s="14"/>
      <c r="AE2408" s="14"/>
      <c r="AF2408" s="14"/>
      <c r="AG2408" s="14"/>
      <c r="AH2408" s="14"/>
      <c r="AI2408" s="14"/>
      <c r="AJ2408" s="14"/>
      <c r="AK2408" s="14"/>
    </row>
    <row r="2409" spans="2:37" ht="14.25" thickBot="1" x14ac:dyDescent="0.3">
      <c r="B2409" s="5">
        <v>273672</v>
      </c>
      <c r="C2409" s="6">
        <v>1135750</v>
      </c>
      <c r="D2409" s="6" t="s">
        <v>9</v>
      </c>
      <c r="E2409" s="6" t="s">
        <v>15</v>
      </c>
      <c r="F2409" s="6"/>
      <c r="G2409" s="7">
        <v>9</v>
      </c>
      <c r="H2409" s="7"/>
      <c r="I2409" s="7"/>
      <c r="J2409" s="218"/>
      <c r="K2409" s="14"/>
      <c r="L2409" s="14"/>
      <c r="M2409" s="14"/>
      <c r="N2409" s="14"/>
      <c r="O2409" s="14"/>
      <c r="P2409" s="14"/>
      <c r="Q2409" s="14"/>
      <c r="R2409" s="14"/>
      <c r="S2409" s="14"/>
      <c r="T2409" s="14"/>
      <c r="U2409" s="14"/>
      <c r="V2409" s="14"/>
      <c r="W2409" s="14"/>
      <c r="X2409" s="14"/>
      <c r="Y2409" s="14"/>
      <c r="Z2409" s="14"/>
      <c r="AA2409" s="14"/>
      <c r="AB2409" s="14"/>
      <c r="AC2409" s="14"/>
      <c r="AD2409" s="14"/>
      <c r="AE2409" s="14"/>
      <c r="AF2409" s="14"/>
      <c r="AG2409" s="14"/>
      <c r="AH2409" s="14"/>
      <c r="AI2409" s="14"/>
      <c r="AJ2409" s="14"/>
      <c r="AK2409" s="14"/>
    </row>
    <row r="2410" spans="2:37" ht="14.25" thickBot="1" x14ac:dyDescent="0.3">
      <c r="B2410" s="5">
        <v>273702</v>
      </c>
      <c r="C2410" s="6">
        <v>1135753</v>
      </c>
      <c r="D2410" s="6" t="s">
        <v>10</v>
      </c>
      <c r="E2410" s="6" t="s">
        <v>16</v>
      </c>
      <c r="F2410" s="6"/>
      <c r="G2410" s="7">
        <v>3</v>
      </c>
      <c r="H2410" s="7"/>
      <c r="I2410" s="7"/>
      <c r="J2410" s="218"/>
      <c r="K2410" s="14"/>
      <c r="L2410" s="14"/>
      <c r="M2410" s="14"/>
      <c r="N2410" s="14"/>
      <c r="O2410" s="14"/>
      <c r="P2410" s="14"/>
      <c r="Q2410" s="14"/>
      <c r="R2410" s="14"/>
      <c r="S2410" s="14"/>
      <c r="T2410" s="14"/>
      <c r="U2410" s="14"/>
      <c r="V2410" s="14"/>
      <c r="W2410" s="14"/>
      <c r="X2410" s="14"/>
      <c r="Y2410" s="14"/>
      <c r="Z2410" s="14"/>
      <c r="AA2410" s="14"/>
      <c r="AB2410" s="14"/>
      <c r="AC2410" s="14"/>
      <c r="AD2410" s="14"/>
      <c r="AE2410" s="14"/>
      <c r="AF2410" s="14"/>
      <c r="AG2410" s="14"/>
      <c r="AH2410" s="14"/>
      <c r="AI2410" s="14"/>
      <c r="AJ2410" s="14"/>
      <c r="AK2410" s="14"/>
    </row>
    <row r="2411" spans="2:37" ht="14.25" thickBot="1" x14ac:dyDescent="0.3">
      <c r="B2411" s="5">
        <v>273698</v>
      </c>
      <c r="C2411" s="6">
        <v>1135752</v>
      </c>
      <c r="D2411" s="6" t="s">
        <v>11</v>
      </c>
      <c r="E2411" s="6" t="s">
        <v>17</v>
      </c>
      <c r="F2411" s="6"/>
      <c r="G2411" s="7">
        <v>5</v>
      </c>
      <c r="H2411" s="7"/>
      <c r="I2411" s="7"/>
      <c r="J2411" s="218"/>
      <c r="K2411" s="14"/>
      <c r="L2411" s="14"/>
      <c r="M2411" s="14"/>
      <c r="N2411" s="14"/>
      <c r="O2411" s="14"/>
      <c r="P2411" s="14"/>
      <c r="Q2411" s="14"/>
      <c r="R2411" s="14"/>
      <c r="S2411" s="14"/>
      <c r="T2411" s="14"/>
      <c r="U2411" s="14"/>
      <c r="V2411" s="14"/>
      <c r="W2411" s="14"/>
      <c r="X2411" s="14"/>
      <c r="Y2411" s="14"/>
      <c r="Z2411" s="14"/>
      <c r="AA2411" s="14"/>
      <c r="AB2411" s="14"/>
      <c r="AC2411" s="14"/>
      <c r="AD2411" s="14"/>
      <c r="AE2411" s="14"/>
      <c r="AF2411" s="14"/>
      <c r="AG2411" s="14"/>
      <c r="AH2411" s="14"/>
      <c r="AI2411" s="14"/>
      <c r="AJ2411" s="14"/>
      <c r="AK2411" s="14"/>
    </row>
    <row r="2412" spans="2:37" ht="14.25" thickBot="1" x14ac:dyDescent="0.3">
      <c r="B2412" s="5">
        <v>273680</v>
      </c>
      <c r="C2412" s="6">
        <v>1135751</v>
      </c>
      <c r="D2412" s="6" t="s">
        <v>12</v>
      </c>
      <c r="E2412" s="6" t="s">
        <v>13</v>
      </c>
      <c r="F2412" s="6"/>
      <c r="G2412" s="7">
        <v>10</v>
      </c>
      <c r="H2412" s="7"/>
      <c r="I2412" s="7"/>
      <c r="J2412" s="218"/>
      <c r="K2412" s="14"/>
      <c r="L2412" s="14"/>
      <c r="M2412" s="14"/>
      <c r="N2412" s="14"/>
      <c r="O2412" s="14"/>
      <c r="P2412" s="14"/>
      <c r="Q2412" s="14"/>
      <c r="R2412" s="14"/>
      <c r="S2412" s="14"/>
      <c r="T2412" s="14"/>
      <c r="U2412" s="14"/>
      <c r="V2412" s="14"/>
      <c r="W2412" s="14"/>
      <c r="X2412" s="14"/>
      <c r="Y2412" s="14"/>
      <c r="Z2412" s="14"/>
      <c r="AA2412" s="14"/>
      <c r="AB2412" s="14"/>
      <c r="AC2412" s="14"/>
      <c r="AD2412" s="14"/>
      <c r="AE2412" s="14"/>
      <c r="AF2412" s="14"/>
      <c r="AG2412" s="14"/>
      <c r="AH2412" s="14"/>
      <c r="AI2412" s="14"/>
      <c r="AJ2412" s="14"/>
      <c r="AK2412" s="14"/>
    </row>
    <row r="2414" spans="2:37" ht="14.25" thickBot="1" x14ac:dyDescent="0.3">
      <c r="B2414" s="322" t="s">
        <v>18</v>
      </c>
      <c r="C2414" s="325">
        <v>44809</v>
      </c>
      <c r="K2414" s="14"/>
      <c r="L2414" s="14"/>
      <c r="M2414" s="14"/>
      <c r="N2414" s="14"/>
      <c r="O2414" s="14"/>
      <c r="P2414" s="14"/>
      <c r="Q2414" s="14"/>
      <c r="R2414" s="14"/>
      <c r="S2414" s="14"/>
      <c r="T2414" s="14"/>
      <c r="U2414" s="14"/>
      <c r="V2414" s="14"/>
      <c r="W2414" s="14"/>
      <c r="X2414" s="14"/>
      <c r="Y2414" s="14"/>
      <c r="Z2414" s="14"/>
      <c r="AA2414" s="14"/>
      <c r="AB2414" s="14"/>
      <c r="AC2414" s="14"/>
      <c r="AD2414" s="14"/>
      <c r="AE2414" s="14"/>
      <c r="AF2414" s="14"/>
      <c r="AG2414" s="14"/>
      <c r="AH2414" s="14"/>
      <c r="AI2414" s="14"/>
      <c r="AJ2414" s="14"/>
      <c r="AK2414" s="14"/>
    </row>
    <row r="2415" spans="2:37" ht="14.25" thickBot="1" x14ac:dyDescent="0.3">
      <c r="B2415" s="2" t="s">
        <v>0</v>
      </c>
      <c r="C2415" s="3" t="s">
        <v>1</v>
      </c>
      <c r="D2415" s="3" t="s">
        <v>2</v>
      </c>
      <c r="E2415" s="3" t="s">
        <v>3</v>
      </c>
      <c r="F2415" s="3"/>
      <c r="G2415" s="4" t="s">
        <v>4</v>
      </c>
      <c r="H2415" s="4"/>
      <c r="I2415" s="3" t="s">
        <v>5</v>
      </c>
      <c r="J2415" s="217"/>
      <c r="K2415" s="14"/>
      <c r="L2415" s="14"/>
      <c r="M2415" s="14"/>
      <c r="N2415" s="14"/>
      <c r="O2415" s="14"/>
      <c r="P2415" s="14"/>
      <c r="Q2415" s="14"/>
      <c r="R2415" s="14"/>
      <c r="S2415" s="14"/>
      <c r="T2415" s="14"/>
      <c r="U2415" s="14"/>
      <c r="V2415" s="14"/>
      <c r="W2415" s="14"/>
      <c r="X2415" s="14"/>
      <c r="Y2415" s="14"/>
      <c r="Z2415" s="14"/>
      <c r="AA2415" s="14"/>
      <c r="AB2415" s="14"/>
      <c r="AC2415" s="14"/>
      <c r="AD2415" s="14"/>
      <c r="AE2415" s="14"/>
      <c r="AF2415" s="14"/>
      <c r="AG2415" s="14"/>
      <c r="AH2415" s="14"/>
      <c r="AI2415" s="14"/>
      <c r="AJ2415" s="14"/>
      <c r="AK2415" s="14"/>
    </row>
    <row r="2416" spans="2:37" ht="14.25" thickBot="1" x14ac:dyDescent="0.3">
      <c r="B2416" s="5">
        <v>273664</v>
      </c>
      <c r="C2416" s="6">
        <v>1135749</v>
      </c>
      <c r="D2416" s="6" t="s">
        <v>7</v>
      </c>
      <c r="E2416" s="6">
        <v>6060050026</v>
      </c>
      <c r="F2416" s="6"/>
      <c r="G2416" s="7">
        <v>6</v>
      </c>
      <c r="H2416" s="7"/>
      <c r="I2416" s="7"/>
      <c r="J2416" s="218"/>
      <c r="K2416" s="14"/>
      <c r="L2416" s="14"/>
      <c r="M2416" s="14"/>
      <c r="N2416" s="14"/>
      <c r="O2416" s="14"/>
      <c r="P2416" s="14"/>
      <c r="Q2416" s="14"/>
      <c r="R2416" s="14"/>
      <c r="S2416" s="14"/>
      <c r="T2416" s="14"/>
      <c r="U2416" s="14"/>
      <c r="V2416" s="14"/>
      <c r="W2416" s="14"/>
      <c r="X2416" s="14"/>
      <c r="Y2416" s="14"/>
      <c r="Z2416" s="14"/>
      <c r="AA2416" s="14"/>
      <c r="AB2416" s="14"/>
      <c r="AC2416" s="14"/>
      <c r="AD2416" s="14"/>
      <c r="AE2416" s="14"/>
      <c r="AF2416" s="14"/>
      <c r="AG2416" s="14"/>
      <c r="AH2416" s="14"/>
      <c r="AI2416" s="14"/>
      <c r="AJ2416" s="14"/>
      <c r="AK2416" s="14"/>
    </row>
    <row r="2417" spans="2:37" ht="14.25" thickBot="1" x14ac:dyDescent="0.3">
      <c r="B2417" s="5">
        <v>273672</v>
      </c>
      <c r="C2417" s="6">
        <v>1135750</v>
      </c>
      <c r="D2417" s="6" t="s">
        <v>9</v>
      </c>
      <c r="E2417" s="6" t="s">
        <v>15</v>
      </c>
      <c r="F2417" s="6"/>
      <c r="G2417" s="7">
        <v>11</v>
      </c>
      <c r="H2417" s="7"/>
      <c r="I2417" s="7"/>
      <c r="J2417" s="218"/>
      <c r="K2417" s="14"/>
      <c r="L2417" s="14"/>
      <c r="M2417" s="14"/>
      <c r="N2417" s="14"/>
      <c r="O2417" s="14"/>
      <c r="P2417" s="14"/>
      <c r="Q2417" s="14"/>
      <c r="R2417" s="14"/>
      <c r="S2417" s="14"/>
      <c r="T2417" s="14"/>
      <c r="U2417" s="14"/>
      <c r="V2417" s="14"/>
      <c r="W2417" s="14"/>
      <c r="X2417" s="14"/>
      <c r="Y2417" s="14"/>
      <c r="Z2417" s="14"/>
      <c r="AA2417" s="14"/>
      <c r="AB2417" s="14"/>
      <c r="AC2417" s="14"/>
      <c r="AD2417" s="14"/>
      <c r="AE2417" s="14"/>
      <c r="AF2417" s="14"/>
      <c r="AG2417" s="14"/>
      <c r="AH2417" s="14"/>
      <c r="AI2417" s="14"/>
      <c r="AJ2417" s="14"/>
      <c r="AK2417" s="14"/>
    </row>
    <row r="2418" spans="2:37" ht="14.25" thickBot="1" x14ac:dyDescent="0.3">
      <c r="B2418" s="5">
        <v>273702</v>
      </c>
      <c r="C2418" s="6">
        <v>1135753</v>
      </c>
      <c r="D2418" s="6" t="s">
        <v>10</v>
      </c>
      <c r="E2418" s="6" t="s">
        <v>16</v>
      </c>
      <c r="F2418" s="6"/>
      <c r="G2418" s="7">
        <v>3</v>
      </c>
      <c r="H2418" s="7"/>
      <c r="I2418" s="7"/>
      <c r="J2418" s="218"/>
      <c r="K2418" s="14"/>
      <c r="L2418" s="14"/>
      <c r="M2418" s="14"/>
      <c r="N2418" s="14"/>
      <c r="O2418" s="14"/>
      <c r="P2418" s="14"/>
      <c r="Q2418" s="14"/>
      <c r="R2418" s="14"/>
      <c r="S2418" s="14"/>
      <c r="T2418" s="14"/>
      <c r="U2418" s="14"/>
      <c r="V2418" s="14"/>
      <c r="W2418" s="14"/>
      <c r="X2418" s="14"/>
      <c r="Y2418" s="14"/>
      <c r="Z2418" s="14"/>
      <c r="AA2418" s="14"/>
      <c r="AB2418" s="14"/>
      <c r="AC2418" s="14"/>
      <c r="AD2418" s="14"/>
      <c r="AE2418" s="14"/>
      <c r="AF2418" s="14"/>
      <c r="AG2418" s="14"/>
      <c r="AH2418" s="14"/>
      <c r="AI2418" s="14"/>
      <c r="AJ2418" s="14"/>
      <c r="AK2418" s="14"/>
    </row>
    <row r="2419" spans="2:37" ht="14.25" thickBot="1" x14ac:dyDescent="0.3">
      <c r="B2419" s="5">
        <v>273698</v>
      </c>
      <c r="C2419" s="6">
        <v>1135752</v>
      </c>
      <c r="D2419" s="6" t="s">
        <v>11</v>
      </c>
      <c r="E2419" s="6" t="s">
        <v>17</v>
      </c>
      <c r="F2419" s="6"/>
      <c r="G2419" s="7">
        <v>7</v>
      </c>
      <c r="H2419" s="7"/>
      <c r="I2419" s="7"/>
      <c r="J2419" s="218"/>
      <c r="K2419" s="14"/>
      <c r="L2419" s="14"/>
      <c r="M2419" s="14"/>
      <c r="N2419" s="14"/>
      <c r="O2419" s="14"/>
      <c r="P2419" s="14"/>
      <c r="Q2419" s="14"/>
      <c r="R2419" s="14"/>
      <c r="S2419" s="14"/>
      <c r="T2419" s="14"/>
      <c r="U2419" s="14"/>
      <c r="V2419" s="14"/>
      <c r="W2419" s="14"/>
      <c r="X2419" s="14"/>
      <c r="Y2419" s="14"/>
      <c r="Z2419" s="14"/>
      <c r="AA2419" s="14"/>
      <c r="AB2419" s="14"/>
      <c r="AC2419" s="14"/>
      <c r="AD2419" s="14"/>
      <c r="AE2419" s="14"/>
      <c r="AF2419" s="14"/>
      <c r="AG2419" s="14"/>
      <c r="AH2419" s="14"/>
      <c r="AI2419" s="14"/>
      <c r="AJ2419" s="14"/>
      <c r="AK2419" s="14"/>
    </row>
    <row r="2420" spans="2:37" ht="14.25" thickBot="1" x14ac:dyDescent="0.3">
      <c r="B2420" s="5">
        <v>273680</v>
      </c>
      <c r="C2420" s="6">
        <v>1135751</v>
      </c>
      <c r="D2420" s="6" t="s">
        <v>12</v>
      </c>
      <c r="E2420" s="6" t="s">
        <v>13</v>
      </c>
      <c r="F2420" s="6"/>
      <c r="G2420" s="7">
        <v>16</v>
      </c>
      <c r="H2420" s="7"/>
      <c r="I2420" s="7"/>
      <c r="J2420" s="218"/>
      <c r="K2420" s="14"/>
      <c r="L2420" s="14"/>
      <c r="M2420" s="14"/>
      <c r="N2420" s="14"/>
      <c r="O2420" s="14"/>
      <c r="P2420" s="14"/>
      <c r="Q2420" s="14"/>
      <c r="R2420" s="14"/>
      <c r="S2420" s="14"/>
      <c r="T2420" s="14"/>
      <c r="U2420" s="14"/>
      <c r="V2420" s="14"/>
      <c r="W2420" s="14"/>
      <c r="X2420" s="14"/>
      <c r="Y2420" s="14"/>
      <c r="Z2420" s="14"/>
      <c r="AA2420" s="14"/>
      <c r="AB2420" s="14"/>
      <c r="AC2420" s="14"/>
      <c r="AD2420" s="14"/>
      <c r="AE2420" s="14"/>
      <c r="AF2420" s="14"/>
      <c r="AG2420" s="14"/>
      <c r="AH2420" s="14"/>
      <c r="AI2420" s="14"/>
      <c r="AJ2420" s="14"/>
      <c r="AK2420" s="14"/>
    </row>
    <row r="2422" spans="2:37" ht="14.25" thickBot="1" x14ac:dyDescent="0.3">
      <c r="B2422" s="322" t="s">
        <v>18</v>
      </c>
      <c r="C2422" s="325">
        <v>44802</v>
      </c>
      <c r="K2422" s="14"/>
      <c r="L2422" s="14"/>
      <c r="M2422" s="14"/>
      <c r="N2422" s="14"/>
      <c r="O2422" s="14"/>
      <c r="P2422" s="14"/>
      <c r="Q2422" s="14"/>
      <c r="R2422" s="14"/>
      <c r="S2422" s="14"/>
      <c r="T2422" s="14"/>
      <c r="U2422" s="14"/>
      <c r="V2422" s="14"/>
      <c r="W2422" s="14"/>
      <c r="X2422" s="14"/>
      <c r="Y2422" s="14"/>
      <c r="Z2422" s="14"/>
      <c r="AA2422" s="14"/>
      <c r="AB2422" s="14"/>
      <c r="AC2422" s="14"/>
      <c r="AD2422" s="14"/>
      <c r="AE2422" s="14"/>
      <c r="AF2422" s="14"/>
      <c r="AG2422" s="14"/>
      <c r="AH2422" s="14"/>
      <c r="AI2422" s="14"/>
      <c r="AJ2422" s="14"/>
      <c r="AK2422" s="14"/>
    </row>
    <row r="2423" spans="2:37" ht="14.25" thickBot="1" x14ac:dyDescent="0.3">
      <c r="B2423" s="2" t="s">
        <v>0</v>
      </c>
      <c r="C2423" s="3" t="s">
        <v>1</v>
      </c>
      <c r="D2423" s="3" t="s">
        <v>2</v>
      </c>
      <c r="E2423" s="3" t="s">
        <v>3</v>
      </c>
      <c r="F2423" s="3"/>
      <c r="G2423" s="4" t="s">
        <v>4</v>
      </c>
      <c r="H2423" s="4"/>
      <c r="I2423" s="3" t="s">
        <v>5</v>
      </c>
      <c r="J2423" s="217"/>
      <c r="K2423" s="14"/>
      <c r="L2423" s="14"/>
      <c r="M2423" s="14"/>
      <c r="N2423" s="14"/>
      <c r="O2423" s="14"/>
      <c r="P2423" s="14"/>
      <c r="Q2423" s="14"/>
      <c r="R2423" s="14"/>
      <c r="S2423" s="14"/>
      <c r="T2423" s="14"/>
      <c r="U2423" s="14"/>
      <c r="V2423" s="14"/>
      <c r="W2423" s="14"/>
      <c r="X2423" s="14"/>
      <c r="Y2423" s="14"/>
      <c r="Z2423" s="14"/>
      <c r="AA2423" s="14"/>
      <c r="AB2423" s="14"/>
      <c r="AC2423" s="14"/>
      <c r="AD2423" s="14"/>
      <c r="AE2423" s="14"/>
      <c r="AF2423" s="14"/>
      <c r="AG2423" s="14"/>
      <c r="AH2423" s="14"/>
      <c r="AI2423" s="14"/>
      <c r="AJ2423" s="14"/>
      <c r="AK2423" s="14"/>
    </row>
    <row r="2424" spans="2:37" ht="14.25" thickBot="1" x14ac:dyDescent="0.3">
      <c r="B2424" s="5">
        <v>273664</v>
      </c>
      <c r="C2424" s="6">
        <v>1135749</v>
      </c>
      <c r="D2424" s="6" t="s">
        <v>7</v>
      </c>
      <c r="E2424" s="6">
        <v>6060050026</v>
      </c>
      <c r="F2424" s="6"/>
      <c r="G2424" s="7">
        <v>7</v>
      </c>
      <c r="H2424" s="7"/>
      <c r="I2424" s="7"/>
      <c r="J2424" s="218"/>
      <c r="K2424" s="14"/>
      <c r="L2424" s="14"/>
      <c r="M2424" s="14"/>
      <c r="N2424" s="14"/>
      <c r="O2424" s="14"/>
      <c r="P2424" s="14"/>
      <c r="Q2424" s="14"/>
      <c r="R2424" s="14"/>
      <c r="S2424" s="14"/>
      <c r="T2424" s="14"/>
      <c r="U2424" s="14"/>
      <c r="V2424" s="14"/>
      <c r="W2424" s="14"/>
      <c r="X2424" s="14"/>
      <c r="Y2424" s="14"/>
      <c r="Z2424" s="14"/>
      <c r="AA2424" s="14"/>
      <c r="AB2424" s="14"/>
      <c r="AC2424" s="14"/>
      <c r="AD2424" s="14"/>
      <c r="AE2424" s="14"/>
      <c r="AF2424" s="14"/>
      <c r="AG2424" s="14"/>
      <c r="AH2424" s="14"/>
      <c r="AI2424" s="14"/>
      <c r="AJ2424" s="14"/>
      <c r="AK2424" s="14"/>
    </row>
    <row r="2425" spans="2:37" ht="14.25" thickBot="1" x14ac:dyDescent="0.3">
      <c r="B2425" s="5">
        <v>273672</v>
      </c>
      <c r="C2425" s="6">
        <v>1135750</v>
      </c>
      <c r="D2425" s="6" t="s">
        <v>9</v>
      </c>
      <c r="E2425" s="6" t="s">
        <v>15</v>
      </c>
      <c r="F2425" s="6"/>
      <c r="G2425" s="7">
        <v>13</v>
      </c>
      <c r="H2425" s="7"/>
      <c r="I2425" s="7"/>
      <c r="J2425" s="218"/>
      <c r="K2425" s="14"/>
      <c r="L2425" s="14"/>
      <c r="M2425" s="14"/>
      <c r="N2425" s="14"/>
      <c r="O2425" s="14"/>
      <c r="P2425" s="14"/>
      <c r="Q2425" s="14"/>
      <c r="R2425" s="14"/>
      <c r="S2425" s="14"/>
      <c r="T2425" s="14"/>
      <c r="U2425" s="14"/>
      <c r="V2425" s="14"/>
      <c r="W2425" s="14"/>
      <c r="X2425" s="14"/>
      <c r="Y2425" s="14"/>
      <c r="Z2425" s="14"/>
      <c r="AA2425" s="14"/>
      <c r="AB2425" s="14"/>
      <c r="AC2425" s="14"/>
      <c r="AD2425" s="14"/>
      <c r="AE2425" s="14"/>
      <c r="AF2425" s="14"/>
      <c r="AG2425" s="14"/>
      <c r="AH2425" s="14"/>
      <c r="AI2425" s="14"/>
      <c r="AJ2425" s="14"/>
      <c r="AK2425" s="14"/>
    </row>
    <row r="2426" spans="2:37" ht="14.25" thickBot="1" x14ac:dyDescent="0.3">
      <c r="B2426" s="5">
        <v>273702</v>
      </c>
      <c r="C2426" s="6">
        <v>1135753</v>
      </c>
      <c r="D2426" s="6" t="s">
        <v>10</v>
      </c>
      <c r="E2426" s="6" t="s">
        <v>16</v>
      </c>
      <c r="F2426" s="6"/>
      <c r="G2426" s="7">
        <v>3</v>
      </c>
      <c r="H2426" s="7"/>
      <c r="I2426" s="7"/>
      <c r="J2426" s="218"/>
      <c r="K2426" s="14"/>
      <c r="L2426" s="14"/>
      <c r="M2426" s="14"/>
      <c r="N2426" s="14"/>
      <c r="O2426" s="14"/>
      <c r="P2426" s="14"/>
      <c r="Q2426" s="14"/>
      <c r="R2426" s="14"/>
      <c r="S2426" s="14"/>
      <c r="T2426" s="14"/>
      <c r="U2426" s="14"/>
      <c r="V2426" s="14"/>
      <c r="W2426" s="14"/>
      <c r="X2426" s="14"/>
      <c r="Y2426" s="14"/>
      <c r="Z2426" s="14"/>
      <c r="AA2426" s="14"/>
      <c r="AB2426" s="14"/>
      <c r="AC2426" s="14"/>
      <c r="AD2426" s="14"/>
      <c r="AE2426" s="14"/>
      <c r="AF2426" s="14"/>
      <c r="AG2426" s="14"/>
      <c r="AH2426" s="14"/>
      <c r="AI2426" s="14"/>
      <c r="AJ2426" s="14"/>
      <c r="AK2426" s="14"/>
    </row>
    <row r="2427" spans="2:37" ht="14.25" thickBot="1" x14ac:dyDescent="0.3">
      <c r="B2427" s="5">
        <v>273698</v>
      </c>
      <c r="C2427" s="6">
        <v>1135752</v>
      </c>
      <c r="D2427" s="6" t="s">
        <v>11</v>
      </c>
      <c r="E2427" s="6" t="s">
        <v>17</v>
      </c>
      <c r="F2427" s="6"/>
      <c r="G2427" s="7">
        <v>7</v>
      </c>
      <c r="H2427" s="7"/>
      <c r="I2427" s="7"/>
      <c r="J2427" s="218"/>
      <c r="K2427" s="14"/>
      <c r="L2427" s="14"/>
      <c r="M2427" s="14"/>
      <c r="N2427" s="14"/>
      <c r="O2427" s="14"/>
      <c r="P2427" s="14"/>
      <c r="Q2427" s="14"/>
      <c r="R2427" s="14"/>
      <c r="S2427" s="14"/>
      <c r="T2427" s="14"/>
      <c r="U2427" s="14"/>
      <c r="V2427" s="14"/>
      <c r="W2427" s="14"/>
      <c r="X2427" s="14"/>
      <c r="Y2427" s="14"/>
      <c r="Z2427" s="14"/>
      <c r="AA2427" s="14"/>
      <c r="AB2427" s="14"/>
      <c r="AC2427" s="14"/>
      <c r="AD2427" s="14"/>
      <c r="AE2427" s="14"/>
      <c r="AF2427" s="14"/>
      <c r="AG2427" s="14"/>
      <c r="AH2427" s="14"/>
      <c r="AI2427" s="14"/>
      <c r="AJ2427" s="14"/>
      <c r="AK2427" s="14"/>
    </row>
    <row r="2428" spans="2:37" ht="14.25" thickBot="1" x14ac:dyDescent="0.3">
      <c r="B2428" s="5">
        <v>273680</v>
      </c>
      <c r="C2428" s="6">
        <v>1135751</v>
      </c>
      <c r="D2428" s="6" t="s">
        <v>12</v>
      </c>
      <c r="E2428" s="6" t="s">
        <v>13</v>
      </c>
      <c r="F2428" s="6"/>
      <c r="G2428" s="7">
        <v>11</v>
      </c>
      <c r="H2428" s="7"/>
      <c r="I2428" s="7"/>
      <c r="J2428" s="218"/>
      <c r="K2428" s="14"/>
      <c r="L2428" s="14"/>
      <c r="M2428" s="14"/>
      <c r="N2428" s="14"/>
      <c r="O2428" s="14"/>
      <c r="P2428" s="14"/>
      <c r="Q2428" s="14"/>
      <c r="R2428" s="14"/>
      <c r="S2428" s="14"/>
      <c r="T2428" s="14"/>
      <c r="U2428" s="14"/>
      <c r="V2428" s="14"/>
      <c r="W2428" s="14"/>
      <c r="X2428" s="14"/>
      <c r="Y2428" s="14"/>
      <c r="Z2428" s="14"/>
      <c r="AA2428" s="14"/>
      <c r="AB2428" s="14"/>
      <c r="AC2428" s="14"/>
      <c r="AD2428" s="14"/>
      <c r="AE2428" s="14"/>
      <c r="AF2428" s="14"/>
      <c r="AG2428" s="14"/>
      <c r="AH2428" s="14"/>
      <c r="AI2428" s="14"/>
      <c r="AJ2428" s="14"/>
      <c r="AK2428" s="14"/>
    </row>
    <row r="2430" spans="2:37" ht="14.25" thickBot="1" x14ac:dyDescent="0.3">
      <c r="B2430" s="322" t="s">
        <v>18</v>
      </c>
      <c r="C2430" s="325">
        <v>44795</v>
      </c>
      <c r="K2430" s="14"/>
      <c r="L2430" s="14"/>
      <c r="M2430" s="14"/>
      <c r="N2430" s="14"/>
      <c r="O2430" s="14"/>
      <c r="P2430" s="14"/>
      <c r="Q2430" s="14"/>
      <c r="R2430" s="14"/>
      <c r="S2430" s="14"/>
      <c r="T2430" s="14"/>
      <c r="U2430" s="14"/>
      <c r="V2430" s="14"/>
      <c r="W2430" s="14"/>
      <c r="X2430" s="14"/>
      <c r="Y2430" s="14"/>
      <c r="Z2430" s="14"/>
      <c r="AA2430" s="14"/>
      <c r="AB2430" s="14"/>
      <c r="AC2430" s="14"/>
      <c r="AD2430" s="14"/>
      <c r="AE2430" s="14"/>
      <c r="AF2430" s="14"/>
      <c r="AG2430" s="14"/>
      <c r="AH2430" s="14"/>
      <c r="AI2430" s="14"/>
      <c r="AJ2430" s="14"/>
      <c r="AK2430" s="14"/>
    </row>
    <row r="2431" spans="2:37" ht="14.25" thickBot="1" x14ac:dyDescent="0.3">
      <c r="B2431" s="2" t="s">
        <v>0</v>
      </c>
      <c r="C2431" s="3" t="s">
        <v>1</v>
      </c>
      <c r="D2431" s="3" t="s">
        <v>2</v>
      </c>
      <c r="E2431" s="3" t="s">
        <v>3</v>
      </c>
      <c r="F2431" s="3"/>
      <c r="G2431" s="4" t="s">
        <v>4</v>
      </c>
      <c r="H2431" s="4"/>
      <c r="I2431" s="3" t="s">
        <v>5</v>
      </c>
      <c r="J2431" s="217"/>
      <c r="K2431" s="14"/>
      <c r="L2431" s="14"/>
      <c r="M2431" s="14"/>
      <c r="N2431" s="14"/>
      <c r="O2431" s="14"/>
      <c r="P2431" s="14"/>
      <c r="Q2431" s="14"/>
      <c r="R2431" s="14"/>
      <c r="S2431" s="14"/>
      <c r="T2431" s="14"/>
      <c r="U2431" s="14"/>
      <c r="V2431" s="14"/>
      <c r="W2431" s="14"/>
      <c r="X2431" s="14"/>
      <c r="Y2431" s="14"/>
      <c r="Z2431" s="14"/>
      <c r="AA2431" s="14"/>
      <c r="AB2431" s="14"/>
      <c r="AC2431" s="14"/>
      <c r="AD2431" s="14"/>
      <c r="AE2431" s="14"/>
      <c r="AF2431" s="14"/>
      <c r="AG2431" s="14"/>
      <c r="AH2431" s="14"/>
      <c r="AI2431" s="14"/>
      <c r="AJ2431" s="14"/>
      <c r="AK2431" s="14"/>
    </row>
    <row r="2432" spans="2:37" ht="14.25" thickBot="1" x14ac:dyDescent="0.3">
      <c r="B2432" s="5">
        <v>273664</v>
      </c>
      <c r="C2432" s="6">
        <v>1135749</v>
      </c>
      <c r="D2432" s="6" t="s">
        <v>7</v>
      </c>
      <c r="E2432" s="6">
        <v>6060050026</v>
      </c>
      <c r="F2432" s="6"/>
      <c r="G2432" s="7">
        <v>7</v>
      </c>
      <c r="H2432" s="7"/>
      <c r="I2432" s="7"/>
      <c r="J2432" s="218"/>
      <c r="K2432" s="14"/>
      <c r="L2432" s="14"/>
      <c r="M2432" s="14"/>
      <c r="N2432" s="14"/>
      <c r="O2432" s="14"/>
      <c r="P2432" s="14"/>
      <c r="Q2432" s="14"/>
      <c r="R2432" s="14"/>
      <c r="S2432" s="14"/>
      <c r="T2432" s="14"/>
      <c r="U2432" s="14"/>
      <c r="V2432" s="14"/>
      <c r="W2432" s="14"/>
      <c r="X2432" s="14"/>
      <c r="Y2432" s="14"/>
      <c r="Z2432" s="14"/>
      <c r="AA2432" s="14"/>
      <c r="AB2432" s="14"/>
      <c r="AC2432" s="14"/>
      <c r="AD2432" s="14"/>
      <c r="AE2432" s="14"/>
      <c r="AF2432" s="14"/>
      <c r="AG2432" s="14"/>
      <c r="AH2432" s="14"/>
      <c r="AI2432" s="14"/>
      <c r="AJ2432" s="14"/>
      <c r="AK2432" s="14"/>
    </row>
    <row r="2433" spans="2:37" ht="14.25" thickBot="1" x14ac:dyDescent="0.3">
      <c r="B2433" s="5">
        <v>273672</v>
      </c>
      <c r="C2433" s="6">
        <v>1135750</v>
      </c>
      <c r="D2433" s="6" t="s">
        <v>9</v>
      </c>
      <c r="E2433" s="6" t="s">
        <v>15</v>
      </c>
      <c r="F2433" s="6"/>
      <c r="G2433" s="7">
        <v>16</v>
      </c>
      <c r="H2433" s="7"/>
      <c r="I2433" s="7"/>
      <c r="J2433" s="218"/>
      <c r="K2433" s="14"/>
      <c r="L2433" s="14"/>
      <c r="M2433" s="14"/>
      <c r="N2433" s="14"/>
      <c r="O2433" s="14"/>
      <c r="P2433" s="14"/>
      <c r="Q2433" s="14"/>
      <c r="R2433" s="14"/>
      <c r="S2433" s="14"/>
      <c r="T2433" s="14"/>
      <c r="U2433" s="14"/>
      <c r="V2433" s="14"/>
      <c r="W2433" s="14"/>
      <c r="X2433" s="14"/>
      <c r="Y2433" s="14"/>
      <c r="Z2433" s="14"/>
      <c r="AA2433" s="14"/>
      <c r="AB2433" s="14"/>
      <c r="AC2433" s="14"/>
      <c r="AD2433" s="14"/>
      <c r="AE2433" s="14"/>
      <c r="AF2433" s="14"/>
      <c r="AG2433" s="14"/>
      <c r="AH2433" s="14"/>
      <c r="AI2433" s="14"/>
      <c r="AJ2433" s="14"/>
      <c r="AK2433" s="14"/>
    </row>
    <row r="2434" spans="2:37" ht="14.25" thickBot="1" x14ac:dyDescent="0.3">
      <c r="B2434" s="5">
        <v>273702</v>
      </c>
      <c r="C2434" s="6">
        <v>1135753</v>
      </c>
      <c r="D2434" s="6" t="s">
        <v>10</v>
      </c>
      <c r="E2434" s="6" t="s">
        <v>16</v>
      </c>
      <c r="F2434" s="6"/>
      <c r="G2434" s="7">
        <v>3</v>
      </c>
      <c r="H2434" s="7"/>
      <c r="I2434" s="7"/>
      <c r="J2434" s="218"/>
      <c r="K2434" s="14"/>
      <c r="L2434" s="14"/>
      <c r="M2434" s="14"/>
      <c r="N2434" s="14"/>
      <c r="O2434" s="14"/>
      <c r="P2434" s="14"/>
      <c r="Q2434" s="14"/>
      <c r="R2434" s="14"/>
      <c r="S2434" s="14"/>
      <c r="T2434" s="14"/>
      <c r="U2434" s="14"/>
      <c r="V2434" s="14"/>
      <c r="W2434" s="14"/>
      <c r="X2434" s="14"/>
      <c r="Y2434" s="14"/>
      <c r="Z2434" s="14"/>
      <c r="AA2434" s="14"/>
      <c r="AB2434" s="14"/>
      <c r="AC2434" s="14"/>
      <c r="AD2434" s="14"/>
      <c r="AE2434" s="14"/>
      <c r="AF2434" s="14"/>
      <c r="AG2434" s="14"/>
      <c r="AH2434" s="14"/>
      <c r="AI2434" s="14"/>
      <c r="AJ2434" s="14"/>
      <c r="AK2434" s="14"/>
    </row>
    <row r="2435" spans="2:37" ht="14.25" thickBot="1" x14ac:dyDescent="0.3">
      <c r="B2435" s="5">
        <v>273698</v>
      </c>
      <c r="C2435" s="6">
        <v>1135752</v>
      </c>
      <c r="D2435" s="6" t="s">
        <v>11</v>
      </c>
      <c r="E2435" s="6" t="s">
        <v>17</v>
      </c>
      <c r="F2435" s="6"/>
      <c r="G2435" s="7">
        <v>7</v>
      </c>
      <c r="H2435" s="7"/>
      <c r="I2435" s="7"/>
      <c r="J2435" s="218"/>
      <c r="K2435" s="14"/>
      <c r="L2435" s="14"/>
      <c r="M2435" s="14"/>
      <c r="N2435" s="14"/>
      <c r="O2435" s="14"/>
      <c r="P2435" s="14"/>
      <c r="Q2435" s="14"/>
      <c r="R2435" s="14"/>
      <c r="S2435" s="14"/>
      <c r="T2435" s="14"/>
      <c r="U2435" s="14"/>
      <c r="V2435" s="14"/>
      <c r="W2435" s="14"/>
      <c r="X2435" s="14"/>
      <c r="Y2435" s="14"/>
      <c r="Z2435" s="14"/>
      <c r="AA2435" s="14"/>
      <c r="AB2435" s="14"/>
      <c r="AC2435" s="14"/>
      <c r="AD2435" s="14"/>
      <c r="AE2435" s="14"/>
      <c r="AF2435" s="14"/>
      <c r="AG2435" s="14"/>
      <c r="AH2435" s="14"/>
      <c r="AI2435" s="14"/>
      <c r="AJ2435" s="14"/>
      <c r="AK2435" s="14"/>
    </row>
    <row r="2436" spans="2:37" ht="14.25" thickBot="1" x14ac:dyDescent="0.3">
      <c r="B2436" s="5">
        <v>273680</v>
      </c>
      <c r="C2436" s="6">
        <v>1135751</v>
      </c>
      <c r="D2436" s="6" t="s">
        <v>12</v>
      </c>
      <c r="E2436" s="6" t="s">
        <v>13</v>
      </c>
      <c r="F2436" s="6"/>
      <c r="G2436" s="7">
        <v>11</v>
      </c>
      <c r="H2436" s="7"/>
      <c r="I2436" s="7"/>
      <c r="J2436" s="218"/>
      <c r="K2436" s="14"/>
      <c r="L2436" s="14"/>
      <c r="M2436" s="14"/>
      <c r="N2436" s="14"/>
      <c r="O2436" s="14"/>
      <c r="P2436" s="14"/>
      <c r="Q2436" s="14"/>
      <c r="R2436" s="14"/>
      <c r="S2436" s="14"/>
      <c r="T2436" s="14"/>
      <c r="U2436" s="14"/>
      <c r="V2436" s="14"/>
      <c r="W2436" s="14"/>
      <c r="X2436" s="14"/>
      <c r="Y2436" s="14"/>
      <c r="Z2436" s="14"/>
      <c r="AA2436" s="14"/>
      <c r="AB2436" s="14"/>
      <c r="AC2436" s="14"/>
      <c r="AD2436" s="14"/>
      <c r="AE2436" s="14"/>
      <c r="AF2436" s="14"/>
      <c r="AG2436" s="14"/>
      <c r="AH2436" s="14"/>
      <c r="AI2436" s="14"/>
      <c r="AJ2436" s="14"/>
      <c r="AK2436" s="14"/>
    </row>
    <row r="2438" spans="2:37" ht="14.25" thickBot="1" x14ac:dyDescent="0.3">
      <c r="B2438" s="322" t="s">
        <v>18</v>
      </c>
      <c r="C2438" s="325">
        <v>44788</v>
      </c>
      <c r="K2438" s="14"/>
      <c r="L2438" s="14"/>
      <c r="M2438" s="14"/>
      <c r="N2438" s="14"/>
      <c r="O2438" s="14"/>
      <c r="P2438" s="14"/>
      <c r="Q2438" s="14"/>
      <c r="R2438" s="14"/>
      <c r="S2438" s="14"/>
      <c r="T2438" s="14"/>
      <c r="U2438" s="14"/>
      <c r="V2438" s="14"/>
      <c r="W2438" s="14"/>
      <c r="X2438" s="14"/>
      <c r="Y2438" s="14"/>
      <c r="Z2438" s="14"/>
      <c r="AA2438" s="14"/>
      <c r="AB2438" s="14"/>
      <c r="AC2438" s="14"/>
      <c r="AD2438" s="14"/>
      <c r="AE2438" s="14"/>
      <c r="AF2438" s="14"/>
      <c r="AG2438" s="14"/>
      <c r="AH2438" s="14"/>
      <c r="AI2438" s="14"/>
      <c r="AJ2438" s="14"/>
      <c r="AK2438" s="14"/>
    </row>
    <row r="2439" spans="2:37" ht="14.25" thickBot="1" x14ac:dyDescent="0.3">
      <c r="B2439" s="63" t="s">
        <v>0</v>
      </c>
      <c r="C2439" s="64" t="s">
        <v>1</v>
      </c>
      <c r="D2439" s="64" t="s">
        <v>2</v>
      </c>
      <c r="E2439" s="64" t="s">
        <v>3</v>
      </c>
      <c r="F2439" s="64"/>
      <c r="G2439" s="65" t="s">
        <v>4</v>
      </c>
      <c r="H2439" s="65"/>
      <c r="I2439" s="64" t="s">
        <v>5</v>
      </c>
      <c r="J2439" s="430"/>
      <c r="K2439" s="14"/>
      <c r="L2439" s="14"/>
      <c r="M2439" s="14"/>
      <c r="N2439" s="14"/>
      <c r="O2439" s="14"/>
      <c r="P2439" s="14"/>
      <c r="Q2439" s="14"/>
      <c r="R2439" s="14"/>
      <c r="S2439" s="14"/>
      <c r="T2439" s="14"/>
      <c r="U2439" s="14"/>
      <c r="V2439" s="14"/>
      <c r="W2439" s="14"/>
      <c r="X2439" s="14"/>
      <c r="Y2439" s="14"/>
      <c r="Z2439" s="14"/>
      <c r="AA2439" s="14"/>
      <c r="AB2439" s="14"/>
      <c r="AC2439" s="14"/>
      <c r="AD2439" s="14"/>
      <c r="AE2439" s="14"/>
      <c r="AF2439" s="14"/>
      <c r="AG2439" s="14"/>
      <c r="AH2439" s="14"/>
      <c r="AI2439" s="14"/>
      <c r="AJ2439" s="14"/>
      <c r="AK2439" s="14"/>
    </row>
    <row r="2440" spans="2:37" ht="14.25" thickBot="1" x14ac:dyDescent="0.3">
      <c r="B2440" s="66">
        <v>273664</v>
      </c>
      <c r="C2440" s="67">
        <v>1135749</v>
      </c>
      <c r="D2440" s="67" t="s">
        <v>7</v>
      </c>
      <c r="E2440" s="67">
        <v>6060050026</v>
      </c>
      <c r="F2440" s="67"/>
      <c r="G2440" s="68">
        <v>6</v>
      </c>
      <c r="H2440" s="68"/>
      <c r="I2440" s="68"/>
      <c r="J2440" s="388"/>
      <c r="K2440" s="14"/>
      <c r="L2440" s="14"/>
      <c r="M2440" s="14"/>
      <c r="N2440" s="14"/>
      <c r="O2440" s="14"/>
      <c r="P2440" s="14"/>
      <c r="Q2440" s="14"/>
      <c r="R2440" s="14"/>
      <c r="S2440" s="14"/>
      <c r="T2440" s="14"/>
      <c r="U2440" s="14"/>
      <c r="V2440" s="14"/>
      <c r="W2440" s="14"/>
      <c r="X2440" s="14"/>
      <c r="Y2440" s="14"/>
      <c r="Z2440" s="14"/>
      <c r="AA2440" s="14"/>
      <c r="AB2440" s="14"/>
      <c r="AC2440" s="14"/>
      <c r="AD2440" s="14"/>
      <c r="AE2440" s="14"/>
      <c r="AF2440" s="14"/>
      <c r="AG2440" s="14"/>
      <c r="AH2440" s="14"/>
      <c r="AI2440" s="14"/>
      <c r="AJ2440" s="14"/>
      <c r="AK2440" s="14"/>
    </row>
    <row r="2441" spans="2:37" ht="14.25" thickBot="1" x14ac:dyDescent="0.3">
      <c r="B2441" s="66">
        <v>273672</v>
      </c>
      <c r="C2441" s="67">
        <v>1135750</v>
      </c>
      <c r="D2441" s="67" t="s">
        <v>9</v>
      </c>
      <c r="E2441" s="67" t="s">
        <v>15</v>
      </c>
      <c r="F2441" s="67"/>
      <c r="G2441" s="68">
        <v>16</v>
      </c>
      <c r="H2441" s="68"/>
      <c r="I2441" s="68"/>
      <c r="J2441" s="388"/>
      <c r="K2441" s="14"/>
      <c r="L2441" s="14"/>
      <c r="M2441" s="14"/>
      <c r="N2441" s="14"/>
      <c r="O2441" s="14"/>
      <c r="P2441" s="14"/>
      <c r="Q2441" s="14"/>
      <c r="R2441" s="14"/>
      <c r="S2441" s="14"/>
      <c r="T2441" s="14"/>
      <c r="U2441" s="14"/>
      <c r="V2441" s="14"/>
      <c r="W2441" s="14"/>
      <c r="X2441" s="14"/>
      <c r="Y2441" s="14"/>
      <c r="Z2441" s="14"/>
      <c r="AA2441" s="14"/>
      <c r="AB2441" s="14"/>
      <c r="AC2441" s="14"/>
      <c r="AD2441" s="14"/>
      <c r="AE2441" s="14"/>
      <c r="AF2441" s="14"/>
      <c r="AG2441" s="14"/>
      <c r="AH2441" s="14"/>
      <c r="AI2441" s="14"/>
      <c r="AJ2441" s="14"/>
      <c r="AK2441" s="14"/>
    </row>
    <row r="2442" spans="2:37" ht="14.25" thickBot="1" x14ac:dyDescent="0.3">
      <c r="B2442" s="66">
        <v>273702</v>
      </c>
      <c r="C2442" s="67">
        <v>1135753</v>
      </c>
      <c r="D2442" s="67" t="s">
        <v>10</v>
      </c>
      <c r="E2442" s="67" t="s">
        <v>16</v>
      </c>
      <c r="F2442" s="67"/>
      <c r="G2442" s="68">
        <v>3</v>
      </c>
      <c r="H2442" s="68"/>
      <c r="I2442" s="68"/>
      <c r="J2442" s="388"/>
      <c r="K2442" s="14"/>
      <c r="L2442" s="14"/>
      <c r="M2442" s="14"/>
      <c r="N2442" s="14"/>
      <c r="O2442" s="14"/>
      <c r="P2442" s="14"/>
      <c r="Q2442" s="14"/>
      <c r="R2442" s="14"/>
      <c r="S2442" s="14"/>
      <c r="T2442" s="14"/>
      <c r="U2442" s="14"/>
      <c r="V2442" s="14"/>
      <c r="W2442" s="14"/>
      <c r="X2442" s="14"/>
      <c r="Y2442" s="14"/>
      <c r="Z2442" s="14"/>
      <c r="AA2442" s="14"/>
      <c r="AB2442" s="14"/>
      <c r="AC2442" s="14"/>
      <c r="AD2442" s="14"/>
      <c r="AE2442" s="14"/>
      <c r="AF2442" s="14"/>
      <c r="AG2442" s="14"/>
      <c r="AH2442" s="14"/>
      <c r="AI2442" s="14"/>
      <c r="AJ2442" s="14"/>
      <c r="AK2442" s="14"/>
    </row>
    <row r="2443" spans="2:37" ht="14.25" thickBot="1" x14ac:dyDescent="0.3">
      <c r="B2443" s="66">
        <v>273698</v>
      </c>
      <c r="C2443" s="67">
        <v>1135752</v>
      </c>
      <c r="D2443" s="67" t="s">
        <v>11</v>
      </c>
      <c r="E2443" s="67" t="s">
        <v>17</v>
      </c>
      <c r="F2443" s="67"/>
      <c r="G2443" s="68">
        <v>7</v>
      </c>
      <c r="H2443" s="68"/>
      <c r="I2443" s="68"/>
      <c r="J2443" s="388"/>
      <c r="K2443" s="14"/>
      <c r="L2443" s="14"/>
      <c r="M2443" s="14"/>
      <c r="N2443" s="14"/>
      <c r="O2443" s="14"/>
      <c r="P2443" s="14"/>
      <c r="Q2443" s="14"/>
      <c r="R2443" s="14"/>
      <c r="S2443" s="14"/>
      <c r="T2443" s="14"/>
      <c r="U2443" s="14"/>
      <c r="V2443" s="14"/>
      <c r="W2443" s="14"/>
      <c r="X2443" s="14"/>
      <c r="Y2443" s="14"/>
      <c r="Z2443" s="14"/>
      <c r="AA2443" s="14"/>
      <c r="AB2443" s="14"/>
      <c r="AC2443" s="14"/>
      <c r="AD2443" s="14"/>
      <c r="AE2443" s="14"/>
      <c r="AF2443" s="14"/>
      <c r="AG2443" s="14"/>
      <c r="AH2443" s="14"/>
      <c r="AI2443" s="14"/>
      <c r="AJ2443" s="14"/>
      <c r="AK2443" s="14"/>
    </row>
    <row r="2444" spans="2:37" ht="14.25" thickBot="1" x14ac:dyDescent="0.3">
      <c r="B2444" s="66">
        <v>273680</v>
      </c>
      <c r="C2444" s="67">
        <v>1135751</v>
      </c>
      <c r="D2444" s="67" t="s">
        <v>12</v>
      </c>
      <c r="E2444" s="67" t="s">
        <v>13</v>
      </c>
      <c r="F2444" s="67"/>
      <c r="G2444" s="68">
        <v>11</v>
      </c>
      <c r="H2444" s="68"/>
      <c r="I2444" s="68"/>
      <c r="J2444" s="388"/>
      <c r="K2444" s="14"/>
      <c r="L2444" s="14"/>
      <c r="M2444" s="14"/>
      <c r="N2444" s="14"/>
      <c r="O2444" s="14"/>
      <c r="P2444" s="14"/>
      <c r="Q2444" s="14"/>
      <c r="R2444" s="14"/>
      <c r="S2444" s="14"/>
      <c r="T2444" s="14"/>
      <c r="U2444" s="14"/>
      <c r="V2444" s="14"/>
      <c r="W2444" s="14"/>
      <c r="X2444" s="14"/>
      <c r="Y2444" s="14"/>
      <c r="Z2444" s="14"/>
      <c r="AA2444" s="14"/>
      <c r="AB2444" s="14"/>
      <c r="AC2444" s="14"/>
      <c r="AD2444" s="14"/>
      <c r="AE2444" s="14"/>
      <c r="AF2444" s="14"/>
      <c r="AG2444" s="14"/>
      <c r="AH2444" s="14"/>
      <c r="AI2444" s="14"/>
      <c r="AJ2444" s="14"/>
      <c r="AK2444" s="14"/>
    </row>
    <row r="2446" spans="2:37" ht="14.25" thickBot="1" x14ac:dyDescent="0.3">
      <c r="B2446" s="322" t="s">
        <v>18</v>
      </c>
      <c r="C2446" s="325">
        <v>44781</v>
      </c>
      <c r="K2446" s="14"/>
      <c r="L2446" s="14"/>
      <c r="M2446" s="14"/>
      <c r="N2446" s="14"/>
      <c r="O2446" s="14"/>
      <c r="P2446" s="14"/>
      <c r="Q2446" s="14"/>
      <c r="R2446" s="14"/>
      <c r="S2446" s="14"/>
      <c r="T2446" s="14"/>
      <c r="U2446" s="14"/>
      <c r="V2446" s="14"/>
      <c r="W2446" s="14"/>
      <c r="X2446" s="14"/>
      <c r="Y2446" s="14"/>
      <c r="Z2446" s="14"/>
      <c r="AA2446" s="14"/>
      <c r="AB2446" s="14"/>
      <c r="AC2446" s="14"/>
      <c r="AD2446" s="14"/>
      <c r="AE2446" s="14"/>
      <c r="AF2446" s="14"/>
      <c r="AG2446" s="14"/>
      <c r="AH2446" s="14"/>
      <c r="AI2446" s="14"/>
      <c r="AJ2446" s="14"/>
      <c r="AK2446" s="14"/>
    </row>
    <row r="2447" spans="2:37" ht="14.25" thickBot="1" x14ac:dyDescent="0.3">
      <c r="B2447" s="2" t="s">
        <v>0</v>
      </c>
      <c r="C2447" s="3" t="s">
        <v>1</v>
      </c>
      <c r="D2447" s="3" t="s">
        <v>2</v>
      </c>
      <c r="E2447" s="3" t="s">
        <v>3</v>
      </c>
      <c r="F2447" s="3"/>
      <c r="G2447" s="4" t="s">
        <v>4</v>
      </c>
      <c r="H2447" s="4"/>
      <c r="I2447" s="3" t="s">
        <v>5</v>
      </c>
      <c r="J2447" s="217"/>
      <c r="K2447" s="14"/>
      <c r="L2447" s="14"/>
      <c r="M2447" s="14"/>
      <c r="N2447" s="14"/>
      <c r="O2447" s="14"/>
      <c r="P2447" s="14"/>
      <c r="Q2447" s="14"/>
      <c r="R2447" s="14"/>
      <c r="S2447" s="14"/>
      <c r="T2447" s="14"/>
      <c r="U2447" s="14"/>
      <c r="V2447" s="14"/>
      <c r="W2447" s="14"/>
      <c r="X2447" s="14"/>
      <c r="Y2447" s="14"/>
      <c r="Z2447" s="14"/>
      <c r="AA2447" s="14"/>
      <c r="AB2447" s="14"/>
      <c r="AC2447" s="14"/>
      <c r="AD2447" s="14"/>
      <c r="AE2447" s="14"/>
      <c r="AF2447" s="14"/>
      <c r="AG2447" s="14"/>
      <c r="AH2447" s="14"/>
      <c r="AI2447" s="14"/>
      <c r="AJ2447" s="14"/>
      <c r="AK2447" s="14"/>
    </row>
    <row r="2448" spans="2:37" ht="14.25" thickBot="1" x14ac:dyDescent="0.3">
      <c r="B2448" s="5">
        <v>273664</v>
      </c>
      <c r="C2448" s="6">
        <v>1135749</v>
      </c>
      <c r="D2448" s="6" t="s">
        <v>7</v>
      </c>
      <c r="E2448" s="6">
        <v>6060050026</v>
      </c>
      <c r="F2448" s="6"/>
      <c r="G2448" s="7">
        <v>2</v>
      </c>
      <c r="H2448" s="7"/>
      <c r="I2448" s="7"/>
      <c r="J2448" s="218"/>
      <c r="K2448" s="14"/>
      <c r="L2448" s="14"/>
      <c r="M2448" s="14"/>
      <c r="N2448" s="14"/>
      <c r="O2448" s="14"/>
      <c r="P2448" s="14"/>
      <c r="Q2448" s="14"/>
      <c r="R2448" s="14"/>
      <c r="S2448" s="14"/>
      <c r="T2448" s="14"/>
      <c r="U2448" s="14"/>
      <c r="V2448" s="14"/>
      <c r="W2448" s="14"/>
      <c r="X2448" s="14"/>
      <c r="Y2448" s="14"/>
      <c r="Z2448" s="14"/>
      <c r="AA2448" s="14"/>
      <c r="AB2448" s="14"/>
      <c r="AC2448" s="14"/>
      <c r="AD2448" s="14"/>
      <c r="AE2448" s="14"/>
      <c r="AF2448" s="14"/>
      <c r="AG2448" s="14"/>
      <c r="AH2448" s="14"/>
      <c r="AI2448" s="14"/>
      <c r="AJ2448" s="14"/>
      <c r="AK2448" s="14"/>
    </row>
    <row r="2449" spans="2:37" ht="14.25" thickBot="1" x14ac:dyDescent="0.3">
      <c r="B2449" s="5">
        <v>273672</v>
      </c>
      <c r="C2449" s="6">
        <v>1135750</v>
      </c>
      <c r="D2449" s="6" t="s">
        <v>9</v>
      </c>
      <c r="E2449" s="6" t="s">
        <v>15</v>
      </c>
      <c r="F2449" s="6"/>
      <c r="G2449" s="7">
        <v>17</v>
      </c>
      <c r="H2449" s="7"/>
      <c r="I2449" s="7"/>
      <c r="J2449" s="218"/>
      <c r="K2449" s="14"/>
      <c r="L2449" s="14"/>
      <c r="M2449" s="14"/>
      <c r="N2449" s="14"/>
      <c r="O2449" s="14"/>
      <c r="P2449" s="14"/>
      <c r="Q2449" s="14"/>
      <c r="R2449" s="14"/>
      <c r="S2449" s="14"/>
      <c r="T2449" s="14"/>
      <c r="U2449" s="14"/>
      <c r="V2449" s="14"/>
      <c r="W2449" s="14"/>
      <c r="X2449" s="14"/>
      <c r="Y2449" s="14"/>
      <c r="Z2449" s="14"/>
      <c r="AA2449" s="14"/>
      <c r="AB2449" s="14"/>
      <c r="AC2449" s="14"/>
      <c r="AD2449" s="14"/>
      <c r="AE2449" s="14"/>
      <c r="AF2449" s="14"/>
      <c r="AG2449" s="14"/>
      <c r="AH2449" s="14"/>
      <c r="AI2449" s="14"/>
      <c r="AJ2449" s="14"/>
      <c r="AK2449" s="14"/>
    </row>
    <row r="2450" spans="2:37" ht="14.25" thickBot="1" x14ac:dyDescent="0.3">
      <c r="B2450" s="5">
        <v>273702</v>
      </c>
      <c r="C2450" s="6">
        <v>1135753</v>
      </c>
      <c r="D2450" s="6" t="s">
        <v>10</v>
      </c>
      <c r="E2450" s="6" t="s">
        <v>16</v>
      </c>
      <c r="F2450" s="6"/>
      <c r="G2450" s="7">
        <v>3</v>
      </c>
      <c r="H2450" s="7"/>
      <c r="I2450" s="7"/>
      <c r="J2450" s="218"/>
      <c r="K2450" s="14"/>
      <c r="L2450" s="14"/>
      <c r="M2450" s="14"/>
      <c r="N2450" s="14"/>
      <c r="O2450" s="14"/>
      <c r="P2450" s="14"/>
      <c r="Q2450" s="14"/>
      <c r="R2450" s="14"/>
      <c r="S2450" s="14"/>
      <c r="T2450" s="14"/>
      <c r="U2450" s="14"/>
      <c r="V2450" s="14"/>
      <c r="W2450" s="14"/>
      <c r="X2450" s="14"/>
      <c r="Y2450" s="14"/>
      <c r="Z2450" s="14"/>
      <c r="AA2450" s="14"/>
      <c r="AB2450" s="14"/>
      <c r="AC2450" s="14"/>
      <c r="AD2450" s="14"/>
      <c r="AE2450" s="14"/>
      <c r="AF2450" s="14"/>
      <c r="AG2450" s="14"/>
      <c r="AH2450" s="14"/>
      <c r="AI2450" s="14"/>
      <c r="AJ2450" s="14"/>
      <c r="AK2450" s="14"/>
    </row>
    <row r="2451" spans="2:37" ht="14.25" thickBot="1" x14ac:dyDescent="0.3">
      <c r="B2451" s="5">
        <v>273698</v>
      </c>
      <c r="C2451" s="6">
        <v>1135752</v>
      </c>
      <c r="D2451" s="6" t="s">
        <v>11</v>
      </c>
      <c r="E2451" s="6" t="s">
        <v>17</v>
      </c>
      <c r="F2451" s="6"/>
      <c r="G2451" s="7">
        <v>7</v>
      </c>
      <c r="H2451" s="7"/>
      <c r="I2451" s="7"/>
      <c r="J2451" s="218"/>
      <c r="K2451" s="14"/>
      <c r="L2451" s="14"/>
      <c r="M2451" s="14"/>
      <c r="N2451" s="14"/>
      <c r="O2451" s="14"/>
      <c r="P2451" s="14"/>
      <c r="Q2451" s="14"/>
      <c r="R2451" s="14"/>
      <c r="S2451" s="14"/>
      <c r="T2451" s="14"/>
      <c r="U2451" s="14"/>
      <c r="V2451" s="14"/>
      <c r="W2451" s="14"/>
      <c r="X2451" s="14"/>
      <c r="Y2451" s="14"/>
      <c r="Z2451" s="14"/>
      <c r="AA2451" s="14"/>
      <c r="AB2451" s="14"/>
      <c r="AC2451" s="14"/>
      <c r="AD2451" s="14"/>
      <c r="AE2451" s="14"/>
      <c r="AF2451" s="14"/>
      <c r="AG2451" s="14"/>
      <c r="AH2451" s="14"/>
      <c r="AI2451" s="14"/>
      <c r="AJ2451" s="14"/>
      <c r="AK2451" s="14"/>
    </row>
    <row r="2452" spans="2:37" ht="14.25" thickBot="1" x14ac:dyDescent="0.3">
      <c r="B2452" s="5">
        <v>273680</v>
      </c>
      <c r="C2452" s="6">
        <v>1135751</v>
      </c>
      <c r="D2452" s="6" t="s">
        <v>12</v>
      </c>
      <c r="E2452" s="6" t="s">
        <v>13</v>
      </c>
      <c r="F2452" s="6"/>
      <c r="G2452" s="7">
        <v>11</v>
      </c>
      <c r="H2452" s="7"/>
      <c r="I2452" s="7"/>
      <c r="J2452" s="218"/>
      <c r="K2452" s="14"/>
      <c r="L2452" s="14"/>
      <c r="M2452" s="14"/>
      <c r="N2452" s="14"/>
      <c r="O2452" s="14"/>
      <c r="P2452" s="14"/>
      <c r="Q2452" s="14"/>
      <c r="R2452" s="14"/>
      <c r="S2452" s="14"/>
      <c r="T2452" s="14"/>
      <c r="U2452" s="14"/>
      <c r="V2452" s="14"/>
      <c r="W2452" s="14"/>
      <c r="X2452" s="14"/>
      <c r="Y2452" s="14"/>
      <c r="Z2452" s="14"/>
      <c r="AA2452" s="14"/>
      <c r="AB2452" s="14"/>
      <c r="AC2452" s="14"/>
      <c r="AD2452" s="14"/>
      <c r="AE2452" s="14"/>
      <c r="AF2452" s="14"/>
      <c r="AG2452" s="14"/>
      <c r="AH2452" s="14"/>
      <c r="AI2452" s="14"/>
      <c r="AJ2452" s="14"/>
      <c r="AK2452" s="14"/>
    </row>
    <row r="2454" spans="2:37" ht="14.25" thickBot="1" x14ac:dyDescent="0.3">
      <c r="B2454" s="322" t="s">
        <v>18</v>
      </c>
      <c r="C2454" s="325">
        <v>44774</v>
      </c>
      <c r="K2454" s="14"/>
      <c r="L2454" s="14"/>
      <c r="M2454" s="14"/>
      <c r="N2454" s="14"/>
      <c r="O2454" s="14"/>
      <c r="P2454" s="14"/>
      <c r="Q2454" s="14"/>
      <c r="R2454" s="14"/>
      <c r="S2454" s="14"/>
      <c r="T2454" s="14"/>
      <c r="U2454" s="14"/>
      <c r="V2454" s="14"/>
      <c r="W2454" s="14"/>
      <c r="X2454" s="14"/>
      <c r="Y2454" s="14"/>
      <c r="Z2454" s="14"/>
      <c r="AA2454" s="14"/>
      <c r="AB2454" s="14"/>
      <c r="AC2454" s="14"/>
      <c r="AD2454" s="14"/>
      <c r="AE2454" s="14"/>
      <c r="AF2454" s="14"/>
      <c r="AG2454" s="14"/>
      <c r="AH2454" s="14"/>
      <c r="AI2454" s="14"/>
      <c r="AJ2454" s="14"/>
      <c r="AK2454" s="14"/>
    </row>
    <row r="2455" spans="2:37" ht="14.25" thickBot="1" x14ac:dyDescent="0.3">
      <c r="B2455" s="2" t="s">
        <v>0</v>
      </c>
      <c r="C2455" s="3" t="s">
        <v>1</v>
      </c>
      <c r="D2455" s="3" t="s">
        <v>2</v>
      </c>
      <c r="E2455" s="3" t="s">
        <v>3</v>
      </c>
      <c r="F2455" s="3"/>
      <c r="G2455" s="4" t="s">
        <v>4</v>
      </c>
      <c r="H2455" s="4"/>
      <c r="I2455" s="3" t="s">
        <v>5</v>
      </c>
      <c r="J2455" s="217"/>
      <c r="K2455" s="14"/>
      <c r="L2455" s="14"/>
      <c r="M2455" s="14"/>
      <c r="N2455" s="14"/>
      <c r="O2455" s="14"/>
      <c r="P2455" s="14"/>
      <c r="Q2455" s="14"/>
      <c r="R2455" s="14"/>
      <c r="S2455" s="14"/>
      <c r="T2455" s="14"/>
      <c r="U2455" s="14"/>
      <c r="V2455" s="14"/>
      <c r="W2455" s="14"/>
      <c r="X2455" s="14"/>
      <c r="Y2455" s="14"/>
      <c r="Z2455" s="14"/>
      <c r="AA2455" s="14"/>
      <c r="AB2455" s="14"/>
      <c r="AC2455" s="14"/>
      <c r="AD2455" s="14"/>
      <c r="AE2455" s="14"/>
      <c r="AF2455" s="14"/>
      <c r="AG2455" s="14"/>
      <c r="AH2455" s="14"/>
      <c r="AI2455" s="14"/>
      <c r="AJ2455" s="14"/>
      <c r="AK2455" s="14"/>
    </row>
    <row r="2456" spans="2:37" ht="14.25" thickBot="1" x14ac:dyDescent="0.3">
      <c r="B2456" s="5">
        <v>273664</v>
      </c>
      <c r="C2456" s="6">
        <v>1135749</v>
      </c>
      <c r="D2456" s="6" t="s">
        <v>7</v>
      </c>
      <c r="E2456" s="6">
        <v>6060050026</v>
      </c>
      <c r="F2456" s="6"/>
      <c r="G2456" s="6">
        <v>2</v>
      </c>
      <c r="H2456" s="6"/>
      <c r="I2456" s="7"/>
      <c r="J2456" s="218"/>
      <c r="K2456" s="14"/>
      <c r="L2456" s="14"/>
      <c r="M2456" s="14"/>
      <c r="N2456" s="14"/>
      <c r="O2456" s="14"/>
      <c r="P2456" s="14"/>
      <c r="Q2456" s="14"/>
      <c r="R2456" s="14"/>
      <c r="S2456" s="14"/>
      <c r="T2456" s="14"/>
      <c r="U2456" s="14"/>
      <c r="V2456" s="14"/>
      <c r="W2456" s="14"/>
      <c r="X2456" s="14"/>
      <c r="Y2456" s="14"/>
      <c r="Z2456" s="14"/>
      <c r="AA2456" s="14"/>
      <c r="AB2456" s="14"/>
      <c r="AC2456" s="14"/>
      <c r="AD2456" s="14"/>
      <c r="AE2456" s="14"/>
      <c r="AF2456" s="14"/>
      <c r="AG2456" s="14"/>
      <c r="AH2456" s="14"/>
      <c r="AI2456" s="14"/>
      <c r="AJ2456" s="14"/>
      <c r="AK2456" s="14"/>
    </row>
    <row r="2457" spans="2:37" ht="14.25" thickBot="1" x14ac:dyDescent="0.3">
      <c r="B2457" s="5">
        <v>273672</v>
      </c>
      <c r="C2457" s="6">
        <v>1135750</v>
      </c>
      <c r="D2457" s="6" t="s">
        <v>9</v>
      </c>
      <c r="E2457" s="6" t="s">
        <v>15</v>
      </c>
      <c r="F2457" s="6"/>
      <c r="G2457" s="6">
        <v>17</v>
      </c>
      <c r="H2457" s="6"/>
      <c r="I2457" s="7"/>
      <c r="J2457" s="218"/>
      <c r="K2457" s="14"/>
      <c r="L2457" s="14"/>
      <c r="M2457" s="14"/>
      <c r="N2457" s="14"/>
      <c r="O2457" s="14"/>
      <c r="P2457" s="14"/>
      <c r="Q2457" s="14"/>
      <c r="R2457" s="14"/>
      <c r="S2457" s="14"/>
      <c r="T2457" s="14"/>
      <c r="U2457" s="14"/>
      <c r="V2457" s="14"/>
      <c r="W2457" s="14"/>
      <c r="X2457" s="14"/>
      <c r="Y2457" s="14"/>
      <c r="Z2457" s="14"/>
      <c r="AA2457" s="14"/>
      <c r="AB2457" s="14"/>
      <c r="AC2457" s="14"/>
      <c r="AD2457" s="14"/>
      <c r="AE2457" s="14"/>
      <c r="AF2457" s="14"/>
      <c r="AG2457" s="14"/>
      <c r="AH2457" s="14"/>
      <c r="AI2457" s="14"/>
      <c r="AJ2457" s="14"/>
      <c r="AK2457" s="14"/>
    </row>
    <row r="2458" spans="2:37" ht="14.25" thickBot="1" x14ac:dyDescent="0.3">
      <c r="B2458" s="5">
        <v>273702</v>
      </c>
      <c r="C2458" s="6">
        <v>1135753</v>
      </c>
      <c r="D2458" s="6" t="s">
        <v>10</v>
      </c>
      <c r="E2458" s="6" t="s">
        <v>16</v>
      </c>
      <c r="F2458" s="6"/>
      <c r="G2458" s="6">
        <v>3</v>
      </c>
      <c r="H2458" s="6"/>
      <c r="I2458" s="7"/>
      <c r="J2458" s="218"/>
      <c r="K2458" s="14"/>
      <c r="L2458" s="14"/>
      <c r="M2458" s="14"/>
      <c r="N2458" s="14"/>
      <c r="O2458" s="14"/>
      <c r="P2458" s="14"/>
      <c r="Q2458" s="14"/>
      <c r="R2458" s="14"/>
      <c r="S2458" s="14"/>
      <c r="T2458" s="14"/>
      <c r="U2458" s="14"/>
      <c r="V2458" s="14"/>
      <c r="W2458" s="14"/>
      <c r="X2458" s="14"/>
      <c r="Y2458" s="14"/>
      <c r="Z2458" s="14"/>
      <c r="AA2458" s="14"/>
      <c r="AB2458" s="14"/>
      <c r="AC2458" s="14"/>
      <c r="AD2458" s="14"/>
      <c r="AE2458" s="14"/>
      <c r="AF2458" s="14"/>
      <c r="AG2458" s="14"/>
      <c r="AH2458" s="14"/>
      <c r="AI2458" s="14"/>
      <c r="AJ2458" s="14"/>
      <c r="AK2458" s="14"/>
    </row>
    <row r="2459" spans="2:37" ht="14.25" thickBot="1" x14ac:dyDescent="0.3">
      <c r="B2459" s="5">
        <v>273698</v>
      </c>
      <c r="C2459" s="6">
        <v>1135752</v>
      </c>
      <c r="D2459" s="6" t="s">
        <v>11</v>
      </c>
      <c r="E2459" s="6" t="s">
        <v>17</v>
      </c>
      <c r="F2459" s="6"/>
      <c r="G2459" s="6">
        <v>7</v>
      </c>
      <c r="H2459" s="6"/>
      <c r="I2459" s="7"/>
      <c r="J2459" s="218"/>
      <c r="K2459" s="14"/>
      <c r="L2459" s="14"/>
      <c r="M2459" s="14"/>
      <c r="N2459" s="14"/>
      <c r="O2459" s="14"/>
      <c r="P2459" s="14"/>
      <c r="Q2459" s="14"/>
      <c r="R2459" s="14"/>
      <c r="S2459" s="14"/>
      <c r="T2459" s="14"/>
      <c r="U2459" s="14"/>
      <c r="V2459" s="14"/>
      <c r="W2459" s="14"/>
      <c r="X2459" s="14"/>
      <c r="Y2459" s="14"/>
      <c r="Z2459" s="14"/>
      <c r="AA2459" s="14"/>
      <c r="AB2459" s="14"/>
      <c r="AC2459" s="14"/>
      <c r="AD2459" s="14"/>
      <c r="AE2459" s="14"/>
      <c r="AF2459" s="14"/>
      <c r="AG2459" s="14"/>
      <c r="AH2459" s="14"/>
      <c r="AI2459" s="14"/>
      <c r="AJ2459" s="14"/>
      <c r="AK2459" s="14"/>
    </row>
    <row r="2460" spans="2:37" ht="14.25" thickBot="1" x14ac:dyDescent="0.3">
      <c r="B2460" s="5">
        <v>273680</v>
      </c>
      <c r="C2460" s="6">
        <v>1135751</v>
      </c>
      <c r="D2460" s="6" t="s">
        <v>12</v>
      </c>
      <c r="E2460" s="6" t="s">
        <v>13</v>
      </c>
      <c r="F2460" s="6"/>
      <c r="G2460" s="6">
        <v>11</v>
      </c>
      <c r="H2460" s="6"/>
      <c r="I2460" s="7"/>
      <c r="J2460" s="218"/>
      <c r="K2460" s="14"/>
      <c r="L2460" s="14"/>
      <c r="M2460" s="14"/>
      <c r="N2460" s="14"/>
      <c r="O2460" s="14"/>
      <c r="P2460" s="14"/>
      <c r="Q2460" s="14"/>
      <c r="R2460" s="14"/>
      <c r="S2460" s="14"/>
      <c r="T2460" s="14"/>
      <c r="U2460" s="14"/>
      <c r="V2460" s="14"/>
      <c r="W2460" s="14"/>
      <c r="X2460" s="14"/>
      <c r="Y2460" s="14"/>
      <c r="Z2460" s="14"/>
      <c r="AA2460" s="14"/>
      <c r="AB2460" s="14"/>
      <c r="AC2460" s="14"/>
      <c r="AD2460" s="14"/>
      <c r="AE2460" s="14"/>
      <c r="AF2460" s="14"/>
      <c r="AG2460" s="14"/>
      <c r="AH2460" s="14"/>
      <c r="AI2460" s="14"/>
      <c r="AJ2460" s="14"/>
      <c r="AK2460" s="14"/>
    </row>
    <row r="2462" spans="2:37" ht="14.25" thickBot="1" x14ac:dyDescent="0.3">
      <c r="B2462" s="322" t="s">
        <v>18</v>
      </c>
      <c r="C2462" s="325">
        <v>44767</v>
      </c>
      <c r="K2462" s="14"/>
      <c r="L2462" s="14"/>
      <c r="M2462" s="14"/>
      <c r="N2462" s="14"/>
      <c r="O2462" s="14"/>
      <c r="P2462" s="14"/>
      <c r="Q2462" s="14"/>
      <c r="R2462" s="14"/>
      <c r="S2462" s="14"/>
      <c r="T2462" s="14"/>
      <c r="U2462" s="14"/>
      <c r="V2462" s="14"/>
      <c r="W2462" s="14"/>
      <c r="X2462" s="14"/>
      <c r="Y2462" s="14"/>
      <c r="Z2462" s="14"/>
      <c r="AA2462" s="14"/>
      <c r="AB2462" s="14"/>
      <c r="AC2462" s="14"/>
      <c r="AD2462" s="14"/>
      <c r="AE2462" s="14"/>
      <c r="AF2462" s="14"/>
      <c r="AG2462" s="14"/>
      <c r="AH2462" s="14"/>
      <c r="AI2462" s="14"/>
      <c r="AJ2462" s="14"/>
      <c r="AK2462" s="14"/>
    </row>
    <row r="2463" spans="2:37" ht="14.25" thickBot="1" x14ac:dyDescent="0.3">
      <c r="B2463" s="2" t="s">
        <v>0</v>
      </c>
      <c r="C2463" s="3" t="s">
        <v>1</v>
      </c>
      <c r="D2463" s="3" t="s">
        <v>2</v>
      </c>
      <c r="E2463" s="3" t="s">
        <v>3</v>
      </c>
      <c r="F2463" s="3"/>
      <c r="G2463" s="4" t="s">
        <v>4</v>
      </c>
      <c r="H2463" s="4"/>
      <c r="I2463" s="3" t="s">
        <v>5</v>
      </c>
      <c r="J2463" s="217"/>
      <c r="K2463" s="14"/>
      <c r="L2463" s="14"/>
      <c r="M2463" s="14"/>
      <c r="N2463" s="14"/>
      <c r="O2463" s="14"/>
      <c r="P2463" s="14"/>
      <c r="Q2463" s="14"/>
      <c r="R2463" s="14"/>
      <c r="S2463" s="14"/>
      <c r="T2463" s="14"/>
      <c r="U2463" s="14"/>
      <c r="V2463" s="14"/>
      <c r="W2463" s="14"/>
      <c r="X2463" s="14"/>
      <c r="Y2463" s="14"/>
      <c r="Z2463" s="14"/>
      <c r="AA2463" s="14"/>
      <c r="AB2463" s="14"/>
      <c r="AC2463" s="14"/>
      <c r="AD2463" s="14"/>
      <c r="AE2463" s="14"/>
      <c r="AF2463" s="14"/>
      <c r="AG2463" s="14"/>
      <c r="AH2463" s="14"/>
      <c r="AI2463" s="14"/>
      <c r="AJ2463" s="14"/>
      <c r="AK2463" s="14"/>
    </row>
    <row r="2464" spans="2:37" ht="14.25" thickBot="1" x14ac:dyDescent="0.3">
      <c r="B2464" s="5">
        <v>273664</v>
      </c>
      <c r="C2464" s="6">
        <v>1135749</v>
      </c>
      <c r="D2464" s="6" t="s">
        <v>7</v>
      </c>
      <c r="E2464" s="6">
        <v>6060050026</v>
      </c>
      <c r="F2464" s="6"/>
      <c r="G2464" s="7">
        <v>2</v>
      </c>
      <c r="H2464" s="7"/>
      <c r="I2464" s="7"/>
      <c r="J2464" s="218"/>
      <c r="K2464" s="14"/>
      <c r="L2464" s="14"/>
      <c r="M2464" s="14"/>
      <c r="N2464" s="14"/>
      <c r="O2464" s="14"/>
      <c r="P2464" s="14"/>
      <c r="Q2464" s="14"/>
      <c r="R2464" s="14"/>
      <c r="S2464" s="14"/>
      <c r="T2464" s="14"/>
      <c r="U2464" s="14"/>
      <c r="V2464" s="14"/>
      <c r="W2464" s="14"/>
      <c r="X2464" s="14"/>
      <c r="Y2464" s="14"/>
      <c r="Z2464" s="14"/>
      <c r="AA2464" s="14"/>
      <c r="AB2464" s="14"/>
      <c r="AC2464" s="14"/>
      <c r="AD2464" s="14"/>
      <c r="AE2464" s="14"/>
      <c r="AF2464" s="14"/>
      <c r="AG2464" s="14"/>
      <c r="AH2464" s="14"/>
      <c r="AI2464" s="14"/>
      <c r="AJ2464" s="14"/>
      <c r="AK2464" s="14"/>
    </row>
    <row r="2465" spans="2:37" ht="14.25" thickBot="1" x14ac:dyDescent="0.3">
      <c r="B2465" s="5">
        <v>273672</v>
      </c>
      <c r="C2465" s="6">
        <v>1135750</v>
      </c>
      <c r="D2465" s="6" t="s">
        <v>9</v>
      </c>
      <c r="E2465" s="6" t="s">
        <v>15</v>
      </c>
      <c r="F2465" s="6"/>
      <c r="G2465" s="7">
        <v>19</v>
      </c>
      <c r="H2465" s="7"/>
      <c r="I2465" s="7"/>
      <c r="J2465" s="218"/>
      <c r="K2465" s="14"/>
      <c r="L2465" s="14"/>
      <c r="M2465" s="14"/>
      <c r="N2465" s="14"/>
      <c r="O2465" s="14"/>
      <c r="P2465" s="14"/>
      <c r="Q2465" s="14"/>
      <c r="R2465" s="14"/>
      <c r="S2465" s="14"/>
      <c r="T2465" s="14"/>
      <c r="U2465" s="14"/>
      <c r="V2465" s="14"/>
      <c r="W2465" s="14"/>
      <c r="X2465" s="14"/>
      <c r="Y2465" s="14"/>
      <c r="Z2465" s="14"/>
      <c r="AA2465" s="14"/>
      <c r="AB2465" s="14"/>
      <c r="AC2465" s="14"/>
      <c r="AD2465" s="14"/>
      <c r="AE2465" s="14"/>
      <c r="AF2465" s="14"/>
      <c r="AG2465" s="14"/>
      <c r="AH2465" s="14"/>
      <c r="AI2465" s="14"/>
      <c r="AJ2465" s="14"/>
      <c r="AK2465" s="14"/>
    </row>
    <row r="2466" spans="2:37" ht="14.25" thickBot="1" x14ac:dyDescent="0.3">
      <c r="B2466" s="5">
        <v>273702</v>
      </c>
      <c r="C2466" s="6">
        <v>1135753</v>
      </c>
      <c r="D2466" s="6" t="s">
        <v>10</v>
      </c>
      <c r="E2466" s="6" t="s">
        <v>16</v>
      </c>
      <c r="F2466" s="6"/>
      <c r="G2466" s="7">
        <v>3</v>
      </c>
      <c r="H2466" s="7"/>
      <c r="I2466" s="7"/>
      <c r="J2466" s="218"/>
      <c r="K2466" s="14"/>
      <c r="L2466" s="14"/>
      <c r="M2466" s="14"/>
      <c r="N2466" s="14"/>
      <c r="O2466" s="14"/>
      <c r="P2466" s="14"/>
      <c r="Q2466" s="14"/>
      <c r="R2466" s="14"/>
      <c r="S2466" s="14"/>
      <c r="T2466" s="14"/>
      <c r="U2466" s="14"/>
      <c r="V2466" s="14"/>
      <c r="W2466" s="14"/>
      <c r="X2466" s="14"/>
      <c r="Y2466" s="14"/>
      <c r="Z2466" s="14"/>
      <c r="AA2466" s="14"/>
      <c r="AB2466" s="14"/>
      <c r="AC2466" s="14"/>
      <c r="AD2466" s="14"/>
      <c r="AE2466" s="14"/>
      <c r="AF2466" s="14"/>
      <c r="AG2466" s="14"/>
      <c r="AH2466" s="14"/>
      <c r="AI2466" s="14"/>
      <c r="AJ2466" s="14"/>
      <c r="AK2466" s="14"/>
    </row>
    <row r="2467" spans="2:37" ht="14.25" thickBot="1" x14ac:dyDescent="0.3">
      <c r="B2467" s="5">
        <v>273698</v>
      </c>
      <c r="C2467" s="6">
        <v>1135752</v>
      </c>
      <c r="D2467" s="6" t="s">
        <v>11</v>
      </c>
      <c r="E2467" s="6" t="s">
        <v>17</v>
      </c>
      <c r="F2467" s="6"/>
      <c r="G2467" s="7">
        <v>7</v>
      </c>
      <c r="H2467" s="7"/>
      <c r="I2467" s="7"/>
      <c r="J2467" s="218"/>
      <c r="K2467" s="14"/>
      <c r="L2467" s="14"/>
      <c r="M2467" s="14"/>
      <c r="N2467" s="14"/>
      <c r="O2467" s="14"/>
      <c r="P2467" s="14"/>
      <c r="Q2467" s="14"/>
      <c r="R2467" s="14"/>
      <c r="S2467" s="14"/>
      <c r="T2467" s="14"/>
      <c r="U2467" s="14"/>
      <c r="V2467" s="14"/>
      <c r="W2467" s="14"/>
      <c r="X2467" s="14"/>
      <c r="Y2467" s="14"/>
      <c r="Z2467" s="14"/>
      <c r="AA2467" s="14"/>
      <c r="AB2467" s="14"/>
      <c r="AC2467" s="14"/>
      <c r="AD2467" s="14"/>
      <c r="AE2467" s="14"/>
      <c r="AF2467" s="14"/>
      <c r="AG2467" s="14"/>
      <c r="AH2467" s="14"/>
      <c r="AI2467" s="14"/>
      <c r="AJ2467" s="14"/>
      <c r="AK2467" s="14"/>
    </row>
    <row r="2468" spans="2:37" ht="14.25" thickBot="1" x14ac:dyDescent="0.3">
      <c r="B2468" s="5">
        <v>273680</v>
      </c>
      <c r="C2468" s="6">
        <v>1135751</v>
      </c>
      <c r="D2468" s="6" t="s">
        <v>12</v>
      </c>
      <c r="E2468" s="6" t="s">
        <v>13</v>
      </c>
      <c r="F2468" s="6"/>
      <c r="G2468" s="7">
        <v>11</v>
      </c>
      <c r="H2468" s="7"/>
      <c r="I2468" s="7"/>
      <c r="J2468" s="218"/>
      <c r="K2468" s="14"/>
      <c r="L2468" s="14"/>
      <c r="M2468" s="14"/>
      <c r="N2468" s="14"/>
      <c r="O2468" s="14"/>
      <c r="P2468" s="14"/>
      <c r="Q2468" s="14"/>
      <c r="R2468" s="14"/>
      <c r="S2468" s="14"/>
      <c r="T2468" s="14"/>
      <c r="U2468" s="14"/>
      <c r="V2468" s="14"/>
      <c r="W2468" s="14"/>
      <c r="X2468" s="14"/>
      <c r="Y2468" s="14"/>
      <c r="Z2468" s="14"/>
      <c r="AA2468" s="14"/>
      <c r="AB2468" s="14"/>
      <c r="AC2468" s="14"/>
      <c r="AD2468" s="14"/>
      <c r="AE2468" s="14"/>
      <c r="AF2468" s="14"/>
      <c r="AG2468" s="14"/>
      <c r="AH2468" s="14"/>
      <c r="AI2468" s="14"/>
      <c r="AJ2468" s="14"/>
      <c r="AK2468" s="14"/>
    </row>
    <row r="2470" spans="2:37" ht="14.25" thickBot="1" x14ac:dyDescent="0.3">
      <c r="B2470" s="322" t="s">
        <v>18</v>
      </c>
      <c r="C2470" s="325">
        <v>44760</v>
      </c>
      <c r="K2470" s="14"/>
      <c r="L2470" s="14"/>
      <c r="M2470" s="14"/>
      <c r="N2470" s="14"/>
      <c r="O2470" s="14"/>
      <c r="P2470" s="14"/>
      <c r="Q2470" s="14"/>
      <c r="R2470" s="14"/>
      <c r="S2470" s="14"/>
      <c r="T2470" s="14"/>
      <c r="U2470" s="14"/>
      <c r="V2470" s="14"/>
      <c r="W2470" s="14"/>
      <c r="X2470" s="14"/>
      <c r="Y2470" s="14"/>
      <c r="Z2470" s="14"/>
      <c r="AA2470" s="14"/>
      <c r="AB2470" s="14"/>
      <c r="AC2470" s="14"/>
      <c r="AD2470" s="14"/>
      <c r="AE2470" s="14"/>
      <c r="AF2470" s="14"/>
      <c r="AG2470" s="14"/>
      <c r="AH2470" s="14"/>
      <c r="AI2470" s="14"/>
      <c r="AJ2470" s="14"/>
      <c r="AK2470" s="14"/>
    </row>
    <row r="2471" spans="2:37" ht="14.25" thickBot="1" x14ac:dyDescent="0.3">
      <c r="B2471" s="2" t="s">
        <v>0</v>
      </c>
      <c r="C2471" s="3" t="s">
        <v>1</v>
      </c>
      <c r="D2471" s="3" t="s">
        <v>2</v>
      </c>
      <c r="E2471" s="3" t="s">
        <v>3</v>
      </c>
      <c r="F2471" s="3"/>
      <c r="G2471" s="4" t="s">
        <v>4</v>
      </c>
      <c r="H2471" s="4"/>
      <c r="I2471" s="3" t="s">
        <v>5</v>
      </c>
      <c r="J2471" s="217"/>
      <c r="K2471" s="14"/>
      <c r="L2471" s="14"/>
      <c r="M2471" s="14"/>
      <c r="N2471" s="14"/>
      <c r="O2471" s="14"/>
      <c r="P2471" s="14"/>
      <c r="Q2471" s="14"/>
      <c r="R2471" s="14"/>
      <c r="S2471" s="14"/>
      <c r="T2471" s="14"/>
      <c r="U2471" s="14"/>
      <c r="V2471" s="14"/>
      <c r="W2471" s="14"/>
      <c r="X2471" s="14"/>
      <c r="Y2471" s="14"/>
      <c r="Z2471" s="14"/>
      <c r="AA2471" s="14"/>
      <c r="AB2471" s="14"/>
      <c r="AC2471" s="14"/>
      <c r="AD2471" s="14"/>
      <c r="AE2471" s="14"/>
      <c r="AF2471" s="14"/>
      <c r="AG2471" s="14"/>
      <c r="AH2471" s="14"/>
      <c r="AI2471" s="14"/>
      <c r="AJ2471" s="14"/>
      <c r="AK2471" s="14"/>
    </row>
    <row r="2472" spans="2:37" ht="14.25" thickBot="1" x14ac:dyDescent="0.3">
      <c r="B2472" s="5">
        <v>273664</v>
      </c>
      <c r="C2472" s="6">
        <v>1135749</v>
      </c>
      <c r="D2472" s="6" t="s">
        <v>7</v>
      </c>
      <c r="E2472" s="6">
        <v>6060050026</v>
      </c>
      <c r="F2472" s="6"/>
      <c r="G2472" s="7">
        <v>2</v>
      </c>
      <c r="H2472" s="7"/>
      <c r="I2472" s="7"/>
      <c r="J2472" s="218"/>
      <c r="K2472" s="14"/>
      <c r="L2472" s="14"/>
      <c r="M2472" s="14"/>
      <c r="N2472" s="14"/>
      <c r="O2472" s="14"/>
      <c r="P2472" s="14"/>
      <c r="Q2472" s="14"/>
      <c r="R2472" s="14"/>
      <c r="S2472" s="14"/>
      <c r="T2472" s="14"/>
      <c r="U2472" s="14"/>
      <c r="V2472" s="14"/>
      <c r="W2472" s="14"/>
      <c r="X2472" s="14"/>
      <c r="Y2472" s="14"/>
      <c r="Z2472" s="14"/>
      <c r="AA2472" s="14"/>
      <c r="AB2472" s="14"/>
      <c r="AC2472" s="14"/>
      <c r="AD2472" s="14"/>
      <c r="AE2472" s="14"/>
      <c r="AF2472" s="14"/>
      <c r="AG2472" s="14"/>
      <c r="AH2472" s="14"/>
      <c r="AI2472" s="14"/>
      <c r="AJ2472" s="14"/>
      <c r="AK2472" s="14"/>
    </row>
    <row r="2473" spans="2:37" ht="14.25" thickBot="1" x14ac:dyDescent="0.3">
      <c r="B2473" s="5">
        <v>273672</v>
      </c>
      <c r="C2473" s="6">
        <v>1135750</v>
      </c>
      <c r="D2473" s="6" t="s">
        <v>9</v>
      </c>
      <c r="E2473" s="6" t="s">
        <v>15</v>
      </c>
      <c r="F2473" s="6"/>
      <c r="G2473" s="7">
        <v>19</v>
      </c>
      <c r="H2473" s="7"/>
      <c r="I2473" s="7"/>
      <c r="J2473" s="218"/>
      <c r="K2473" s="14"/>
      <c r="L2473" s="14"/>
      <c r="M2473" s="14"/>
      <c r="N2473" s="14"/>
      <c r="O2473" s="14"/>
      <c r="P2473" s="14"/>
      <c r="Q2473" s="14"/>
      <c r="R2473" s="14"/>
      <c r="S2473" s="14"/>
      <c r="T2473" s="14"/>
      <c r="U2473" s="14"/>
      <c r="V2473" s="14"/>
      <c r="W2473" s="14"/>
      <c r="X2473" s="14"/>
      <c r="Y2473" s="14"/>
      <c r="Z2473" s="14"/>
      <c r="AA2473" s="14"/>
      <c r="AB2473" s="14"/>
      <c r="AC2473" s="14"/>
      <c r="AD2473" s="14"/>
      <c r="AE2473" s="14"/>
      <c r="AF2473" s="14"/>
      <c r="AG2473" s="14"/>
      <c r="AH2473" s="14"/>
      <c r="AI2473" s="14"/>
      <c r="AJ2473" s="14"/>
      <c r="AK2473" s="14"/>
    </row>
    <row r="2474" spans="2:37" ht="14.25" thickBot="1" x14ac:dyDescent="0.3">
      <c r="B2474" s="5">
        <v>273702</v>
      </c>
      <c r="C2474" s="6">
        <v>1135753</v>
      </c>
      <c r="D2474" s="6" t="s">
        <v>10</v>
      </c>
      <c r="E2474" s="6" t="s">
        <v>16</v>
      </c>
      <c r="F2474" s="6"/>
      <c r="G2474" s="7">
        <v>3</v>
      </c>
      <c r="H2474" s="7"/>
      <c r="I2474" s="7"/>
      <c r="J2474" s="218"/>
      <c r="K2474" s="14"/>
      <c r="L2474" s="14"/>
      <c r="M2474" s="14"/>
      <c r="N2474" s="14"/>
      <c r="O2474" s="14"/>
      <c r="P2474" s="14"/>
      <c r="Q2474" s="14"/>
      <c r="R2474" s="14"/>
      <c r="S2474" s="14"/>
      <c r="T2474" s="14"/>
      <c r="U2474" s="14"/>
      <c r="V2474" s="14"/>
      <c r="W2474" s="14"/>
      <c r="X2474" s="14"/>
      <c r="Y2474" s="14"/>
      <c r="Z2474" s="14"/>
      <c r="AA2474" s="14"/>
      <c r="AB2474" s="14"/>
      <c r="AC2474" s="14"/>
      <c r="AD2474" s="14"/>
      <c r="AE2474" s="14"/>
      <c r="AF2474" s="14"/>
      <c r="AG2474" s="14"/>
      <c r="AH2474" s="14"/>
      <c r="AI2474" s="14"/>
      <c r="AJ2474" s="14"/>
      <c r="AK2474" s="14"/>
    </row>
    <row r="2475" spans="2:37" ht="14.25" thickBot="1" x14ac:dyDescent="0.3">
      <c r="B2475" s="5">
        <v>273698</v>
      </c>
      <c r="C2475" s="6">
        <v>1135752</v>
      </c>
      <c r="D2475" s="6" t="s">
        <v>11</v>
      </c>
      <c r="E2475" s="6" t="s">
        <v>17</v>
      </c>
      <c r="F2475" s="6"/>
      <c r="G2475" s="7">
        <v>7</v>
      </c>
      <c r="H2475" s="7"/>
      <c r="I2475" s="7"/>
      <c r="J2475" s="218"/>
      <c r="K2475" s="14"/>
      <c r="L2475" s="14"/>
      <c r="M2475" s="14"/>
      <c r="N2475" s="14"/>
      <c r="O2475" s="14"/>
      <c r="P2475" s="14"/>
      <c r="Q2475" s="14"/>
      <c r="R2475" s="14"/>
      <c r="S2475" s="14"/>
      <c r="T2475" s="14"/>
      <c r="U2475" s="14"/>
      <c r="V2475" s="14"/>
      <c r="W2475" s="14"/>
      <c r="X2475" s="14"/>
      <c r="Y2475" s="14"/>
      <c r="Z2475" s="14"/>
      <c r="AA2475" s="14"/>
      <c r="AB2475" s="14"/>
      <c r="AC2475" s="14"/>
      <c r="AD2475" s="14"/>
      <c r="AE2475" s="14"/>
      <c r="AF2475" s="14"/>
      <c r="AG2475" s="14"/>
      <c r="AH2475" s="14"/>
      <c r="AI2475" s="14"/>
      <c r="AJ2475" s="14"/>
      <c r="AK2475" s="14"/>
    </row>
    <row r="2476" spans="2:37" ht="14.25" thickBot="1" x14ac:dyDescent="0.3">
      <c r="B2476" s="5">
        <v>273680</v>
      </c>
      <c r="C2476" s="6">
        <v>1135751</v>
      </c>
      <c r="D2476" s="6" t="s">
        <v>12</v>
      </c>
      <c r="E2476" s="6" t="s">
        <v>13</v>
      </c>
      <c r="F2476" s="6"/>
      <c r="G2476" s="7">
        <v>11</v>
      </c>
      <c r="H2476" s="7"/>
      <c r="I2476" s="7"/>
      <c r="J2476" s="218"/>
      <c r="K2476" s="14"/>
      <c r="L2476" s="14"/>
      <c r="M2476" s="14"/>
      <c r="N2476" s="14"/>
      <c r="O2476" s="14"/>
      <c r="P2476" s="14"/>
      <c r="Q2476" s="14"/>
      <c r="R2476" s="14"/>
      <c r="S2476" s="14"/>
      <c r="T2476" s="14"/>
      <c r="U2476" s="14"/>
      <c r="V2476" s="14"/>
      <c r="W2476" s="14"/>
      <c r="X2476" s="14"/>
      <c r="Y2476" s="14"/>
      <c r="Z2476" s="14"/>
      <c r="AA2476" s="14"/>
      <c r="AB2476" s="14"/>
      <c r="AC2476" s="14"/>
      <c r="AD2476" s="14"/>
      <c r="AE2476" s="14"/>
      <c r="AF2476" s="14"/>
      <c r="AG2476" s="14"/>
      <c r="AH2476" s="14"/>
      <c r="AI2476" s="14"/>
      <c r="AJ2476" s="14"/>
      <c r="AK2476" s="14"/>
    </row>
    <row r="2478" spans="2:37" ht="14.25" thickBot="1" x14ac:dyDescent="0.3">
      <c r="B2478" s="322" t="s">
        <v>18</v>
      </c>
      <c r="C2478" s="325">
        <v>44753</v>
      </c>
      <c r="K2478" s="14"/>
      <c r="L2478" s="14"/>
      <c r="M2478" s="14"/>
      <c r="N2478" s="14"/>
      <c r="O2478" s="14"/>
      <c r="P2478" s="14"/>
      <c r="Q2478" s="14"/>
      <c r="R2478" s="14"/>
      <c r="S2478" s="14"/>
      <c r="T2478" s="14"/>
      <c r="U2478" s="14"/>
      <c r="V2478" s="14"/>
      <c r="W2478" s="14"/>
      <c r="X2478" s="14"/>
      <c r="Y2478" s="14"/>
      <c r="Z2478" s="14"/>
      <c r="AA2478" s="14"/>
      <c r="AB2478" s="14"/>
      <c r="AC2478" s="14"/>
      <c r="AD2478" s="14"/>
      <c r="AE2478" s="14"/>
      <c r="AF2478" s="14"/>
      <c r="AG2478" s="14"/>
      <c r="AH2478" s="14"/>
      <c r="AI2478" s="14"/>
      <c r="AJ2478" s="14"/>
      <c r="AK2478" s="14"/>
    </row>
    <row r="2479" spans="2:37" ht="14.25" thickBot="1" x14ac:dyDescent="0.3">
      <c r="B2479" s="2" t="s">
        <v>0</v>
      </c>
      <c r="C2479" s="3" t="s">
        <v>1</v>
      </c>
      <c r="D2479" s="3" t="s">
        <v>2</v>
      </c>
      <c r="E2479" s="3" t="s">
        <v>3</v>
      </c>
      <c r="F2479" s="3"/>
      <c r="G2479" s="4" t="s">
        <v>4</v>
      </c>
      <c r="H2479" s="4"/>
      <c r="I2479" s="3" t="s">
        <v>5</v>
      </c>
      <c r="J2479" s="217"/>
      <c r="K2479" s="14"/>
      <c r="L2479" s="14"/>
      <c r="M2479" s="14"/>
      <c r="N2479" s="14"/>
      <c r="O2479" s="14"/>
      <c r="P2479" s="14"/>
      <c r="Q2479" s="14"/>
      <c r="R2479" s="14"/>
      <c r="S2479" s="14"/>
      <c r="T2479" s="14"/>
      <c r="U2479" s="14"/>
      <c r="V2479" s="14"/>
      <c r="W2479" s="14"/>
      <c r="X2479" s="14"/>
      <c r="Y2479" s="14"/>
      <c r="Z2479" s="14"/>
      <c r="AA2479" s="14"/>
      <c r="AB2479" s="14"/>
      <c r="AC2479" s="14"/>
      <c r="AD2479" s="14"/>
      <c r="AE2479" s="14"/>
      <c r="AF2479" s="14"/>
      <c r="AG2479" s="14"/>
      <c r="AH2479" s="14"/>
      <c r="AI2479" s="14"/>
      <c r="AJ2479" s="14"/>
      <c r="AK2479" s="14"/>
    </row>
    <row r="2480" spans="2:37" ht="14.25" thickBot="1" x14ac:dyDescent="0.3">
      <c r="B2480" s="5">
        <v>273664</v>
      </c>
      <c r="C2480" s="6">
        <v>1135749</v>
      </c>
      <c r="D2480" s="6" t="s">
        <v>7</v>
      </c>
      <c r="E2480" s="6">
        <v>6060050026</v>
      </c>
      <c r="F2480" s="6"/>
      <c r="G2480" s="6">
        <v>2</v>
      </c>
      <c r="H2480" s="6"/>
      <c r="I2480" s="7"/>
      <c r="J2480" s="218"/>
      <c r="K2480" s="14"/>
      <c r="L2480" s="14"/>
      <c r="M2480" s="14"/>
      <c r="N2480" s="14"/>
      <c r="O2480" s="14"/>
      <c r="P2480" s="14"/>
      <c r="Q2480" s="14"/>
      <c r="R2480" s="14"/>
      <c r="S2480" s="14"/>
      <c r="T2480" s="14"/>
      <c r="U2480" s="14"/>
      <c r="V2480" s="14"/>
      <c r="W2480" s="14"/>
      <c r="X2480" s="14"/>
      <c r="Y2480" s="14"/>
      <c r="Z2480" s="14"/>
      <c r="AA2480" s="14"/>
      <c r="AB2480" s="14"/>
      <c r="AC2480" s="14"/>
      <c r="AD2480" s="14"/>
      <c r="AE2480" s="14"/>
      <c r="AF2480" s="14"/>
      <c r="AG2480" s="14"/>
      <c r="AH2480" s="14"/>
      <c r="AI2480" s="14"/>
      <c r="AJ2480" s="14"/>
      <c r="AK2480" s="14"/>
    </row>
    <row r="2481" spans="2:37" ht="14.25" thickBot="1" x14ac:dyDescent="0.3">
      <c r="B2481" s="5">
        <v>273672</v>
      </c>
      <c r="C2481" s="6">
        <v>1135750</v>
      </c>
      <c r="D2481" s="6" t="s">
        <v>9</v>
      </c>
      <c r="E2481" s="6" t="s">
        <v>15</v>
      </c>
      <c r="F2481" s="6"/>
      <c r="G2481" s="7">
        <v>16</v>
      </c>
      <c r="H2481" s="7"/>
      <c r="I2481" s="7"/>
      <c r="J2481" s="218"/>
      <c r="K2481" s="14"/>
      <c r="L2481" s="14"/>
      <c r="M2481" s="14"/>
      <c r="N2481" s="14"/>
      <c r="O2481" s="14"/>
      <c r="P2481" s="14"/>
      <c r="Q2481" s="14"/>
      <c r="R2481" s="14"/>
      <c r="S2481" s="14"/>
      <c r="T2481" s="14"/>
      <c r="U2481" s="14"/>
      <c r="V2481" s="14"/>
      <c r="W2481" s="14"/>
      <c r="X2481" s="14"/>
      <c r="Y2481" s="14"/>
      <c r="Z2481" s="14"/>
      <c r="AA2481" s="14"/>
      <c r="AB2481" s="14"/>
      <c r="AC2481" s="14"/>
      <c r="AD2481" s="14"/>
      <c r="AE2481" s="14"/>
      <c r="AF2481" s="14"/>
      <c r="AG2481" s="14"/>
      <c r="AH2481" s="14"/>
      <c r="AI2481" s="14"/>
      <c r="AJ2481" s="14"/>
      <c r="AK2481" s="14"/>
    </row>
    <row r="2482" spans="2:37" ht="14.25" thickBot="1" x14ac:dyDescent="0.3">
      <c r="B2482" s="5">
        <v>273702</v>
      </c>
      <c r="C2482" s="6">
        <v>1135753</v>
      </c>
      <c r="D2482" s="6" t="s">
        <v>10</v>
      </c>
      <c r="E2482" s="6" t="s">
        <v>16</v>
      </c>
      <c r="F2482" s="6"/>
      <c r="G2482" s="7">
        <v>3</v>
      </c>
      <c r="H2482" s="7"/>
      <c r="I2482" s="7"/>
      <c r="J2482" s="218"/>
      <c r="K2482" s="14"/>
      <c r="L2482" s="14"/>
      <c r="M2482" s="14"/>
      <c r="N2482" s="14"/>
      <c r="O2482" s="14"/>
      <c r="P2482" s="14"/>
      <c r="Q2482" s="14"/>
      <c r="R2482" s="14"/>
      <c r="S2482" s="14"/>
      <c r="T2482" s="14"/>
      <c r="U2482" s="14"/>
      <c r="V2482" s="14"/>
      <c r="W2482" s="14"/>
      <c r="X2482" s="14"/>
      <c r="Y2482" s="14"/>
      <c r="Z2482" s="14"/>
      <c r="AA2482" s="14"/>
      <c r="AB2482" s="14"/>
      <c r="AC2482" s="14"/>
      <c r="AD2482" s="14"/>
      <c r="AE2482" s="14"/>
      <c r="AF2482" s="14"/>
      <c r="AG2482" s="14"/>
      <c r="AH2482" s="14"/>
      <c r="AI2482" s="14"/>
      <c r="AJ2482" s="14"/>
      <c r="AK2482" s="14"/>
    </row>
    <row r="2483" spans="2:37" ht="14.25" thickBot="1" x14ac:dyDescent="0.3">
      <c r="B2483" s="5">
        <v>273698</v>
      </c>
      <c r="C2483" s="6">
        <v>1135752</v>
      </c>
      <c r="D2483" s="6" t="s">
        <v>11</v>
      </c>
      <c r="E2483" s="6" t="s">
        <v>17</v>
      </c>
      <c r="F2483" s="6"/>
      <c r="G2483" s="7">
        <v>7</v>
      </c>
      <c r="H2483" s="7"/>
      <c r="I2483" s="7"/>
      <c r="J2483" s="218"/>
      <c r="K2483" s="14"/>
      <c r="L2483" s="14"/>
      <c r="M2483" s="14"/>
      <c r="N2483" s="14"/>
      <c r="O2483" s="14"/>
      <c r="P2483" s="14"/>
      <c r="Q2483" s="14"/>
      <c r="R2483" s="14"/>
      <c r="S2483" s="14"/>
      <c r="T2483" s="14"/>
      <c r="U2483" s="14"/>
      <c r="V2483" s="14"/>
      <c r="W2483" s="14"/>
      <c r="X2483" s="14"/>
      <c r="Y2483" s="14"/>
      <c r="Z2483" s="14"/>
      <c r="AA2483" s="14"/>
      <c r="AB2483" s="14"/>
      <c r="AC2483" s="14"/>
      <c r="AD2483" s="14"/>
      <c r="AE2483" s="14"/>
      <c r="AF2483" s="14"/>
      <c r="AG2483" s="14"/>
      <c r="AH2483" s="14"/>
      <c r="AI2483" s="14"/>
      <c r="AJ2483" s="14"/>
      <c r="AK2483" s="14"/>
    </row>
    <row r="2484" spans="2:37" ht="14.25" thickBot="1" x14ac:dyDescent="0.3">
      <c r="B2484" s="5">
        <v>273680</v>
      </c>
      <c r="C2484" s="6">
        <v>1135751</v>
      </c>
      <c r="D2484" s="6" t="s">
        <v>12</v>
      </c>
      <c r="E2484" s="6" t="s">
        <v>13</v>
      </c>
      <c r="F2484" s="6"/>
      <c r="G2484" s="7">
        <v>11</v>
      </c>
      <c r="H2484" s="7"/>
      <c r="I2484" s="7"/>
      <c r="J2484" s="218"/>
      <c r="K2484" s="14"/>
      <c r="L2484" s="14"/>
      <c r="M2484" s="14"/>
      <c r="N2484" s="14"/>
      <c r="O2484" s="14"/>
      <c r="P2484" s="14"/>
      <c r="Q2484" s="14"/>
      <c r="R2484" s="14"/>
      <c r="S2484" s="14"/>
      <c r="T2484" s="14"/>
      <c r="U2484" s="14"/>
      <c r="V2484" s="14"/>
      <c r="W2484" s="14"/>
      <c r="X2484" s="14"/>
      <c r="Y2484" s="14"/>
      <c r="Z2484" s="14"/>
      <c r="AA2484" s="14"/>
      <c r="AB2484" s="14"/>
      <c r="AC2484" s="14"/>
      <c r="AD2484" s="14"/>
      <c r="AE2484" s="14"/>
      <c r="AF2484" s="14"/>
      <c r="AG2484" s="14"/>
      <c r="AH2484" s="14"/>
      <c r="AI2484" s="14"/>
      <c r="AJ2484" s="14"/>
      <c r="AK2484" s="14"/>
    </row>
    <row r="2486" spans="2:37" ht="14.25" thickBot="1" x14ac:dyDescent="0.3">
      <c r="B2486" s="322" t="s">
        <v>18</v>
      </c>
      <c r="C2486" s="325">
        <v>44746</v>
      </c>
      <c r="K2486" s="14"/>
      <c r="L2486" s="14"/>
      <c r="M2486" s="14"/>
      <c r="N2486" s="14"/>
      <c r="O2486" s="14"/>
      <c r="P2486" s="14"/>
      <c r="Q2486" s="14"/>
      <c r="R2486" s="14"/>
      <c r="S2486" s="14"/>
      <c r="T2486" s="14"/>
      <c r="U2486" s="14"/>
      <c r="V2486" s="14"/>
      <c r="W2486" s="14"/>
      <c r="X2486" s="14"/>
      <c r="Y2486" s="14"/>
      <c r="Z2486" s="14"/>
      <c r="AA2486" s="14"/>
      <c r="AB2486" s="14"/>
      <c r="AC2486" s="14"/>
      <c r="AD2486" s="14"/>
      <c r="AE2486" s="14"/>
      <c r="AF2486" s="14"/>
      <c r="AG2486" s="14"/>
      <c r="AH2486" s="14"/>
      <c r="AI2486" s="14"/>
      <c r="AJ2486" s="14"/>
      <c r="AK2486" s="14"/>
    </row>
    <row r="2487" spans="2:37" ht="14.25" thickBot="1" x14ac:dyDescent="0.3">
      <c r="B2487" s="2" t="s">
        <v>0</v>
      </c>
      <c r="C2487" s="3" t="s">
        <v>1</v>
      </c>
      <c r="D2487" s="3" t="s">
        <v>2</v>
      </c>
      <c r="E2487" s="3" t="s">
        <v>3</v>
      </c>
      <c r="F2487" s="3"/>
      <c r="G2487" s="4" t="s">
        <v>4</v>
      </c>
      <c r="H2487" s="4"/>
      <c r="I2487" s="3" t="s">
        <v>5</v>
      </c>
      <c r="J2487" s="217"/>
      <c r="K2487" s="14"/>
      <c r="L2487" s="14"/>
      <c r="M2487" s="14"/>
      <c r="N2487" s="14"/>
      <c r="O2487" s="14"/>
      <c r="P2487" s="14"/>
      <c r="Q2487" s="14"/>
      <c r="R2487" s="14"/>
      <c r="S2487" s="14"/>
      <c r="T2487" s="14"/>
      <c r="U2487" s="14"/>
      <c r="V2487" s="14"/>
      <c r="W2487" s="14"/>
      <c r="X2487" s="14"/>
      <c r="Y2487" s="14"/>
      <c r="Z2487" s="14"/>
      <c r="AA2487" s="14"/>
      <c r="AB2487" s="14"/>
      <c r="AC2487" s="14"/>
      <c r="AD2487" s="14"/>
      <c r="AE2487" s="14"/>
      <c r="AF2487" s="14"/>
      <c r="AG2487" s="14"/>
      <c r="AH2487" s="14"/>
      <c r="AI2487" s="14"/>
      <c r="AJ2487" s="14"/>
      <c r="AK2487" s="14"/>
    </row>
    <row r="2488" spans="2:37" ht="14.25" thickBot="1" x14ac:dyDescent="0.3">
      <c r="B2488" s="5">
        <v>273664</v>
      </c>
      <c r="C2488" s="6">
        <v>1135749</v>
      </c>
      <c r="D2488" s="6" t="s">
        <v>7</v>
      </c>
      <c r="E2488" s="6">
        <v>6060050026</v>
      </c>
      <c r="F2488" s="6"/>
      <c r="G2488" s="7">
        <v>4</v>
      </c>
      <c r="H2488" s="7"/>
      <c r="I2488" s="7"/>
      <c r="J2488" s="218"/>
    </row>
    <row r="2489" spans="2:37" ht="14.25" thickBot="1" x14ac:dyDescent="0.3">
      <c r="B2489" s="5">
        <v>273672</v>
      </c>
      <c r="C2489" s="6">
        <v>1135750</v>
      </c>
      <c r="D2489" s="6" t="s">
        <v>9</v>
      </c>
      <c r="E2489" s="6" t="s">
        <v>15</v>
      </c>
      <c r="F2489" s="6"/>
      <c r="G2489" s="7">
        <v>14</v>
      </c>
      <c r="H2489" s="7"/>
      <c r="I2489" s="7"/>
      <c r="J2489" s="218"/>
    </row>
    <row r="2490" spans="2:37" ht="14.25" thickBot="1" x14ac:dyDescent="0.3">
      <c r="B2490" s="5">
        <v>273702</v>
      </c>
      <c r="C2490" s="6">
        <v>1135753</v>
      </c>
      <c r="D2490" s="6" t="s">
        <v>10</v>
      </c>
      <c r="E2490" s="6" t="s">
        <v>16</v>
      </c>
      <c r="F2490" s="6"/>
      <c r="G2490" s="7">
        <v>3</v>
      </c>
      <c r="H2490" s="7"/>
      <c r="I2490" s="7"/>
      <c r="J2490" s="218"/>
    </row>
    <row r="2491" spans="2:37" ht="14.25" thickBot="1" x14ac:dyDescent="0.3">
      <c r="B2491" s="5">
        <v>273698</v>
      </c>
      <c r="C2491" s="6">
        <v>1135752</v>
      </c>
      <c r="D2491" s="6" t="s">
        <v>11</v>
      </c>
      <c r="E2491" s="6" t="s">
        <v>17</v>
      </c>
      <c r="F2491" s="6"/>
      <c r="G2491" s="7">
        <v>7</v>
      </c>
      <c r="H2491" s="7"/>
      <c r="I2491" s="7"/>
      <c r="J2491" s="218"/>
    </row>
    <row r="2492" spans="2:37" ht="14.25" thickBot="1" x14ac:dyDescent="0.3">
      <c r="B2492" s="5">
        <v>273680</v>
      </c>
      <c r="C2492" s="6">
        <v>1135751</v>
      </c>
      <c r="D2492" s="6" t="s">
        <v>12</v>
      </c>
      <c r="E2492" s="6" t="s">
        <v>13</v>
      </c>
      <c r="F2492" s="6"/>
      <c r="G2492" s="7">
        <v>13</v>
      </c>
      <c r="H2492" s="7"/>
      <c r="I2492" s="7"/>
      <c r="J2492" s="218"/>
    </row>
    <row r="2494" spans="2:37" ht="14.25" thickBot="1" x14ac:dyDescent="0.3">
      <c r="B2494" s="322" t="s">
        <v>18</v>
      </c>
      <c r="C2494" s="325">
        <v>44739</v>
      </c>
    </row>
    <row r="2495" spans="2:37" ht="14.25" thickBot="1" x14ac:dyDescent="0.3">
      <c r="B2495" s="2" t="s">
        <v>0</v>
      </c>
      <c r="C2495" s="3" t="s">
        <v>1</v>
      </c>
      <c r="D2495" s="3" t="s">
        <v>2</v>
      </c>
      <c r="E2495" s="3" t="s">
        <v>3</v>
      </c>
      <c r="F2495" s="3"/>
      <c r="G2495" s="4" t="s">
        <v>4</v>
      </c>
      <c r="H2495" s="4"/>
      <c r="I2495" s="3" t="s">
        <v>5</v>
      </c>
      <c r="J2495" s="217"/>
    </row>
    <row r="2496" spans="2:37" ht="14.25" thickBot="1" x14ac:dyDescent="0.3">
      <c r="B2496" s="5">
        <v>273664</v>
      </c>
      <c r="C2496" s="6">
        <v>1135749</v>
      </c>
      <c r="D2496" s="6" t="s">
        <v>7</v>
      </c>
      <c r="E2496" s="6">
        <v>6060050026</v>
      </c>
      <c r="F2496" s="6"/>
      <c r="G2496" s="7">
        <v>4</v>
      </c>
      <c r="H2496" s="7"/>
      <c r="I2496" s="7"/>
      <c r="J2496" s="218"/>
    </row>
    <row r="2497" spans="1:37" ht="14.25" thickBot="1" x14ac:dyDescent="0.3">
      <c r="B2497" s="5">
        <v>273672</v>
      </c>
      <c r="C2497" s="6">
        <v>1135750</v>
      </c>
      <c r="D2497" s="6" t="s">
        <v>9</v>
      </c>
      <c r="E2497" s="6" t="s">
        <v>15</v>
      </c>
      <c r="F2497" s="6"/>
      <c r="G2497" s="7">
        <v>16</v>
      </c>
      <c r="H2497" s="7"/>
      <c r="I2497" s="7"/>
      <c r="J2497" s="218"/>
    </row>
    <row r="2498" spans="1:37" ht="14.25" thickBot="1" x14ac:dyDescent="0.3">
      <c r="B2498" s="5">
        <v>273702</v>
      </c>
      <c r="C2498" s="6">
        <v>1135753</v>
      </c>
      <c r="D2498" s="6" t="s">
        <v>10</v>
      </c>
      <c r="E2498" s="6" t="s">
        <v>16</v>
      </c>
      <c r="F2498" s="6"/>
      <c r="G2498" s="7">
        <v>3</v>
      </c>
      <c r="H2498" s="7"/>
      <c r="I2498" s="7"/>
      <c r="J2498" s="218"/>
    </row>
    <row r="2499" spans="1:37" ht="14.25" thickBot="1" x14ac:dyDescent="0.3">
      <c r="B2499" s="5">
        <v>273698</v>
      </c>
      <c r="C2499" s="6">
        <v>1135752</v>
      </c>
      <c r="D2499" s="6" t="s">
        <v>11</v>
      </c>
      <c r="E2499" s="6" t="s">
        <v>17</v>
      </c>
      <c r="F2499" s="6"/>
      <c r="G2499" s="7">
        <v>7</v>
      </c>
      <c r="H2499" s="7"/>
      <c r="I2499" s="7"/>
      <c r="J2499" s="218"/>
    </row>
    <row r="2500" spans="1:37" ht="14.25" thickBot="1" x14ac:dyDescent="0.3">
      <c r="B2500" s="5">
        <v>273680</v>
      </c>
      <c r="C2500" s="6">
        <v>1135751</v>
      </c>
      <c r="D2500" s="6" t="s">
        <v>12</v>
      </c>
      <c r="E2500" s="6" t="s">
        <v>13</v>
      </c>
      <c r="F2500" s="6"/>
      <c r="G2500" s="7">
        <v>13</v>
      </c>
      <c r="H2500" s="7"/>
      <c r="I2500" s="7"/>
      <c r="J2500" s="218"/>
    </row>
    <row r="2502" spans="1:37" ht="15.75" thickBot="1" x14ac:dyDescent="0.3">
      <c r="A2502"/>
      <c r="B2502" s="322" t="s">
        <v>18</v>
      </c>
      <c r="C2502" s="325">
        <v>44732</v>
      </c>
    </row>
    <row r="2503" spans="1:37" customFormat="1" ht="15.75" thickBot="1" x14ac:dyDescent="0.3">
      <c r="B2503" s="2" t="s">
        <v>0</v>
      </c>
      <c r="C2503" s="3" t="s">
        <v>1</v>
      </c>
      <c r="D2503" s="3" t="s">
        <v>2</v>
      </c>
      <c r="E2503" s="3" t="s">
        <v>3</v>
      </c>
      <c r="F2503" s="3"/>
      <c r="G2503" s="4" t="s">
        <v>4</v>
      </c>
      <c r="H2503" s="4"/>
      <c r="I2503" s="3" t="s">
        <v>5</v>
      </c>
      <c r="J2503" s="217"/>
      <c r="K2503" s="290"/>
      <c r="L2503" s="290"/>
      <c r="M2503" s="290"/>
      <c r="N2503" s="290"/>
      <c r="O2503" s="290"/>
      <c r="P2503" s="290"/>
      <c r="Q2503" s="290"/>
      <c r="R2503" s="290"/>
      <c r="S2503" s="306"/>
      <c r="T2503" s="306"/>
      <c r="U2503" s="306"/>
      <c r="V2503" s="306"/>
      <c r="W2503" s="306"/>
      <c r="X2503" s="306"/>
      <c r="Y2503" s="306"/>
      <c r="Z2503" s="306"/>
      <c r="AA2503" s="306"/>
      <c r="AB2503" s="306"/>
      <c r="AC2503" s="306"/>
      <c r="AD2503" s="306"/>
      <c r="AE2503" s="306"/>
      <c r="AF2503" s="306"/>
      <c r="AG2503" s="306"/>
      <c r="AH2503" s="306"/>
      <c r="AI2503" s="306"/>
      <c r="AJ2503" s="306"/>
      <c r="AK2503" s="306"/>
    </row>
    <row r="2504" spans="1:37" customFormat="1" ht="28.5" thickTop="1" thickBot="1" x14ac:dyDescent="0.3">
      <c r="B2504" s="5">
        <v>273664</v>
      </c>
      <c r="C2504" s="6">
        <v>1135749</v>
      </c>
      <c r="D2504" s="6" t="s">
        <v>7</v>
      </c>
      <c r="E2504" s="6">
        <v>6060050026</v>
      </c>
      <c r="F2504" s="6"/>
      <c r="G2504" s="7">
        <v>4</v>
      </c>
      <c r="H2504" s="7"/>
      <c r="I2504" s="7"/>
      <c r="J2504" s="218"/>
      <c r="K2504" s="290"/>
      <c r="L2504" s="290"/>
      <c r="M2504" s="290"/>
      <c r="N2504" s="290"/>
      <c r="O2504" s="290"/>
      <c r="P2504" s="21" t="s">
        <v>22</v>
      </c>
      <c r="Q2504" s="22" t="s">
        <v>23</v>
      </c>
      <c r="R2504" s="219"/>
      <c r="S2504" s="306"/>
      <c r="T2504" s="306"/>
      <c r="U2504" s="306"/>
      <c r="V2504" s="306"/>
      <c r="W2504" s="306"/>
      <c r="X2504" s="306"/>
      <c r="Y2504" s="306"/>
      <c r="Z2504" s="306"/>
      <c r="AA2504" s="306"/>
      <c r="AB2504" s="306"/>
      <c r="AC2504" s="306"/>
      <c r="AD2504" s="306"/>
      <c r="AE2504" s="306"/>
      <c r="AF2504" s="306"/>
      <c r="AG2504" s="306"/>
      <c r="AH2504" s="306"/>
      <c r="AI2504" s="306"/>
      <c r="AJ2504" s="306"/>
      <c r="AK2504" s="306"/>
    </row>
    <row r="2505" spans="1:37" customFormat="1" ht="15.75" thickBot="1" x14ac:dyDescent="0.3">
      <c r="B2505" s="5">
        <v>273672</v>
      </c>
      <c r="C2505" s="6">
        <v>1135750</v>
      </c>
      <c r="D2505" s="6" t="s">
        <v>9</v>
      </c>
      <c r="E2505" s="6" t="s">
        <v>15</v>
      </c>
      <c r="F2505" s="6"/>
      <c r="G2505" s="7">
        <v>14</v>
      </c>
      <c r="H2505" s="7"/>
      <c r="I2505" s="7"/>
      <c r="J2505" s="218"/>
      <c r="K2505" s="290"/>
      <c r="L2505" s="290"/>
      <c r="M2505" s="290"/>
      <c r="N2505" s="290"/>
      <c r="O2505" s="290"/>
      <c r="P2505" s="26">
        <v>4</v>
      </c>
      <c r="Q2505" s="30">
        <f>N2521-P2505</f>
        <v>5</v>
      </c>
      <c r="R2505" s="218"/>
      <c r="S2505" s="306"/>
      <c r="T2505" s="306"/>
      <c r="U2505" s="306"/>
      <c r="V2505" s="306"/>
      <c r="W2505" s="306"/>
      <c r="X2505" s="306"/>
      <c r="Y2505" s="306"/>
      <c r="Z2505" s="306"/>
      <c r="AA2505" s="306"/>
      <c r="AB2505" s="306"/>
      <c r="AC2505" s="306"/>
      <c r="AD2505" s="306"/>
      <c r="AE2505" s="306"/>
      <c r="AF2505" s="306"/>
      <c r="AG2505" s="306"/>
      <c r="AH2505" s="306"/>
      <c r="AI2505" s="306"/>
      <c r="AJ2505" s="306"/>
      <c r="AK2505" s="306"/>
    </row>
    <row r="2506" spans="1:37" customFormat="1" ht="15.75" thickBot="1" x14ac:dyDescent="0.3">
      <c r="B2506" s="5">
        <v>273702</v>
      </c>
      <c r="C2506" s="6">
        <v>1135753</v>
      </c>
      <c r="D2506" s="6" t="s">
        <v>10</v>
      </c>
      <c r="E2506" s="6" t="s">
        <v>16</v>
      </c>
      <c r="F2506" s="6"/>
      <c r="G2506" s="7">
        <v>3</v>
      </c>
      <c r="H2506" s="7"/>
      <c r="I2506" s="7"/>
      <c r="J2506" s="218"/>
      <c r="K2506" s="290"/>
      <c r="L2506" s="290"/>
      <c r="M2506" s="290"/>
      <c r="N2506" s="290"/>
      <c r="O2506" s="290"/>
      <c r="P2506" s="26">
        <v>7</v>
      </c>
      <c r="Q2506" s="30">
        <f>N2522-P2506</f>
        <v>18</v>
      </c>
      <c r="R2506" s="218"/>
      <c r="S2506" s="306"/>
      <c r="T2506" s="306"/>
      <c r="U2506" s="306"/>
      <c r="V2506" s="306"/>
      <c r="W2506" s="306"/>
      <c r="X2506" s="306"/>
      <c r="Y2506" s="306"/>
      <c r="Z2506" s="306"/>
      <c r="AA2506" s="306"/>
      <c r="AB2506" s="306"/>
      <c r="AC2506" s="306"/>
      <c r="AD2506" s="306"/>
      <c r="AE2506" s="306"/>
      <c r="AF2506" s="306"/>
      <c r="AG2506" s="306"/>
      <c r="AH2506" s="306"/>
      <c r="AI2506" s="306"/>
      <c r="AJ2506" s="306"/>
      <c r="AK2506" s="306"/>
    </row>
    <row r="2507" spans="1:37" customFormat="1" ht="15.75" thickBot="1" x14ac:dyDescent="0.3">
      <c r="B2507" s="5">
        <v>273698</v>
      </c>
      <c r="C2507" s="6">
        <v>1135752</v>
      </c>
      <c r="D2507" s="6" t="s">
        <v>11</v>
      </c>
      <c r="E2507" s="6" t="s">
        <v>17</v>
      </c>
      <c r="F2507" s="6"/>
      <c r="G2507" s="7">
        <v>7</v>
      </c>
      <c r="H2507" s="7"/>
      <c r="I2507" s="7"/>
      <c r="J2507" s="218"/>
      <c r="K2507" s="290"/>
      <c r="L2507" s="290"/>
      <c r="M2507" s="290"/>
      <c r="N2507" s="290"/>
      <c r="O2507" s="290"/>
      <c r="P2507" s="26">
        <v>0</v>
      </c>
      <c r="Q2507" s="30">
        <f>N2523-P2507</f>
        <v>3</v>
      </c>
      <c r="R2507" s="218"/>
      <c r="S2507" s="306"/>
      <c r="T2507" s="306"/>
      <c r="U2507" s="306"/>
      <c r="V2507" s="306"/>
      <c r="W2507" s="306"/>
      <c r="X2507" s="306"/>
      <c r="Y2507" s="306"/>
      <c r="Z2507" s="306"/>
      <c r="AA2507" s="306"/>
      <c r="AB2507" s="306"/>
      <c r="AC2507" s="306"/>
      <c r="AD2507" s="306"/>
      <c r="AE2507" s="306"/>
      <c r="AF2507" s="306"/>
      <c r="AG2507" s="306"/>
      <c r="AH2507" s="306"/>
      <c r="AI2507" s="306"/>
      <c r="AJ2507" s="306"/>
      <c r="AK2507" s="306"/>
    </row>
    <row r="2508" spans="1:37" customFormat="1" ht="15.75" thickBot="1" x14ac:dyDescent="0.3">
      <c r="B2508" s="5">
        <v>273680</v>
      </c>
      <c r="C2508" s="6">
        <v>1135751</v>
      </c>
      <c r="D2508" s="6" t="s">
        <v>12</v>
      </c>
      <c r="E2508" s="6" t="s">
        <v>13</v>
      </c>
      <c r="F2508" s="6"/>
      <c r="G2508" s="7">
        <v>13</v>
      </c>
      <c r="H2508" s="7"/>
      <c r="I2508" s="7"/>
      <c r="J2508" s="218"/>
      <c r="K2508" s="290"/>
      <c r="L2508" s="290"/>
      <c r="M2508" s="290"/>
      <c r="N2508" s="290"/>
      <c r="O2508" s="290"/>
      <c r="P2508" s="26">
        <v>0</v>
      </c>
      <c r="Q2508" s="30">
        <f>N2524-P2508</f>
        <v>10</v>
      </c>
      <c r="R2508" s="218"/>
      <c r="S2508" s="306"/>
      <c r="T2508" s="306"/>
      <c r="U2508" s="306"/>
      <c r="V2508" s="306"/>
      <c r="W2508" s="306"/>
      <c r="X2508" s="306"/>
      <c r="Y2508" s="306"/>
      <c r="Z2508" s="306"/>
      <c r="AA2508" s="306"/>
      <c r="AB2508" s="306"/>
      <c r="AC2508" s="306"/>
      <c r="AD2508" s="306"/>
      <c r="AE2508" s="306"/>
      <c r="AF2508" s="306"/>
      <c r="AG2508" s="306"/>
      <c r="AH2508" s="306"/>
      <c r="AI2508" s="306"/>
      <c r="AJ2508" s="306"/>
      <c r="AK2508" s="306"/>
    </row>
    <row r="2509" spans="1:37" customFormat="1" ht="15.75" thickBot="1" x14ac:dyDescent="0.3">
      <c r="A2509" s="14"/>
      <c r="B2509" s="290"/>
      <c r="C2509" s="290"/>
      <c r="D2509" s="290"/>
      <c r="E2509" s="290"/>
      <c r="F2509" s="290"/>
      <c r="G2509" s="290"/>
      <c r="H2509" s="290"/>
      <c r="I2509" s="290"/>
      <c r="J2509" s="290"/>
      <c r="K2509" s="290"/>
      <c r="L2509" s="290"/>
      <c r="M2509" s="290"/>
      <c r="N2509" s="290"/>
      <c r="O2509" s="290"/>
      <c r="P2509" s="31">
        <v>4</v>
      </c>
      <c r="Q2509" s="35">
        <f>N2525-P2509</f>
        <v>13</v>
      </c>
      <c r="R2509" s="218"/>
      <c r="S2509" s="306"/>
      <c r="T2509" s="306"/>
      <c r="U2509" s="306"/>
      <c r="V2509" s="306"/>
      <c r="W2509" s="306"/>
      <c r="X2509" s="306"/>
      <c r="Y2509" s="306"/>
      <c r="Z2509" s="306"/>
      <c r="AA2509" s="306"/>
      <c r="AB2509" s="306"/>
      <c r="AC2509" s="306"/>
      <c r="AD2509" s="306"/>
      <c r="AE2509" s="306"/>
      <c r="AF2509" s="306"/>
      <c r="AG2509" s="306"/>
      <c r="AH2509" s="306"/>
      <c r="AI2509" s="306"/>
      <c r="AJ2509" s="306"/>
      <c r="AK2509" s="306"/>
    </row>
    <row r="2510" spans="1:37" ht="15" thickTop="1" thickBot="1" x14ac:dyDescent="0.3">
      <c r="B2510" s="322" t="s">
        <v>18</v>
      </c>
      <c r="C2510" s="325">
        <v>44725</v>
      </c>
    </row>
    <row r="2511" spans="1:37" ht="14.25" thickBot="1" x14ac:dyDescent="0.3">
      <c r="B2511" s="2" t="s">
        <v>0</v>
      </c>
      <c r="C2511" s="3" t="s">
        <v>1</v>
      </c>
      <c r="D2511" s="3" t="s">
        <v>2</v>
      </c>
      <c r="E2511" s="3" t="s">
        <v>3</v>
      </c>
      <c r="F2511" s="3"/>
      <c r="G2511" s="4" t="s">
        <v>4</v>
      </c>
      <c r="H2511" s="4"/>
      <c r="I2511" s="3" t="s">
        <v>5</v>
      </c>
      <c r="J2511" s="217"/>
    </row>
    <row r="2512" spans="1:37" ht="14.25" thickBot="1" x14ac:dyDescent="0.3">
      <c r="B2512" s="5">
        <v>273664</v>
      </c>
      <c r="C2512" s="6">
        <v>1135749</v>
      </c>
      <c r="D2512" s="6" t="s">
        <v>7</v>
      </c>
      <c r="E2512" s="6">
        <v>6060050026</v>
      </c>
      <c r="F2512" s="6"/>
      <c r="G2512" s="7">
        <v>1</v>
      </c>
      <c r="H2512" s="7"/>
      <c r="I2512" s="7"/>
      <c r="J2512" s="218"/>
    </row>
    <row r="2513" spans="2:37" ht="14.25" thickBot="1" x14ac:dyDescent="0.3">
      <c r="B2513" s="5">
        <v>273672</v>
      </c>
      <c r="C2513" s="6">
        <v>1135750</v>
      </c>
      <c r="D2513" s="6" t="s">
        <v>9</v>
      </c>
      <c r="E2513" s="6" t="s">
        <v>15</v>
      </c>
      <c r="F2513" s="6"/>
      <c r="G2513" s="7">
        <v>12</v>
      </c>
      <c r="H2513" s="7"/>
      <c r="I2513" s="7"/>
      <c r="J2513" s="218"/>
    </row>
    <row r="2514" spans="2:37" ht="14.25" thickBot="1" x14ac:dyDescent="0.3">
      <c r="B2514" s="5">
        <v>273702</v>
      </c>
      <c r="C2514" s="6">
        <v>1135753</v>
      </c>
      <c r="D2514" s="6" t="s">
        <v>10</v>
      </c>
      <c r="E2514" s="6" t="s">
        <v>16</v>
      </c>
      <c r="F2514" s="6"/>
      <c r="G2514" s="7">
        <v>3</v>
      </c>
      <c r="H2514" s="7"/>
      <c r="I2514" s="7"/>
      <c r="J2514" s="218"/>
    </row>
    <row r="2515" spans="2:37" ht="14.25" thickBot="1" x14ac:dyDescent="0.3">
      <c r="B2515" s="5">
        <v>273698</v>
      </c>
      <c r="C2515" s="6">
        <v>1135752</v>
      </c>
      <c r="D2515" s="6" t="s">
        <v>11</v>
      </c>
      <c r="E2515" s="6" t="s">
        <v>17</v>
      </c>
      <c r="F2515" s="6"/>
      <c r="G2515" s="7">
        <v>10</v>
      </c>
      <c r="H2515" s="7"/>
      <c r="I2515" s="7"/>
      <c r="J2515" s="218"/>
    </row>
    <row r="2516" spans="2:37" ht="14.25" thickBot="1" x14ac:dyDescent="0.3">
      <c r="B2516" s="5">
        <v>273680</v>
      </c>
      <c r="C2516" s="6">
        <v>1135751</v>
      </c>
      <c r="D2516" s="6" t="s">
        <v>12</v>
      </c>
      <c r="E2516" s="6" t="s">
        <v>13</v>
      </c>
      <c r="F2516" s="6"/>
      <c r="G2516" s="7">
        <v>18</v>
      </c>
      <c r="H2516" s="7"/>
      <c r="I2516" s="7"/>
      <c r="J2516" s="218"/>
    </row>
    <row r="2518" spans="2:37" ht="14.25" thickBot="1" x14ac:dyDescent="0.3">
      <c r="B2518" s="322" t="s">
        <v>18</v>
      </c>
      <c r="C2518" s="325">
        <v>44718</v>
      </c>
    </row>
    <row r="2519" spans="2:37" ht="16.5" thickTop="1" thickBot="1" x14ac:dyDescent="0.3">
      <c r="B2519" s="2" t="s">
        <v>0</v>
      </c>
      <c r="C2519" s="3" t="s">
        <v>1</v>
      </c>
      <c r="D2519" s="3" t="s">
        <v>2</v>
      </c>
      <c r="E2519" s="15" t="s">
        <v>3</v>
      </c>
      <c r="F2519" s="251"/>
      <c r="G2519" s="16" t="s">
        <v>4</v>
      </c>
      <c r="H2519" s="391"/>
      <c r="I2519" s="17" t="s">
        <v>5</v>
      </c>
      <c r="J2519" s="431"/>
      <c r="K2519" s="18" t="s">
        <v>19</v>
      </c>
      <c r="P2519" s="306"/>
      <c r="Q2519" s="306"/>
      <c r="R2519" s="306"/>
    </row>
    <row r="2520" spans="2:37" ht="16.5" thickTop="1" thickBot="1" x14ac:dyDescent="0.3">
      <c r="B2520" s="23">
        <v>273664</v>
      </c>
      <c r="C2520" s="24">
        <v>1135749</v>
      </c>
      <c r="D2520" s="24" t="s">
        <v>7</v>
      </c>
      <c r="E2520" s="25">
        <v>6060050026</v>
      </c>
      <c r="F2520" s="25"/>
      <c r="G2520" s="10">
        <v>1</v>
      </c>
      <c r="H2520" s="392"/>
      <c r="I2520" s="26">
        <v>1</v>
      </c>
      <c r="J2520" s="432"/>
      <c r="K2520" s="27">
        <v>4</v>
      </c>
      <c r="L2520" s="19" t="s">
        <v>20</v>
      </c>
      <c r="M2520" s="256"/>
      <c r="N2520" s="20" t="s">
        <v>21</v>
      </c>
      <c r="O2520" s="219"/>
      <c r="P2520" s="306"/>
      <c r="Q2520" s="306"/>
      <c r="R2520" s="306"/>
      <c r="S2520" s="14"/>
      <c r="T2520" s="14"/>
      <c r="U2520" s="14"/>
      <c r="V2520" s="14"/>
      <c r="W2520" s="14"/>
      <c r="X2520" s="14"/>
      <c r="Y2520" s="14"/>
      <c r="Z2520" s="14"/>
      <c r="AA2520" s="14"/>
      <c r="AB2520" s="14"/>
      <c r="AC2520" s="14"/>
      <c r="AD2520" s="14"/>
      <c r="AE2520" s="14"/>
      <c r="AF2520" s="14"/>
      <c r="AG2520" s="14"/>
      <c r="AH2520" s="14"/>
      <c r="AI2520" s="14"/>
      <c r="AJ2520" s="14"/>
      <c r="AK2520" s="14"/>
    </row>
    <row r="2521" spans="2:37" ht="15.75" thickBot="1" x14ac:dyDescent="0.3">
      <c r="B2521" s="23">
        <v>273672</v>
      </c>
      <c r="C2521" s="24">
        <v>1135750</v>
      </c>
      <c r="D2521" s="24" t="s">
        <v>9</v>
      </c>
      <c r="E2521" s="25" t="s">
        <v>15</v>
      </c>
      <c r="F2521" s="25"/>
      <c r="G2521" s="10">
        <v>12</v>
      </c>
      <c r="H2521" s="392"/>
      <c r="I2521" s="26">
        <v>17</v>
      </c>
      <c r="J2521" s="432"/>
      <c r="K2521" s="27">
        <v>6</v>
      </c>
      <c r="L2521" s="28">
        <f>I2520+K2520</f>
        <v>5</v>
      </c>
      <c r="M2521" s="255"/>
      <c r="N2521" s="29">
        <v>9</v>
      </c>
      <c r="O2521" s="218"/>
      <c r="P2521" s="306"/>
      <c r="Q2521" s="306"/>
      <c r="R2521" s="306"/>
      <c r="S2521" s="14"/>
      <c r="T2521" s="14"/>
      <c r="U2521" s="14"/>
      <c r="V2521" s="14"/>
      <c r="W2521" s="14"/>
      <c r="X2521" s="14"/>
      <c r="Y2521" s="14"/>
      <c r="Z2521" s="14"/>
      <c r="AA2521" s="14"/>
      <c r="AB2521" s="14"/>
      <c r="AC2521" s="14"/>
      <c r="AD2521" s="14"/>
      <c r="AE2521" s="14"/>
      <c r="AF2521" s="14"/>
      <c r="AG2521" s="14"/>
      <c r="AH2521" s="14"/>
      <c r="AI2521" s="14"/>
      <c r="AJ2521" s="14"/>
      <c r="AK2521" s="14"/>
    </row>
    <row r="2522" spans="2:37" ht="15.75" thickBot="1" x14ac:dyDescent="0.3">
      <c r="B2522" s="23">
        <v>273702</v>
      </c>
      <c r="C2522" s="24">
        <v>1135753</v>
      </c>
      <c r="D2522" s="24" t="s">
        <v>10</v>
      </c>
      <c r="E2522" s="25" t="s">
        <v>16</v>
      </c>
      <c r="F2522" s="25"/>
      <c r="G2522" s="10">
        <v>3</v>
      </c>
      <c r="H2522" s="392"/>
      <c r="I2522" s="26">
        <v>3</v>
      </c>
      <c r="J2522" s="432"/>
      <c r="K2522" s="27">
        <v>0</v>
      </c>
      <c r="L2522" s="28">
        <f>I2521+K2521</f>
        <v>23</v>
      </c>
      <c r="M2522" s="255"/>
      <c r="N2522" s="29">
        <v>25</v>
      </c>
      <c r="O2522" s="218"/>
      <c r="P2522" s="306"/>
      <c r="Q2522" s="306"/>
      <c r="R2522" s="306"/>
      <c r="S2522" s="14"/>
      <c r="T2522" s="14"/>
      <c r="U2522" s="14"/>
      <c r="V2522" s="14"/>
      <c r="W2522" s="14"/>
      <c r="X2522" s="14"/>
      <c r="Y2522" s="14"/>
      <c r="Z2522" s="14"/>
      <c r="AA2522" s="14"/>
      <c r="AB2522" s="14"/>
      <c r="AC2522" s="14"/>
      <c r="AD2522" s="14"/>
      <c r="AE2522" s="14"/>
      <c r="AF2522" s="14"/>
      <c r="AG2522" s="14"/>
      <c r="AH2522" s="14"/>
      <c r="AI2522" s="14"/>
      <c r="AJ2522" s="14"/>
      <c r="AK2522" s="14"/>
    </row>
    <row r="2523" spans="2:37" ht="15.75" thickBot="1" x14ac:dyDescent="0.3">
      <c r="B2523" s="23">
        <v>273698</v>
      </c>
      <c r="C2523" s="24">
        <v>1135752</v>
      </c>
      <c r="D2523" s="24" t="s">
        <v>11</v>
      </c>
      <c r="E2523" s="25" t="s">
        <v>17</v>
      </c>
      <c r="F2523" s="25"/>
      <c r="G2523" s="10">
        <v>10</v>
      </c>
      <c r="H2523" s="392"/>
      <c r="I2523" s="26">
        <v>10</v>
      </c>
      <c r="J2523" s="432"/>
      <c r="K2523" s="27">
        <v>0</v>
      </c>
      <c r="L2523" s="28">
        <f>I2522+K2522</f>
        <v>3</v>
      </c>
      <c r="M2523" s="255"/>
      <c r="N2523" s="29">
        <v>3</v>
      </c>
      <c r="O2523" s="218"/>
      <c r="P2523" s="306"/>
      <c r="Q2523" s="306"/>
      <c r="R2523" s="306"/>
      <c r="S2523" s="14"/>
      <c r="T2523" s="14"/>
      <c r="U2523" s="14"/>
      <c r="V2523" s="14"/>
      <c r="W2523" s="14"/>
      <c r="X2523" s="14"/>
      <c r="Y2523" s="14"/>
      <c r="Z2523" s="14"/>
      <c r="AA2523" s="14"/>
      <c r="AB2523" s="14"/>
      <c r="AC2523" s="14"/>
      <c r="AD2523" s="14"/>
      <c r="AE2523" s="14"/>
      <c r="AF2523" s="14"/>
      <c r="AG2523" s="14"/>
      <c r="AH2523" s="14"/>
      <c r="AI2523" s="14"/>
      <c r="AJ2523" s="14"/>
      <c r="AK2523" s="14"/>
    </row>
    <row r="2524" spans="2:37" ht="15.75" thickBot="1" x14ac:dyDescent="0.3">
      <c r="B2524" s="23">
        <v>273680</v>
      </c>
      <c r="C2524" s="24">
        <v>1135751</v>
      </c>
      <c r="D2524" s="24" t="s">
        <v>12</v>
      </c>
      <c r="E2524" s="25" t="s">
        <v>13</v>
      </c>
      <c r="F2524" s="252"/>
      <c r="G2524" s="11">
        <v>13</v>
      </c>
      <c r="H2524" s="393"/>
      <c r="I2524" s="31">
        <v>15</v>
      </c>
      <c r="J2524" s="433"/>
      <c r="K2524" s="32">
        <v>0</v>
      </c>
      <c r="L2524" s="28">
        <f>I2523+K2523</f>
        <v>10</v>
      </c>
      <c r="M2524" s="255"/>
      <c r="N2524" s="29">
        <v>10</v>
      </c>
      <c r="O2524" s="218"/>
      <c r="P2524" s="306"/>
      <c r="Q2524" s="306"/>
      <c r="R2524" s="306"/>
      <c r="S2524" s="14"/>
      <c r="T2524" s="14"/>
      <c r="U2524" s="14"/>
      <c r="V2524" s="14"/>
      <c r="W2524" s="14"/>
      <c r="X2524" s="14"/>
      <c r="Y2524" s="14"/>
      <c r="Z2524" s="14"/>
      <c r="AA2524" s="14"/>
      <c r="AB2524" s="14"/>
      <c r="AC2524" s="14"/>
      <c r="AD2524" s="14"/>
      <c r="AE2524" s="14"/>
      <c r="AF2524" s="14"/>
      <c r="AG2524" s="14"/>
      <c r="AH2524" s="14"/>
      <c r="AI2524" s="14"/>
      <c r="AJ2524" s="14"/>
      <c r="AK2524" s="14"/>
    </row>
    <row r="2525" spans="2:37" ht="15.75" thickBot="1" x14ac:dyDescent="0.3">
      <c r="L2525" s="33">
        <f>I2524+K2524</f>
        <v>15</v>
      </c>
      <c r="M2525" s="257"/>
      <c r="N2525" s="34">
        <v>17</v>
      </c>
      <c r="O2525" s="218"/>
      <c r="P2525" s="306"/>
      <c r="Q2525" s="306"/>
      <c r="R2525" s="306"/>
      <c r="S2525" s="14"/>
      <c r="T2525" s="14"/>
      <c r="U2525" s="14"/>
      <c r="V2525" s="14"/>
      <c r="W2525" s="14"/>
      <c r="X2525" s="14"/>
      <c r="Y2525" s="14"/>
      <c r="Z2525" s="14"/>
      <c r="AA2525" s="14"/>
      <c r="AB2525" s="14"/>
      <c r="AC2525" s="14"/>
      <c r="AD2525" s="14"/>
      <c r="AE2525" s="14"/>
      <c r="AF2525" s="14"/>
      <c r="AG2525" s="14"/>
      <c r="AH2525" s="14"/>
      <c r="AI2525" s="14"/>
      <c r="AJ2525" s="14"/>
      <c r="AK2525" s="14"/>
    </row>
    <row r="2526" spans="2:37" ht="16.5" thickTop="1" thickBot="1" x14ac:dyDescent="0.3">
      <c r="B2526" s="322" t="s">
        <v>18</v>
      </c>
      <c r="C2526" s="325">
        <v>44711</v>
      </c>
      <c r="D2526" s="306"/>
      <c r="E2526" s="306"/>
      <c r="F2526" s="306"/>
      <c r="G2526" s="306"/>
      <c r="H2526" s="306"/>
      <c r="I2526" s="306"/>
      <c r="J2526" s="306"/>
      <c r="S2526" s="14"/>
      <c r="T2526" s="14"/>
      <c r="U2526" s="14"/>
      <c r="V2526" s="14"/>
      <c r="W2526" s="14"/>
      <c r="X2526" s="14"/>
      <c r="Y2526" s="14"/>
      <c r="Z2526" s="14"/>
      <c r="AA2526" s="14"/>
      <c r="AB2526" s="14"/>
      <c r="AC2526" s="14"/>
      <c r="AD2526" s="14"/>
      <c r="AE2526" s="14"/>
      <c r="AF2526" s="14"/>
      <c r="AG2526" s="14"/>
      <c r="AH2526" s="14"/>
      <c r="AI2526" s="14"/>
      <c r="AJ2526" s="14"/>
      <c r="AK2526" s="14"/>
    </row>
    <row r="2527" spans="2:37" ht="14.25" thickBot="1" x14ac:dyDescent="0.3">
      <c r="B2527" s="2" t="s">
        <v>0</v>
      </c>
      <c r="C2527" s="3" t="s">
        <v>1</v>
      </c>
      <c r="D2527" s="3" t="s">
        <v>2</v>
      </c>
      <c r="E2527" s="3" t="s">
        <v>3</v>
      </c>
      <c r="F2527" s="3"/>
      <c r="G2527" s="4" t="s">
        <v>4</v>
      </c>
      <c r="H2527" s="4"/>
      <c r="I2527" s="3" t="s">
        <v>5</v>
      </c>
      <c r="J2527" s="217"/>
      <c r="S2527" s="14"/>
      <c r="T2527" s="14"/>
      <c r="U2527" s="14"/>
      <c r="V2527" s="14"/>
      <c r="W2527" s="14"/>
      <c r="X2527" s="14"/>
      <c r="Y2527" s="14"/>
      <c r="Z2527" s="14"/>
      <c r="AA2527" s="14"/>
      <c r="AB2527" s="14"/>
      <c r="AC2527" s="14"/>
      <c r="AD2527" s="14"/>
      <c r="AE2527" s="14"/>
      <c r="AF2527" s="14"/>
      <c r="AG2527" s="14"/>
      <c r="AH2527" s="14"/>
      <c r="AI2527" s="14"/>
      <c r="AJ2527" s="14"/>
      <c r="AK2527" s="14"/>
    </row>
    <row r="2528" spans="2:37" ht="14.25" thickBot="1" x14ac:dyDescent="0.3">
      <c r="B2528" s="5">
        <v>273664</v>
      </c>
      <c r="C2528" s="6">
        <v>1135749</v>
      </c>
      <c r="D2528" s="6" t="s">
        <v>7</v>
      </c>
      <c r="E2528" s="6">
        <v>6060050026</v>
      </c>
      <c r="F2528" s="6"/>
      <c r="G2528" s="7">
        <v>1</v>
      </c>
      <c r="H2528" s="7"/>
      <c r="I2528" s="7"/>
      <c r="J2528" s="218"/>
      <c r="S2528" s="14"/>
      <c r="T2528" s="14"/>
      <c r="U2528" s="14"/>
      <c r="V2528" s="14"/>
      <c r="W2528" s="14"/>
      <c r="X2528" s="14"/>
      <c r="Y2528" s="14"/>
      <c r="Z2528" s="14"/>
      <c r="AA2528" s="14"/>
      <c r="AB2528" s="14"/>
      <c r="AC2528" s="14"/>
      <c r="AD2528" s="14"/>
      <c r="AE2528" s="14"/>
      <c r="AF2528" s="14"/>
      <c r="AG2528" s="14"/>
      <c r="AH2528" s="14"/>
      <c r="AI2528" s="14"/>
      <c r="AJ2528" s="14"/>
      <c r="AK2528" s="14"/>
    </row>
    <row r="2529" spans="2:37" ht="14.25" thickBot="1" x14ac:dyDescent="0.3">
      <c r="B2529" s="5">
        <v>273672</v>
      </c>
      <c r="C2529" s="6">
        <v>1135750</v>
      </c>
      <c r="D2529" s="6" t="s">
        <v>9</v>
      </c>
      <c r="E2529" s="6" t="s">
        <v>15</v>
      </c>
      <c r="F2529" s="6"/>
      <c r="G2529" s="7">
        <v>14</v>
      </c>
      <c r="H2529" s="7"/>
      <c r="I2529" s="7"/>
      <c r="J2529" s="218"/>
      <c r="S2529" s="14"/>
      <c r="T2529" s="14"/>
      <c r="U2529" s="14"/>
      <c r="V2529" s="14"/>
      <c r="W2529" s="14"/>
      <c r="X2529" s="14"/>
      <c r="Y2529" s="14"/>
      <c r="Z2529" s="14"/>
      <c r="AA2529" s="14"/>
      <c r="AB2529" s="14"/>
      <c r="AC2529" s="14"/>
      <c r="AD2529" s="14"/>
      <c r="AE2529" s="14"/>
      <c r="AF2529" s="14"/>
      <c r="AG2529" s="14"/>
      <c r="AH2529" s="14"/>
      <c r="AI2529" s="14"/>
      <c r="AJ2529" s="14"/>
      <c r="AK2529" s="14"/>
    </row>
    <row r="2530" spans="2:37" ht="14.25" thickBot="1" x14ac:dyDescent="0.3">
      <c r="B2530" s="5">
        <v>273702</v>
      </c>
      <c r="C2530" s="6">
        <v>1135753</v>
      </c>
      <c r="D2530" s="6" t="s">
        <v>10</v>
      </c>
      <c r="E2530" s="6" t="s">
        <v>16</v>
      </c>
      <c r="F2530" s="6"/>
      <c r="G2530" s="7">
        <v>3</v>
      </c>
      <c r="H2530" s="7"/>
      <c r="I2530" s="7"/>
      <c r="J2530" s="218"/>
      <c r="S2530" s="14"/>
      <c r="T2530" s="14"/>
      <c r="U2530" s="14"/>
      <c r="V2530" s="14"/>
      <c r="W2530" s="14"/>
      <c r="X2530" s="14"/>
      <c r="Y2530" s="14"/>
      <c r="Z2530" s="14"/>
      <c r="AA2530" s="14"/>
      <c r="AB2530" s="14"/>
      <c r="AC2530" s="14"/>
      <c r="AD2530" s="14"/>
      <c r="AE2530" s="14"/>
      <c r="AF2530" s="14"/>
      <c r="AG2530" s="14"/>
      <c r="AH2530" s="14"/>
      <c r="AI2530" s="14"/>
      <c r="AJ2530" s="14"/>
      <c r="AK2530" s="14"/>
    </row>
    <row r="2531" spans="2:37" ht="14.25" thickBot="1" x14ac:dyDescent="0.3">
      <c r="B2531" s="5">
        <v>273698</v>
      </c>
      <c r="C2531" s="6">
        <v>1135752</v>
      </c>
      <c r="D2531" s="6" t="s">
        <v>11</v>
      </c>
      <c r="E2531" s="6" t="s">
        <v>17</v>
      </c>
      <c r="F2531" s="6"/>
      <c r="G2531" s="7">
        <v>10</v>
      </c>
      <c r="H2531" s="7"/>
      <c r="I2531" s="7"/>
      <c r="J2531" s="218"/>
      <c r="S2531" s="14"/>
      <c r="T2531" s="14"/>
      <c r="U2531" s="14"/>
      <c r="V2531" s="14"/>
      <c r="W2531" s="14"/>
      <c r="X2531" s="14"/>
      <c r="Y2531" s="14"/>
      <c r="Z2531" s="14"/>
      <c r="AA2531" s="14"/>
      <c r="AB2531" s="14"/>
      <c r="AC2531" s="14"/>
      <c r="AD2531" s="14"/>
      <c r="AE2531" s="14"/>
      <c r="AF2531" s="14"/>
      <c r="AG2531" s="14"/>
      <c r="AH2531" s="14"/>
      <c r="AI2531" s="14"/>
      <c r="AJ2531" s="14"/>
      <c r="AK2531" s="14"/>
    </row>
    <row r="2532" spans="2:37" ht="14.25" thickBot="1" x14ac:dyDescent="0.3">
      <c r="B2532" s="5">
        <v>273680</v>
      </c>
      <c r="C2532" s="6">
        <v>1135751</v>
      </c>
      <c r="D2532" s="6" t="s">
        <v>12</v>
      </c>
      <c r="E2532" s="6" t="s">
        <v>13</v>
      </c>
      <c r="F2532" s="6"/>
      <c r="G2532" s="7">
        <v>13</v>
      </c>
      <c r="H2532" s="7"/>
      <c r="I2532" s="7"/>
      <c r="J2532" s="218"/>
      <c r="S2532" s="14"/>
      <c r="T2532" s="14"/>
      <c r="U2532" s="14"/>
      <c r="V2532" s="14"/>
      <c r="W2532" s="14"/>
      <c r="X2532" s="14"/>
      <c r="Y2532" s="14"/>
      <c r="Z2532" s="14"/>
      <c r="AA2532" s="14"/>
      <c r="AB2532" s="14"/>
      <c r="AC2532" s="14"/>
      <c r="AD2532" s="14"/>
      <c r="AE2532" s="14"/>
      <c r="AF2532" s="14"/>
      <c r="AG2532" s="14"/>
      <c r="AH2532" s="14"/>
      <c r="AI2532" s="14"/>
      <c r="AJ2532" s="14"/>
      <c r="AK2532" s="14"/>
    </row>
    <row r="2534" spans="2:37" ht="15.75" thickBot="1" x14ac:dyDescent="0.3">
      <c r="B2534" s="322" t="s">
        <v>18</v>
      </c>
      <c r="C2534" s="325">
        <v>44704</v>
      </c>
      <c r="D2534" s="306"/>
      <c r="E2534" s="306"/>
      <c r="F2534" s="306"/>
      <c r="G2534" s="306"/>
      <c r="H2534" s="306"/>
      <c r="I2534" s="306"/>
      <c r="J2534" s="306"/>
      <c r="K2534" s="306"/>
      <c r="S2534" s="14"/>
      <c r="T2534" s="14"/>
      <c r="U2534" s="14"/>
      <c r="V2534" s="14"/>
      <c r="W2534" s="14"/>
      <c r="X2534" s="14"/>
      <c r="Y2534" s="14"/>
      <c r="Z2534" s="14"/>
      <c r="AA2534" s="14"/>
      <c r="AB2534" s="14"/>
      <c r="AC2534" s="14"/>
      <c r="AD2534" s="14"/>
      <c r="AE2534" s="14"/>
      <c r="AF2534" s="14"/>
      <c r="AG2534" s="14"/>
      <c r="AH2534" s="14"/>
      <c r="AI2534" s="14"/>
      <c r="AJ2534" s="14"/>
      <c r="AK2534" s="14"/>
    </row>
    <row r="2535" spans="2:37" ht="15.75" thickBot="1" x14ac:dyDescent="0.3">
      <c r="B2535" s="2" t="s">
        <v>0</v>
      </c>
      <c r="C2535" s="3" t="s">
        <v>1</v>
      </c>
      <c r="D2535" s="3" t="s">
        <v>2</v>
      </c>
      <c r="E2535" s="3" t="s">
        <v>3</v>
      </c>
      <c r="F2535" s="3"/>
      <c r="G2535" s="4" t="s">
        <v>4</v>
      </c>
      <c r="H2535" s="4"/>
      <c r="I2535" s="3" t="s">
        <v>5</v>
      </c>
      <c r="J2535" s="217"/>
      <c r="K2535" s="306"/>
      <c r="L2535" s="306"/>
      <c r="M2535" s="306"/>
      <c r="N2535" s="306"/>
      <c r="O2535" s="306"/>
      <c r="S2535" s="14"/>
      <c r="T2535" s="14"/>
      <c r="U2535" s="14"/>
      <c r="V2535" s="14"/>
      <c r="W2535" s="14"/>
      <c r="X2535" s="14"/>
      <c r="Y2535" s="14"/>
      <c r="Z2535" s="14"/>
      <c r="AA2535" s="14"/>
      <c r="AB2535" s="14"/>
      <c r="AC2535" s="14"/>
      <c r="AD2535" s="14"/>
      <c r="AE2535" s="14"/>
      <c r="AF2535" s="14"/>
      <c r="AG2535" s="14"/>
      <c r="AH2535" s="14"/>
      <c r="AI2535" s="14"/>
      <c r="AJ2535" s="14"/>
      <c r="AK2535" s="14"/>
    </row>
    <row r="2536" spans="2:37" ht="15.75" thickBot="1" x14ac:dyDescent="0.3">
      <c r="B2536" s="5">
        <v>273664</v>
      </c>
      <c r="C2536" s="6">
        <v>1135749</v>
      </c>
      <c r="D2536" s="6" t="s">
        <v>7</v>
      </c>
      <c r="E2536" s="6">
        <v>6060050026</v>
      </c>
      <c r="F2536" s="6"/>
      <c r="G2536" s="7">
        <v>1</v>
      </c>
      <c r="H2536" s="7"/>
      <c r="I2536" s="7"/>
      <c r="J2536" s="218"/>
      <c r="K2536" s="306"/>
      <c r="L2536" s="306"/>
      <c r="M2536" s="306"/>
      <c r="N2536" s="306"/>
      <c r="O2536" s="306"/>
      <c r="V2536" s="14"/>
      <c r="W2536" s="14"/>
      <c r="X2536" s="14"/>
      <c r="Y2536" s="14"/>
      <c r="Z2536" s="14"/>
      <c r="AA2536" s="14"/>
      <c r="AB2536" s="14"/>
      <c r="AC2536" s="14"/>
      <c r="AD2536" s="14"/>
      <c r="AE2536" s="14"/>
      <c r="AF2536" s="14"/>
      <c r="AG2536" s="14"/>
      <c r="AH2536" s="14"/>
      <c r="AI2536" s="14"/>
      <c r="AJ2536" s="14"/>
      <c r="AK2536" s="14"/>
    </row>
    <row r="2537" spans="2:37" ht="15.75" thickBot="1" x14ac:dyDescent="0.3">
      <c r="B2537" s="5">
        <v>273672</v>
      </c>
      <c r="C2537" s="6">
        <v>1135750</v>
      </c>
      <c r="D2537" s="6" t="s">
        <v>9</v>
      </c>
      <c r="E2537" s="6" t="s">
        <v>15</v>
      </c>
      <c r="F2537" s="6"/>
      <c r="G2537" s="7">
        <v>14</v>
      </c>
      <c r="H2537" s="7"/>
      <c r="I2537" s="7"/>
      <c r="J2537" s="218"/>
      <c r="K2537" s="306"/>
      <c r="L2537" s="306"/>
      <c r="M2537" s="306"/>
      <c r="N2537" s="306"/>
      <c r="O2537" s="306"/>
      <c r="V2537" s="14"/>
      <c r="W2537" s="14"/>
      <c r="X2537" s="14"/>
      <c r="Y2537" s="14"/>
      <c r="Z2537" s="14"/>
      <c r="AA2537" s="14"/>
      <c r="AB2537" s="14"/>
      <c r="AC2537" s="14"/>
      <c r="AD2537" s="14"/>
      <c r="AE2537" s="14"/>
      <c r="AF2537" s="14"/>
      <c r="AG2537" s="14"/>
      <c r="AH2537" s="14"/>
      <c r="AI2537" s="14"/>
      <c r="AJ2537" s="14"/>
      <c r="AK2537" s="14"/>
    </row>
    <row r="2538" spans="2:37" ht="15.75" thickBot="1" x14ac:dyDescent="0.3">
      <c r="B2538" s="5">
        <v>273702</v>
      </c>
      <c r="C2538" s="6">
        <v>1135753</v>
      </c>
      <c r="D2538" s="6" t="s">
        <v>10</v>
      </c>
      <c r="E2538" s="6" t="s">
        <v>16</v>
      </c>
      <c r="F2538" s="6"/>
      <c r="G2538" s="7">
        <v>3</v>
      </c>
      <c r="H2538" s="7"/>
      <c r="I2538" s="7"/>
      <c r="J2538" s="218"/>
      <c r="K2538" s="306"/>
      <c r="L2538" s="306"/>
      <c r="M2538" s="306"/>
      <c r="N2538" s="306"/>
      <c r="O2538" s="306"/>
      <c r="V2538" s="14"/>
      <c r="W2538" s="14"/>
      <c r="X2538" s="14"/>
      <c r="Y2538" s="14"/>
      <c r="Z2538" s="14"/>
      <c r="AA2538" s="14"/>
      <c r="AB2538" s="14"/>
      <c r="AC2538" s="14"/>
      <c r="AD2538" s="14"/>
      <c r="AE2538" s="14"/>
      <c r="AF2538" s="14"/>
      <c r="AG2538" s="14"/>
      <c r="AH2538" s="14"/>
      <c r="AI2538" s="14"/>
      <c r="AJ2538" s="14"/>
      <c r="AK2538" s="14"/>
    </row>
    <row r="2539" spans="2:37" ht="15.75" thickBot="1" x14ac:dyDescent="0.3">
      <c r="B2539" s="5">
        <v>273698</v>
      </c>
      <c r="C2539" s="6">
        <v>1135752</v>
      </c>
      <c r="D2539" s="6" t="s">
        <v>11</v>
      </c>
      <c r="E2539" s="6" t="s">
        <v>17</v>
      </c>
      <c r="F2539" s="6"/>
      <c r="G2539" s="7">
        <v>10</v>
      </c>
      <c r="H2539" s="7"/>
      <c r="I2539" s="7"/>
      <c r="J2539" s="218"/>
      <c r="K2539" s="306"/>
      <c r="L2539" s="306"/>
      <c r="M2539" s="306"/>
      <c r="N2539" s="306"/>
      <c r="O2539" s="306"/>
      <c r="V2539" s="14"/>
      <c r="W2539" s="14"/>
      <c r="X2539" s="14"/>
      <c r="Y2539" s="14"/>
      <c r="Z2539" s="14"/>
      <c r="AA2539" s="14"/>
      <c r="AB2539" s="14"/>
      <c r="AC2539" s="14"/>
      <c r="AD2539" s="14"/>
      <c r="AE2539" s="14"/>
      <c r="AF2539" s="14"/>
      <c r="AG2539" s="14"/>
      <c r="AH2539" s="14"/>
      <c r="AI2539" s="14"/>
      <c r="AJ2539" s="14"/>
      <c r="AK2539" s="14"/>
    </row>
    <row r="2540" spans="2:37" ht="15.75" thickBot="1" x14ac:dyDescent="0.3">
      <c r="B2540" s="5">
        <v>273680</v>
      </c>
      <c r="C2540" s="6">
        <v>1135751</v>
      </c>
      <c r="D2540" s="6" t="s">
        <v>12</v>
      </c>
      <c r="E2540" s="6" t="s">
        <v>13</v>
      </c>
      <c r="F2540" s="6"/>
      <c r="G2540" s="7">
        <v>13</v>
      </c>
      <c r="H2540" s="7"/>
      <c r="I2540" s="7"/>
      <c r="J2540" s="218"/>
      <c r="K2540" s="306"/>
      <c r="L2540" s="306"/>
      <c r="M2540" s="306"/>
      <c r="N2540" s="306"/>
      <c r="O2540" s="306"/>
      <c r="V2540" s="14"/>
      <c r="W2540" s="14"/>
      <c r="X2540" s="14"/>
      <c r="Y2540" s="14"/>
      <c r="Z2540" s="14"/>
      <c r="AA2540" s="14"/>
      <c r="AB2540" s="14"/>
      <c r="AC2540" s="14"/>
      <c r="AD2540" s="14"/>
      <c r="AE2540" s="14"/>
      <c r="AF2540" s="14"/>
      <c r="AG2540" s="14"/>
      <c r="AH2540" s="14"/>
      <c r="AI2540" s="14"/>
      <c r="AJ2540" s="14"/>
      <c r="AK2540" s="14"/>
    </row>
    <row r="2541" spans="2:37" ht="16.5" x14ac:dyDescent="0.25">
      <c r="B2541" s="343"/>
      <c r="C2541" s="306"/>
      <c r="D2541" s="306"/>
      <c r="E2541" s="306"/>
      <c r="F2541" s="306"/>
      <c r="G2541" s="306"/>
      <c r="H2541" s="306"/>
      <c r="I2541" s="306"/>
      <c r="J2541" s="306"/>
      <c r="L2541" s="306"/>
      <c r="M2541" s="306"/>
      <c r="N2541" s="306"/>
      <c r="O2541" s="306"/>
      <c r="V2541" s="14"/>
      <c r="W2541" s="14"/>
      <c r="X2541" s="14"/>
      <c r="Y2541" s="14"/>
      <c r="Z2541" s="14"/>
      <c r="AA2541" s="14"/>
      <c r="AB2541" s="14"/>
      <c r="AC2541" s="14"/>
      <c r="AD2541" s="14"/>
      <c r="AE2541" s="14"/>
      <c r="AF2541" s="14"/>
      <c r="AG2541" s="14"/>
      <c r="AH2541" s="14"/>
      <c r="AI2541" s="14"/>
      <c r="AJ2541" s="14"/>
      <c r="AK2541" s="14"/>
    </row>
    <row r="2542" spans="2:37" ht="15.75" thickBot="1" x14ac:dyDescent="0.3">
      <c r="B2542" s="322" t="s">
        <v>18</v>
      </c>
      <c r="C2542" s="325">
        <v>44697</v>
      </c>
      <c r="D2542" s="306"/>
      <c r="E2542" s="306"/>
      <c r="F2542" s="306"/>
      <c r="G2542" s="306"/>
      <c r="H2542" s="306"/>
      <c r="I2542" s="306"/>
      <c r="J2542" s="306"/>
      <c r="V2542" s="14"/>
      <c r="W2542" s="14"/>
      <c r="X2542" s="14"/>
      <c r="Y2542" s="14"/>
      <c r="Z2542" s="14"/>
      <c r="AA2542" s="14"/>
      <c r="AB2542" s="14"/>
      <c r="AC2542" s="14"/>
      <c r="AD2542" s="14"/>
      <c r="AE2542" s="14"/>
      <c r="AF2542" s="14"/>
      <c r="AG2542" s="14"/>
      <c r="AH2542" s="14"/>
      <c r="AI2542" s="14"/>
      <c r="AJ2542" s="14"/>
      <c r="AK2542" s="14"/>
    </row>
    <row r="2543" spans="2:37" ht="14.25" thickBot="1" x14ac:dyDescent="0.3">
      <c r="B2543" s="2" t="s">
        <v>0</v>
      </c>
      <c r="C2543" s="3" t="s">
        <v>1</v>
      </c>
      <c r="D2543" s="3" t="s">
        <v>2</v>
      </c>
      <c r="E2543" s="3" t="s">
        <v>3</v>
      </c>
      <c r="F2543" s="3"/>
      <c r="G2543" s="4" t="s">
        <v>4</v>
      </c>
      <c r="H2543" s="4"/>
      <c r="I2543" s="3" t="s">
        <v>5</v>
      </c>
      <c r="J2543" s="217"/>
      <c r="V2543" s="14"/>
      <c r="W2543" s="14"/>
      <c r="X2543" s="14"/>
      <c r="Y2543" s="14"/>
      <c r="Z2543" s="14"/>
      <c r="AA2543" s="14"/>
      <c r="AB2543" s="14"/>
      <c r="AC2543" s="14"/>
      <c r="AD2543" s="14"/>
      <c r="AE2543" s="14"/>
      <c r="AF2543" s="14"/>
      <c r="AG2543" s="14"/>
      <c r="AH2543" s="14"/>
      <c r="AI2543" s="14"/>
      <c r="AJ2543" s="14"/>
      <c r="AK2543" s="14"/>
    </row>
    <row r="2544" spans="2:37" ht="14.25" thickBot="1" x14ac:dyDescent="0.3">
      <c r="B2544" s="5">
        <v>273664</v>
      </c>
      <c r="C2544" s="6">
        <v>1135749</v>
      </c>
      <c r="D2544" s="6" t="s">
        <v>7</v>
      </c>
      <c r="E2544" s="6">
        <v>6060050026</v>
      </c>
      <c r="F2544" s="6"/>
      <c r="G2544" s="7">
        <v>1</v>
      </c>
      <c r="H2544" s="7"/>
      <c r="I2544" s="7">
        <v>7</v>
      </c>
      <c r="J2544" s="218"/>
      <c r="V2544" s="14"/>
      <c r="W2544" s="14"/>
      <c r="X2544" s="14"/>
      <c r="Y2544" s="14"/>
      <c r="Z2544" s="14"/>
      <c r="AA2544" s="14"/>
      <c r="AB2544" s="14"/>
      <c r="AC2544" s="14"/>
      <c r="AD2544" s="14"/>
      <c r="AE2544" s="14"/>
      <c r="AF2544" s="14"/>
      <c r="AG2544" s="14"/>
      <c r="AH2544" s="14"/>
      <c r="AI2544" s="14"/>
      <c r="AJ2544" s="14"/>
      <c r="AK2544" s="14"/>
    </row>
    <row r="2545" spans="2:37" ht="14.25" thickBot="1" x14ac:dyDescent="0.3">
      <c r="B2545" s="5">
        <v>273672</v>
      </c>
      <c r="C2545" s="6">
        <v>1135750</v>
      </c>
      <c r="D2545" s="6" t="s">
        <v>9</v>
      </c>
      <c r="E2545" s="6" t="s">
        <v>15</v>
      </c>
      <c r="F2545" s="6"/>
      <c r="G2545" s="7">
        <v>12</v>
      </c>
      <c r="H2545" s="7"/>
      <c r="I2545" s="7">
        <v>26</v>
      </c>
      <c r="J2545" s="218"/>
      <c r="S2545" s="307"/>
      <c r="T2545" s="307"/>
      <c r="U2545" s="308" t="s">
        <v>27</v>
      </c>
      <c r="V2545" s="14"/>
      <c r="W2545" s="14"/>
      <c r="X2545" s="14"/>
      <c r="Y2545" s="14"/>
      <c r="Z2545" s="14"/>
      <c r="AA2545" s="14"/>
      <c r="AB2545" s="14"/>
      <c r="AC2545" s="14"/>
      <c r="AD2545" s="14"/>
      <c r="AE2545" s="14"/>
      <c r="AF2545" s="14"/>
      <c r="AG2545" s="14"/>
      <c r="AH2545" s="14"/>
      <c r="AI2545" s="14"/>
      <c r="AJ2545" s="14"/>
      <c r="AK2545" s="14"/>
    </row>
    <row r="2546" spans="2:37" ht="14.25" thickBot="1" x14ac:dyDescent="0.3">
      <c r="B2546" s="5">
        <v>273702</v>
      </c>
      <c r="C2546" s="6">
        <v>1135753</v>
      </c>
      <c r="D2546" s="6" t="s">
        <v>10</v>
      </c>
      <c r="E2546" s="6" t="s">
        <v>16</v>
      </c>
      <c r="F2546" s="6"/>
      <c r="G2546" s="7">
        <v>1</v>
      </c>
      <c r="H2546" s="7"/>
      <c r="I2546" s="7">
        <v>3</v>
      </c>
      <c r="J2546" s="218"/>
      <c r="S2546" s="307"/>
      <c r="T2546" s="307"/>
      <c r="U2546" s="307">
        <v>7</v>
      </c>
      <c r="V2546" s="14"/>
      <c r="W2546" s="14"/>
      <c r="X2546" s="14"/>
      <c r="Y2546" s="14"/>
      <c r="Z2546" s="14"/>
      <c r="AA2546" s="14"/>
      <c r="AB2546" s="14"/>
      <c r="AC2546" s="14"/>
      <c r="AD2546" s="14"/>
      <c r="AE2546" s="14"/>
      <c r="AF2546" s="14"/>
      <c r="AG2546" s="14"/>
      <c r="AH2546" s="14"/>
      <c r="AI2546" s="14"/>
      <c r="AJ2546" s="14"/>
      <c r="AK2546" s="14"/>
    </row>
    <row r="2547" spans="2:37" ht="14.25" thickBot="1" x14ac:dyDescent="0.3">
      <c r="B2547" s="5">
        <v>273698</v>
      </c>
      <c r="C2547" s="6">
        <v>1135752</v>
      </c>
      <c r="D2547" s="6" t="s">
        <v>11</v>
      </c>
      <c r="E2547" s="6" t="s">
        <v>17</v>
      </c>
      <c r="F2547" s="6"/>
      <c r="G2547" s="7">
        <v>9</v>
      </c>
      <c r="H2547" s="7"/>
      <c r="I2547" s="7">
        <v>10</v>
      </c>
      <c r="J2547" s="218"/>
      <c r="S2547" s="307"/>
      <c r="T2547" s="307"/>
      <c r="U2547" s="307">
        <v>23</v>
      </c>
      <c r="V2547" s="14"/>
      <c r="W2547" s="14"/>
      <c r="X2547" s="14"/>
      <c r="Y2547" s="14"/>
      <c r="Z2547" s="14"/>
      <c r="AA2547" s="14"/>
      <c r="AB2547" s="14"/>
      <c r="AC2547" s="14"/>
      <c r="AD2547" s="14"/>
      <c r="AE2547" s="14"/>
      <c r="AF2547" s="14"/>
      <c r="AG2547" s="14"/>
      <c r="AH2547" s="14"/>
      <c r="AI2547" s="14"/>
      <c r="AJ2547" s="14"/>
      <c r="AK2547" s="14"/>
    </row>
    <row r="2548" spans="2:37" ht="14.25" thickBot="1" x14ac:dyDescent="0.3">
      <c r="B2548" s="5">
        <v>273680</v>
      </c>
      <c r="C2548" s="6">
        <v>1135751</v>
      </c>
      <c r="D2548" s="6" t="s">
        <v>12</v>
      </c>
      <c r="E2548" s="6" t="s">
        <v>13</v>
      </c>
      <c r="F2548" s="6"/>
      <c r="G2548" s="7">
        <v>17</v>
      </c>
      <c r="H2548" s="7"/>
      <c r="I2548" s="7">
        <v>17</v>
      </c>
      <c r="J2548" s="218"/>
      <c r="S2548" s="307"/>
      <c r="T2548" s="307"/>
      <c r="U2548" s="307">
        <v>3</v>
      </c>
      <c r="V2548" s="14"/>
      <c r="W2548" s="14"/>
      <c r="X2548" s="14"/>
      <c r="Y2548" s="14"/>
      <c r="Z2548" s="14"/>
      <c r="AA2548" s="14"/>
      <c r="AB2548" s="14"/>
      <c r="AC2548" s="14"/>
      <c r="AD2548" s="14"/>
      <c r="AE2548" s="14"/>
      <c r="AF2548" s="14"/>
      <c r="AG2548" s="14"/>
      <c r="AH2548" s="14"/>
      <c r="AI2548" s="14"/>
      <c r="AJ2548" s="14"/>
      <c r="AK2548" s="14"/>
    </row>
    <row r="2549" spans="2:37" x14ac:dyDescent="0.25">
      <c r="S2549" s="307"/>
      <c r="T2549" s="307"/>
      <c r="U2549" s="307">
        <v>10</v>
      </c>
      <c r="V2549" s="14"/>
      <c r="W2549" s="14"/>
      <c r="X2549" s="14"/>
      <c r="Y2549" s="14"/>
      <c r="Z2549" s="14"/>
      <c r="AA2549" s="14"/>
      <c r="AB2549" s="14"/>
      <c r="AC2549" s="14"/>
      <c r="AD2549" s="14"/>
      <c r="AE2549" s="14"/>
      <c r="AF2549" s="14"/>
      <c r="AG2549" s="14"/>
      <c r="AH2549" s="14"/>
      <c r="AI2549" s="14"/>
      <c r="AJ2549" s="14"/>
      <c r="AK2549" s="14"/>
    </row>
    <row r="2550" spans="2:37" x14ac:dyDescent="0.25">
      <c r="B2550" s="322" t="s">
        <v>18</v>
      </c>
      <c r="C2550" s="325">
        <v>44690</v>
      </c>
      <c r="S2550" s="307"/>
      <c r="T2550" s="307"/>
      <c r="U2550" s="307">
        <v>17</v>
      </c>
      <c r="V2550" s="14"/>
      <c r="W2550" s="14"/>
      <c r="X2550" s="14"/>
      <c r="Y2550" s="14"/>
      <c r="Z2550" s="14"/>
      <c r="AA2550" s="14"/>
      <c r="AB2550" s="14"/>
      <c r="AC2550" s="14"/>
      <c r="AD2550" s="14"/>
      <c r="AE2550" s="14"/>
      <c r="AF2550" s="14"/>
      <c r="AG2550" s="14"/>
      <c r="AH2550" s="14"/>
      <c r="AI2550" s="14"/>
      <c r="AJ2550" s="14"/>
      <c r="AK2550" s="14"/>
    </row>
    <row r="2551" spans="2:37" x14ac:dyDescent="0.25">
      <c r="B2551" s="36" t="s">
        <v>0</v>
      </c>
      <c r="C2551" s="36" t="s">
        <v>1</v>
      </c>
      <c r="D2551" s="36" t="s">
        <v>2</v>
      </c>
      <c r="E2551" s="36" t="s">
        <v>3</v>
      </c>
      <c r="F2551" s="36"/>
      <c r="G2551" s="37" t="s">
        <v>4</v>
      </c>
      <c r="H2551" s="37"/>
      <c r="I2551" s="36" t="s">
        <v>5</v>
      </c>
      <c r="J2551" s="434"/>
      <c r="V2551" s="14"/>
      <c r="W2551" s="14"/>
      <c r="X2551" s="14"/>
      <c r="Y2551" s="14"/>
      <c r="Z2551" s="14"/>
      <c r="AA2551" s="14"/>
      <c r="AB2551" s="14"/>
      <c r="AC2551" s="14"/>
      <c r="AD2551" s="14"/>
      <c r="AE2551" s="14"/>
      <c r="AF2551" s="14"/>
      <c r="AG2551" s="14"/>
      <c r="AH2551" s="14"/>
      <c r="AI2551" s="14"/>
      <c r="AJ2551" s="14"/>
      <c r="AK2551" s="14"/>
    </row>
    <row r="2552" spans="2:37" x14ac:dyDescent="0.25">
      <c r="B2552" s="38">
        <v>273664</v>
      </c>
      <c r="C2552" s="38">
        <v>1135749</v>
      </c>
      <c r="D2552" s="38" t="s">
        <v>7</v>
      </c>
      <c r="E2552" s="38">
        <v>6060050026</v>
      </c>
      <c r="F2552" s="38"/>
      <c r="G2552" s="39">
        <v>3</v>
      </c>
      <c r="H2552" s="39"/>
      <c r="I2552" s="39"/>
      <c r="J2552" s="435"/>
      <c r="S2552" s="14"/>
      <c r="T2552" s="14"/>
      <c r="U2552" s="14"/>
      <c r="V2552" s="14"/>
      <c r="W2552" s="14"/>
      <c r="X2552" s="14"/>
      <c r="Y2552" s="14"/>
      <c r="Z2552" s="14"/>
      <c r="AA2552" s="14"/>
      <c r="AB2552" s="14"/>
      <c r="AC2552" s="14"/>
      <c r="AD2552" s="14"/>
      <c r="AE2552" s="14"/>
      <c r="AF2552" s="14"/>
      <c r="AG2552" s="14"/>
      <c r="AH2552" s="14"/>
      <c r="AI2552" s="14"/>
      <c r="AJ2552" s="14"/>
      <c r="AK2552" s="14"/>
    </row>
    <row r="2553" spans="2:37" x14ac:dyDescent="0.25">
      <c r="B2553" s="38">
        <v>273672</v>
      </c>
      <c r="C2553" s="38">
        <v>1135750</v>
      </c>
      <c r="D2553" s="38" t="s">
        <v>9</v>
      </c>
      <c r="E2553" s="40">
        <v>204000000000</v>
      </c>
      <c r="F2553" s="40"/>
      <c r="G2553" s="39">
        <v>8</v>
      </c>
      <c r="H2553" s="39"/>
      <c r="I2553" s="39"/>
      <c r="J2553" s="435"/>
      <c r="S2553" s="14"/>
      <c r="T2553" s="14"/>
      <c r="U2553" s="14"/>
      <c r="V2553" s="14"/>
      <c r="W2553" s="14"/>
      <c r="X2553" s="14"/>
      <c r="Y2553" s="14"/>
      <c r="Z2553" s="14"/>
      <c r="AA2553" s="14"/>
      <c r="AB2553" s="14"/>
      <c r="AC2553" s="14"/>
      <c r="AD2553" s="14"/>
      <c r="AE2553" s="14"/>
      <c r="AF2553" s="14"/>
      <c r="AG2553" s="14"/>
      <c r="AH2553" s="14"/>
      <c r="AI2553" s="14"/>
      <c r="AJ2553" s="14"/>
      <c r="AK2553" s="14"/>
    </row>
    <row r="2554" spans="2:37" x14ac:dyDescent="0.25">
      <c r="B2554" s="38">
        <v>273702</v>
      </c>
      <c r="C2554" s="38">
        <v>1135753</v>
      </c>
      <c r="D2554" s="38" t="s">
        <v>10</v>
      </c>
      <c r="E2554" s="40">
        <v>301000000000</v>
      </c>
      <c r="F2554" s="40"/>
      <c r="G2554" s="39">
        <v>1</v>
      </c>
      <c r="H2554" s="39"/>
      <c r="I2554" s="39"/>
      <c r="J2554" s="435"/>
      <c r="S2554" s="14"/>
      <c r="T2554" s="14"/>
      <c r="U2554" s="14"/>
      <c r="V2554" s="14"/>
      <c r="W2554" s="14"/>
      <c r="X2554" s="14"/>
      <c r="Y2554" s="14"/>
      <c r="Z2554" s="14"/>
      <c r="AA2554" s="14"/>
      <c r="AB2554" s="14"/>
      <c r="AC2554" s="14"/>
      <c r="AD2554" s="14"/>
      <c r="AE2554" s="14"/>
      <c r="AF2554" s="14"/>
      <c r="AG2554" s="14"/>
      <c r="AH2554" s="14"/>
      <c r="AI2554" s="14"/>
      <c r="AJ2554" s="14"/>
      <c r="AK2554" s="14"/>
    </row>
    <row r="2555" spans="2:37" x14ac:dyDescent="0.25">
      <c r="B2555" s="38">
        <v>273698</v>
      </c>
      <c r="C2555" s="38">
        <v>1135752</v>
      </c>
      <c r="D2555" s="38" t="s">
        <v>11</v>
      </c>
      <c r="E2555" s="40">
        <v>701000000000</v>
      </c>
      <c r="F2555" s="40"/>
      <c r="G2555" s="39">
        <v>9</v>
      </c>
      <c r="H2555" s="39"/>
      <c r="I2555" s="39"/>
      <c r="J2555" s="435"/>
      <c r="S2555" s="14"/>
      <c r="T2555" s="14"/>
      <c r="U2555" s="14"/>
      <c r="V2555" s="14"/>
      <c r="W2555" s="14"/>
      <c r="X2555" s="14"/>
      <c r="Y2555" s="14"/>
      <c r="Z2555" s="14"/>
      <c r="AA2555" s="14"/>
      <c r="AB2555" s="14"/>
      <c r="AC2555" s="14"/>
      <c r="AD2555" s="14"/>
      <c r="AE2555" s="14"/>
      <c r="AF2555" s="14"/>
      <c r="AG2555" s="14"/>
      <c r="AH2555" s="14"/>
      <c r="AI2555" s="14"/>
      <c r="AJ2555" s="14"/>
      <c r="AK2555" s="14"/>
    </row>
    <row r="2556" spans="2:37" x14ac:dyDescent="0.25">
      <c r="B2556" s="38">
        <v>273680</v>
      </c>
      <c r="C2556" s="38">
        <v>1135751</v>
      </c>
      <c r="D2556" s="38" t="s">
        <v>12</v>
      </c>
      <c r="E2556" s="38" t="s">
        <v>13</v>
      </c>
      <c r="F2556" s="38"/>
      <c r="G2556" s="39">
        <v>17</v>
      </c>
      <c r="H2556" s="39"/>
      <c r="I2556" s="39"/>
      <c r="J2556" s="435"/>
      <c r="S2556" s="14"/>
      <c r="T2556" s="14"/>
      <c r="U2556" s="14"/>
      <c r="V2556" s="14"/>
      <c r="W2556" s="14"/>
      <c r="X2556" s="14"/>
      <c r="Y2556" s="14"/>
      <c r="Z2556" s="14"/>
      <c r="AA2556" s="14"/>
      <c r="AB2556" s="14"/>
      <c r="AC2556" s="14"/>
      <c r="AD2556" s="14"/>
      <c r="AE2556" s="14"/>
      <c r="AF2556" s="14"/>
      <c r="AG2556" s="14"/>
      <c r="AH2556" s="14"/>
      <c r="AI2556" s="14"/>
      <c r="AJ2556" s="14"/>
      <c r="AK2556" s="14"/>
    </row>
    <row r="2558" spans="2:37" x14ac:dyDescent="0.25">
      <c r="B2558" s="322" t="s">
        <v>18</v>
      </c>
      <c r="C2558" s="325">
        <v>44683</v>
      </c>
      <c r="S2558" s="14"/>
      <c r="T2558" s="14"/>
      <c r="U2558" s="14"/>
      <c r="V2558" s="14"/>
      <c r="W2558" s="14"/>
      <c r="X2558" s="14"/>
      <c r="Y2558" s="14"/>
      <c r="Z2558" s="14"/>
      <c r="AA2558" s="14"/>
      <c r="AB2558" s="14"/>
      <c r="AC2558" s="14"/>
      <c r="AD2558" s="14"/>
      <c r="AE2558" s="14"/>
      <c r="AF2558" s="14"/>
      <c r="AG2558" s="14"/>
      <c r="AH2558" s="14"/>
      <c r="AI2558" s="14"/>
      <c r="AJ2558" s="14"/>
      <c r="AK2558" s="14"/>
    </row>
    <row r="2559" spans="2:37" x14ac:dyDescent="0.25">
      <c r="B2559" s="36" t="s">
        <v>0</v>
      </c>
      <c r="C2559" s="36" t="s">
        <v>1</v>
      </c>
      <c r="D2559" s="36" t="s">
        <v>2</v>
      </c>
      <c r="E2559" s="36" t="s">
        <v>3</v>
      </c>
      <c r="F2559" s="36"/>
      <c r="G2559" s="37" t="s">
        <v>4</v>
      </c>
      <c r="H2559" s="37"/>
      <c r="I2559" s="36" t="s">
        <v>5</v>
      </c>
      <c r="J2559" s="434"/>
      <c r="S2559" s="14"/>
      <c r="T2559" s="14"/>
      <c r="U2559" s="14"/>
      <c r="V2559" s="14"/>
      <c r="W2559" s="14"/>
      <c r="X2559" s="14"/>
      <c r="Y2559" s="14"/>
      <c r="Z2559" s="14"/>
      <c r="AA2559" s="14"/>
      <c r="AB2559" s="14"/>
      <c r="AC2559" s="14"/>
      <c r="AD2559" s="14"/>
      <c r="AE2559" s="14"/>
      <c r="AF2559" s="14"/>
      <c r="AG2559" s="14"/>
      <c r="AH2559" s="14"/>
      <c r="AI2559" s="14"/>
      <c r="AJ2559" s="14"/>
      <c r="AK2559" s="14"/>
    </row>
    <row r="2560" spans="2:37" x14ac:dyDescent="0.25">
      <c r="B2560" s="38">
        <v>273664</v>
      </c>
      <c r="C2560" s="38">
        <v>1135749</v>
      </c>
      <c r="D2560" s="38" t="s">
        <v>7</v>
      </c>
      <c r="E2560" s="38">
        <v>6060050026</v>
      </c>
      <c r="F2560" s="38"/>
      <c r="G2560" s="39">
        <v>3</v>
      </c>
      <c r="H2560" s="39"/>
      <c r="I2560" s="39"/>
      <c r="J2560" s="435"/>
      <c r="P2560" s="322"/>
      <c r="S2560" s="14"/>
      <c r="T2560" s="14"/>
      <c r="U2560" s="14"/>
      <c r="V2560" s="14"/>
      <c r="W2560" s="14"/>
      <c r="X2560" s="14"/>
      <c r="Y2560" s="14"/>
      <c r="Z2560" s="14"/>
      <c r="AA2560" s="14"/>
      <c r="AB2560" s="14"/>
      <c r="AC2560" s="14"/>
      <c r="AD2560" s="14"/>
      <c r="AE2560" s="14"/>
      <c r="AF2560" s="14"/>
      <c r="AG2560" s="14"/>
      <c r="AH2560" s="14"/>
      <c r="AI2560" s="14"/>
      <c r="AJ2560" s="14"/>
      <c r="AK2560" s="14"/>
    </row>
    <row r="2561" spans="2:37" x14ac:dyDescent="0.25">
      <c r="B2561" s="38">
        <v>273672</v>
      </c>
      <c r="C2561" s="38">
        <v>1135750</v>
      </c>
      <c r="D2561" s="38" t="s">
        <v>9</v>
      </c>
      <c r="E2561" s="40">
        <v>204000000000</v>
      </c>
      <c r="F2561" s="40"/>
      <c r="G2561" s="39">
        <v>10</v>
      </c>
      <c r="H2561" s="39"/>
      <c r="I2561" s="39"/>
      <c r="J2561" s="435"/>
      <c r="P2561" s="308" t="s">
        <v>25</v>
      </c>
      <c r="Q2561" s="308" t="s">
        <v>26</v>
      </c>
      <c r="R2561" s="308"/>
      <c r="S2561" s="14"/>
      <c r="T2561" s="14"/>
      <c r="U2561" s="14"/>
      <c r="V2561" s="14"/>
      <c r="W2561" s="14"/>
      <c r="X2561" s="14"/>
      <c r="Y2561" s="14"/>
      <c r="Z2561" s="14"/>
      <c r="AA2561" s="14"/>
      <c r="AB2561" s="14"/>
      <c r="AC2561" s="14"/>
      <c r="AD2561" s="14"/>
      <c r="AE2561" s="14"/>
      <c r="AF2561" s="14"/>
      <c r="AG2561" s="14"/>
      <c r="AH2561" s="14"/>
      <c r="AI2561" s="14"/>
      <c r="AJ2561" s="14"/>
      <c r="AK2561" s="14"/>
    </row>
    <row r="2562" spans="2:37" x14ac:dyDescent="0.25">
      <c r="B2562" s="38">
        <v>273702</v>
      </c>
      <c r="C2562" s="38">
        <v>1135753</v>
      </c>
      <c r="D2562" s="38" t="s">
        <v>10</v>
      </c>
      <c r="E2562" s="40">
        <v>301000000000</v>
      </c>
      <c r="F2562" s="40"/>
      <c r="G2562" s="39">
        <v>1</v>
      </c>
      <c r="H2562" s="39"/>
      <c r="I2562" s="39"/>
      <c r="J2562" s="435"/>
      <c r="P2562" s="307"/>
      <c r="Q2562" s="307" t="s">
        <v>28</v>
      </c>
      <c r="R2562" s="307"/>
      <c r="S2562" s="14"/>
      <c r="T2562" s="14"/>
      <c r="U2562" s="14"/>
      <c r="V2562" s="14"/>
      <c r="W2562" s="14"/>
      <c r="X2562" s="14"/>
      <c r="Y2562" s="14"/>
      <c r="Z2562" s="14"/>
      <c r="AA2562" s="14"/>
      <c r="AB2562" s="14"/>
      <c r="AC2562" s="14"/>
      <c r="AD2562" s="14"/>
      <c r="AE2562" s="14"/>
      <c r="AF2562" s="14"/>
      <c r="AG2562" s="14"/>
      <c r="AH2562" s="14"/>
      <c r="AI2562" s="14"/>
      <c r="AJ2562" s="14"/>
      <c r="AK2562" s="14"/>
    </row>
    <row r="2563" spans="2:37" x14ac:dyDescent="0.25">
      <c r="B2563" s="38">
        <v>273698</v>
      </c>
      <c r="C2563" s="38">
        <v>1135752</v>
      </c>
      <c r="D2563" s="38" t="s">
        <v>11</v>
      </c>
      <c r="E2563" s="40">
        <v>701000000000</v>
      </c>
      <c r="F2563" s="40"/>
      <c r="G2563" s="39">
        <v>9</v>
      </c>
      <c r="H2563" s="39"/>
      <c r="I2563" s="39"/>
      <c r="J2563" s="435"/>
      <c r="P2563" s="307" t="s">
        <v>29</v>
      </c>
      <c r="Q2563" s="307" t="s">
        <v>30</v>
      </c>
      <c r="R2563" s="307"/>
      <c r="S2563" s="14"/>
      <c r="T2563" s="14"/>
      <c r="U2563" s="14"/>
      <c r="V2563" s="14"/>
      <c r="W2563" s="14"/>
      <c r="X2563" s="14"/>
      <c r="Y2563" s="14"/>
      <c r="Z2563" s="14"/>
      <c r="AA2563" s="14"/>
      <c r="AB2563" s="14"/>
      <c r="AC2563" s="14"/>
      <c r="AD2563" s="14"/>
      <c r="AE2563" s="14"/>
      <c r="AF2563" s="14"/>
      <c r="AG2563" s="14"/>
      <c r="AH2563" s="14"/>
      <c r="AI2563" s="14"/>
      <c r="AJ2563" s="14"/>
      <c r="AK2563" s="14"/>
    </row>
    <row r="2564" spans="2:37" x14ac:dyDescent="0.25">
      <c r="B2564" s="38">
        <v>273680</v>
      </c>
      <c r="C2564" s="38">
        <v>1135751</v>
      </c>
      <c r="D2564" s="38" t="s">
        <v>12</v>
      </c>
      <c r="E2564" s="38" t="s">
        <v>13</v>
      </c>
      <c r="F2564" s="38"/>
      <c r="G2564" s="39">
        <v>17</v>
      </c>
      <c r="H2564" s="39"/>
      <c r="I2564" s="39"/>
      <c r="J2564" s="435"/>
      <c r="P2564" s="307" t="s">
        <v>31</v>
      </c>
      <c r="Q2564" s="307"/>
      <c r="R2564" s="307"/>
      <c r="S2564" s="14"/>
      <c r="T2564" s="14"/>
      <c r="U2564" s="14"/>
      <c r="V2564" s="14"/>
      <c r="W2564" s="14"/>
      <c r="X2564" s="14"/>
      <c r="Y2564" s="14"/>
      <c r="Z2564" s="14"/>
      <c r="AA2564" s="14"/>
      <c r="AB2564" s="14"/>
      <c r="AC2564" s="14"/>
      <c r="AD2564" s="14"/>
      <c r="AE2564" s="14"/>
      <c r="AF2564" s="14"/>
      <c r="AG2564" s="14"/>
      <c r="AH2564" s="14"/>
      <c r="AI2564" s="14"/>
      <c r="AJ2564" s="14"/>
      <c r="AK2564" s="14"/>
    </row>
    <row r="2565" spans="2:37" x14ac:dyDescent="0.25">
      <c r="P2565" s="307" t="s">
        <v>32</v>
      </c>
      <c r="Q2565" s="307"/>
      <c r="R2565" s="307"/>
      <c r="S2565" s="14"/>
      <c r="T2565" s="14"/>
      <c r="U2565" s="14"/>
      <c r="V2565" s="14"/>
      <c r="W2565" s="14"/>
      <c r="X2565" s="14"/>
      <c r="Y2565" s="14"/>
      <c r="Z2565" s="14"/>
      <c r="AA2565" s="14"/>
      <c r="AB2565" s="14"/>
      <c r="AC2565" s="14"/>
      <c r="AD2565" s="14"/>
      <c r="AE2565" s="14"/>
      <c r="AF2565" s="14"/>
      <c r="AG2565" s="14"/>
      <c r="AH2565" s="14"/>
      <c r="AI2565" s="14"/>
      <c r="AJ2565" s="14"/>
      <c r="AK2565" s="14"/>
    </row>
    <row r="2566" spans="2:37" x14ac:dyDescent="0.25">
      <c r="B2566" s="322" t="s">
        <v>18</v>
      </c>
      <c r="C2566" s="325">
        <v>44676</v>
      </c>
      <c r="P2566" s="307" t="s">
        <v>33</v>
      </c>
      <c r="Q2566" s="307"/>
      <c r="R2566" s="307"/>
      <c r="S2566" s="14"/>
      <c r="T2566" s="14"/>
      <c r="U2566" s="14"/>
      <c r="V2566" s="14"/>
      <c r="W2566" s="14"/>
      <c r="X2566" s="14"/>
      <c r="Y2566" s="14"/>
      <c r="Z2566" s="14"/>
      <c r="AA2566" s="14"/>
      <c r="AB2566" s="14"/>
      <c r="AC2566" s="14"/>
      <c r="AD2566" s="14"/>
      <c r="AE2566" s="14"/>
      <c r="AF2566" s="14"/>
      <c r="AG2566" s="14"/>
      <c r="AH2566" s="14"/>
      <c r="AI2566" s="14"/>
      <c r="AJ2566" s="14"/>
      <c r="AK2566" s="14"/>
    </row>
    <row r="2567" spans="2:37" x14ac:dyDescent="0.25">
      <c r="B2567" s="36" t="s">
        <v>0</v>
      </c>
      <c r="C2567" s="36" t="s">
        <v>1</v>
      </c>
      <c r="D2567" s="36" t="s">
        <v>2</v>
      </c>
      <c r="E2567" s="36" t="s">
        <v>3</v>
      </c>
      <c r="F2567" s="36"/>
      <c r="G2567" s="37" t="s">
        <v>4</v>
      </c>
      <c r="H2567" s="37"/>
      <c r="I2567" s="36" t="s">
        <v>5</v>
      </c>
      <c r="J2567" s="434"/>
      <c r="S2567" s="14"/>
      <c r="T2567" s="14"/>
      <c r="U2567" s="14"/>
      <c r="V2567" s="14"/>
      <c r="W2567" s="14"/>
      <c r="X2567" s="14"/>
      <c r="Y2567" s="14"/>
      <c r="Z2567" s="14"/>
      <c r="AA2567" s="14"/>
      <c r="AB2567" s="14"/>
      <c r="AC2567" s="14"/>
      <c r="AD2567" s="14"/>
      <c r="AE2567" s="14"/>
      <c r="AF2567" s="14"/>
      <c r="AG2567" s="14"/>
      <c r="AH2567" s="14"/>
      <c r="AI2567" s="14"/>
      <c r="AJ2567" s="14"/>
      <c r="AK2567" s="14"/>
    </row>
    <row r="2568" spans="2:37" x14ac:dyDescent="0.25">
      <c r="B2568" s="38">
        <v>273664</v>
      </c>
      <c r="C2568" s="38">
        <v>1135749</v>
      </c>
      <c r="D2568" s="38" t="s">
        <v>7</v>
      </c>
      <c r="E2568" s="38">
        <v>6060050026</v>
      </c>
      <c r="F2568" s="38"/>
      <c r="G2568" s="39">
        <v>5</v>
      </c>
      <c r="H2568" s="39"/>
      <c r="I2568" s="39"/>
      <c r="J2568" s="435"/>
      <c r="S2568" s="14"/>
      <c r="T2568" s="14"/>
      <c r="U2568" s="14"/>
      <c r="V2568" s="14"/>
      <c r="W2568" s="14"/>
      <c r="X2568" s="14"/>
      <c r="Y2568" s="14"/>
      <c r="Z2568" s="14"/>
      <c r="AA2568" s="14"/>
      <c r="AB2568" s="14"/>
      <c r="AC2568" s="14"/>
      <c r="AD2568" s="14"/>
      <c r="AE2568" s="14"/>
      <c r="AF2568" s="14"/>
      <c r="AG2568" s="14"/>
      <c r="AH2568" s="14"/>
      <c r="AI2568" s="14"/>
      <c r="AJ2568" s="14"/>
      <c r="AK2568" s="14"/>
    </row>
    <row r="2569" spans="2:37" x14ac:dyDescent="0.25">
      <c r="B2569" s="38">
        <v>273672</v>
      </c>
      <c r="C2569" s="38">
        <v>1135750</v>
      </c>
      <c r="D2569" s="38" t="s">
        <v>9</v>
      </c>
      <c r="E2569" s="40">
        <v>204000000000</v>
      </c>
      <c r="F2569" s="40"/>
      <c r="G2569" s="39">
        <v>11</v>
      </c>
      <c r="H2569" s="39"/>
      <c r="I2569" s="39"/>
      <c r="J2569" s="435"/>
      <c r="S2569" s="14"/>
      <c r="T2569" s="14"/>
      <c r="U2569" s="14"/>
      <c r="V2569" s="14"/>
      <c r="W2569" s="14"/>
      <c r="X2569" s="14"/>
      <c r="Y2569" s="14"/>
      <c r="Z2569" s="14"/>
      <c r="AA2569" s="14"/>
      <c r="AB2569" s="14"/>
      <c r="AC2569" s="14"/>
      <c r="AD2569" s="14"/>
      <c r="AE2569" s="14"/>
      <c r="AF2569" s="14"/>
      <c r="AG2569" s="14"/>
      <c r="AH2569" s="14"/>
      <c r="AI2569" s="14"/>
      <c r="AJ2569" s="14"/>
      <c r="AK2569" s="14"/>
    </row>
    <row r="2570" spans="2:37" x14ac:dyDescent="0.25">
      <c r="B2570" s="38">
        <v>273702</v>
      </c>
      <c r="C2570" s="38">
        <v>1135753</v>
      </c>
      <c r="D2570" s="38" t="s">
        <v>10</v>
      </c>
      <c r="E2570" s="40">
        <v>301000000000</v>
      </c>
      <c r="F2570" s="40"/>
      <c r="G2570" s="39">
        <v>1</v>
      </c>
      <c r="H2570" s="39"/>
      <c r="I2570" s="39"/>
      <c r="J2570" s="435"/>
      <c r="S2570" s="14"/>
      <c r="T2570" s="14"/>
      <c r="U2570" s="14"/>
      <c r="V2570" s="14"/>
      <c r="W2570" s="14"/>
      <c r="X2570" s="14"/>
      <c r="Y2570" s="14"/>
      <c r="Z2570" s="14"/>
      <c r="AA2570" s="14"/>
      <c r="AB2570" s="14"/>
      <c r="AC2570" s="14"/>
      <c r="AD2570" s="14"/>
      <c r="AE2570" s="14"/>
      <c r="AF2570" s="14"/>
      <c r="AG2570" s="14"/>
      <c r="AH2570" s="14"/>
      <c r="AI2570" s="14"/>
      <c r="AJ2570" s="14"/>
      <c r="AK2570" s="14"/>
    </row>
    <row r="2571" spans="2:37" x14ac:dyDescent="0.25">
      <c r="B2571" s="38">
        <v>273698</v>
      </c>
      <c r="C2571" s="38">
        <v>1135752</v>
      </c>
      <c r="D2571" s="38" t="s">
        <v>11</v>
      </c>
      <c r="E2571" s="40">
        <v>701000000000</v>
      </c>
      <c r="F2571" s="40"/>
      <c r="G2571" s="39">
        <v>9</v>
      </c>
      <c r="H2571" s="39"/>
      <c r="I2571" s="39"/>
      <c r="J2571" s="435"/>
      <c r="S2571" s="14"/>
      <c r="T2571" s="14"/>
      <c r="U2571" s="14"/>
      <c r="V2571" s="14"/>
      <c r="W2571" s="14"/>
      <c r="X2571" s="14"/>
      <c r="Y2571" s="14"/>
      <c r="Z2571" s="14"/>
      <c r="AA2571" s="14"/>
      <c r="AB2571" s="14"/>
      <c r="AC2571" s="14"/>
      <c r="AD2571" s="14"/>
      <c r="AE2571" s="14"/>
      <c r="AF2571" s="14"/>
      <c r="AG2571" s="14"/>
      <c r="AH2571" s="14"/>
      <c r="AI2571" s="14"/>
      <c r="AJ2571" s="14"/>
      <c r="AK2571" s="14"/>
    </row>
    <row r="2572" spans="2:37" x14ac:dyDescent="0.25">
      <c r="B2572" s="38">
        <v>273680</v>
      </c>
      <c r="C2572" s="38">
        <v>1135751</v>
      </c>
      <c r="D2572" s="38" t="s">
        <v>12</v>
      </c>
      <c r="E2572" s="38" t="s">
        <v>13</v>
      </c>
      <c r="F2572" s="38"/>
      <c r="G2572" s="39">
        <v>17</v>
      </c>
      <c r="H2572" s="39"/>
      <c r="I2572" s="39"/>
      <c r="J2572" s="435"/>
      <c r="S2572" s="14"/>
      <c r="T2572" s="14"/>
      <c r="U2572" s="14"/>
      <c r="V2572" s="14"/>
      <c r="W2572" s="14"/>
      <c r="X2572" s="14"/>
      <c r="Y2572" s="14"/>
      <c r="Z2572" s="14"/>
      <c r="AA2572" s="14"/>
      <c r="AB2572" s="14"/>
      <c r="AC2572" s="14"/>
      <c r="AD2572" s="14"/>
      <c r="AE2572" s="14"/>
      <c r="AF2572" s="14"/>
      <c r="AG2572" s="14"/>
      <c r="AH2572" s="14"/>
      <c r="AI2572" s="14"/>
      <c r="AJ2572" s="14"/>
      <c r="AK2572" s="14"/>
    </row>
    <row r="2575" spans="2:37" x14ac:dyDescent="0.25">
      <c r="B2575" s="322" t="s">
        <v>18</v>
      </c>
      <c r="C2575" s="325">
        <v>44669</v>
      </c>
      <c r="S2575" s="14"/>
      <c r="T2575" s="14"/>
      <c r="U2575" s="14"/>
      <c r="V2575" s="14"/>
      <c r="W2575" s="14"/>
      <c r="X2575" s="14"/>
      <c r="Y2575" s="14"/>
      <c r="Z2575" s="14"/>
      <c r="AA2575" s="14"/>
      <c r="AB2575" s="14"/>
      <c r="AC2575" s="14"/>
      <c r="AD2575" s="14"/>
      <c r="AE2575" s="14"/>
      <c r="AF2575" s="14"/>
      <c r="AG2575" s="14"/>
      <c r="AH2575" s="14"/>
      <c r="AI2575" s="14"/>
      <c r="AJ2575" s="14"/>
      <c r="AK2575" s="14"/>
    </row>
    <row r="2576" spans="2:37" x14ac:dyDescent="0.25">
      <c r="B2576" s="36" t="s">
        <v>0</v>
      </c>
      <c r="C2576" s="36" t="s">
        <v>1</v>
      </c>
      <c r="D2576" s="36" t="s">
        <v>2</v>
      </c>
      <c r="E2576" s="36" t="s">
        <v>3</v>
      </c>
      <c r="F2576" s="36"/>
      <c r="G2576" s="37" t="s">
        <v>4</v>
      </c>
      <c r="H2576" s="37"/>
      <c r="I2576" s="36" t="s">
        <v>5</v>
      </c>
      <c r="J2576" s="434"/>
      <c r="N2576" s="322"/>
      <c r="O2576" s="322"/>
      <c r="S2576" s="14"/>
      <c r="T2576" s="14"/>
      <c r="U2576" s="14"/>
      <c r="V2576" s="14"/>
      <c r="W2576" s="14"/>
      <c r="X2576" s="14"/>
      <c r="Y2576" s="14"/>
      <c r="Z2576" s="14"/>
      <c r="AA2576" s="14"/>
      <c r="AB2576" s="14"/>
      <c r="AC2576" s="14"/>
      <c r="AD2576" s="14"/>
      <c r="AE2576" s="14"/>
      <c r="AF2576" s="14"/>
      <c r="AG2576" s="14"/>
      <c r="AH2576" s="14"/>
      <c r="AI2576" s="14"/>
      <c r="AJ2576" s="14"/>
      <c r="AK2576" s="14"/>
    </row>
    <row r="2577" spans="2:37" x14ac:dyDescent="0.25">
      <c r="B2577" s="38">
        <v>273664</v>
      </c>
      <c r="C2577" s="38">
        <v>1135749</v>
      </c>
      <c r="D2577" s="38" t="s">
        <v>7</v>
      </c>
      <c r="E2577" s="38">
        <v>6060050026</v>
      </c>
      <c r="F2577" s="38"/>
      <c r="G2577" s="39">
        <v>5</v>
      </c>
      <c r="H2577" s="39"/>
      <c r="I2577" s="39"/>
      <c r="J2577" s="435"/>
      <c r="N2577" s="308" t="s">
        <v>24</v>
      </c>
      <c r="O2577" s="309"/>
      <c r="S2577" s="14"/>
      <c r="T2577" s="14"/>
      <c r="U2577" s="14"/>
      <c r="V2577" s="14"/>
      <c r="W2577" s="14"/>
      <c r="X2577" s="14"/>
      <c r="Y2577" s="14"/>
      <c r="Z2577" s="14"/>
      <c r="AA2577" s="14"/>
      <c r="AB2577" s="14"/>
      <c r="AC2577" s="14"/>
      <c r="AD2577" s="14"/>
      <c r="AE2577" s="14"/>
      <c r="AF2577" s="14"/>
      <c r="AG2577" s="14"/>
      <c r="AH2577" s="14"/>
      <c r="AI2577" s="14"/>
      <c r="AJ2577" s="14"/>
      <c r="AK2577" s="14"/>
    </row>
    <row r="2578" spans="2:37" x14ac:dyDescent="0.25">
      <c r="B2578" s="38">
        <v>273672</v>
      </c>
      <c r="C2578" s="38">
        <v>1135750</v>
      </c>
      <c r="D2578" s="38" t="s">
        <v>9</v>
      </c>
      <c r="E2578" s="40">
        <v>204060000058</v>
      </c>
      <c r="F2578" s="40"/>
      <c r="G2578" s="39">
        <v>8</v>
      </c>
      <c r="H2578" s="39"/>
      <c r="I2578" s="39"/>
      <c r="J2578" s="435"/>
      <c r="N2578" s="307">
        <v>5</v>
      </c>
      <c r="O2578" s="310"/>
      <c r="S2578" s="14"/>
      <c r="T2578" s="14"/>
      <c r="U2578" s="14"/>
      <c r="V2578" s="14"/>
      <c r="W2578" s="14"/>
      <c r="X2578" s="14"/>
      <c r="Y2578" s="14"/>
      <c r="Z2578" s="14"/>
      <c r="AA2578" s="14"/>
      <c r="AB2578" s="14"/>
      <c r="AC2578" s="14"/>
      <c r="AD2578" s="14"/>
      <c r="AE2578" s="14"/>
      <c r="AF2578" s="14"/>
      <c r="AG2578" s="14"/>
      <c r="AH2578" s="14"/>
      <c r="AI2578" s="14"/>
      <c r="AJ2578" s="14"/>
      <c r="AK2578" s="14"/>
    </row>
    <row r="2579" spans="2:37" x14ac:dyDescent="0.25">
      <c r="B2579" s="38">
        <v>273702</v>
      </c>
      <c r="C2579" s="38">
        <v>1135753</v>
      </c>
      <c r="D2579" s="38" t="s">
        <v>10</v>
      </c>
      <c r="E2579" s="311">
        <v>301090080013</v>
      </c>
      <c r="F2579" s="311"/>
      <c r="G2579" s="39">
        <v>1</v>
      </c>
      <c r="H2579" s="39"/>
      <c r="I2579" s="39"/>
      <c r="J2579" s="435"/>
      <c r="N2579" s="307">
        <v>8</v>
      </c>
      <c r="O2579" s="310"/>
      <c r="P2579" s="290" t="s">
        <v>34</v>
      </c>
      <c r="Q2579" s="312"/>
      <c r="R2579" s="312"/>
      <c r="S2579" s="14"/>
      <c r="T2579" s="14"/>
      <c r="U2579" s="14"/>
      <c r="V2579" s="14"/>
      <c r="W2579" s="14"/>
      <c r="X2579" s="14"/>
      <c r="Y2579" s="14"/>
      <c r="Z2579" s="14"/>
      <c r="AA2579" s="14"/>
      <c r="AB2579" s="14"/>
      <c r="AC2579" s="14"/>
      <c r="AD2579" s="14"/>
      <c r="AE2579" s="14"/>
      <c r="AF2579" s="14"/>
      <c r="AG2579" s="14"/>
      <c r="AH2579" s="14"/>
      <c r="AI2579" s="14"/>
      <c r="AJ2579" s="14"/>
      <c r="AK2579" s="14"/>
    </row>
    <row r="2580" spans="2:37" x14ac:dyDescent="0.25">
      <c r="B2580" s="38">
        <v>273698</v>
      </c>
      <c r="C2580" s="38">
        <v>1135752</v>
      </c>
      <c r="D2580" s="38" t="s">
        <v>11</v>
      </c>
      <c r="E2580" s="311">
        <v>701040120047</v>
      </c>
      <c r="F2580" s="311"/>
      <c r="G2580" s="39">
        <v>9</v>
      </c>
      <c r="H2580" s="39"/>
      <c r="I2580" s="39"/>
      <c r="J2580" s="435"/>
      <c r="N2580" s="307">
        <v>1</v>
      </c>
      <c r="O2580" s="310"/>
      <c r="Q2580" s="312"/>
      <c r="R2580" s="312"/>
      <c r="S2580" s="14"/>
      <c r="T2580" s="14"/>
      <c r="U2580" s="14"/>
      <c r="V2580" s="14"/>
      <c r="W2580" s="14"/>
      <c r="X2580" s="14"/>
      <c r="Y2580" s="14"/>
      <c r="Z2580" s="14"/>
      <c r="AA2580" s="14"/>
      <c r="AB2580" s="14"/>
      <c r="AC2580" s="14"/>
      <c r="AD2580" s="14"/>
      <c r="AE2580" s="14"/>
      <c r="AF2580" s="14"/>
      <c r="AG2580" s="14"/>
      <c r="AH2580" s="14"/>
      <c r="AI2580" s="14"/>
      <c r="AJ2580" s="14"/>
      <c r="AK2580" s="14"/>
    </row>
    <row r="2581" spans="2:37" x14ac:dyDescent="0.25">
      <c r="B2581" s="38">
        <v>273680</v>
      </c>
      <c r="C2581" s="38">
        <v>1135751</v>
      </c>
      <c r="D2581" s="38" t="s">
        <v>12</v>
      </c>
      <c r="E2581" s="38" t="s">
        <v>13</v>
      </c>
      <c r="F2581" s="38"/>
      <c r="G2581" s="41">
        <v>17</v>
      </c>
      <c r="H2581" s="41"/>
      <c r="I2581" s="39"/>
      <c r="J2581" s="435"/>
      <c r="N2581" s="307">
        <v>9</v>
      </c>
      <c r="O2581" s="310"/>
      <c r="P2581" s="344"/>
      <c r="Q2581" s="312"/>
      <c r="R2581" s="312"/>
      <c r="S2581" s="14"/>
      <c r="T2581" s="14"/>
      <c r="U2581" s="14"/>
      <c r="V2581" s="14"/>
      <c r="W2581" s="14"/>
      <c r="X2581" s="14"/>
      <c r="Y2581" s="14"/>
      <c r="Z2581" s="14"/>
      <c r="AA2581" s="14"/>
      <c r="AB2581" s="14"/>
      <c r="AC2581" s="14"/>
      <c r="AD2581" s="14"/>
      <c r="AE2581" s="14"/>
      <c r="AF2581" s="14"/>
      <c r="AG2581" s="14"/>
      <c r="AH2581" s="14"/>
      <c r="AI2581" s="14"/>
      <c r="AJ2581" s="14"/>
      <c r="AK2581" s="14"/>
    </row>
    <row r="2582" spans="2:37" x14ac:dyDescent="0.25">
      <c r="N2582" s="307">
        <v>17</v>
      </c>
      <c r="O2582" s="310"/>
      <c r="P2582" s="344"/>
      <c r="Q2582" s="312"/>
      <c r="R2582" s="312"/>
      <c r="S2582" s="14"/>
      <c r="T2582" s="14"/>
      <c r="U2582" s="14"/>
      <c r="V2582" s="14"/>
      <c r="W2582" s="14"/>
      <c r="X2582" s="14"/>
      <c r="Y2582" s="14"/>
      <c r="Z2582" s="14"/>
      <c r="AA2582" s="14"/>
      <c r="AB2582" s="14"/>
      <c r="AC2582" s="14"/>
      <c r="AD2582" s="14"/>
      <c r="AE2582" s="14"/>
      <c r="AF2582" s="14"/>
      <c r="AG2582" s="14"/>
      <c r="AH2582" s="14"/>
      <c r="AI2582" s="14"/>
      <c r="AJ2582" s="14"/>
      <c r="AK2582" s="14"/>
    </row>
    <row r="2584" spans="2:37" ht="14.25" thickBot="1" x14ac:dyDescent="0.3">
      <c r="B2584" s="322" t="s">
        <v>18</v>
      </c>
      <c r="C2584" s="325">
        <v>44663</v>
      </c>
      <c r="P2584" s="14"/>
      <c r="Q2584" s="14"/>
      <c r="R2584" s="14"/>
      <c r="S2584" s="14"/>
      <c r="T2584" s="14"/>
      <c r="U2584" s="14"/>
      <c r="V2584" s="14"/>
      <c r="W2584" s="14"/>
      <c r="X2584" s="14"/>
      <c r="Y2584" s="14"/>
      <c r="Z2584" s="14"/>
      <c r="AA2584" s="14"/>
      <c r="AB2584" s="14"/>
      <c r="AC2584" s="14"/>
      <c r="AD2584" s="14"/>
      <c r="AE2584" s="14"/>
      <c r="AF2584" s="14"/>
      <c r="AG2584" s="14"/>
      <c r="AH2584" s="14"/>
      <c r="AI2584" s="14"/>
      <c r="AJ2584" s="14"/>
      <c r="AK2584" s="14"/>
    </row>
    <row r="2585" spans="2:37" ht="14.25" thickBot="1" x14ac:dyDescent="0.3">
      <c r="B2585" s="42" t="s">
        <v>0</v>
      </c>
      <c r="C2585" s="43" t="s">
        <v>1</v>
      </c>
      <c r="D2585" s="43" t="s">
        <v>2</v>
      </c>
      <c r="E2585" s="43" t="s">
        <v>3</v>
      </c>
      <c r="F2585" s="43"/>
      <c r="G2585" s="44" t="s">
        <v>4</v>
      </c>
      <c r="H2585" s="44"/>
      <c r="I2585" s="43" t="s">
        <v>5</v>
      </c>
      <c r="J2585" s="434"/>
      <c r="P2585" s="14"/>
      <c r="Q2585" s="14"/>
      <c r="R2585" s="14"/>
      <c r="S2585" s="14"/>
      <c r="T2585" s="14"/>
      <c r="U2585" s="14"/>
      <c r="V2585" s="14"/>
      <c r="W2585" s="14"/>
      <c r="X2585" s="14"/>
      <c r="Y2585" s="14"/>
      <c r="Z2585" s="14"/>
      <c r="AA2585" s="14"/>
      <c r="AB2585" s="14"/>
      <c r="AC2585" s="14"/>
      <c r="AD2585" s="14"/>
      <c r="AE2585" s="14"/>
      <c r="AF2585" s="14"/>
      <c r="AG2585" s="14"/>
      <c r="AH2585" s="14"/>
      <c r="AI2585" s="14"/>
      <c r="AJ2585" s="14"/>
      <c r="AK2585" s="14"/>
    </row>
    <row r="2586" spans="2:37" ht="14.25" thickBot="1" x14ac:dyDescent="0.3">
      <c r="B2586" s="45">
        <v>273664</v>
      </c>
      <c r="C2586" s="46">
        <v>1135749</v>
      </c>
      <c r="D2586" s="46" t="s">
        <v>7</v>
      </c>
      <c r="E2586" s="46">
        <v>6060050026</v>
      </c>
      <c r="F2586" s="46"/>
      <c r="G2586" s="46">
        <v>2</v>
      </c>
      <c r="H2586" s="46"/>
      <c r="I2586" s="47"/>
      <c r="J2586" s="435"/>
      <c r="P2586" s="14"/>
      <c r="Q2586" s="14"/>
      <c r="R2586" s="14"/>
      <c r="S2586" s="14"/>
      <c r="T2586" s="14"/>
      <c r="U2586" s="14"/>
      <c r="V2586" s="14"/>
      <c r="W2586" s="14"/>
      <c r="X2586" s="14"/>
      <c r="Y2586" s="14"/>
      <c r="Z2586" s="14"/>
      <c r="AA2586" s="14"/>
      <c r="AB2586" s="14"/>
      <c r="AC2586" s="14"/>
      <c r="AD2586" s="14"/>
      <c r="AE2586" s="14"/>
      <c r="AF2586" s="14"/>
      <c r="AG2586" s="14"/>
      <c r="AH2586" s="14"/>
      <c r="AI2586" s="14"/>
      <c r="AJ2586" s="14"/>
      <c r="AK2586" s="14"/>
    </row>
    <row r="2587" spans="2:37" ht="14.25" thickBot="1" x14ac:dyDescent="0.3">
      <c r="B2587" s="45">
        <v>273672</v>
      </c>
      <c r="C2587" s="46">
        <v>1135750</v>
      </c>
      <c r="D2587" s="46" t="s">
        <v>9</v>
      </c>
      <c r="E2587" s="313">
        <v>204000000000</v>
      </c>
      <c r="F2587" s="314"/>
      <c r="G2587" s="46">
        <v>8</v>
      </c>
      <c r="H2587" s="46"/>
      <c r="I2587" s="47"/>
      <c r="J2587" s="435"/>
      <c r="P2587" s="14"/>
      <c r="Q2587" s="14"/>
      <c r="R2587" s="14"/>
      <c r="S2587" s="14"/>
      <c r="T2587" s="14"/>
      <c r="U2587" s="14"/>
      <c r="V2587" s="14"/>
      <c r="W2587" s="14"/>
      <c r="X2587" s="14"/>
      <c r="Y2587" s="14"/>
      <c r="Z2587" s="14"/>
      <c r="AA2587" s="14"/>
      <c r="AB2587" s="14"/>
      <c r="AC2587" s="14"/>
      <c r="AD2587" s="14"/>
      <c r="AE2587" s="14"/>
      <c r="AF2587" s="14"/>
      <c r="AG2587" s="14"/>
      <c r="AH2587" s="14"/>
      <c r="AI2587" s="14"/>
      <c r="AJ2587" s="14"/>
      <c r="AK2587" s="14"/>
    </row>
    <row r="2588" spans="2:37" ht="14.25" thickBot="1" x14ac:dyDescent="0.3">
      <c r="B2588" s="45">
        <v>273702</v>
      </c>
      <c r="C2588" s="46">
        <v>1135753</v>
      </c>
      <c r="D2588" s="46" t="s">
        <v>10</v>
      </c>
      <c r="E2588" s="311">
        <v>301000000000</v>
      </c>
      <c r="F2588" s="315"/>
      <c r="G2588" s="46">
        <v>1</v>
      </c>
      <c r="H2588" s="46"/>
      <c r="I2588" s="47"/>
      <c r="J2588" s="435"/>
      <c r="P2588" s="14"/>
      <c r="Q2588" s="14"/>
      <c r="R2588" s="14"/>
      <c r="S2588" s="14"/>
      <c r="T2588" s="14"/>
      <c r="U2588" s="14"/>
      <c r="V2588" s="14"/>
      <c r="W2588" s="14"/>
      <c r="X2588" s="14"/>
      <c r="Y2588" s="14"/>
      <c r="Z2588" s="14"/>
      <c r="AA2588" s="14"/>
      <c r="AB2588" s="14"/>
      <c r="AC2588" s="14"/>
      <c r="AD2588" s="14"/>
      <c r="AE2588" s="14"/>
      <c r="AF2588" s="14"/>
      <c r="AG2588" s="14"/>
      <c r="AH2588" s="14"/>
      <c r="AI2588" s="14"/>
      <c r="AJ2588" s="14"/>
      <c r="AK2588" s="14"/>
    </row>
    <row r="2589" spans="2:37" ht="14.25" thickBot="1" x14ac:dyDescent="0.3">
      <c r="B2589" s="45">
        <v>273698</v>
      </c>
      <c r="C2589" s="46">
        <v>1135752</v>
      </c>
      <c r="D2589" s="46" t="s">
        <v>11</v>
      </c>
      <c r="E2589" s="311">
        <v>701000000000</v>
      </c>
      <c r="F2589" s="315"/>
      <c r="G2589" s="46">
        <v>9</v>
      </c>
      <c r="H2589" s="46"/>
      <c r="I2589" s="47"/>
      <c r="J2589" s="435"/>
      <c r="P2589" s="14"/>
      <c r="Q2589" s="14"/>
      <c r="R2589" s="14"/>
      <c r="S2589" s="14"/>
      <c r="T2589" s="14"/>
      <c r="U2589" s="14"/>
      <c r="V2589" s="14"/>
      <c r="W2589" s="14"/>
      <c r="X2589" s="14"/>
      <c r="Y2589" s="14"/>
      <c r="Z2589" s="14"/>
      <c r="AA2589" s="14"/>
      <c r="AB2589" s="14"/>
      <c r="AC2589" s="14"/>
      <c r="AD2589" s="14"/>
      <c r="AE2589" s="14"/>
      <c r="AF2589" s="14"/>
      <c r="AG2589" s="14"/>
      <c r="AH2589" s="14"/>
      <c r="AI2589" s="14"/>
      <c r="AJ2589" s="14"/>
      <c r="AK2589" s="14"/>
    </row>
    <row r="2590" spans="2:37" ht="14.25" thickBot="1" x14ac:dyDescent="0.3">
      <c r="B2590" s="45">
        <v>273680</v>
      </c>
      <c r="C2590" s="46">
        <v>1135751</v>
      </c>
      <c r="D2590" s="46" t="s">
        <v>12</v>
      </c>
      <c r="E2590" s="46" t="s">
        <v>13</v>
      </c>
      <c r="F2590" s="46"/>
      <c r="G2590" s="46">
        <v>15</v>
      </c>
      <c r="H2590" s="46"/>
      <c r="I2590" s="47"/>
      <c r="J2590" s="435"/>
      <c r="P2590" s="14"/>
      <c r="Q2590" s="14"/>
      <c r="R2590" s="14"/>
      <c r="S2590" s="14"/>
      <c r="T2590" s="14"/>
      <c r="U2590" s="14"/>
      <c r="V2590" s="14"/>
      <c r="W2590" s="14"/>
      <c r="X2590" s="14"/>
      <c r="Y2590" s="14"/>
      <c r="Z2590" s="14"/>
      <c r="AA2590" s="14"/>
      <c r="AB2590" s="14"/>
      <c r="AC2590" s="14"/>
      <c r="AD2590" s="14"/>
      <c r="AE2590" s="14"/>
      <c r="AF2590" s="14"/>
      <c r="AG2590" s="14"/>
      <c r="AH2590" s="14"/>
      <c r="AI2590" s="14"/>
      <c r="AJ2590" s="14"/>
      <c r="AK2590" s="14"/>
    </row>
    <row r="2592" spans="2:37" ht="14.25" thickBot="1" x14ac:dyDescent="0.3">
      <c r="B2592" s="322" t="s">
        <v>18</v>
      </c>
      <c r="C2592" s="325">
        <v>44656</v>
      </c>
      <c r="P2592" s="14"/>
      <c r="Q2592" s="14"/>
      <c r="R2592" s="14"/>
      <c r="S2592" s="14"/>
      <c r="T2592" s="14"/>
      <c r="U2592" s="14"/>
      <c r="V2592" s="14"/>
      <c r="W2592" s="14"/>
      <c r="X2592" s="14"/>
      <c r="Y2592" s="14"/>
      <c r="Z2592" s="14"/>
      <c r="AA2592" s="14"/>
      <c r="AB2592" s="14"/>
      <c r="AC2592" s="14"/>
      <c r="AD2592" s="14"/>
      <c r="AE2592" s="14"/>
      <c r="AF2592" s="14"/>
      <c r="AG2592" s="14"/>
      <c r="AH2592" s="14"/>
      <c r="AI2592" s="14"/>
      <c r="AJ2592" s="14"/>
      <c r="AK2592" s="14"/>
    </row>
    <row r="2593" spans="2:37" ht="14.25" thickBot="1" x14ac:dyDescent="0.3">
      <c r="B2593" s="42" t="s">
        <v>0</v>
      </c>
      <c r="C2593" s="43" t="s">
        <v>1</v>
      </c>
      <c r="D2593" s="43" t="s">
        <v>2</v>
      </c>
      <c r="E2593" s="43" t="s">
        <v>3</v>
      </c>
      <c r="F2593" s="43"/>
      <c r="G2593" s="44" t="s">
        <v>4</v>
      </c>
      <c r="H2593" s="44"/>
      <c r="I2593" s="43" t="s">
        <v>5</v>
      </c>
      <c r="J2593" s="434"/>
      <c r="P2593" s="14"/>
      <c r="Q2593" s="14"/>
      <c r="R2593" s="14"/>
      <c r="S2593" s="14"/>
      <c r="T2593" s="14"/>
      <c r="U2593" s="14"/>
      <c r="V2593" s="14"/>
      <c r="W2593" s="14"/>
      <c r="X2593" s="14"/>
      <c r="Y2593" s="14"/>
      <c r="Z2593" s="14"/>
      <c r="AA2593" s="14"/>
      <c r="AB2593" s="14"/>
      <c r="AC2593" s="14"/>
      <c r="AD2593" s="14"/>
      <c r="AE2593" s="14"/>
      <c r="AF2593" s="14"/>
      <c r="AG2593" s="14"/>
      <c r="AH2593" s="14"/>
      <c r="AI2593" s="14"/>
      <c r="AJ2593" s="14"/>
      <c r="AK2593" s="14"/>
    </row>
    <row r="2594" spans="2:37" ht="14.25" thickBot="1" x14ac:dyDescent="0.3">
      <c r="B2594" s="45">
        <v>273664</v>
      </c>
      <c r="C2594" s="46">
        <v>1135749</v>
      </c>
      <c r="D2594" s="46" t="s">
        <v>7</v>
      </c>
      <c r="E2594" s="46">
        <v>6060050026</v>
      </c>
      <c r="F2594" s="46"/>
      <c r="G2594" s="46">
        <v>2</v>
      </c>
      <c r="H2594" s="46"/>
      <c r="I2594" s="47"/>
      <c r="J2594" s="435"/>
      <c r="P2594" s="14"/>
      <c r="Q2594" s="14"/>
      <c r="R2594" s="14"/>
      <c r="S2594" s="14"/>
      <c r="T2594" s="14"/>
      <c r="U2594" s="14"/>
      <c r="V2594" s="14"/>
      <c r="W2594" s="14"/>
      <c r="X2594" s="14"/>
      <c r="Y2594" s="14"/>
      <c r="Z2594" s="14"/>
      <c r="AA2594" s="14"/>
      <c r="AB2594" s="14"/>
      <c r="AC2594" s="14"/>
      <c r="AD2594" s="14"/>
      <c r="AE2594" s="14"/>
      <c r="AF2594" s="14"/>
      <c r="AG2594" s="14"/>
      <c r="AH2594" s="14"/>
      <c r="AI2594" s="14"/>
      <c r="AJ2594" s="14"/>
      <c r="AK2594" s="14"/>
    </row>
    <row r="2595" spans="2:37" ht="14.25" thickBot="1" x14ac:dyDescent="0.3">
      <c r="B2595" s="45">
        <v>273672</v>
      </c>
      <c r="C2595" s="46">
        <v>1135750</v>
      </c>
      <c r="D2595" s="46" t="s">
        <v>9</v>
      </c>
      <c r="E2595" s="313">
        <v>204000000000</v>
      </c>
      <c r="F2595" s="314"/>
      <c r="G2595" s="46">
        <v>12</v>
      </c>
      <c r="H2595" s="46"/>
      <c r="I2595" s="47"/>
      <c r="J2595" s="435"/>
      <c r="P2595" s="14"/>
      <c r="Q2595" s="14"/>
      <c r="R2595" s="14"/>
      <c r="S2595" s="14"/>
      <c r="T2595" s="14"/>
      <c r="U2595" s="14"/>
      <c r="V2595" s="14"/>
      <c r="W2595" s="14"/>
      <c r="X2595" s="14"/>
      <c r="Y2595" s="14"/>
      <c r="Z2595" s="14"/>
      <c r="AA2595" s="14"/>
      <c r="AB2595" s="14"/>
      <c r="AC2595" s="14"/>
      <c r="AD2595" s="14"/>
      <c r="AE2595" s="14"/>
      <c r="AF2595" s="14"/>
      <c r="AG2595" s="14"/>
      <c r="AH2595" s="14"/>
      <c r="AI2595" s="14"/>
      <c r="AJ2595" s="14"/>
      <c r="AK2595" s="14"/>
    </row>
    <row r="2596" spans="2:37" ht="14.25" thickBot="1" x14ac:dyDescent="0.3">
      <c r="B2596" s="45">
        <v>273702</v>
      </c>
      <c r="C2596" s="46">
        <v>1135753</v>
      </c>
      <c r="D2596" s="46" t="s">
        <v>10</v>
      </c>
      <c r="E2596" s="311">
        <v>301000000000</v>
      </c>
      <c r="F2596" s="315"/>
      <c r="G2596" s="46">
        <v>1</v>
      </c>
      <c r="H2596" s="46"/>
      <c r="I2596" s="47"/>
      <c r="J2596" s="435"/>
      <c r="P2596" s="14"/>
      <c r="Q2596" s="14"/>
      <c r="R2596" s="14"/>
      <c r="S2596" s="14"/>
      <c r="T2596" s="14"/>
      <c r="U2596" s="14"/>
      <c r="V2596" s="14"/>
      <c r="W2596" s="14"/>
      <c r="X2596" s="14"/>
      <c r="Y2596" s="14"/>
      <c r="Z2596" s="14"/>
      <c r="AA2596" s="14"/>
      <c r="AB2596" s="14"/>
      <c r="AC2596" s="14"/>
      <c r="AD2596" s="14"/>
      <c r="AE2596" s="14"/>
      <c r="AF2596" s="14"/>
      <c r="AG2596" s="14"/>
      <c r="AH2596" s="14"/>
      <c r="AI2596" s="14"/>
      <c r="AJ2596" s="14"/>
      <c r="AK2596" s="14"/>
    </row>
    <row r="2597" spans="2:37" ht="14.25" thickBot="1" x14ac:dyDescent="0.3">
      <c r="B2597" s="45">
        <v>273698</v>
      </c>
      <c r="C2597" s="46">
        <v>1135752</v>
      </c>
      <c r="D2597" s="46" t="s">
        <v>11</v>
      </c>
      <c r="E2597" s="311">
        <v>701000000000</v>
      </c>
      <c r="F2597" s="315"/>
      <c r="G2597" s="46">
        <v>9</v>
      </c>
      <c r="H2597" s="46"/>
      <c r="I2597" s="47"/>
      <c r="J2597" s="435"/>
      <c r="N2597" s="344">
        <v>44644</v>
      </c>
      <c r="O2597" s="344"/>
      <c r="P2597" s="14"/>
      <c r="Q2597" s="14"/>
      <c r="R2597" s="14"/>
      <c r="S2597" s="14"/>
      <c r="T2597" s="14"/>
      <c r="U2597" s="14"/>
      <c r="V2597" s="14"/>
      <c r="W2597" s="14"/>
      <c r="X2597" s="14"/>
      <c r="Y2597" s="14"/>
      <c r="Z2597" s="14"/>
      <c r="AA2597" s="14"/>
      <c r="AB2597" s="14"/>
      <c r="AC2597" s="14"/>
      <c r="AD2597" s="14"/>
      <c r="AE2597" s="14"/>
      <c r="AF2597" s="14"/>
      <c r="AG2597" s="14"/>
      <c r="AH2597" s="14"/>
      <c r="AI2597" s="14"/>
      <c r="AJ2597" s="14"/>
      <c r="AK2597" s="14"/>
    </row>
    <row r="2598" spans="2:37" ht="14.25" thickBot="1" x14ac:dyDescent="0.3">
      <c r="B2598" s="45">
        <v>273680</v>
      </c>
      <c r="C2598" s="46">
        <v>1135751</v>
      </c>
      <c r="D2598" s="46" t="s">
        <v>12</v>
      </c>
      <c r="E2598" s="46" t="s">
        <v>13</v>
      </c>
      <c r="F2598" s="46"/>
      <c r="G2598" s="46">
        <v>20</v>
      </c>
      <c r="H2598" s="46"/>
      <c r="I2598" s="47"/>
      <c r="J2598" s="435"/>
      <c r="N2598" s="344">
        <v>44655</v>
      </c>
      <c r="O2598" s="344"/>
      <c r="P2598" s="14"/>
      <c r="Q2598" s="14"/>
      <c r="R2598" s="14"/>
      <c r="S2598" s="14"/>
      <c r="T2598" s="14"/>
      <c r="U2598" s="14"/>
      <c r="V2598" s="14"/>
      <c r="W2598" s="14"/>
      <c r="X2598" s="14"/>
      <c r="Y2598" s="14"/>
      <c r="Z2598" s="14"/>
      <c r="AA2598" s="14"/>
      <c r="AB2598" s="14"/>
      <c r="AC2598" s="14"/>
      <c r="AD2598" s="14"/>
      <c r="AE2598" s="14"/>
      <c r="AF2598" s="14"/>
      <c r="AG2598" s="14"/>
      <c r="AH2598" s="14"/>
      <c r="AI2598" s="14"/>
      <c r="AJ2598" s="14"/>
      <c r="AK2598" s="14"/>
    </row>
    <row r="2599" spans="2:37" x14ac:dyDescent="0.25">
      <c r="B2599" s="48"/>
      <c r="C2599" s="48"/>
      <c r="D2599" s="48"/>
      <c r="E2599" s="48"/>
      <c r="F2599" s="48"/>
      <c r="G2599" s="48"/>
      <c r="H2599" s="48"/>
      <c r="I2599" s="49"/>
      <c r="J2599" s="49"/>
      <c r="P2599" s="14"/>
      <c r="Q2599" s="14"/>
      <c r="R2599" s="14"/>
      <c r="S2599" s="14"/>
      <c r="T2599" s="14"/>
      <c r="U2599" s="14"/>
      <c r="V2599" s="14"/>
      <c r="W2599" s="14"/>
      <c r="X2599" s="14"/>
      <c r="Y2599" s="14"/>
      <c r="Z2599" s="14"/>
      <c r="AA2599" s="14"/>
      <c r="AB2599" s="14"/>
      <c r="AC2599" s="14"/>
      <c r="AD2599" s="14"/>
      <c r="AE2599" s="14"/>
      <c r="AF2599" s="14"/>
      <c r="AG2599" s="14"/>
      <c r="AH2599" s="14"/>
      <c r="AI2599" s="14"/>
      <c r="AJ2599" s="14"/>
      <c r="AK2599" s="14"/>
    </row>
    <row r="2600" spans="2:37" ht="14.25" thickBot="1" x14ac:dyDescent="0.3">
      <c r="B2600" s="322" t="s">
        <v>18</v>
      </c>
      <c r="C2600" s="325">
        <v>44648</v>
      </c>
      <c r="D2600" s="48"/>
      <c r="E2600" s="48"/>
      <c r="F2600" s="48"/>
      <c r="G2600" s="48"/>
      <c r="H2600" s="48"/>
      <c r="I2600" s="49"/>
      <c r="J2600" s="49"/>
      <c r="AG2600" s="14"/>
      <c r="AH2600" s="14"/>
      <c r="AI2600" s="14"/>
      <c r="AJ2600" s="14"/>
      <c r="AK2600" s="14"/>
    </row>
    <row r="2601" spans="2:37" ht="14.25" thickBot="1" x14ac:dyDescent="0.3">
      <c r="B2601" s="42" t="s">
        <v>0</v>
      </c>
      <c r="C2601" s="43" t="s">
        <v>1</v>
      </c>
      <c r="D2601" s="43" t="s">
        <v>2</v>
      </c>
      <c r="E2601" s="43" t="s">
        <v>3</v>
      </c>
      <c r="F2601" s="43"/>
      <c r="G2601" s="44" t="s">
        <v>4</v>
      </c>
      <c r="H2601" s="44"/>
      <c r="I2601" s="43" t="s">
        <v>5</v>
      </c>
      <c r="J2601" s="434"/>
      <c r="AG2601" s="14"/>
      <c r="AH2601" s="14"/>
      <c r="AI2601" s="14"/>
      <c r="AJ2601" s="14"/>
      <c r="AK2601" s="14"/>
    </row>
    <row r="2602" spans="2:37" ht="14.25" thickBot="1" x14ac:dyDescent="0.3">
      <c r="B2602" s="45">
        <v>273664</v>
      </c>
      <c r="C2602" s="46">
        <v>1135749</v>
      </c>
      <c r="D2602" s="46" t="s">
        <v>7</v>
      </c>
      <c r="E2602" s="46">
        <v>6060050026</v>
      </c>
      <c r="F2602" s="46"/>
      <c r="G2602" s="46">
        <v>2</v>
      </c>
      <c r="H2602" s="46"/>
      <c r="I2602" s="47"/>
      <c r="J2602" s="435"/>
      <c r="AG2602" s="14"/>
      <c r="AH2602" s="14"/>
      <c r="AI2602" s="14"/>
      <c r="AJ2602" s="14"/>
      <c r="AK2602" s="14"/>
    </row>
    <row r="2603" spans="2:37" ht="14.25" thickBot="1" x14ac:dyDescent="0.3">
      <c r="B2603" s="45">
        <v>273672</v>
      </c>
      <c r="C2603" s="46">
        <v>1135750</v>
      </c>
      <c r="D2603" s="46" t="s">
        <v>9</v>
      </c>
      <c r="E2603" s="313">
        <v>204000000000</v>
      </c>
      <c r="F2603" s="314"/>
      <c r="G2603" s="46">
        <v>0</v>
      </c>
      <c r="H2603" s="46"/>
      <c r="I2603" s="47"/>
      <c r="J2603" s="435"/>
      <c r="AG2603" s="14"/>
      <c r="AH2603" s="14"/>
      <c r="AI2603" s="14"/>
      <c r="AJ2603" s="14"/>
      <c r="AK2603" s="14"/>
    </row>
    <row r="2604" spans="2:37" ht="14.25" thickBot="1" x14ac:dyDescent="0.3">
      <c r="B2604" s="45">
        <v>273702</v>
      </c>
      <c r="C2604" s="46">
        <v>1135753</v>
      </c>
      <c r="D2604" s="46" t="s">
        <v>10</v>
      </c>
      <c r="E2604" s="311">
        <v>301000000000</v>
      </c>
      <c r="F2604" s="315"/>
      <c r="G2604" s="46">
        <v>2</v>
      </c>
      <c r="H2604" s="46"/>
      <c r="I2604" s="47"/>
      <c r="J2604" s="435"/>
      <c r="AG2604" s="14"/>
      <c r="AH2604" s="14"/>
      <c r="AI2604" s="14"/>
      <c r="AJ2604" s="14"/>
      <c r="AK2604" s="14"/>
    </row>
    <row r="2605" spans="2:37" ht="14.25" thickBot="1" x14ac:dyDescent="0.3">
      <c r="B2605" s="45">
        <v>273698</v>
      </c>
      <c r="C2605" s="46">
        <v>1135752</v>
      </c>
      <c r="D2605" s="46" t="s">
        <v>11</v>
      </c>
      <c r="E2605" s="311">
        <v>701000000000</v>
      </c>
      <c r="F2605" s="315"/>
      <c r="G2605" s="46">
        <v>10</v>
      </c>
      <c r="H2605" s="46"/>
      <c r="I2605" s="47"/>
      <c r="J2605" s="435"/>
      <c r="AG2605" s="14"/>
      <c r="AH2605" s="14"/>
      <c r="AI2605" s="14"/>
      <c r="AJ2605" s="14"/>
      <c r="AK2605" s="14"/>
    </row>
    <row r="2606" spans="2:37" ht="14.25" thickBot="1" x14ac:dyDescent="0.3">
      <c r="B2606" s="45">
        <v>273680</v>
      </c>
      <c r="C2606" s="46">
        <v>1135751</v>
      </c>
      <c r="D2606" s="46" t="s">
        <v>12</v>
      </c>
      <c r="E2606" s="46" t="s">
        <v>13</v>
      </c>
      <c r="F2606" s="46"/>
      <c r="G2606" s="46">
        <v>20</v>
      </c>
      <c r="H2606" s="46"/>
      <c r="I2606" s="47"/>
      <c r="J2606" s="435"/>
      <c r="AG2606" s="14"/>
      <c r="AH2606" s="14"/>
      <c r="AI2606" s="14"/>
      <c r="AJ2606" s="14"/>
      <c r="AK2606" s="14"/>
    </row>
    <row r="2608" spans="2:37" ht="18" customHeight="1" thickBot="1" x14ac:dyDescent="0.3">
      <c r="B2608" s="322" t="s">
        <v>18</v>
      </c>
      <c r="C2608" s="325">
        <v>44641</v>
      </c>
      <c r="AG2608" s="14"/>
      <c r="AH2608" s="14"/>
      <c r="AI2608" s="14"/>
      <c r="AJ2608" s="14"/>
      <c r="AK2608" s="14"/>
    </row>
    <row r="2609" spans="2:37" ht="14.25" thickBot="1" x14ac:dyDescent="0.3">
      <c r="B2609" s="42" t="s">
        <v>0</v>
      </c>
      <c r="C2609" s="43" t="s">
        <v>1</v>
      </c>
      <c r="D2609" s="43" t="s">
        <v>2</v>
      </c>
      <c r="E2609" s="43" t="s">
        <v>3</v>
      </c>
      <c r="F2609" s="43"/>
      <c r="G2609" s="44" t="s">
        <v>4</v>
      </c>
      <c r="H2609" s="44"/>
      <c r="I2609" s="43" t="s">
        <v>5</v>
      </c>
      <c r="J2609" s="50"/>
      <c r="K2609" s="50" t="s">
        <v>6</v>
      </c>
      <c r="S2609" s="58" t="s">
        <v>41</v>
      </c>
      <c r="T2609" s="58"/>
      <c r="U2609" s="58" t="s">
        <v>42</v>
      </c>
      <c r="V2609" s="58" t="s">
        <v>43</v>
      </c>
      <c r="W2609" s="58"/>
      <c r="X2609" s="58"/>
      <c r="Y2609" s="58"/>
      <c r="Z2609" s="58"/>
      <c r="AA2609" s="58" t="s">
        <v>44</v>
      </c>
      <c r="AB2609" s="58" t="s">
        <v>45</v>
      </c>
      <c r="AC2609" s="58"/>
      <c r="AD2609" s="58" t="s">
        <v>46</v>
      </c>
      <c r="AE2609" s="58" t="s">
        <v>47</v>
      </c>
      <c r="AF2609" s="58" t="s">
        <v>48</v>
      </c>
      <c r="AG2609" s="14"/>
      <c r="AH2609" s="14"/>
      <c r="AI2609" s="14"/>
      <c r="AJ2609" s="14"/>
      <c r="AK2609" s="14"/>
    </row>
    <row r="2610" spans="2:37" ht="14.25" thickBot="1" x14ac:dyDescent="0.3">
      <c r="B2610" s="45">
        <v>273664</v>
      </c>
      <c r="C2610" s="46">
        <v>1135749</v>
      </c>
      <c r="D2610" s="46" t="s">
        <v>7</v>
      </c>
      <c r="E2610" s="316">
        <v>6060050026</v>
      </c>
      <c r="F2610" s="317"/>
      <c r="G2610" s="46">
        <v>2</v>
      </c>
      <c r="H2610" s="46"/>
      <c r="I2610" s="47"/>
      <c r="J2610" s="436"/>
      <c r="K2610" s="52" t="s">
        <v>8</v>
      </c>
      <c r="L2610" s="51"/>
      <c r="M2610" s="51"/>
      <c r="S2610" s="318"/>
      <c r="T2610" s="318"/>
      <c r="U2610" s="318" t="s">
        <v>49</v>
      </c>
      <c r="V2610" s="318" t="s">
        <v>50</v>
      </c>
      <c r="W2610" s="318"/>
      <c r="X2610" s="318"/>
      <c r="Y2610" s="318"/>
      <c r="Z2610" s="318"/>
      <c r="AA2610" s="318" t="s">
        <v>51</v>
      </c>
      <c r="AB2610" s="318"/>
      <c r="AC2610" s="318"/>
      <c r="AD2610" s="319"/>
      <c r="AE2610" s="318" t="s">
        <v>52</v>
      </c>
      <c r="AF2610" s="318">
        <v>18366</v>
      </c>
      <c r="AG2610" s="14"/>
      <c r="AH2610" s="14"/>
      <c r="AI2610" s="14"/>
      <c r="AJ2610" s="14"/>
      <c r="AK2610" s="14"/>
    </row>
    <row r="2611" spans="2:37" ht="14.25" thickBot="1" x14ac:dyDescent="0.3">
      <c r="B2611" s="45">
        <v>273672</v>
      </c>
      <c r="C2611" s="46">
        <v>1135750</v>
      </c>
      <c r="D2611" s="46" t="s">
        <v>9</v>
      </c>
      <c r="E2611" s="313">
        <v>204060000058</v>
      </c>
      <c r="F2611" s="314"/>
      <c r="G2611" s="46">
        <v>3</v>
      </c>
      <c r="H2611" s="46"/>
      <c r="I2611" s="47"/>
      <c r="J2611" s="436"/>
      <c r="K2611" s="52" t="s">
        <v>8</v>
      </c>
      <c r="L2611" s="53"/>
      <c r="M2611" s="53"/>
      <c r="S2611" s="318"/>
      <c r="T2611" s="318"/>
      <c r="U2611" s="319" t="s">
        <v>53</v>
      </c>
      <c r="V2611" s="318" t="s">
        <v>54</v>
      </c>
      <c r="W2611" s="318"/>
      <c r="X2611" s="318"/>
      <c r="Y2611" s="318"/>
      <c r="Z2611" s="318"/>
      <c r="AA2611" s="318"/>
      <c r="AB2611" s="318"/>
      <c r="AC2611" s="318"/>
      <c r="AD2611" s="319"/>
      <c r="AE2611" s="318" t="s">
        <v>55</v>
      </c>
      <c r="AF2611" s="318">
        <v>18367</v>
      </c>
      <c r="AG2611" s="14"/>
      <c r="AH2611" s="14"/>
      <c r="AI2611" s="14"/>
      <c r="AJ2611" s="14"/>
      <c r="AK2611" s="14"/>
    </row>
    <row r="2612" spans="2:37" ht="14.25" thickBot="1" x14ac:dyDescent="0.3">
      <c r="B2612" s="45">
        <v>273702</v>
      </c>
      <c r="C2612" s="46">
        <v>1135753</v>
      </c>
      <c r="D2612" s="46" t="s">
        <v>10</v>
      </c>
      <c r="E2612" s="311">
        <v>301090080013</v>
      </c>
      <c r="F2612" s="315"/>
      <c r="G2612" s="46">
        <v>3</v>
      </c>
      <c r="H2612" s="46"/>
      <c r="I2612" s="47"/>
      <c r="J2612" s="436"/>
      <c r="K2612" s="54" t="s">
        <v>8</v>
      </c>
      <c r="L2612" s="53"/>
      <c r="M2612" s="53"/>
      <c r="S2612" s="318"/>
      <c r="T2612" s="318"/>
      <c r="U2612" s="318" t="s">
        <v>56</v>
      </c>
      <c r="V2612" s="318" t="s">
        <v>57</v>
      </c>
      <c r="W2612" s="318"/>
      <c r="X2612" s="318"/>
      <c r="Y2612" s="318"/>
      <c r="Z2612" s="318"/>
      <c r="AA2612" s="318"/>
      <c r="AB2612" s="318"/>
      <c r="AC2612" s="318"/>
      <c r="AD2612" s="319"/>
      <c r="AE2612" s="318" t="s">
        <v>58</v>
      </c>
      <c r="AF2612" s="318">
        <v>14723</v>
      </c>
      <c r="AG2612" s="14"/>
      <c r="AH2612" s="14"/>
      <c r="AI2612" s="14"/>
      <c r="AJ2612" s="14"/>
      <c r="AK2612" s="14"/>
    </row>
    <row r="2613" spans="2:37" ht="14.25" thickBot="1" x14ac:dyDescent="0.3">
      <c r="B2613" s="45">
        <v>273698</v>
      </c>
      <c r="C2613" s="46">
        <v>1135752</v>
      </c>
      <c r="D2613" s="46" t="s">
        <v>11</v>
      </c>
      <c r="E2613" s="311">
        <v>701000000000</v>
      </c>
      <c r="F2613" s="315"/>
      <c r="G2613" s="46">
        <v>10</v>
      </c>
      <c r="H2613" s="46"/>
      <c r="I2613" s="47"/>
      <c r="J2613" s="436"/>
      <c r="K2613" s="52" t="s">
        <v>8</v>
      </c>
      <c r="L2613" s="48"/>
      <c r="M2613" s="48"/>
      <c r="S2613" s="318"/>
      <c r="T2613" s="318"/>
      <c r="U2613" s="318" t="s">
        <v>59</v>
      </c>
      <c r="V2613" s="318" t="s">
        <v>60</v>
      </c>
      <c r="W2613" s="318"/>
      <c r="X2613" s="318"/>
      <c r="Y2613" s="318"/>
      <c r="Z2613" s="318"/>
      <c r="AA2613" s="318"/>
      <c r="AB2613" s="318"/>
      <c r="AC2613" s="318"/>
      <c r="AD2613" s="319"/>
      <c r="AE2613" s="318" t="s">
        <v>61</v>
      </c>
      <c r="AF2613" s="319"/>
      <c r="AG2613" s="14"/>
      <c r="AH2613" s="14"/>
      <c r="AI2613" s="14"/>
      <c r="AJ2613" s="14"/>
      <c r="AK2613" s="14"/>
    </row>
    <row r="2614" spans="2:37" ht="14.25" thickBot="1" x14ac:dyDescent="0.3">
      <c r="B2614" s="45">
        <v>273680</v>
      </c>
      <c r="C2614" s="46">
        <v>1135751</v>
      </c>
      <c r="D2614" s="46" t="s">
        <v>12</v>
      </c>
      <c r="E2614" s="320" t="s">
        <v>13</v>
      </c>
      <c r="F2614" s="321"/>
      <c r="G2614" s="46">
        <v>20</v>
      </c>
      <c r="H2614" s="46"/>
      <c r="I2614" s="47"/>
      <c r="J2614" s="47"/>
      <c r="K2614" s="55" t="s">
        <v>14</v>
      </c>
      <c r="L2614" s="53"/>
      <c r="M2614" s="53"/>
      <c r="S2614" s="318"/>
      <c r="T2614" s="318"/>
      <c r="U2614" s="318" t="s">
        <v>62</v>
      </c>
      <c r="V2614" s="318"/>
      <c r="W2614" s="318"/>
      <c r="X2614" s="318"/>
      <c r="Y2614" s="318"/>
      <c r="Z2614" s="318"/>
      <c r="AA2614" s="318"/>
      <c r="AB2614" s="318"/>
      <c r="AC2614" s="318"/>
      <c r="AD2614" s="319"/>
      <c r="AE2614" s="318"/>
      <c r="AF2614" s="318"/>
      <c r="AG2614" s="14"/>
      <c r="AH2614" s="14"/>
      <c r="AI2614" s="14"/>
      <c r="AJ2614" s="14"/>
      <c r="AK2614" s="14"/>
    </row>
    <row r="2615" spans="2:37" x14ac:dyDescent="0.25">
      <c r="L2615" s="53"/>
      <c r="M2615" s="53"/>
      <c r="S2615" s="318"/>
      <c r="T2615" s="318"/>
      <c r="U2615" s="318" t="s">
        <v>63</v>
      </c>
      <c r="V2615" s="318"/>
      <c r="W2615" s="318"/>
      <c r="X2615" s="318"/>
      <c r="Y2615" s="318"/>
      <c r="Z2615" s="318"/>
      <c r="AA2615" s="318"/>
      <c r="AB2615" s="318"/>
      <c r="AC2615" s="318"/>
      <c r="AD2615" s="318"/>
      <c r="AE2615" s="319"/>
      <c r="AF2615" s="318"/>
      <c r="AG2615" s="14"/>
      <c r="AH2615" s="14"/>
      <c r="AI2615" s="14"/>
      <c r="AJ2615" s="14"/>
      <c r="AK2615" s="14"/>
    </row>
    <row r="2616" spans="2:37" ht="14.25" thickBot="1" x14ac:dyDescent="0.3">
      <c r="B2616" s="322" t="s">
        <v>18</v>
      </c>
      <c r="C2616" s="325">
        <v>44635</v>
      </c>
      <c r="S2616" s="318"/>
      <c r="T2616" s="318"/>
      <c r="U2616" s="318" t="s">
        <v>64</v>
      </c>
      <c r="V2616" s="318"/>
      <c r="W2616" s="318"/>
      <c r="X2616" s="318"/>
      <c r="Y2616" s="318"/>
      <c r="Z2616" s="318"/>
      <c r="AA2616" s="318"/>
      <c r="AB2616" s="318"/>
      <c r="AC2616" s="318"/>
      <c r="AD2616" s="318"/>
      <c r="AE2616" s="318"/>
      <c r="AF2616" s="318"/>
      <c r="AG2616" s="14"/>
      <c r="AH2616" s="14"/>
      <c r="AI2616" s="14"/>
      <c r="AJ2616" s="14"/>
      <c r="AK2616" s="14"/>
    </row>
    <row r="2617" spans="2:37" x14ac:dyDescent="0.25">
      <c r="B2617" s="56" t="s">
        <v>0</v>
      </c>
      <c r="C2617" s="50" t="s">
        <v>1</v>
      </c>
      <c r="D2617" s="50" t="s">
        <v>2</v>
      </c>
      <c r="E2617" s="50" t="s">
        <v>3</v>
      </c>
      <c r="F2617" s="50"/>
      <c r="G2617" s="57" t="s">
        <v>4</v>
      </c>
      <c r="H2617" s="57"/>
      <c r="I2617" s="50" t="s">
        <v>5</v>
      </c>
      <c r="J2617" s="50"/>
      <c r="K2617" s="50" t="s">
        <v>6</v>
      </c>
      <c r="S2617" s="318"/>
      <c r="T2617" s="318"/>
      <c r="U2617" s="318" t="s">
        <v>65</v>
      </c>
      <c r="V2617" s="318"/>
      <c r="W2617" s="318"/>
      <c r="X2617" s="318"/>
      <c r="Y2617" s="318"/>
      <c r="Z2617" s="318"/>
      <c r="AA2617" s="318"/>
      <c r="AB2617" s="318"/>
      <c r="AC2617" s="318"/>
      <c r="AD2617" s="318"/>
      <c r="AE2617" s="318"/>
      <c r="AF2617" s="318"/>
      <c r="AG2617" s="14"/>
      <c r="AH2617" s="14"/>
      <c r="AI2617" s="14"/>
      <c r="AJ2617" s="14"/>
      <c r="AK2617" s="14"/>
    </row>
    <row r="2618" spans="2:37" x14ac:dyDescent="0.25">
      <c r="B2618" s="38">
        <v>273664</v>
      </c>
      <c r="C2618" s="41">
        <v>1135749</v>
      </c>
      <c r="D2618" s="41" t="s">
        <v>7</v>
      </c>
      <c r="E2618" s="316">
        <v>6060050026</v>
      </c>
      <c r="F2618" s="316"/>
      <c r="G2618" s="58">
        <v>2</v>
      </c>
      <c r="H2618" s="58"/>
      <c r="I2618" s="39"/>
      <c r="J2618" s="39"/>
      <c r="K2618" s="38" t="s">
        <v>8</v>
      </c>
      <c r="L2618" s="51"/>
      <c r="M2618" s="51"/>
      <c r="S2618" s="318"/>
      <c r="T2618" s="318"/>
      <c r="U2618" s="318"/>
      <c r="V2618" s="318"/>
      <c r="W2618" s="318"/>
      <c r="X2618" s="318"/>
      <c r="Y2618" s="318"/>
      <c r="Z2618" s="318"/>
      <c r="AA2618" s="318"/>
      <c r="AB2618" s="318"/>
      <c r="AC2618" s="318"/>
      <c r="AD2618" s="318"/>
      <c r="AE2618" s="318"/>
      <c r="AF2618" s="318"/>
      <c r="AG2618" s="14"/>
      <c r="AH2618" s="14"/>
      <c r="AI2618" s="14"/>
      <c r="AJ2618" s="14"/>
      <c r="AK2618" s="14"/>
    </row>
    <row r="2619" spans="2:37" x14ac:dyDescent="0.25">
      <c r="B2619" s="38">
        <v>273672</v>
      </c>
      <c r="C2619" s="41">
        <v>1135750</v>
      </c>
      <c r="D2619" s="41" t="s">
        <v>9</v>
      </c>
      <c r="E2619" s="316">
        <v>204060000133</v>
      </c>
      <c r="F2619" s="316"/>
      <c r="G2619" s="58">
        <v>0</v>
      </c>
      <c r="H2619" s="58"/>
      <c r="I2619" s="39"/>
      <c r="J2619" s="39"/>
      <c r="K2619" s="38" t="s">
        <v>8</v>
      </c>
      <c r="L2619" s="53"/>
      <c r="M2619" s="53"/>
      <c r="S2619" s="322"/>
      <c r="T2619" s="322"/>
      <c r="U2619" s="322"/>
      <c r="V2619" s="322"/>
      <c r="W2619" s="322"/>
      <c r="X2619" s="322"/>
      <c r="Y2619" s="322"/>
      <c r="Z2619" s="322"/>
      <c r="AG2619" s="14"/>
      <c r="AH2619" s="14"/>
      <c r="AI2619" s="14"/>
      <c r="AJ2619" s="14"/>
      <c r="AK2619" s="14"/>
    </row>
    <row r="2620" spans="2:37" x14ac:dyDescent="0.25">
      <c r="B2620" s="59"/>
      <c r="C2620" s="58">
        <v>1135750</v>
      </c>
      <c r="D2620" s="58" t="s">
        <v>9</v>
      </c>
      <c r="E2620" s="313">
        <v>204060000058</v>
      </c>
      <c r="F2620" s="313"/>
      <c r="G2620" s="58">
        <v>0</v>
      </c>
      <c r="H2620" s="58"/>
      <c r="I2620" s="60"/>
      <c r="J2620" s="60"/>
      <c r="K2620" s="59" t="s">
        <v>8</v>
      </c>
      <c r="L2620" s="53"/>
      <c r="M2620" s="53"/>
      <c r="S2620" s="58" t="s">
        <v>41</v>
      </c>
      <c r="T2620" s="58"/>
      <c r="U2620" s="58" t="s">
        <v>42</v>
      </c>
      <c r="V2620" s="58" t="s">
        <v>43</v>
      </c>
      <c r="W2620" s="58"/>
      <c r="X2620" s="58"/>
      <c r="Y2620" s="58"/>
      <c r="Z2620" s="58"/>
      <c r="AA2620" s="58" t="s">
        <v>44</v>
      </c>
      <c r="AB2620" s="58" t="s">
        <v>45</v>
      </c>
      <c r="AC2620" s="58"/>
      <c r="AD2620" s="58" t="s">
        <v>46</v>
      </c>
      <c r="AE2620" s="58" t="s">
        <v>47</v>
      </c>
      <c r="AF2620" s="58" t="s">
        <v>48</v>
      </c>
      <c r="AG2620" s="14"/>
      <c r="AH2620" s="14"/>
      <c r="AI2620" s="14"/>
      <c r="AJ2620" s="14"/>
      <c r="AK2620" s="14"/>
    </row>
    <row r="2621" spans="2:37" x14ac:dyDescent="0.25">
      <c r="B2621" s="38"/>
      <c r="C2621" s="38">
        <v>1290399</v>
      </c>
      <c r="D2621" s="38" t="s">
        <v>35</v>
      </c>
      <c r="E2621" s="311">
        <v>204060000111</v>
      </c>
      <c r="F2621" s="311"/>
      <c r="G2621" s="38">
        <v>5</v>
      </c>
      <c r="H2621" s="38"/>
      <c r="I2621" s="39"/>
      <c r="J2621" s="39"/>
      <c r="K2621" s="38" t="s">
        <v>8</v>
      </c>
      <c r="L2621" s="48"/>
      <c r="M2621" s="48"/>
      <c r="S2621" s="307"/>
      <c r="T2621" s="307"/>
      <c r="U2621" s="307" t="s">
        <v>49</v>
      </c>
      <c r="V2621" s="307" t="s">
        <v>50</v>
      </c>
      <c r="W2621" s="307"/>
      <c r="X2621" s="307"/>
      <c r="Y2621" s="307"/>
      <c r="Z2621" s="307"/>
      <c r="AA2621" s="307" t="s">
        <v>51</v>
      </c>
      <c r="AB2621" s="307"/>
      <c r="AC2621" s="307"/>
      <c r="AD2621" s="58"/>
      <c r="AE2621" s="307" t="s">
        <v>52</v>
      </c>
      <c r="AF2621" s="307">
        <v>18366</v>
      </c>
      <c r="AG2621" s="14"/>
      <c r="AH2621" s="14"/>
      <c r="AI2621" s="14"/>
      <c r="AJ2621" s="14"/>
      <c r="AK2621" s="14"/>
    </row>
    <row r="2622" spans="2:37" x14ac:dyDescent="0.25">
      <c r="B2622" s="38">
        <v>273702</v>
      </c>
      <c r="C2622" s="38">
        <v>1135753</v>
      </c>
      <c r="D2622" s="38" t="s">
        <v>10</v>
      </c>
      <c r="E2622" s="311">
        <v>301090080013</v>
      </c>
      <c r="F2622" s="311"/>
      <c r="G2622" s="38">
        <v>3</v>
      </c>
      <c r="H2622" s="38"/>
      <c r="I2622" s="39"/>
      <c r="J2622" s="39"/>
      <c r="K2622" s="38" t="s">
        <v>8</v>
      </c>
      <c r="L2622" s="53"/>
      <c r="M2622" s="53"/>
      <c r="S2622" s="307"/>
      <c r="T2622" s="307"/>
      <c r="U2622" s="58" t="s">
        <v>53</v>
      </c>
      <c r="V2622" s="307" t="s">
        <v>54</v>
      </c>
      <c r="W2622" s="307"/>
      <c r="X2622" s="307"/>
      <c r="Y2622" s="307"/>
      <c r="Z2622" s="307"/>
      <c r="AA2622" s="307"/>
      <c r="AB2622" s="307"/>
      <c r="AC2622" s="307"/>
      <c r="AD2622" s="58"/>
      <c r="AE2622" s="307" t="s">
        <v>55</v>
      </c>
      <c r="AF2622" s="307">
        <v>18367</v>
      </c>
      <c r="AG2622" s="14"/>
      <c r="AH2622" s="14"/>
      <c r="AI2622" s="14"/>
      <c r="AJ2622" s="14"/>
      <c r="AK2622" s="14"/>
    </row>
    <row r="2623" spans="2:37" x14ac:dyDescent="0.25">
      <c r="B2623" s="59">
        <v>273698</v>
      </c>
      <c r="C2623" s="59">
        <v>1135752</v>
      </c>
      <c r="D2623" s="59" t="s">
        <v>36</v>
      </c>
      <c r="E2623" s="323">
        <v>701040120042</v>
      </c>
      <c r="F2623" s="323"/>
      <c r="G2623" s="38">
        <v>2</v>
      </c>
      <c r="H2623" s="38"/>
      <c r="I2623" s="60"/>
      <c r="J2623" s="60"/>
      <c r="K2623" s="59" t="s">
        <v>8</v>
      </c>
      <c r="L2623" s="53"/>
      <c r="M2623" s="53"/>
      <c r="S2623" s="307"/>
      <c r="T2623" s="307"/>
      <c r="U2623" s="307" t="s">
        <v>56</v>
      </c>
      <c r="V2623" s="307" t="s">
        <v>57</v>
      </c>
      <c r="W2623" s="307"/>
      <c r="X2623" s="307"/>
      <c r="Y2623" s="307"/>
      <c r="Z2623" s="307"/>
      <c r="AA2623" s="307"/>
      <c r="AB2623" s="307"/>
      <c r="AC2623" s="307"/>
      <c r="AD2623" s="58"/>
      <c r="AE2623" s="307" t="s">
        <v>58</v>
      </c>
      <c r="AF2623" s="307">
        <v>14723</v>
      </c>
      <c r="AG2623" s="14"/>
      <c r="AH2623" s="14"/>
      <c r="AI2623" s="14"/>
      <c r="AJ2623" s="14"/>
      <c r="AK2623" s="14"/>
    </row>
    <row r="2624" spans="2:37" x14ac:dyDescent="0.25">
      <c r="B2624" s="38">
        <v>273698</v>
      </c>
      <c r="C2624" s="38">
        <v>1135752</v>
      </c>
      <c r="D2624" s="38" t="s">
        <v>11</v>
      </c>
      <c r="E2624" s="311">
        <v>701040120047</v>
      </c>
      <c r="F2624" s="311"/>
      <c r="G2624" s="38">
        <v>10</v>
      </c>
      <c r="H2624" s="38"/>
      <c r="I2624" s="39"/>
      <c r="J2624" s="39"/>
      <c r="K2624" s="38" t="s">
        <v>8</v>
      </c>
      <c r="L2624" s="48"/>
      <c r="M2624" s="48"/>
      <c r="P2624" s="290" t="s">
        <v>38</v>
      </c>
      <c r="Q2624" s="324"/>
      <c r="R2624" s="324"/>
      <c r="S2624" s="307"/>
      <c r="T2624" s="307"/>
      <c r="U2624" s="307" t="s">
        <v>59</v>
      </c>
      <c r="V2624" s="307" t="s">
        <v>60</v>
      </c>
      <c r="W2624" s="307"/>
      <c r="X2624" s="307"/>
      <c r="Y2624" s="307"/>
      <c r="Z2624" s="307"/>
      <c r="AA2624" s="307"/>
      <c r="AB2624" s="307"/>
      <c r="AC2624" s="307"/>
      <c r="AD2624" s="58"/>
      <c r="AE2624" s="307" t="s">
        <v>61</v>
      </c>
      <c r="AF2624" s="58"/>
      <c r="AG2624" s="14"/>
      <c r="AH2624" s="14"/>
      <c r="AI2624" s="14"/>
      <c r="AJ2624" s="14"/>
      <c r="AK2624" s="14"/>
    </row>
    <row r="2625" spans="2:37" x14ac:dyDescent="0.25">
      <c r="B2625" s="38">
        <v>273680</v>
      </c>
      <c r="C2625" s="38">
        <v>1135751</v>
      </c>
      <c r="D2625" s="38" t="s">
        <v>12</v>
      </c>
      <c r="E2625" s="311" t="s">
        <v>13</v>
      </c>
      <c r="F2625" s="311"/>
      <c r="G2625" s="38">
        <v>20</v>
      </c>
      <c r="H2625" s="38"/>
      <c r="I2625" s="39"/>
      <c r="J2625" s="39"/>
      <c r="K2625" s="38" t="s">
        <v>14</v>
      </c>
      <c r="L2625" s="53"/>
      <c r="M2625" s="53"/>
      <c r="P2625" s="290" t="s">
        <v>39</v>
      </c>
      <c r="Q2625" s="58" t="s">
        <v>40</v>
      </c>
      <c r="R2625" s="58"/>
      <c r="S2625" s="307"/>
      <c r="T2625" s="307"/>
      <c r="U2625" s="307" t="s">
        <v>62</v>
      </c>
      <c r="V2625" s="307"/>
      <c r="W2625" s="307"/>
      <c r="X2625" s="307"/>
      <c r="Y2625" s="307"/>
      <c r="Z2625" s="307"/>
      <c r="AA2625" s="307"/>
      <c r="AB2625" s="307"/>
      <c r="AC2625" s="307"/>
      <c r="AD2625" s="58"/>
      <c r="AE2625" s="307"/>
      <c r="AF2625" s="307"/>
      <c r="AG2625" s="14"/>
      <c r="AH2625" s="14"/>
      <c r="AI2625" s="14"/>
      <c r="AJ2625" s="14"/>
      <c r="AK2625" s="14"/>
    </row>
    <row r="2626" spans="2:37" x14ac:dyDescent="0.25">
      <c r="L2626" s="53"/>
      <c r="M2626" s="53"/>
      <c r="P2626" s="290">
        <v>1</v>
      </c>
      <c r="Q2626" s="318">
        <v>19099</v>
      </c>
      <c r="R2626" s="318"/>
      <c r="S2626" s="307"/>
      <c r="T2626" s="307"/>
      <c r="U2626" s="307" t="s">
        <v>63</v>
      </c>
      <c r="V2626" s="307"/>
      <c r="W2626" s="307"/>
      <c r="X2626" s="307"/>
      <c r="Y2626" s="307"/>
      <c r="Z2626" s="307"/>
      <c r="AA2626" s="307"/>
      <c r="AB2626" s="307"/>
      <c r="AC2626" s="307"/>
      <c r="AD2626" s="307"/>
      <c r="AE2626" s="58"/>
      <c r="AF2626" s="307"/>
      <c r="AG2626" s="14"/>
      <c r="AH2626" s="14"/>
      <c r="AI2626" s="14"/>
      <c r="AJ2626" s="14"/>
      <c r="AK2626" s="14"/>
    </row>
    <row r="2627" spans="2:37" ht="14.25" thickBot="1" x14ac:dyDescent="0.3">
      <c r="B2627" s="322" t="s">
        <v>18</v>
      </c>
      <c r="C2627" s="322" t="s">
        <v>37</v>
      </c>
      <c r="P2627" s="290">
        <f>1+P2626</f>
        <v>2</v>
      </c>
      <c r="Q2627" s="319">
        <v>19438</v>
      </c>
      <c r="R2627" s="319"/>
      <c r="S2627" s="307"/>
      <c r="T2627" s="307"/>
      <c r="U2627" s="307" t="s">
        <v>64</v>
      </c>
      <c r="V2627" s="307"/>
      <c r="W2627" s="307"/>
      <c r="X2627" s="307"/>
      <c r="Y2627" s="307"/>
      <c r="Z2627" s="307"/>
      <c r="AA2627" s="307"/>
      <c r="AB2627" s="307"/>
      <c r="AC2627" s="307"/>
      <c r="AD2627" s="307"/>
      <c r="AE2627" s="307"/>
      <c r="AF2627" s="307"/>
      <c r="AG2627" s="14"/>
      <c r="AH2627" s="14"/>
      <c r="AI2627" s="14"/>
      <c r="AJ2627" s="14"/>
      <c r="AK2627" s="14"/>
    </row>
    <row r="2628" spans="2:37" x14ac:dyDescent="0.25">
      <c r="B2628" s="56" t="s">
        <v>0</v>
      </c>
      <c r="C2628" s="50" t="s">
        <v>1</v>
      </c>
      <c r="D2628" s="50" t="s">
        <v>2</v>
      </c>
      <c r="E2628" s="50" t="s">
        <v>3</v>
      </c>
      <c r="F2628" s="50"/>
      <c r="G2628" s="57" t="s">
        <v>4</v>
      </c>
      <c r="H2628" s="57"/>
      <c r="I2628" s="50" t="s">
        <v>5</v>
      </c>
      <c r="J2628" s="50"/>
      <c r="K2628" s="50" t="s">
        <v>6</v>
      </c>
      <c r="P2628" s="290">
        <f t="shared" ref="P2628:P2634" si="3">1+P2627</f>
        <v>3</v>
      </c>
      <c r="Q2628" s="318"/>
      <c r="R2628" s="318"/>
      <c r="S2628" s="307"/>
      <c r="T2628" s="307"/>
      <c r="U2628" s="307" t="s">
        <v>65</v>
      </c>
      <c r="V2628" s="307"/>
      <c r="W2628" s="307"/>
      <c r="X2628" s="307"/>
      <c r="Y2628" s="307"/>
      <c r="Z2628" s="307"/>
      <c r="AA2628" s="307"/>
      <c r="AB2628" s="307"/>
      <c r="AC2628" s="307"/>
      <c r="AD2628" s="307"/>
      <c r="AE2628" s="307"/>
      <c r="AF2628" s="307"/>
      <c r="AG2628" s="14"/>
      <c r="AH2628" s="14"/>
      <c r="AI2628" s="14"/>
      <c r="AJ2628" s="14"/>
      <c r="AK2628" s="14"/>
    </row>
    <row r="2629" spans="2:37" x14ac:dyDescent="0.25">
      <c r="B2629" s="38">
        <v>273664</v>
      </c>
      <c r="C2629" s="41">
        <v>1135749</v>
      </c>
      <c r="D2629" s="41" t="s">
        <v>7</v>
      </c>
      <c r="E2629" s="316">
        <v>6060050026</v>
      </c>
      <c r="F2629" s="316"/>
      <c r="G2629" s="58">
        <v>0</v>
      </c>
      <c r="H2629" s="58"/>
      <c r="I2629" s="39"/>
      <c r="J2629" s="39"/>
      <c r="K2629" s="38" t="s">
        <v>8</v>
      </c>
      <c r="L2629" s="51"/>
      <c r="M2629" s="51"/>
      <c r="P2629" s="290">
        <f t="shared" si="3"/>
        <v>4</v>
      </c>
      <c r="Q2629" s="318"/>
      <c r="R2629" s="318"/>
      <c r="S2629" s="307"/>
      <c r="T2629" s="307"/>
      <c r="U2629" s="307"/>
      <c r="V2629" s="307"/>
      <c r="W2629" s="307"/>
      <c r="X2629" s="307"/>
      <c r="Y2629" s="307"/>
      <c r="Z2629" s="307"/>
      <c r="AA2629" s="307"/>
      <c r="AB2629" s="307"/>
      <c r="AC2629" s="307"/>
      <c r="AD2629" s="307"/>
      <c r="AE2629" s="307"/>
      <c r="AF2629" s="307"/>
      <c r="AG2629" s="14"/>
      <c r="AH2629" s="14"/>
      <c r="AI2629" s="14"/>
      <c r="AJ2629" s="14"/>
      <c r="AK2629" s="14"/>
    </row>
    <row r="2630" spans="2:37" x14ac:dyDescent="0.25">
      <c r="B2630" s="38">
        <v>273672</v>
      </c>
      <c r="C2630" s="41">
        <v>1135750</v>
      </c>
      <c r="D2630" s="41" t="s">
        <v>9</v>
      </c>
      <c r="E2630" s="316">
        <v>204060000133</v>
      </c>
      <c r="F2630" s="316"/>
      <c r="G2630" s="58">
        <v>0</v>
      </c>
      <c r="H2630" s="58"/>
      <c r="I2630" s="39"/>
      <c r="J2630" s="39"/>
      <c r="K2630" s="38" t="s">
        <v>8</v>
      </c>
      <c r="L2630" s="53"/>
      <c r="M2630" s="53"/>
      <c r="P2630" s="290">
        <f t="shared" si="3"/>
        <v>5</v>
      </c>
      <c r="Q2630" s="318"/>
      <c r="R2630" s="318"/>
      <c r="AG2630" s="14"/>
      <c r="AH2630" s="14"/>
      <c r="AI2630" s="14"/>
      <c r="AJ2630" s="14"/>
      <c r="AK2630" s="14"/>
    </row>
    <row r="2631" spans="2:37" x14ac:dyDescent="0.25">
      <c r="B2631" s="59"/>
      <c r="C2631" s="58">
        <v>1135750</v>
      </c>
      <c r="D2631" s="58" t="s">
        <v>9</v>
      </c>
      <c r="E2631" s="313">
        <v>204060000058</v>
      </c>
      <c r="F2631" s="313"/>
      <c r="G2631" s="58">
        <v>0</v>
      </c>
      <c r="H2631" s="58"/>
      <c r="I2631" s="60"/>
      <c r="J2631" s="60"/>
      <c r="K2631" s="59" t="s">
        <v>8</v>
      </c>
      <c r="L2631" s="53"/>
      <c r="M2631" s="53"/>
      <c r="P2631" s="290">
        <f t="shared" si="3"/>
        <v>6</v>
      </c>
      <c r="Q2631" s="318"/>
      <c r="R2631" s="318"/>
      <c r="S2631" s="322"/>
      <c r="T2631" s="322"/>
      <c r="U2631" s="322"/>
      <c r="V2631" s="322"/>
      <c r="W2631" s="322"/>
      <c r="X2631" s="322"/>
      <c r="Y2631" s="322"/>
      <c r="Z2631" s="322"/>
      <c r="AG2631" s="14"/>
      <c r="AH2631" s="14"/>
      <c r="AI2631" s="14"/>
      <c r="AJ2631" s="14"/>
      <c r="AK2631" s="14"/>
    </row>
    <row r="2632" spans="2:37" x14ac:dyDescent="0.25">
      <c r="B2632" s="38"/>
      <c r="C2632" s="38">
        <v>1290399</v>
      </c>
      <c r="D2632" s="38" t="s">
        <v>35</v>
      </c>
      <c r="E2632" s="311">
        <v>204060000111</v>
      </c>
      <c r="F2632" s="311"/>
      <c r="G2632" s="38">
        <v>0</v>
      </c>
      <c r="H2632" s="38"/>
      <c r="I2632" s="39"/>
      <c r="J2632" s="39"/>
      <c r="K2632" s="38" t="s">
        <v>8</v>
      </c>
      <c r="L2632" s="48"/>
      <c r="M2632" s="48"/>
      <c r="P2632" s="290">
        <f t="shared" si="3"/>
        <v>7</v>
      </c>
      <c r="Q2632" s="318"/>
      <c r="R2632" s="318"/>
      <c r="S2632" s="58" t="s">
        <v>41</v>
      </c>
      <c r="T2632" s="58"/>
      <c r="U2632" s="58" t="s">
        <v>42</v>
      </c>
      <c r="V2632" s="58" t="s">
        <v>69</v>
      </c>
      <c r="W2632" s="58"/>
      <c r="X2632" s="58"/>
      <c r="Y2632" s="58"/>
      <c r="Z2632" s="58"/>
      <c r="AA2632" s="58" t="s">
        <v>44</v>
      </c>
      <c r="AB2632" s="58" t="s">
        <v>45</v>
      </c>
      <c r="AC2632" s="58"/>
      <c r="AD2632" s="58" t="s">
        <v>46</v>
      </c>
      <c r="AE2632" s="58" t="s">
        <v>47</v>
      </c>
      <c r="AF2632" s="58" t="s">
        <v>48</v>
      </c>
      <c r="AG2632" s="14"/>
      <c r="AH2632" s="14"/>
      <c r="AI2632" s="14"/>
      <c r="AJ2632" s="14"/>
      <c r="AK2632" s="14"/>
    </row>
    <row r="2633" spans="2:37" x14ac:dyDescent="0.25">
      <c r="B2633" s="38">
        <v>273702</v>
      </c>
      <c r="C2633" s="38">
        <v>1135753</v>
      </c>
      <c r="D2633" s="38" t="s">
        <v>10</v>
      </c>
      <c r="E2633" s="311">
        <v>301090080013</v>
      </c>
      <c r="F2633" s="311"/>
      <c r="G2633" s="38">
        <v>3</v>
      </c>
      <c r="H2633" s="38"/>
      <c r="I2633" s="39"/>
      <c r="J2633" s="39"/>
      <c r="K2633" s="38" t="s">
        <v>8</v>
      </c>
      <c r="L2633" s="53"/>
      <c r="M2633" s="53"/>
      <c r="P2633" s="290">
        <f t="shared" si="3"/>
        <v>8</v>
      </c>
      <c r="Q2633" s="318"/>
      <c r="R2633" s="318"/>
      <c r="S2633" s="307" t="s">
        <v>70</v>
      </c>
      <c r="T2633" s="307"/>
      <c r="U2633" s="307"/>
      <c r="V2633" s="307" t="s">
        <v>71</v>
      </c>
      <c r="W2633" s="307"/>
      <c r="X2633" s="307"/>
      <c r="Y2633" s="307"/>
      <c r="Z2633" s="307"/>
      <c r="AA2633" s="307" t="s">
        <v>72</v>
      </c>
      <c r="AB2633" s="307"/>
      <c r="AC2633" s="307"/>
      <c r="AD2633" s="58"/>
      <c r="AE2633" s="307" t="s">
        <v>52</v>
      </c>
      <c r="AF2633" s="307">
        <v>18366</v>
      </c>
      <c r="AG2633" s="14"/>
      <c r="AH2633" s="14"/>
      <c r="AI2633" s="14"/>
      <c r="AJ2633" s="14"/>
      <c r="AK2633" s="14"/>
    </row>
    <row r="2634" spans="2:37" x14ac:dyDescent="0.25">
      <c r="B2634" s="59">
        <v>273698</v>
      </c>
      <c r="C2634" s="59">
        <v>1135752</v>
      </c>
      <c r="D2634" s="59" t="s">
        <v>36</v>
      </c>
      <c r="E2634" s="323">
        <v>701040120042</v>
      </c>
      <c r="F2634" s="323"/>
      <c r="G2634" s="38">
        <v>2</v>
      </c>
      <c r="H2634" s="38"/>
      <c r="I2634" s="60"/>
      <c r="J2634" s="60"/>
      <c r="K2634" s="59" t="s">
        <v>8</v>
      </c>
      <c r="L2634" s="53"/>
      <c r="M2634" s="53"/>
      <c r="P2634" s="290">
        <f t="shared" si="3"/>
        <v>9</v>
      </c>
      <c r="Q2634" s="318"/>
      <c r="R2634" s="318"/>
      <c r="S2634" s="307" t="s">
        <v>73</v>
      </c>
      <c r="T2634" s="307"/>
      <c r="U2634" s="307"/>
      <c r="V2634" s="307"/>
      <c r="W2634" s="307"/>
      <c r="X2634" s="307"/>
      <c r="Y2634" s="307"/>
      <c r="Z2634" s="307"/>
      <c r="AA2634" s="307"/>
      <c r="AB2634" s="307"/>
      <c r="AC2634" s="307"/>
      <c r="AD2634" s="58"/>
      <c r="AE2634" s="307" t="s">
        <v>55</v>
      </c>
      <c r="AF2634" s="307">
        <v>18367</v>
      </c>
      <c r="AG2634" s="14"/>
      <c r="AH2634" s="14"/>
      <c r="AI2634" s="14"/>
      <c r="AJ2634" s="14"/>
      <c r="AK2634" s="14"/>
    </row>
    <row r="2635" spans="2:37" x14ac:dyDescent="0.25">
      <c r="B2635" s="38">
        <v>273698</v>
      </c>
      <c r="C2635" s="38">
        <v>1135752</v>
      </c>
      <c r="D2635" s="38" t="s">
        <v>11</v>
      </c>
      <c r="E2635" s="311">
        <v>701040120047</v>
      </c>
      <c r="F2635" s="311"/>
      <c r="G2635" s="38">
        <v>2</v>
      </c>
      <c r="H2635" s="38"/>
      <c r="I2635" s="39"/>
      <c r="J2635" s="39"/>
      <c r="K2635" s="38" t="s">
        <v>8</v>
      </c>
      <c r="L2635" s="48"/>
      <c r="M2635" s="48"/>
      <c r="S2635" s="307" t="s">
        <v>74</v>
      </c>
      <c r="T2635" s="307"/>
      <c r="U2635" s="307"/>
      <c r="V2635" s="307"/>
      <c r="W2635" s="307"/>
      <c r="X2635" s="307"/>
      <c r="Y2635" s="307"/>
      <c r="Z2635" s="307"/>
      <c r="AA2635" s="307"/>
      <c r="AB2635" s="307"/>
      <c r="AC2635" s="307"/>
      <c r="AD2635" s="58"/>
      <c r="AE2635" s="307" t="s">
        <v>58</v>
      </c>
      <c r="AF2635" s="307">
        <v>14723</v>
      </c>
      <c r="AG2635" s="14"/>
      <c r="AH2635" s="14"/>
      <c r="AI2635" s="14"/>
      <c r="AJ2635" s="14"/>
      <c r="AK2635" s="14"/>
    </row>
    <row r="2636" spans="2:37" x14ac:dyDescent="0.25">
      <c r="B2636" s="38">
        <v>273680</v>
      </c>
      <c r="C2636" s="38">
        <v>1135751</v>
      </c>
      <c r="D2636" s="38" t="s">
        <v>12</v>
      </c>
      <c r="E2636" s="311" t="s">
        <v>13</v>
      </c>
      <c r="F2636" s="311"/>
      <c r="G2636" s="38">
        <v>16</v>
      </c>
      <c r="H2636" s="38"/>
      <c r="I2636" s="39"/>
      <c r="J2636" s="39"/>
      <c r="K2636" s="38" t="s">
        <v>14</v>
      </c>
      <c r="L2636" s="53"/>
      <c r="M2636" s="53"/>
      <c r="P2636" s="312" t="s">
        <v>39</v>
      </c>
      <c r="Q2636" s="58" t="s">
        <v>40</v>
      </c>
      <c r="R2636" s="58"/>
      <c r="S2636" s="307"/>
      <c r="T2636" s="307"/>
      <c r="U2636" s="307"/>
      <c r="V2636" s="307"/>
      <c r="W2636" s="307"/>
      <c r="X2636" s="307"/>
      <c r="Y2636" s="307"/>
      <c r="Z2636" s="307"/>
      <c r="AA2636" s="307"/>
      <c r="AB2636" s="307"/>
      <c r="AC2636" s="307"/>
      <c r="AD2636" s="58"/>
      <c r="AE2636" s="307" t="s">
        <v>61</v>
      </c>
      <c r="AF2636" s="58"/>
      <c r="AG2636" s="14"/>
      <c r="AH2636" s="14"/>
      <c r="AI2636" s="14"/>
      <c r="AJ2636" s="14"/>
      <c r="AK2636" s="14"/>
    </row>
    <row r="2637" spans="2:37" x14ac:dyDescent="0.25">
      <c r="L2637" s="53"/>
      <c r="M2637" s="53"/>
      <c r="P2637" s="290">
        <v>1</v>
      </c>
      <c r="Q2637" s="307">
        <v>19099</v>
      </c>
      <c r="R2637" s="307"/>
      <c r="S2637" s="307"/>
      <c r="T2637" s="307"/>
      <c r="U2637" s="307"/>
      <c r="V2637" s="307"/>
      <c r="W2637" s="307"/>
      <c r="X2637" s="307"/>
      <c r="Y2637" s="307"/>
      <c r="Z2637" s="307"/>
      <c r="AA2637" s="307"/>
      <c r="AB2637" s="307"/>
      <c r="AC2637" s="307"/>
      <c r="AD2637" s="58"/>
      <c r="AE2637" s="307"/>
      <c r="AF2637" s="307"/>
      <c r="AG2637" s="14"/>
      <c r="AH2637" s="14"/>
      <c r="AI2637" s="14"/>
      <c r="AJ2637" s="14"/>
      <c r="AK2637" s="14"/>
    </row>
    <row r="2638" spans="2:37" x14ac:dyDescent="0.25">
      <c r="P2638" s="290">
        <f>1+P2637</f>
        <v>2</v>
      </c>
      <c r="Q2638" s="58">
        <v>19438</v>
      </c>
      <c r="R2638" s="58"/>
      <c r="S2638" s="307"/>
      <c r="T2638" s="307"/>
      <c r="U2638" s="307"/>
      <c r="V2638" s="307"/>
      <c r="W2638" s="307"/>
      <c r="X2638" s="307"/>
      <c r="Y2638" s="307"/>
      <c r="Z2638" s="307"/>
      <c r="AA2638" s="307"/>
      <c r="AB2638" s="307"/>
      <c r="AC2638" s="307"/>
      <c r="AD2638" s="307"/>
      <c r="AE2638" s="58"/>
      <c r="AF2638" s="307"/>
      <c r="AG2638" s="14"/>
      <c r="AH2638" s="14"/>
      <c r="AI2638" s="14"/>
      <c r="AJ2638" s="14"/>
      <c r="AK2638" s="14"/>
    </row>
    <row r="2639" spans="2:37" ht="14.25" thickBot="1" x14ac:dyDescent="0.3">
      <c r="B2639" s="322" t="s">
        <v>18</v>
      </c>
      <c r="C2639" s="325">
        <v>44585</v>
      </c>
      <c r="P2639" s="290">
        <f t="shared" ref="P2639:P2645" si="4">1+P2638</f>
        <v>3</v>
      </c>
      <c r="Q2639" s="307"/>
      <c r="R2639" s="307"/>
      <c r="S2639" s="307"/>
      <c r="T2639" s="307"/>
      <c r="U2639" s="307"/>
      <c r="V2639" s="307"/>
      <c r="W2639" s="307"/>
      <c r="X2639" s="307"/>
      <c r="Y2639" s="307"/>
      <c r="Z2639" s="307"/>
      <c r="AA2639" s="307"/>
      <c r="AB2639" s="307"/>
      <c r="AC2639" s="307"/>
      <c r="AD2639" s="307"/>
      <c r="AE2639" s="307"/>
      <c r="AF2639" s="307"/>
      <c r="AG2639" s="14"/>
      <c r="AH2639" s="14"/>
      <c r="AI2639" s="14"/>
      <c r="AJ2639" s="14"/>
      <c r="AK2639" s="14"/>
    </row>
    <row r="2640" spans="2:37" x14ac:dyDescent="0.25">
      <c r="B2640" s="56" t="s">
        <v>0</v>
      </c>
      <c r="C2640" s="50" t="s">
        <v>1</v>
      </c>
      <c r="D2640" s="50" t="s">
        <v>2</v>
      </c>
      <c r="E2640" s="50" t="s">
        <v>3</v>
      </c>
      <c r="F2640" s="50"/>
      <c r="G2640" s="57" t="s">
        <v>4</v>
      </c>
      <c r="H2640" s="57"/>
      <c r="I2640" s="50" t="s">
        <v>5</v>
      </c>
      <c r="J2640" s="50"/>
      <c r="K2640" s="50" t="s">
        <v>6</v>
      </c>
      <c r="P2640" s="290">
        <f t="shared" si="4"/>
        <v>4</v>
      </c>
      <c r="Q2640" s="307"/>
      <c r="R2640" s="307"/>
      <c r="S2640" s="307"/>
      <c r="T2640" s="307"/>
      <c r="U2640" s="307"/>
      <c r="V2640" s="307"/>
      <c r="W2640" s="307"/>
      <c r="X2640" s="307"/>
      <c r="Y2640" s="307"/>
      <c r="Z2640" s="307"/>
      <c r="AA2640" s="307"/>
      <c r="AB2640" s="307"/>
      <c r="AC2640" s="307"/>
      <c r="AD2640" s="307"/>
      <c r="AE2640" s="307"/>
      <c r="AF2640" s="307"/>
      <c r="AG2640" s="14"/>
      <c r="AH2640" s="14"/>
      <c r="AI2640" s="14"/>
      <c r="AJ2640" s="14"/>
      <c r="AK2640" s="14"/>
    </row>
    <row r="2641" spans="2:37" x14ac:dyDescent="0.25">
      <c r="B2641" s="38">
        <v>273664</v>
      </c>
      <c r="C2641" s="61">
        <v>1135749</v>
      </c>
      <c r="D2641" s="61" t="s">
        <v>7</v>
      </c>
      <c r="E2641" s="326">
        <v>6060050026</v>
      </c>
      <c r="F2641" s="326"/>
      <c r="G2641" s="61">
        <v>1</v>
      </c>
      <c r="H2641" s="61"/>
      <c r="I2641" s="39"/>
      <c r="J2641" s="39"/>
      <c r="K2641" s="38" t="s">
        <v>8</v>
      </c>
      <c r="L2641" s="51"/>
      <c r="M2641" s="51"/>
      <c r="P2641" s="290">
        <f t="shared" si="4"/>
        <v>5</v>
      </c>
      <c r="Q2641" s="307"/>
      <c r="R2641" s="307"/>
      <c r="S2641" s="307"/>
      <c r="T2641" s="307"/>
      <c r="U2641" s="307"/>
      <c r="V2641" s="307"/>
      <c r="W2641" s="307"/>
      <c r="X2641" s="307"/>
      <c r="Y2641" s="307"/>
      <c r="Z2641" s="307"/>
      <c r="AA2641" s="307"/>
      <c r="AB2641" s="307"/>
      <c r="AC2641" s="307"/>
      <c r="AD2641" s="307"/>
      <c r="AE2641" s="307"/>
      <c r="AF2641" s="307"/>
      <c r="AG2641" s="14"/>
      <c r="AH2641" s="14"/>
      <c r="AI2641" s="14"/>
      <c r="AJ2641" s="14"/>
      <c r="AK2641" s="14"/>
    </row>
    <row r="2642" spans="2:37" x14ac:dyDescent="0.25">
      <c r="B2642" s="38">
        <v>273672</v>
      </c>
      <c r="C2642" s="61">
        <v>1135750</v>
      </c>
      <c r="D2642" s="61" t="s">
        <v>9</v>
      </c>
      <c r="E2642" s="326">
        <v>204060000133</v>
      </c>
      <c r="F2642" s="326"/>
      <c r="G2642" s="61">
        <v>2</v>
      </c>
      <c r="H2642" s="61"/>
      <c r="I2642" s="39"/>
      <c r="J2642" s="39"/>
      <c r="K2642" s="38" t="s">
        <v>8</v>
      </c>
      <c r="L2642" s="53"/>
      <c r="M2642" s="53"/>
      <c r="P2642" s="290">
        <f t="shared" si="4"/>
        <v>6</v>
      </c>
      <c r="Q2642" s="307"/>
      <c r="R2642" s="307"/>
      <c r="AG2642" s="14"/>
      <c r="AH2642" s="14"/>
      <c r="AI2642" s="14"/>
      <c r="AJ2642" s="14"/>
      <c r="AK2642" s="14"/>
    </row>
    <row r="2643" spans="2:37" x14ac:dyDescent="0.25">
      <c r="B2643" s="59"/>
      <c r="C2643" s="62">
        <v>1135750</v>
      </c>
      <c r="D2643" s="62" t="s">
        <v>9</v>
      </c>
      <c r="E2643" s="327">
        <v>204060000058</v>
      </c>
      <c r="F2643" s="327"/>
      <c r="G2643" s="61">
        <v>2</v>
      </c>
      <c r="H2643" s="61"/>
      <c r="I2643" s="60"/>
      <c r="J2643" s="60"/>
      <c r="K2643" s="59" t="s">
        <v>8</v>
      </c>
      <c r="L2643" s="53"/>
      <c r="M2643" s="53"/>
      <c r="P2643" s="290">
        <f t="shared" si="4"/>
        <v>7</v>
      </c>
      <c r="Q2643" s="307"/>
      <c r="R2643" s="307"/>
      <c r="AG2643" s="14"/>
      <c r="AH2643" s="14"/>
      <c r="AI2643" s="14"/>
      <c r="AJ2643" s="14"/>
      <c r="AK2643" s="14"/>
    </row>
    <row r="2644" spans="2:37" ht="14.25" customHeight="1" x14ac:dyDescent="0.25">
      <c r="B2644" s="38"/>
      <c r="C2644" s="38">
        <v>1290399</v>
      </c>
      <c r="D2644" s="38" t="s">
        <v>35</v>
      </c>
      <c r="E2644" s="311">
        <v>204060000111</v>
      </c>
      <c r="F2644" s="311"/>
      <c r="G2644" s="38">
        <v>0</v>
      </c>
      <c r="H2644" s="38"/>
      <c r="I2644" s="39"/>
      <c r="J2644" s="39"/>
      <c r="K2644" s="38" t="s">
        <v>8</v>
      </c>
      <c r="L2644" s="48"/>
      <c r="M2644" s="48"/>
      <c r="P2644" s="290">
        <f t="shared" si="4"/>
        <v>8</v>
      </c>
      <c r="Q2644" s="307"/>
      <c r="R2644" s="307"/>
      <c r="S2644" s="322"/>
      <c r="T2644" s="322"/>
      <c r="U2644" s="322"/>
      <c r="V2644" s="322"/>
      <c r="W2644" s="322"/>
      <c r="X2644" s="322"/>
      <c r="Y2644" s="322"/>
      <c r="Z2644" s="322"/>
      <c r="AG2644" s="14"/>
      <c r="AH2644" s="14"/>
      <c r="AI2644" s="14"/>
      <c r="AJ2644" s="14"/>
      <c r="AK2644" s="14"/>
    </row>
    <row r="2645" spans="2:37" x14ac:dyDescent="0.25">
      <c r="B2645" s="38">
        <v>273702</v>
      </c>
      <c r="C2645" s="38">
        <v>1135753</v>
      </c>
      <c r="D2645" s="38" t="s">
        <v>10</v>
      </c>
      <c r="E2645" s="311">
        <v>301090080013</v>
      </c>
      <c r="F2645" s="311"/>
      <c r="G2645" s="38">
        <v>3</v>
      </c>
      <c r="H2645" s="38"/>
      <c r="I2645" s="39"/>
      <c r="J2645" s="39"/>
      <c r="K2645" s="38" t="s">
        <v>8</v>
      </c>
      <c r="L2645" s="53"/>
      <c r="M2645" s="53"/>
      <c r="P2645" s="290">
        <f t="shared" si="4"/>
        <v>9</v>
      </c>
      <c r="Q2645" s="307"/>
      <c r="R2645" s="307"/>
      <c r="S2645" s="58" t="s">
        <v>41</v>
      </c>
      <c r="T2645" s="58"/>
      <c r="U2645" s="58" t="s">
        <v>42</v>
      </c>
      <c r="V2645" s="58" t="s">
        <v>69</v>
      </c>
      <c r="W2645" s="58"/>
      <c r="X2645" s="58"/>
      <c r="Y2645" s="58"/>
      <c r="Z2645" s="58"/>
      <c r="AA2645" s="58" t="s">
        <v>44</v>
      </c>
      <c r="AB2645" s="58" t="s">
        <v>45</v>
      </c>
      <c r="AC2645" s="58"/>
      <c r="AD2645" s="58" t="s">
        <v>46</v>
      </c>
      <c r="AE2645" s="58" t="s">
        <v>47</v>
      </c>
      <c r="AF2645" s="58" t="s">
        <v>48</v>
      </c>
      <c r="AG2645" s="14"/>
      <c r="AH2645" s="14"/>
      <c r="AI2645" s="14"/>
      <c r="AJ2645" s="14"/>
      <c r="AK2645" s="14"/>
    </row>
    <row r="2646" spans="2:37" x14ac:dyDescent="0.25">
      <c r="B2646" s="59">
        <v>273698</v>
      </c>
      <c r="C2646" s="59">
        <v>1135752</v>
      </c>
      <c r="D2646" s="59" t="s">
        <v>36</v>
      </c>
      <c r="E2646" s="323">
        <v>701040120042</v>
      </c>
      <c r="F2646" s="323"/>
      <c r="G2646" s="38">
        <v>4</v>
      </c>
      <c r="H2646" s="38"/>
      <c r="I2646" s="60"/>
      <c r="J2646" s="60"/>
      <c r="K2646" s="59" t="s">
        <v>8</v>
      </c>
      <c r="L2646" s="53"/>
      <c r="M2646" s="53"/>
      <c r="S2646" s="307" t="s">
        <v>70</v>
      </c>
      <c r="T2646" s="307"/>
      <c r="U2646" s="307"/>
      <c r="V2646" s="307" t="s">
        <v>71</v>
      </c>
      <c r="W2646" s="307"/>
      <c r="X2646" s="307"/>
      <c r="Y2646" s="307"/>
      <c r="Z2646" s="307"/>
      <c r="AA2646" s="307" t="s">
        <v>75</v>
      </c>
      <c r="AB2646" s="307"/>
      <c r="AC2646" s="307"/>
      <c r="AD2646" s="58"/>
      <c r="AE2646" s="307" t="s">
        <v>52</v>
      </c>
      <c r="AF2646" s="307">
        <v>18366</v>
      </c>
      <c r="AG2646" s="14"/>
      <c r="AH2646" s="14"/>
      <c r="AI2646" s="14"/>
      <c r="AJ2646" s="14"/>
      <c r="AK2646" s="14"/>
    </row>
    <row r="2647" spans="2:37" x14ac:dyDescent="0.25">
      <c r="B2647" s="38">
        <v>273698</v>
      </c>
      <c r="C2647" s="38">
        <v>1135752</v>
      </c>
      <c r="D2647" s="38" t="s">
        <v>11</v>
      </c>
      <c r="E2647" s="311">
        <v>701040120047</v>
      </c>
      <c r="F2647" s="311"/>
      <c r="G2647" s="38">
        <v>4</v>
      </c>
      <c r="H2647" s="38"/>
      <c r="I2647" s="39"/>
      <c r="J2647" s="39"/>
      <c r="K2647" s="38" t="s">
        <v>8</v>
      </c>
      <c r="L2647" s="48"/>
      <c r="M2647" s="48"/>
      <c r="S2647" s="307" t="s">
        <v>73</v>
      </c>
      <c r="T2647" s="307"/>
      <c r="U2647" s="307"/>
      <c r="V2647" s="307"/>
      <c r="W2647" s="307"/>
      <c r="X2647" s="307"/>
      <c r="Y2647" s="307"/>
      <c r="Z2647" s="307"/>
      <c r="AA2647" s="307"/>
      <c r="AB2647" s="307"/>
      <c r="AC2647" s="307"/>
      <c r="AD2647" s="58"/>
      <c r="AE2647" s="307" t="s">
        <v>55</v>
      </c>
      <c r="AF2647" s="307">
        <v>18367</v>
      </c>
      <c r="AG2647" s="14"/>
      <c r="AH2647" s="14"/>
      <c r="AI2647" s="14"/>
      <c r="AJ2647" s="14"/>
      <c r="AK2647" s="14"/>
    </row>
    <row r="2648" spans="2:37" x14ac:dyDescent="0.25">
      <c r="B2648" s="38">
        <v>273680</v>
      </c>
      <c r="C2648" s="38">
        <v>1135751</v>
      </c>
      <c r="D2648" s="38" t="s">
        <v>12</v>
      </c>
      <c r="E2648" s="311" t="s">
        <v>13</v>
      </c>
      <c r="F2648" s="311"/>
      <c r="G2648" s="38">
        <v>16</v>
      </c>
      <c r="H2648" s="38"/>
      <c r="I2648" s="39"/>
      <c r="J2648" s="39"/>
      <c r="K2648" s="38" t="s">
        <v>14</v>
      </c>
      <c r="L2648" s="53"/>
      <c r="M2648" s="53"/>
      <c r="P2648" s="312" t="s">
        <v>39</v>
      </c>
      <c r="Q2648" s="58" t="s">
        <v>40</v>
      </c>
      <c r="R2648" s="58"/>
      <c r="S2648" s="307" t="s">
        <v>74</v>
      </c>
      <c r="T2648" s="307"/>
      <c r="U2648" s="307"/>
      <c r="V2648" s="307"/>
      <c r="W2648" s="307"/>
      <c r="X2648" s="307"/>
      <c r="Y2648" s="307"/>
      <c r="Z2648" s="307"/>
      <c r="AA2648" s="307"/>
      <c r="AB2648" s="307"/>
      <c r="AC2648" s="307"/>
      <c r="AD2648" s="58"/>
      <c r="AE2648" s="307" t="s">
        <v>58</v>
      </c>
      <c r="AF2648" s="307">
        <v>14723</v>
      </c>
      <c r="AG2648" s="14"/>
      <c r="AH2648" s="14"/>
      <c r="AI2648" s="14"/>
      <c r="AJ2648" s="14"/>
      <c r="AK2648" s="14"/>
    </row>
    <row r="2649" spans="2:37" x14ac:dyDescent="0.25">
      <c r="L2649" s="53"/>
      <c r="M2649" s="53"/>
      <c r="P2649" s="290">
        <v>1</v>
      </c>
      <c r="Q2649" s="307">
        <v>19099</v>
      </c>
      <c r="R2649" s="307"/>
      <c r="S2649" s="307"/>
      <c r="T2649" s="307"/>
      <c r="U2649" s="307"/>
      <c r="V2649" s="307"/>
      <c r="W2649" s="307"/>
      <c r="X2649" s="307"/>
      <c r="Y2649" s="307"/>
      <c r="Z2649" s="307"/>
      <c r="AA2649" s="307"/>
      <c r="AB2649" s="307"/>
      <c r="AC2649" s="307"/>
      <c r="AD2649" s="58"/>
      <c r="AE2649" s="307" t="s">
        <v>61</v>
      </c>
      <c r="AF2649" s="58"/>
      <c r="AG2649" s="14"/>
      <c r="AH2649" s="14"/>
      <c r="AI2649" s="14"/>
      <c r="AJ2649" s="14"/>
      <c r="AK2649" s="14"/>
    </row>
    <row r="2650" spans="2:37" x14ac:dyDescent="0.25">
      <c r="B2650" s="322" t="s">
        <v>18</v>
      </c>
      <c r="C2650" s="325">
        <v>44553</v>
      </c>
      <c r="D2650" s="322"/>
      <c r="P2650" s="290">
        <f>1+P2649</f>
        <v>2</v>
      </c>
      <c r="Q2650" s="307">
        <v>19436</v>
      </c>
      <c r="R2650" s="307"/>
      <c r="S2650" s="307"/>
      <c r="T2650" s="307"/>
      <c r="U2650" s="307"/>
      <c r="V2650" s="307"/>
      <c r="W2650" s="307"/>
      <c r="X2650" s="307"/>
      <c r="Y2650" s="307"/>
      <c r="Z2650" s="307"/>
      <c r="AA2650" s="307"/>
      <c r="AB2650" s="307"/>
      <c r="AC2650" s="307"/>
      <c r="AD2650" s="58"/>
      <c r="AE2650" s="307" t="s">
        <v>76</v>
      </c>
      <c r="AF2650" s="307"/>
      <c r="AG2650" s="14"/>
      <c r="AH2650" s="14"/>
      <c r="AI2650" s="14"/>
      <c r="AJ2650" s="14"/>
      <c r="AK2650" s="14"/>
    </row>
    <row r="2651" spans="2:37" x14ac:dyDescent="0.25">
      <c r="B2651" s="308" t="s">
        <v>0</v>
      </c>
      <c r="C2651" s="308" t="s">
        <v>1</v>
      </c>
      <c r="D2651" s="308" t="s">
        <v>2</v>
      </c>
      <c r="E2651" s="308" t="s">
        <v>3</v>
      </c>
      <c r="F2651" s="308"/>
      <c r="G2651" s="308" t="s">
        <v>66</v>
      </c>
      <c r="H2651" s="308"/>
      <c r="I2651" s="308" t="s">
        <v>5</v>
      </c>
      <c r="J2651" s="308"/>
      <c r="K2651" s="308" t="s">
        <v>6</v>
      </c>
      <c r="P2651" s="290">
        <f t="shared" ref="P2651:P2657" si="5">1+P2650</f>
        <v>3</v>
      </c>
      <c r="Q2651" s="307">
        <v>19437</v>
      </c>
      <c r="R2651" s="307"/>
      <c r="S2651" s="307"/>
      <c r="T2651" s="307"/>
      <c r="U2651" s="307"/>
      <c r="V2651" s="307"/>
      <c r="W2651" s="307"/>
      <c r="X2651" s="307"/>
      <c r="Y2651" s="307"/>
      <c r="Z2651" s="307"/>
      <c r="AA2651" s="307"/>
      <c r="AB2651" s="307"/>
      <c r="AC2651" s="307"/>
      <c r="AD2651" s="307"/>
      <c r="AE2651" s="58"/>
      <c r="AF2651" s="307"/>
      <c r="AG2651" s="14"/>
      <c r="AH2651" s="14"/>
      <c r="AI2651" s="14"/>
      <c r="AJ2651" s="14"/>
      <c r="AK2651" s="14"/>
    </row>
    <row r="2652" spans="2:37" x14ac:dyDescent="0.25">
      <c r="B2652" s="318">
        <v>273664</v>
      </c>
      <c r="C2652" s="318">
        <v>1135749</v>
      </c>
      <c r="D2652" s="318" t="s">
        <v>7</v>
      </c>
      <c r="E2652" s="311">
        <v>6060050026</v>
      </c>
      <c r="F2652" s="311"/>
      <c r="G2652" s="318"/>
      <c r="H2652" s="318"/>
      <c r="I2652" s="328">
        <v>2</v>
      </c>
      <c r="J2652" s="328"/>
      <c r="K2652" s="318" t="s">
        <v>8</v>
      </c>
      <c r="L2652" s="312"/>
      <c r="M2652" s="312"/>
      <c r="N2652" s="312"/>
      <c r="O2652" s="312"/>
      <c r="P2652" s="290">
        <f t="shared" si="5"/>
        <v>4</v>
      </c>
      <c r="Q2652" s="290">
        <v>19438</v>
      </c>
      <c r="S2652" s="307"/>
      <c r="T2652" s="307"/>
      <c r="U2652" s="307"/>
      <c r="V2652" s="307"/>
      <c r="W2652" s="307"/>
      <c r="X2652" s="307"/>
      <c r="Y2652" s="307"/>
      <c r="Z2652" s="307"/>
      <c r="AA2652" s="307"/>
      <c r="AB2652" s="307"/>
      <c r="AC2652" s="307"/>
      <c r="AD2652" s="307"/>
      <c r="AE2652" s="307"/>
      <c r="AF2652" s="307"/>
      <c r="AG2652" s="14"/>
      <c r="AH2652" s="14"/>
      <c r="AI2652" s="14"/>
      <c r="AJ2652" s="14"/>
      <c r="AK2652" s="14"/>
    </row>
    <row r="2653" spans="2:37" x14ac:dyDescent="0.25">
      <c r="B2653" s="318">
        <v>273672</v>
      </c>
      <c r="C2653" s="318">
        <v>1135750</v>
      </c>
      <c r="D2653" s="318" t="s">
        <v>9</v>
      </c>
      <c r="E2653" s="311">
        <v>204060000133</v>
      </c>
      <c r="F2653" s="311"/>
      <c r="G2653" s="318"/>
      <c r="H2653" s="318"/>
      <c r="I2653" s="328">
        <v>4</v>
      </c>
      <c r="J2653" s="328"/>
      <c r="K2653" s="318" t="s">
        <v>8</v>
      </c>
      <c r="L2653" s="329"/>
      <c r="M2653" s="329"/>
      <c r="P2653" s="290">
        <f t="shared" si="5"/>
        <v>5</v>
      </c>
      <c r="Q2653" s="307"/>
      <c r="R2653" s="307"/>
      <c r="S2653" s="307"/>
      <c r="T2653" s="307"/>
      <c r="U2653" s="307"/>
      <c r="V2653" s="307"/>
      <c r="W2653" s="307"/>
      <c r="X2653" s="307"/>
      <c r="Y2653" s="307"/>
      <c r="Z2653" s="307"/>
      <c r="AA2653" s="307"/>
      <c r="AB2653" s="307"/>
      <c r="AC2653" s="307"/>
      <c r="AD2653" s="307"/>
      <c r="AE2653" s="307"/>
      <c r="AF2653" s="307"/>
      <c r="AG2653" s="14"/>
      <c r="AH2653" s="14"/>
      <c r="AI2653" s="14"/>
      <c r="AJ2653" s="14"/>
      <c r="AK2653" s="14"/>
    </row>
    <row r="2654" spans="2:37" x14ac:dyDescent="0.25">
      <c r="B2654" s="307"/>
      <c r="C2654" s="307">
        <v>1135750</v>
      </c>
      <c r="D2654" s="307" t="s">
        <v>9</v>
      </c>
      <c r="E2654" s="323">
        <v>204060000058</v>
      </c>
      <c r="F2654" s="323"/>
      <c r="G2654" s="307"/>
      <c r="H2654" s="307"/>
      <c r="I2654" s="330">
        <v>0</v>
      </c>
      <c r="J2654" s="330"/>
      <c r="K2654" s="307" t="s">
        <v>8</v>
      </c>
      <c r="L2654" s="329"/>
      <c r="M2654" s="329"/>
      <c r="P2654" s="290">
        <f t="shared" si="5"/>
        <v>6</v>
      </c>
      <c r="Q2654" s="307"/>
      <c r="R2654" s="307"/>
      <c r="S2654" s="307"/>
      <c r="T2654" s="307"/>
      <c r="U2654" s="307"/>
      <c r="V2654" s="307"/>
      <c r="W2654" s="307"/>
      <c r="X2654" s="307"/>
      <c r="Y2654" s="307"/>
      <c r="Z2654" s="307"/>
      <c r="AA2654" s="307"/>
      <c r="AB2654" s="307"/>
      <c r="AC2654" s="307"/>
      <c r="AD2654" s="307"/>
      <c r="AE2654" s="307"/>
      <c r="AF2654" s="307"/>
      <c r="AG2654" s="14"/>
      <c r="AH2654" s="14"/>
      <c r="AI2654" s="14"/>
      <c r="AJ2654" s="14"/>
      <c r="AK2654" s="14"/>
    </row>
    <row r="2655" spans="2:37" x14ac:dyDescent="0.25">
      <c r="B2655" s="318"/>
      <c r="C2655" s="318">
        <v>1290399</v>
      </c>
      <c r="D2655" s="318" t="s">
        <v>35</v>
      </c>
      <c r="E2655" s="311">
        <v>204060000111</v>
      </c>
      <c r="F2655" s="311"/>
      <c r="G2655" s="318"/>
      <c r="H2655" s="318"/>
      <c r="I2655" s="328">
        <v>8</v>
      </c>
      <c r="J2655" s="328"/>
      <c r="K2655" s="318" t="s">
        <v>8</v>
      </c>
      <c r="P2655" s="290">
        <f t="shared" si="5"/>
        <v>7</v>
      </c>
      <c r="Q2655" s="307"/>
      <c r="R2655" s="307"/>
      <c r="AG2655" s="14"/>
      <c r="AH2655" s="14"/>
      <c r="AI2655" s="14"/>
      <c r="AJ2655" s="14"/>
      <c r="AK2655" s="14"/>
    </row>
    <row r="2656" spans="2:37" ht="14.25" customHeight="1" x14ac:dyDescent="0.25">
      <c r="B2656" s="318">
        <v>273702</v>
      </c>
      <c r="C2656" s="318">
        <v>1135753</v>
      </c>
      <c r="D2656" s="318" t="s">
        <v>10</v>
      </c>
      <c r="E2656" s="311">
        <v>301090080013</v>
      </c>
      <c r="F2656" s="311"/>
      <c r="G2656" s="318"/>
      <c r="H2656" s="318"/>
      <c r="I2656" s="328">
        <v>3</v>
      </c>
      <c r="J2656" s="328"/>
      <c r="K2656" s="318" t="s">
        <v>8</v>
      </c>
      <c r="L2656" s="329"/>
      <c r="M2656" s="329"/>
      <c r="P2656" s="290">
        <f t="shared" si="5"/>
        <v>8</v>
      </c>
      <c r="Q2656" s="307"/>
      <c r="R2656" s="307"/>
      <c r="S2656" s="322"/>
      <c r="T2656" s="322"/>
      <c r="U2656" s="322"/>
      <c r="V2656" s="322"/>
      <c r="W2656" s="322"/>
      <c r="X2656" s="322"/>
      <c r="Y2656" s="322"/>
      <c r="Z2656" s="322"/>
      <c r="AG2656" s="14"/>
      <c r="AH2656" s="14"/>
      <c r="AI2656" s="14"/>
      <c r="AJ2656" s="14"/>
      <c r="AK2656" s="14"/>
    </row>
    <row r="2657" spans="2:37" x14ac:dyDescent="0.25">
      <c r="B2657" s="307">
        <v>273698</v>
      </c>
      <c r="C2657" s="307">
        <v>1135752</v>
      </c>
      <c r="D2657" s="307" t="s">
        <v>36</v>
      </c>
      <c r="E2657" s="323">
        <v>701040120042</v>
      </c>
      <c r="F2657" s="323"/>
      <c r="G2657" s="307"/>
      <c r="H2657" s="307"/>
      <c r="I2657" s="330">
        <v>0</v>
      </c>
      <c r="J2657" s="330"/>
      <c r="K2657" s="307" t="s">
        <v>8</v>
      </c>
      <c r="L2657" s="329"/>
      <c r="M2657" s="329"/>
      <c r="P2657" s="290">
        <f t="shared" si="5"/>
        <v>9</v>
      </c>
      <c r="Q2657" s="307"/>
      <c r="R2657" s="307"/>
      <c r="S2657" s="58" t="s">
        <v>41</v>
      </c>
      <c r="T2657" s="58"/>
      <c r="U2657" s="58" t="s">
        <v>42</v>
      </c>
      <c r="V2657" s="58" t="s">
        <v>69</v>
      </c>
      <c r="W2657" s="58"/>
      <c r="X2657" s="58"/>
      <c r="Y2657" s="58"/>
      <c r="Z2657" s="58"/>
      <c r="AA2657" s="58" t="s">
        <v>44</v>
      </c>
      <c r="AB2657" s="58" t="s">
        <v>45</v>
      </c>
      <c r="AC2657" s="58"/>
      <c r="AD2657" s="58" t="s">
        <v>46</v>
      </c>
      <c r="AE2657" s="58" t="s">
        <v>47</v>
      </c>
      <c r="AF2657" s="58" t="s">
        <v>48</v>
      </c>
      <c r="AG2657" s="14"/>
      <c r="AH2657" s="14"/>
      <c r="AI2657" s="14"/>
      <c r="AJ2657" s="14"/>
      <c r="AK2657" s="14"/>
    </row>
    <row r="2658" spans="2:37" x14ac:dyDescent="0.25">
      <c r="B2658" s="318">
        <v>273698</v>
      </c>
      <c r="C2658" s="318">
        <v>1135752</v>
      </c>
      <c r="D2658" s="318" t="s">
        <v>11</v>
      </c>
      <c r="E2658" s="311">
        <v>701040120047</v>
      </c>
      <c r="F2658" s="311"/>
      <c r="G2658" s="318"/>
      <c r="H2658" s="318"/>
      <c r="I2658" s="328">
        <v>4</v>
      </c>
      <c r="J2658" s="328"/>
      <c r="K2658" s="318" t="s">
        <v>8</v>
      </c>
      <c r="S2658" s="307"/>
      <c r="T2658" s="307"/>
      <c r="U2658" s="307" t="s">
        <v>77</v>
      </c>
      <c r="V2658" s="307" t="s">
        <v>71</v>
      </c>
      <c r="W2658" s="307"/>
      <c r="X2658" s="307"/>
      <c r="Y2658" s="307"/>
      <c r="Z2658" s="307"/>
      <c r="AA2658" s="307" t="s">
        <v>78</v>
      </c>
      <c r="AB2658" s="307"/>
      <c r="AC2658" s="307"/>
      <c r="AD2658" s="58"/>
      <c r="AE2658" s="307" t="s">
        <v>52</v>
      </c>
      <c r="AF2658" s="307">
        <v>18366</v>
      </c>
      <c r="AG2658" s="14"/>
      <c r="AH2658" s="14"/>
      <c r="AI2658" s="14"/>
      <c r="AJ2658" s="14"/>
      <c r="AK2658" s="14"/>
    </row>
    <row r="2659" spans="2:37" x14ac:dyDescent="0.25">
      <c r="B2659" s="318">
        <v>273680</v>
      </c>
      <c r="C2659" s="318">
        <v>1135751</v>
      </c>
      <c r="D2659" s="318" t="s">
        <v>12</v>
      </c>
      <c r="E2659" s="311" t="s">
        <v>13</v>
      </c>
      <c r="F2659" s="311"/>
      <c r="G2659" s="318"/>
      <c r="H2659" s="318"/>
      <c r="I2659" s="328">
        <v>13</v>
      </c>
      <c r="J2659" s="328"/>
      <c r="K2659" s="318" t="s">
        <v>14</v>
      </c>
      <c r="L2659" s="329"/>
      <c r="M2659" s="329"/>
      <c r="S2659" s="307"/>
      <c r="T2659" s="307"/>
      <c r="U2659" s="307" t="s">
        <v>79</v>
      </c>
      <c r="V2659" s="307" t="s">
        <v>80</v>
      </c>
      <c r="W2659" s="307"/>
      <c r="X2659" s="307"/>
      <c r="Y2659" s="307"/>
      <c r="Z2659" s="307"/>
      <c r="AA2659" s="307"/>
      <c r="AB2659" s="307"/>
      <c r="AC2659" s="307"/>
      <c r="AD2659" s="58"/>
      <c r="AE2659" s="307" t="s">
        <v>55</v>
      </c>
      <c r="AF2659" s="307">
        <v>18367</v>
      </c>
      <c r="AG2659" s="14"/>
      <c r="AH2659" s="14"/>
      <c r="AI2659" s="14"/>
      <c r="AJ2659" s="14"/>
      <c r="AK2659" s="14"/>
    </row>
    <row r="2660" spans="2:37" x14ac:dyDescent="0.25">
      <c r="B2660" s="312" t="s">
        <v>67</v>
      </c>
      <c r="E2660" s="331"/>
      <c r="F2660" s="331"/>
      <c r="I2660" s="331"/>
      <c r="J2660" s="331"/>
      <c r="L2660" s="329"/>
      <c r="M2660" s="329"/>
      <c r="S2660" s="307"/>
      <c r="T2660" s="307"/>
      <c r="U2660" s="307" t="s">
        <v>81</v>
      </c>
      <c r="V2660" s="307"/>
      <c r="W2660" s="307"/>
      <c r="X2660" s="307"/>
      <c r="Y2660" s="307"/>
      <c r="Z2660" s="307"/>
      <c r="AA2660" s="307"/>
      <c r="AB2660" s="307"/>
      <c r="AC2660" s="307"/>
      <c r="AD2660" s="58"/>
      <c r="AE2660" s="307" t="s">
        <v>58</v>
      </c>
      <c r="AF2660" s="307">
        <v>14723</v>
      </c>
      <c r="AG2660" s="14"/>
      <c r="AH2660" s="14"/>
      <c r="AI2660" s="14"/>
      <c r="AJ2660" s="14"/>
      <c r="AK2660" s="14"/>
    </row>
    <row r="2661" spans="2:37" x14ac:dyDescent="0.25">
      <c r="P2661" s="312" t="s">
        <v>39</v>
      </c>
      <c r="Q2661" s="58" t="s">
        <v>40</v>
      </c>
      <c r="R2661" s="58"/>
      <c r="S2661" s="307"/>
      <c r="T2661" s="307"/>
      <c r="U2661" s="307" t="s">
        <v>82</v>
      </c>
      <c r="V2661" s="307"/>
      <c r="W2661" s="307"/>
      <c r="X2661" s="307"/>
      <c r="Y2661" s="307"/>
      <c r="Z2661" s="307"/>
      <c r="AA2661" s="307"/>
      <c r="AB2661" s="307"/>
      <c r="AC2661" s="307"/>
      <c r="AD2661" s="58"/>
      <c r="AE2661" s="307" t="s">
        <v>61</v>
      </c>
      <c r="AF2661" s="58" t="s">
        <v>83</v>
      </c>
      <c r="AG2661" s="14"/>
      <c r="AH2661" s="14"/>
      <c r="AI2661" s="14"/>
      <c r="AJ2661" s="14"/>
      <c r="AK2661" s="14"/>
    </row>
    <row r="2662" spans="2:37" x14ac:dyDescent="0.25">
      <c r="B2662" s="322" t="s">
        <v>18</v>
      </c>
      <c r="C2662" s="325">
        <v>44533</v>
      </c>
      <c r="D2662" s="322" t="s">
        <v>68</v>
      </c>
      <c r="P2662" s="290">
        <v>1</v>
      </c>
      <c r="Q2662" s="307">
        <v>19099</v>
      </c>
      <c r="R2662" s="307"/>
      <c r="S2662" s="307"/>
      <c r="T2662" s="307"/>
      <c r="U2662" s="307" t="s">
        <v>84</v>
      </c>
      <c r="V2662" s="307"/>
      <c r="W2662" s="307"/>
      <c r="X2662" s="307"/>
      <c r="Y2662" s="307"/>
      <c r="Z2662" s="307"/>
      <c r="AA2662" s="307"/>
      <c r="AB2662" s="307"/>
      <c r="AC2662" s="307"/>
      <c r="AD2662" s="58"/>
      <c r="AE2662" s="307" t="s">
        <v>85</v>
      </c>
      <c r="AF2662" s="307"/>
      <c r="AG2662" s="14"/>
      <c r="AH2662" s="14"/>
      <c r="AI2662" s="14"/>
      <c r="AJ2662" s="14"/>
      <c r="AK2662" s="14"/>
    </row>
    <row r="2663" spans="2:37" x14ac:dyDescent="0.25">
      <c r="B2663" s="308" t="s">
        <v>0</v>
      </c>
      <c r="C2663" s="308" t="s">
        <v>1</v>
      </c>
      <c r="D2663" s="308" t="s">
        <v>2</v>
      </c>
      <c r="E2663" s="308" t="s">
        <v>3</v>
      </c>
      <c r="F2663" s="308"/>
      <c r="G2663" s="308" t="s">
        <v>66</v>
      </c>
      <c r="H2663" s="308"/>
      <c r="I2663" s="308" t="s">
        <v>5</v>
      </c>
      <c r="J2663" s="308"/>
      <c r="K2663" s="308" t="s">
        <v>6</v>
      </c>
      <c r="P2663" s="290">
        <f>1+P2662</f>
        <v>2</v>
      </c>
      <c r="Q2663" s="307">
        <v>19100</v>
      </c>
      <c r="R2663" s="307"/>
      <c r="S2663" s="307"/>
      <c r="T2663" s="307"/>
      <c r="U2663" s="307" t="s">
        <v>86</v>
      </c>
      <c r="V2663" s="307"/>
      <c r="W2663" s="307"/>
      <c r="X2663" s="307"/>
      <c r="Y2663" s="307"/>
      <c r="Z2663" s="307"/>
      <c r="AA2663" s="307"/>
      <c r="AB2663" s="307"/>
      <c r="AC2663" s="307"/>
      <c r="AD2663" s="307"/>
      <c r="AE2663" s="58" t="s">
        <v>83</v>
      </c>
      <c r="AF2663" s="307"/>
      <c r="AG2663" s="14"/>
      <c r="AH2663" s="14"/>
      <c r="AI2663" s="14"/>
      <c r="AJ2663" s="14"/>
      <c r="AK2663" s="14"/>
    </row>
    <row r="2664" spans="2:37" x14ac:dyDescent="0.25">
      <c r="B2664" s="332">
        <v>273664</v>
      </c>
      <c r="C2664" s="332">
        <v>1135749</v>
      </c>
      <c r="D2664" s="332" t="s">
        <v>7</v>
      </c>
      <c r="E2664" s="333">
        <v>6060090013</v>
      </c>
      <c r="F2664" s="333"/>
      <c r="G2664" s="332"/>
      <c r="H2664" s="332"/>
      <c r="I2664" s="334">
        <v>4</v>
      </c>
      <c r="J2664" s="334"/>
      <c r="K2664" s="332" t="s">
        <v>8</v>
      </c>
      <c r="L2664" s="312"/>
      <c r="M2664" s="312"/>
      <c r="N2664" s="312"/>
      <c r="O2664" s="312"/>
      <c r="P2664" s="290">
        <f t="shared" ref="P2664:P2670" si="6">1+P2663</f>
        <v>3</v>
      </c>
      <c r="Q2664" s="307"/>
      <c r="R2664" s="307"/>
      <c r="S2664" s="307"/>
      <c r="T2664" s="307"/>
      <c r="U2664" s="307" t="s">
        <v>87</v>
      </c>
      <c r="V2664" s="307"/>
      <c r="W2664" s="307"/>
      <c r="X2664" s="307"/>
      <c r="Y2664" s="307"/>
      <c r="Z2664" s="307"/>
      <c r="AA2664" s="307"/>
      <c r="AB2664" s="307"/>
      <c r="AC2664" s="307"/>
      <c r="AD2664" s="307"/>
      <c r="AE2664" s="307"/>
      <c r="AF2664" s="307"/>
      <c r="AG2664" s="14"/>
      <c r="AH2664" s="14"/>
      <c r="AI2664" s="14"/>
      <c r="AJ2664" s="14"/>
      <c r="AK2664" s="14"/>
    </row>
    <row r="2665" spans="2:37" x14ac:dyDescent="0.25">
      <c r="B2665" s="307">
        <v>273672</v>
      </c>
      <c r="C2665" s="307">
        <v>1135750</v>
      </c>
      <c r="D2665" s="307" t="s">
        <v>9</v>
      </c>
      <c r="E2665" s="323">
        <v>204060000206</v>
      </c>
      <c r="F2665" s="323"/>
      <c r="G2665" s="307"/>
      <c r="H2665" s="307"/>
      <c r="I2665" s="330">
        <v>1</v>
      </c>
      <c r="J2665" s="330"/>
      <c r="K2665" s="307" t="s">
        <v>8</v>
      </c>
      <c r="L2665" s="305"/>
      <c r="M2665" s="305"/>
      <c r="P2665" s="290">
        <f t="shared" si="6"/>
        <v>4</v>
      </c>
      <c r="Q2665" s="307"/>
      <c r="R2665" s="307"/>
      <c r="S2665" s="307"/>
      <c r="T2665" s="307"/>
      <c r="U2665" s="307" t="s">
        <v>90</v>
      </c>
      <c r="V2665" s="307"/>
      <c r="W2665" s="307"/>
      <c r="X2665" s="307"/>
      <c r="Y2665" s="307"/>
      <c r="Z2665" s="307"/>
      <c r="AA2665" s="307"/>
      <c r="AB2665" s="307"/>
      <c r="AC2665" s="307"/>
      <c r="AD2665" s="307"/>
      <c r="AE2665" s="307"/>
      <c r="AF2665" s="307"/>
      <c r="AG2665" s="14"/>
      <c r="AH2665" s="14"/>
      <c r="AI2665" s="14"/>
      <c r="AJ2665" s="14"/>
      <c r="AK2665" s="14"/>
    </row>
    <row r="2666" spans="2:37" x14ac:dyDescent="0.25">
      <c r="B2666" s="332"/>
      <c r="C2666" s="332">
        <v>1135750</v>
      </c>
      <c r="D2666" s="332" t="s">
        <v>9</v>
      </c>
      <c r="E2666" s="333">
        <v>204060000058</v>
      </c>
      <c r="F2666" s="333"/>
      <c r="G2666" s="332"/>
      <c r="H2666" s="332"/>
      <c r="I2666" s="334">
        <v>3</v>
      </c>
      <c r="J2666" s="334"/>
      <c r="K2666" s="332" t="s">
        <v>8</v>
      </c>
      <c r="P2666" s="290">
        <f t="shared" si="6"/>
        <v>5</v>
      </c>
      <c r="Q2666" s="307"/>
      <c r="R2666" s="307"/>
      <c r="S2666" s="307"/>
      <c r="T2666" s="307"/>
      <c r="U2666" s="307"/>
      <c r="V2666" s="307"/>
      <c r="W2666" s="307"/>
      <c r="X2666" s="307"/>
      <c r="Y2666" s="307"/>
      <c r="Z2666" s="307"/>
      <c r="AA2666" s="307"/>
      <c r="AB2666" s="307"/>
      <c r="AC2666" s="307"/>
      <c r="AD2666" s="307"/>
      <c r="AE2666" s="307"/>
      <c r="AF2666" s="307"/>
      <c r="AG2666" s="14"/>
      <c r="AH2666" s="14"/>
      <c r="AI2666" s="14"/>
      <c r="AJ2666" s="14"/>
      <c r="AK2666" s="14"/>
    </row>
    <row r="2667" spans="2:37" x14ac:dyDescent="0.25">
      <c r="B2667" s="307"/>
      <c r="C2667" s="307">
        <v>1290399</v>
      </c>
      <c r="D2667" s="307" t="s">
        <v>35</v>
      </c>
      <c r="E2667" s="323">
        <v>204060000111</v>
      </c>
      <c r="F2667" s="323"/>
      <c r="G2667" s="307"/>
      <c r="H2667" s="307"/>
      <c r="I2667" s="330">
        <v>0</v>
      </c>
      <c r="J2667" s="330"/>
      <c r="K2667" s="307" t="s">
        <v>8</v>
      </c>
      <c r="L2667" s="305"/>
      <c r="M2667" s="305"/>
      <c r="P2667" s="290">
        <f t="shared" si="6"/>
        <v>6</v>
      </c>
      <c r="Q2667" s="307"/>
      <c r="R2667" s="307"/>
      <c r="S2667" s="307"/>
      <c r="T2667" s="307"/>
      <c r="U2667" s="307"/>
      <c r="V2667" s="307"/>
      <c r="W2667" s="307"/>
      <c r="X2667" s="307"/>
      <c r="Y2667" s="307"/>
      <c r="Z2667" s="307"/>
      <c r="AA2667" s="307"/>
      <c r="AB2667" s="307"/>
      <c r="AC2667" s="307"/>
      <c r="AD2667" s="307"/>
      <c r="AE2667" s="307"/>
      <c r="AF2667" s="307"/>
      <c r="AG2667" s="14"/>
      <c r="AH2667" s="14"/>
      <c r="AI2667" s="14"/>
      <c r="AJ2667" s="14"/>
      <c r="AK2667" s="14"/>
    </row>
    <row r="2668" spans="2:37" x14ac:dyDescent="0.25">
      <c r="B2668" s="332">
        <v>273702</v>
      </c>
      <c r="C2668" s="332">
        <v>1135753</v>
      </c>
      <c r="D2668" s="332" t="s">
        <v>10</v>
      </c>
      <c r="E2668" s="333">
        <v>301090080013</v>
      </c>
      <c r="F2668" s="333"/>
      <c r="G2668" s="332"/>
      <c r="H2668" s="332"/>
      <c r="I2668" s="334">
        <v>3</v>
      </c>
      <c r="J2668" s="334"/>
      <c r="K2668" s="332" t="s">
        <v>8</v>
      </c>
      <c r="P2668" s="290">
        <f t="shared" si="6"/>
        <v>7</v>
      </c>
      <c r="Q2668" s="307"/>
      <c r="R2668" s="307"/>
      <c r="AG2668" s="14"/>
      <c r="AH2668" s="14"/>
      <c r="AI2668" s="14"/>
      <c r="AJ2668" s="14"/>
      <c r="AK2668" s="14"/>
    </row>
    <row r="2669" spans="2:37" x14ac:dyDescent="0.25">
      <c r="B2669" s="307">
        <v>273698</v>
      </c>
      <c r="C2669" s="307">
        <v>1135752</v>
      </c>
      <c r="D2669" s="307" t="s">
        <v>36</v>
      </c>
      <c r="E2669" s="323">
        <v>701040120042</v>
      </c>
      <c r="F2669" s="323"/>
      <c r="G2669" s="307"/>
      <c r="H2669" s="307"/>
      <c r="I2669" s="330">
        <v>0</v>
      </c>
      <c r="J2669" s="330"/>
      <c r="K2669" s="307" t="s">
        <v>8</v>
      </c>
      <c r="L2669" s="305"/>
      <c r="M2669" s="305"/>
      <c r="P2669" s="290">
        <f t="shared" si="6"/>
        <v>8</v>
      </c>
      <c r="Q2669" s="307"/>
      <c r="R2669" s="307"/>
      <c r="AG2669" s="14"/>
      <c r="AH2669" s="14"/>
      <c r="AI2669" s="14"/>
      <c r="AJ2669" s="14"/>
      <c r="AK2669" s="14"/>
    </row>
    <row r="2670" spans="2:37" ht="14.25" customHeight="1" x14ac:dyDescent="0.25">
      <c r="B2670" s="332">
        <v>273698</v>
      </c>
      <c r="C2670" s="332">
        <v>1135752</v>
      </c>
      <c r="D2670" s="332" t="s">
        <v>11</v>
      </c>
      <c r="E2670" s="333">
        <v>701040120047</v>
      </c>
      <c r="F2670" s="333"/>
      <c r="G2670" s="332"/>
      <c r="H2670" s="332"/>
      <c r="I2670" s="334">
        <v>4</v>
      </c>
      <c r="J2670" s="334"/>
      <c r="K2670" s="332" t="s">
        <v>8</v>
      </c>
      <c r="P2670" s="290">
        <f t="shared" si="6"/>
        <v>9</v>
      </c>
      <c r="Q2670" s="307"/>
      <c r="R2670" s="307"/>
      <c r="S2670" s="322"/>
      <c r="T2670" s="322"/>
      <c r="U2670" s="322"/>
      <c r="V2670" s="322"/>
      <c r="W2670" s="322"/>
      <c r="X2670" s="322"/>
      <c r="Y2670" s="322"/>
      <c r="Z2670" s="322"/>
      <c r="AG2670" s="14"/>
      <c r="AH2670" s="14"/>
      <c r="AI2670" s="14"/>
      <c r="AJ2670" s="14"/>
      <c r="AK2670" s="14"/>
    </row>
    <row r="2671" spans="2:37" x14ac:dyDescent="0.25">
      <c r="B2671" s="332">
        <v>273680</v>
      </c>
      <c r="C2671" s="332">
        <v>1135751</v>
      </c>
      <c r="D2671" s="332" t="s">
        <v>12</v>
      </c>
      <c r="E2671" s="333" t="s">
        <v>13</v>
      </c>
      <c r="F2671" s="333"/>
      <c r="G2671" s="332"/>
      <c r="H2671" s="332"/>
      <c r="I2671" s="334">
        <v>16</v>
      </c>
      <c r="J2671" s="334"/>
      <c r="K2671" s="332" t="s">
        <v>14</v>
      </c>
      <c r="L2671" s="305"/>
      <c r="M2671" s="305"/>
      <c r="S2671" s="58" t="s">
        <v>41</v>
      </c>
      <c r="T2671" s="58"/>
      <c r="U2671" s="58" t="s">
        <v>42</v>
      </c>
      <c r="V2671" s="58" t="s">
        <v>69</v>
      </c>
      <c r="W2671" s="58"/>
      <c r="X2671" s="58"/>
      <c r="Y2671" s="58"/>
      <c r="Z2671" s="58"/>
      <c r="AA2671" s="58" t="s">
        <v>44</v>
      </c>
      <c r="AB2671" s="58" t="s">
        <v>45</v>
      </c>
      <c r="AC2671" s="58"/>
      <c r="AD2671" s="58" t="s">
        <v>46</v>
      </c>
      <c r="AE2671" s="58" t="s">
        <v>47</v>
      </c>
      <c r="AF2671" s="58" t="s">
        <v>48</v>
      </c>
      <c r="AG2671" s="14"/>
      <c r="AH2671" s="14"/>
      <c r="AI2671" s="14"/>
      <c r="AJ2671" s="14"/>
      <c r="AK2671" s="14"/>
    </row>
    <row r="2672" spans="2:37" x14ac:dyDescent="0.25">
      <c r="B2672" s="312" t="s">
        <v>67</v>
      </c>
      <c r="E2672" s="331"/>
      <c r="F2672" s="331"/>
      <c r="I2672" s="331"/>
      <c r="J2672" s="331"/>
      <c r="L2672" s="305"/>
      <c r="M2672" s="305"/>
      <c r="S2672" s="307"/>
      <c r="T2672" s="307"/>
      <c r="U2672" s="307" t="s">
        <v>77</v>
      </c>
      <c r="V2672" s="307" t="s">
        <v>71</v>
      </c>
      <c r="W2672" s="307"/>
      <c r="X2672" s="307"/>
      <c r="Y2672" s="307"/>
      <c r="Z2672" s="307"/>
      <c r="AA2672" s="307" t="s">
        <v>78</v>
      </c>
      <c r="AB2672" s="307"/>
      <c r="AC2672" s="307"/>
      <c r="AD2672" s="58"/>
      <c r="AE2672" s="307" t="s">
        <v>52</v>
      </c>
      <c r="AF2672" s="307">
        <v>18366</v>
      </c>
      <c r="AG2672" s="14"/>
      <c r="AH2672" s="14"/>
      <c r="AI2672" s="14"/>
      <c r="AJ2672" s="14"/>
      <c r="AK2672" s="14"/>
    </row>
    <row r="2673" spans="2:37" x14ac:dyDescent="0.25">
      <c r="B2673" s="312"/>
      <c r="E2673" s="331"/>
      <c r="F2673" s="331"/>
      <c r="I2673" s="331"/>
      <c r="J2673" s="331"/>
      <c r="P2673" s="312" t="s">
        <v>39</v>
      </c>
      <c r="Q2673" s="58" t="s">
        <v>40</v>
      </c>
      <c r="R2673" s="58"/>
      <c r="S2673" s="307"/>
      <c r="T2673" s="307"/>
      <c r="U2673" s="307" t="s">
        <v>79</v>
      </c>
      <c r="V2673" s="307" t="s">
        <v>80</v>
      </c>
      <c r="W2673" s="307"/>
      <c r="X2673" s="307"/>
      <c r="Y2673" s="307"/>
      <c r="Z2673" s="307"/>
      <c r="AA2673" s="307"/>
      <c r="AB2673" s="307"/>
      <c r="AC2673" s="307"/>
      <c r="AD2673" s="58"/>
      <c r="AE2673" s="307" t="s">
        <v>55</v>
      </c>
      <c r="AF2673" s="307">
        <v>18367</v>
      </c>
      <c r="AG2673" s="14"/>
      <c r="AH2673" s="14"/>
      <c r="AI2673" s="14"/>
      <c r="AJ2673" s="14"/>
      <c r="AK2673" s="14"/>
    </row>
    <row r="2674" spans="2:37" x14ac:dyDescent="0.25">
      <c r="B2674" s="312"/>
      <c r="E2674" s="331"/>
      <c r="F2674" s="331"/>
      <c r="I2674" s="331"/>
      <c r="J2674" s="331"/>
      <c r="P2674" s="290">
        <v>1</v>
      </c>
      <c r="Q2674" s="307">
        <v>19099</v>
      </c>
      <c r="R2674" s="307"/>
      <c r="S2674" s="307"/>
      <c r="T2674" s="307"/>
      <c r="U2674" s="307" t="s">
        <v>81</v>
      </c>
      <c r="V2674" s="307"/>
      <c r="W2674" s="307"/>
      <c r="X2674" s="307"/>
      <c r="Y2674" s="307"/>
      <c r="Z2674" s="307"/>
      <c r="AA2674" s="307"/>
      <c r="AB2674" s="307"/>
      <c r="AC2674" s="307"/>
      <c r="AD2674" s="58"/>
      <c r="AE2674" s="307" t="s">
        <v>58</v>
      </c>
      <c r="AF2674" s="307">
        <v>14723</v>
      </c>
      <c r="AG2674" s="14"/>
      <c r="AH2674" s="14"/>
      <c r="AI2674" s="14"/>
      <c r="AJ2674" s="14"/>
      <c r="AK2674" s="14"/>
    </row>
    <row r="2675" spans="2:37" x14ac:dyDescent="0.25">
      <c r="B2675" s="322" t="s">
        <v>18</v>
      </c>
      <c r="C2675" s="325">
        <v>44510</v>
      </c>
      <c r="P2675" s="290">
        <f>1+P2674</f>
        <v>2</v>
      </c>
      <c r="Q2675" s="307">
        <v>19100</v>
      </c>
      <c r="R2675" s="307"/>
      <c r="S2675" s="307"/>
      <c r="T2675" s="307"/>
      <c r="U2675" s="307" t="s">
        <v>82</v>
      </c>
      <c r="V2675" s="307"/>
      <c r="W2675" s="307"/>
      <c r="X2675" s="307"/>
      <c r="Y2675" s="307"/>
      <c r="Z2675" s="307"/>
      <c r="AA2675" s="307"/>
      <c r="AB2675" s="307"/>
      <c r="AC2675" s="307"/>
      <c r="AD2675" s="58"/>
      <c r="AE2675" s="307" t="s">
        <v>61</v>
      </c>
      <c r="AF2675" s="58" t="s">
        <v>83</v>
      </c>
      <c r="AG2675" s="14"/>
      <c r="AH2675" s="14"/>
      <c r="AI2675" s="14"/>
      <c r="AJ2675" s="14"/>
      <c r="AK2675" s="14"/>
    </row>
    <row r="2676" spans="2:37" x14ac:dyDescent="0.25">
      <c r="B2676" s="308" t="s">
        <v>0</v>
      </c>
      <c r="C2676" s="308" t="s">
        <v>1</v>
      </c>
      <c r="D2676" s="308" t="s">
        <v>2</v>
      </c>
      <c r="E2676" s="308" t="s">
        <v>3</v>
      </c>
      <c r="F2676" s="308"/>
      <c r="G2676" s="308" t="s">
        <v>66</v>
      </c>
      <c r="H2676" s="308"/>
      <c r="I2676" s="308" t="s">
        <v>5</v>
      </c>
      <c r="J2676" s="308"/>
      <c r="K2676" s="308" t="s">
        <v>6</v>
      </c>
      <c r="P2676" s="290">
        <f t="shared" ref="P2676:P2682" si="7">1+P2675</f>
        <v>3</v>
      </c>
      <c r="Q2676" s="307">
        <v>19128</v>
      </c>
      <c r="R2676" s="307"/>
      <c r="S2676" s="307"/>
      <c r="T2676" s="307"/>
      <c r="U2676" s="307" t="s">
        <v>84</v>
      </c>
      <c r="V2676" s="307"/>
      <c r="W2676" s="307"/>
      <c r="X2676" s="307"/>
      <c r="Y2676" s="307"/>
      <c r="Z2676" s="307"/>
      <c r="AA2676" s="307"/>
      <c r="AB2676" s="307"/>
      <c r="AC2676" s="307"/>
      <c r="AD2676" s="58"/>
      <c r="AE2676" s="307" t="s">
        <v>85</v>
      </c>
      <c r="AF2676" s="307"/>
      <c r="AG2676" s="14"/>
      <c r="AH2676" s="14"/>
      <c r="AI2676" s="14"/>
      <c r="AJ2676" s="14"/>
      <c r="AK2676" s="14"/>
    </row>
    <row r="2677" spans="2:37" x14ac:dyDescent="0.25">
      <c r="B2677" s="307">
        <v>273664</v>
      </c>
      <c r="C2677" s="307">
        <v>1135749</v>
      </c>
      <c r="D2677" s="307" t="s">
        <v>7</v>
      </c>
      <c r="E2677" s="323">
        <v>6060090013</v>
      </c>
      <c r="F2677" s="323"/>
      <c r="G2677" s="307"/>
      <c r="H2677" s="307"/>
      <c r="I2677" s="330">
        <v>2</v>
      </c>
      <c r="J2677" s="330"/>
      <c r="K2677" s="307" t="s">
        <v>8</v>
      </c>
      <c r="L2677" s="312"/>
      <c r="M2677" s="312"/>
      <c r="N2677" s="312"/>
      <c r="O2677" s="312"/>
      <c r="P2677" s="290">
        <f t="shared" si="7"/>
        <v>4</v>
      </c>
      <c r="Q2677" s="307"/>
      <c r="R2677" s="307"/>
      <c r="S2677" s="307"/>
      <c r="T2677" s="307"/>
      <c r="U2677" s="307" t="s">
        <v>86</v>
      </c>
      <c r="V2677" s="307"/>
      <c r="W2677" s="307"/>
      <c r="X2677" s="307"/>
      <c r="Y2677" s="307"/>
      <c r="Z2677" s="307"/>
      <c r="AA2677" s="307"/>
      <c r="AB2677" s="307"/>
      <c r="AC2677" s="307"/>
      <c r="AD2677" s="307"/>
      <c r="AE2677" s="58" t="s">
        <v>83</v>
      </c>
      <c r="AF2677" s="307"/>
      <c r="AG2677" s="14"/>
      <c r="AH2677" s="14"/>
      <c r="AI2677" s="14"/>
      <c r="AJ2677" s="14"/>
      <c r="AK2677" s="14"/>
    </row>
    <row r="2678" spans="2:37" x14ac:dyDescent="0.25">
      <c r="B2678" s="307">
        <v>273672</v>
      </c>
      <c r="C2678" s="307">
        <v>1135750</v>
      </c>
      <c r="D2678" s="307" t="s">
        <v>9</v>
      </c>
      <c r="E2678" s="323">
        <v>204060000206</v>
      </c>
      <c r="F2678" s="323"/>
      <c r="G2678" s="307"/>
      <c r="H2678" s="307"/>
      <c r="I2678" s="330">
        <v>1</v>
      </c>
      <c r="J2678" s="330"/>
      <c r="K2678" s="307" t="s">
        <v>8</v>
      </c>
      <c r="P2678" s="290">
        <f t="shared" si="7"/>
        <v>5</v>
      </c>
      <c r="Q2678" s="307"/>
      <c r="R2678" s="307"/>
      <c r="S2678" s="307"/>
      <c r="T2678" s="307"/>
      <c r="U2678" s="307" t="s">
        <v>87</v>
      </c>
      <c r="V2678" s="307"/>
      <c r="W2678" s="307"/>
      <c r="X2678" s="307"/>
      <c r="Y2678" s="307"/>
      <c r="Z2678" s="307"/>
      <c r="AA2678" s="307"/>
      <c r="AB2678" s="307"/>
      <c r="AC2678" s="307"/>
      <c r="AD2678" s="307"/>
      <c r="AE2678" s="307"/>
      <c r="AF2678" s="307"/>
      <c r="AG2678" s="14"/>
      <c r="AH2678" s="14"/>
      <c r="AI2678" s="14"/>
      <c r="AJ2678" s="14"/>
      <c r="AK2678" s="14"/>
    </row>
    <row r="2679" spans="2:37" x14ac:dyDescent="0.25">
      <c r="B2679" s="307"/>
      <c r="C2679" s="307">
        <v>1135750</v>
      </c>
      <c r="D2679" s="307" t="s">
        <v>9</v>
      </c>
      <c r="E2679" s="323">
        <v>204060000058</v>
      </c>
      <c r="F2679" s="323"/>
      <c r="G2679" s="307"/>
      <c r="H2679" s="307"/>
      <c r="I2679" s="330">
        <v>3</v>
      </c>
      <c r="J2679" s="330"/>
      <c r="K2679" s="307" t="s">
        <v>8</v>
      </c>
      <c r="P2679" s="290">
        <f t="shared" si="7"/>
        <v>6</v>
      </c>
      <c r="Q2679" s="307"/>
      <c r="R2679" s="307"/>
      <c r="S2679" s="307"/>
      <c r="T2679" s="307"/>
      <c r="U2679" s="307" t="s">
        <v>90</v>
      </c>
      <c r="V2679" s="307"/>
      <c r="W2679" s="307"/>
      <c r="X2679" s="307"/>
      <c r="Y2679" s="307"/>
      <c r="Z2679" s="307"/>
      <c r="AA2679" s="307"/>
      <c r="AB2679" s="307"/>
      <c r="AC2679" s="307"/>
      <c r="AD2679" s="307"/>
      <c r="AE2679" s="307"/>
      <c r="AF2679" s="307"/>
      <c r="AG2679" s="14"/>
      <c r="AH2679" s="14"/>
      <c r="AI2679" s="14"/>
      <c r="AJ2679" s="14"/>
      <c r="AK2679" s="14"/>
    </row>
    <row r="2680" spans="2:37" x14ac:dyDescent="0.25">
      <c r="B2680" s="307"/>
      <c r="C2680" s="307">
        <v>1290399</v>
      </c>
      <c r="D2680" s="307" t="s">
        <v>35</v>
      </c>
      <c r="E2680" s="323">
        <v>204060000111</v>
      </c>
      <c r="F2680" s="323"/>
      <c r="G2680" s="307"/>
      <c r="H2680" s="307"/>
      <c r="I2680" s="330">
        <v>0</v>
      </c>
      <c r="J2680" s="330"/>
      <c r="K2680" s="307" t="s">
        <v>8</v>
      </c>
      <c r="P2680" s="290">
        <f t="shared" si="7"/>
        <v>7</v>
      </c>
      <c r="Q2680" s="307"/>
      <c r="R2680" s="307"/>
      <c r="S2680" s="307"/>
      <c r="T2680" s="307"/>
      <c r="U2680" s="307"/>
      <c r="V2680" s="307"/>
      <c r="W2680" s="307"/>
      <c r="X2680" s="307"/>
      <c r="Y2680" s="307"/>
      <c r="Z2680" s="307"/>
      <c r="AA2680" s="307"/>
      <c r="AB2680" s="307"/>
      <c r="AC2680" s="307"/>
      <c r="AD2680" s="307"/>
      <c r="AE2680" s="307"/>
      <c r="AF2680" s="307"/>
      <c r="AG2680" s="14"/>
      <c r="AH2680" s="14"/>
      <c r="AI2680" s="14"/>
      <c r="AJ2680" s="14"/>
      <c r="AK2680" s="14"/>
    </row>
    <row r="2681" spans="2:37" x14ac:dyDescent="0.25">
      <c r="B2681" s="307">
        <v>273702</v>
      </c>
      <c r="C2681" s="307">
        <v>1135753</v>
      </c>
      <c r="D2681" s="307" t="s">
        <v>10</v>
      </c>
      <c r="E2681" s="323">
        <v>301090080013</v>
      </c>
      <c r="F2681" s="323"/>
      <c r="G2681" s="307"/>
      <c r="H2681" s="307"/>
      <c r="I2681" s="330">
        <v>3</v>
      </c>
      <c r="J2681" s="330"/>
      <c r="K2681" s="307" t="s">
        <v>8</v>
      </c>
      <c r="P2681" s="290">
        <f t="shared" si="7"/>
        <v>8</v>
      </c>
      <c r="Q2681" s="307"/>
      <c r="R2681" s="307"/>
      <c r="S2681" s="307"/>
      <c r="T2681" s="307"/>
      <c r="U2681" s="307"/>
      <c r="V2681" s="307"/>
      <c r="W2681" s="307"/>
      <c r="X2681" s="307"/>
      <c r="Y2681" s="307"/>
      <c r="Z2681" s="307"/>
      <c r="AA2681" s="307"/>
      <c r="AB2681" s="307"/>
      <c r="AC2681" s="307"/>
      <c r="AD2681" s="307"/>
      <c r="AE2681" s="307"/>
      <c r="AF2681" s="307"/>
      <c r="AG2681" s="14"/>
      <c r="AH2681" s="14"/>
      <c r="AI2681" s="14"/>
      <c r="AJ2681" s="14"/>
      <c r="AK2681" s="14"/>
    </row>
    <row r="2682" spans="2:37" x14ac:dyDescent="0.25">
      <c r="B2682" s="307">
        <v>273698</v>
      </c>
      <c r="C2682" s="307">
        <v>1135752</v>
      </c>
      <c r="D2682" s="307" t="s">
        <v>36</v>
      </c>
      <c r="E2682" s="323">
        <v>701040120042</v>
      </c>
      <c r="F2682" s="323"/>
      <c r="G2682" s="307"/>
      <c r="H2682" s="307"/>
      <c r="I2682" s="330">
        <v>0</v>
      </c>
      <c r="J2682" s="330"/>
      <c r="K2682" s="307" t="s">
        <v>8</v>
      </c>
      <c r="P2682" s="290">
        <f t="shared" si="7"/>
        <v>9</v>
      </c>
      <c r="Q2682" s="307"/>
      <c r="R2682" s="307"/>
      <c r="U2682" s="290">
        <v>8</v>
      </c>
      <c r="V2682" s="290">
        <v>2</v>
      </c>
      <c r="AA2682" s="290">
        <v>9</v>
      </c>
      <c r="AE2682" s="290">
        <v>6</v>
      </c>
      <c r="AF2682" s="290">
        <v>4</v>
      </c>
      <c r="AG2682" s="14"/>
      <c r="AH2682" s="14"/>
      <c r="AI2682" s="14"/>
      <c r="AJ2682" s="14"/>
      <c r="AK2682" s="14"/>
    </row>
    <row r="2683" spans="2:37" ht="14.25" customHeight="1" x14ac:dyDescent="0.25">
      <c r="B2683" s="307">
        <v>273698</v>
      </c>
      <c r="C2683" s="307">
        <v>1135752</v>
      </c>
      <c r="D2683" s="307" t="s">
        <v>11</v>
      </c>
      <c r="E2683" s="323">
        <v>701040120047</v>
      </c>
      <c r="F2683" s="323"/>
      <c r="G2683" s="307"/>
      <c r="H2683" s="307"/>
      <c r="I2683" s="330">
        <v>5</v>
      </c>
      <c r="J2683" s="330"/>
      <c r="K2683" s="307" t="s">
        <v>8</v>
      </c>
      <c r="P2683" s="290">
        <v>10</v>
      </c>
      <c r="Q2683" s="307"/>
      <c r="R2683" s="307"/>
      <c r="S2683" s="322"/>
      <c r="T2683" s="322"/>
      <c r="U2683" s="322"/>
      <c r="V2683" s="322"/>
      <c r="W2683" s="322"/>
      <c r="X2683" s="322"/>
      <c r="Y2683" s="322"/>
      <c r="Z2683" s="322"/>
      <c r="AG2683" s="14"/>
      <c r="AH2683" s="14"/>
      <c r="AI2683" s="14"/>
      <c r="AJ2683" s="14"/>
      <c r="AK2683" s="14"/>
    </row>
    <row r="2684" spans="2:37" x14ac:dyDescent="0.25">
      <c r="B2684" s="307">
        <v>273680</v>
      </c>
      <c r="C2684" s="307">
        <v>1135751</v>
      </c>
      <c r="D2684" s="307" t="s">
        <v>12</v>
      </c>
      <c r="E2684" s="323" t="s">
        <v>13</v>
      </c>
      <c r="F2684" s="323"/>
      <c r="G2684" s="307"/>
      <c r="H2684" s="307"/>
      <c r="I2684" s="330">
        <v>4</v>
      </c>
      <c r="J2684" s="330"/>
      <c r="K2684" s="307" t="s">
        <v>14</v>
      </c>
      <c r="S2684" s="58" t="s">
        <v>41</v>
      </c>
      <c r="T2684" s="58"/>
      <c r="U2684" s="58" t="s">
        <v>42</v>
      </c>
      <c r="V2684" s="58" t="s">
        <v>69</v>
      </c>
      <c r="W2684" s="58"/>
      <c r="X2684" s="58"/>
      <c r="Y2684" s="58"/>
      <c r="Z2684" s="58"/>
      <c r="AA2684" s="58" t="s">
        <v>44</v>
      </c>
      <c r="AB2684" s="58" t="s">
        <v>45</v>
      </c>
      <c r="AC2684" s="58"/>
      <c r="AD2684" s="58" t="s">
        <v>46</v>
      </c>
      <c r="AE2684" s="58" t="s">
        <v>47</v>
      </c>
      <c r="AF2684" s="58" t="s">
        <v>48</v>
      </c>
      <c r="AG2684" s="14"/>
      <c r="AH2684" s="14"/>
      <c r="AI2684" s="14"/>
      <c r="AJ2684" s="14"/>
      <c r="AK2684" s="14"/>
    </row>
    <row r="2685" spans="2:37" x14ac:dyDescent="0.25">
      <c r="B2685" s="312" t="s">
        <v>67</v>
      </c>
      <c r="E2685" s="331"/>
      <c r="F2685" s="331"/>
      <c r="I2685" s="331"/>
      <c r="J2685" s="331"/>
      <c r="S2685" s="307"/>
      <c r="T2685" s="307"/>
      <c r="U2685" s="307" t="s">
        <v>77</v>
      </c>
      <c r="V2685" s="307" t="s">
        <v>81</v>
      </c>
      <c r="W2685" s="307"/>
      <c r="X2685" s="307"/>
      <c r="Y2685" s="307"/>
      <c r="Z2685" s="307"/>
      <c r="AA2685" s="307" t="s">
        <v>92</v>
      </c>
      <c r="AB2685" s="307"/>
      <c r="AC2685" s="307"/>
      <c r="AD2685" s="58"/>
      <c r="AE2685" s="332"/>
      <c r="AF2685" s="332">
        <v>18366</v>
      </c>
      <c r="AG2685" s="14"/>
      <c r="AH2685" s="14"/>
      <c r="AI2685" s="14"/>
      <c r="AJ2685" s="14"/>
      <c r="AK2685" s="14"/>
    </row>
    <row r="2686" spans="2:37" x14ac:dyDescent="0.25">
      <c r="S2686" s="307"/>
      <c r="T2686" s="307"/>
      <c r="U2686" s="307" t="s">
        <v>90</v>
      </c>
      <c r="V2686" s="307" t="s">
        <v>79</v>
      </c>
      <c r="W2686" s="307"/>
      <c r="X2686" s="307"/>
      <c r="Y2686" s="307"/>
      <c r="Z2686" s="307"/>
      <c r="AA2686" s="307"/>
      <c r="AB2686" s="307"/>
      <c r="AC2686" s="307"/>
      <c r="AD2686" s="58"/>
      <c r="AE2686" s="332"/>
      <c r="AF2686" s="332">
        <v>18367</v>
      </c>
      <c r="AG2686" s="14"/>
      <c r="AH2686" s="14"/>
      <c r="AI2686" s="14"/>
      <c r="AJ2686" s="14"/>
      <c r="AK2686" s="14"/>
    </row>
    <row r="2687" spans="2:37" x14ac:dyDescent="0.25">
      <c r="B2687" s="322" t="s">
        <v>18</v>
      </c>
      <c r="C2687" s="325">
        <v>44477</v>
      </c>
      <c r="P2687" s="312" t="s">
        <v>39</v>
      </c>
      <c r="Q2687" s="58" t="s">
        <v>40</v>
      </c>
      <c r="R2687" s="58"/>
      <c r="S2687" s="307"/>
      <c r="T2687" s="307"/>
      <c r="U2687" s="307" t="s">
        <v>87</v>
      </c>
      <c r="V2687" s="307" t="s">
        <v>82</v>
      </c>
      <c r="W2687" s="307"/>
      <c r="X2687" s="307"/>
      <c r="Y2687" s="307"/>
      <c r="Z2687" s="307"/>
      <c r="AA2687" s="307"/>
      <c r="AB2687" s="307"/>
      <c r="AC2687" s="307"/>
      <c r="AD2687" s="58"/>
      <c r="AE2687" s="307"/>
      <c r="AF2687" s="332">
        <v>14723</v>
      </c>
      <c r="AG2687" s="14"/>
      <c r="AH2687" s="14"/>
      <c r="AI2687" s="14"/>
      <c r="AJ2687" s="14"/>
      <c r="AK2687" s="14"/>
    </row>
    <row r="2688" spans="2:37" x14ac:dyDescent="0.25">
      <c r="B2688" s="308" t="s">
        <v>0</v>
      </c>
      <c r="C2688" s="308" t="s">
        <v>1</v>
      </c>
      <c r="D2688" s="308" t="s">
        <v>2</v>
      </c>
      <c r="E2688" s="308" t="s">
        <v>3</v>
      </c>
      <c r="F2688" s="308"/>
      <c r="G2688" s="308" t="s">
        <v>66</v>
      </c>
      <c r="H2688" s="308"/>
      <c r="I2688" s="308" t="s">
        <v>5</v>
      </c>
      <c r="J2688" s="308"/>
      <c r="K2688" s="308" t="s">
        <v>6</v>
      </c>
      <c r="P2688" s="290">
        <v>1</v>
      </c>
      <c r="Q2688" s="307">
        <v>19099</v>
      </c>
      <c r="R2688" s="307"/>
      <c r="S2688" s="307"/>
      <c r="T2688" s="307"/>
      <c r="U2688" s="307"/>
      <c r="V2688" s="307" t="s">
        <v>84</v>
      </c>
      <c r="W2688" s="307"/>
      <c r="X2688" s="307"/>
      <c r="Y2688" s="307"/>
      <c r="Z2688" s="307"/>
      <c r="AA2688" s="307"/>
      <c r="AB2688" s="307"/>
      <c r="AC2688" s="307"/>
      <c r="AD2688" s="58"/>
      <c r="AE2688" s="332" t="s">
        <v>93</v>
      </c>
      <c r="AF2688" s="335" t="s">
        <v>83</v>
      </c>
      <c r="AG2688" s="14"/>
      <c r="AH2688" s="14"/>
      <c r="AI2688" s="14"/>
      <c r="AJ2688" s="14"/>
      <c r="AK2688" s="14"/>
    </row>
    <row r="2689" spans="2:37" x14ac:dyDescent="0.25">
      <c r="B2689" s="307">
        <v>273664</v>
      </c>
      <c r="C2689" s="307">
        <v>1135749</v>
      </c>
      <c r="D2689" s="307" t="s">
        <v>7</v>
      </c>
      <c r="E2689" s="323">
        <v>6060090013</v>
      </c>
      <c r="F2689" s="323"/>
      <c r="G2689" s="307"/>
      <c r="H2689" s="307"/>
      <c r="I2689" s="330">
        <v>3</v>
      </c>
      <c r="J2689" s="330"/>
      <c r="K2689" s="307" t="s">
        <v>8</v>
      </c>
      <c r="L2689" s="312"/>
      <c r="M2689" s="312"/>
      <c r="N2689" s="312"/>
      <c r="O2689" s="312"/>
      <c r="P2689" s="290">
        <f>1+P2688</f>
        <v>2</v>
      </c>
      <c r="Q2689" s="307">
        <v>19100</v>
      </c>
      <c r="R2689" s="307"/>
      <c r="S2689" s="307"/>
      <c r="T2689" s="307"/>
      <c r="U2689" s="307"/>
      <c r="V2689" s="307" t="s">
        <v>86</v>
      </c>
      <c r="W2689" s="307"/>
      <c r="X2689" s="307"/>
      <c r="Y2689" s="307"/>
      <c r="Z2689" s="307"/>
      <c r="AA2689" s="307"/>
      <c r="AB2689" s="307"/>
      <c r="AC2689" s="307"/>
      <c r="AD2689" s="58"/>
      <c r="AE2689" s="307"/>
      <c r="AF2689" s="307"/>
      <c r="AG2689" s="14"/>
      <c r="AH2689" s="14"/>
      <c r="AI2689" s="14"/>
      <c r="AJ2689" s="14"/>
      <c r="AK2689" s="14"/>
    </row>
    <row r="2690" spans="2:37" x14ac:dyDescent="0.25">
      <c r="B2690" s="307">
        <v>273672</v>
      </c>
      <c r="C2690" s="307">
        <v>1135750</v>
      </c>
      <c r="D2690" s="307" t="s">
        <v>9</v>
      </c>
      <c r="E2690" s="323">
        <v>204060000206</v>
      </c>
      <c r="F2690" s="323"/>
      <c r="G2690" s="307"/>
      <c r="H2690" s="307"/>
      <c r="I2690" s="330">
        <v>2</v>
      </c>
      <c r="J2690" s="330"/>
      <c r="K2690" s="307" t="s">
        <v>8</v>
      </c>
      <c r="P2690" s="290">
        <f t="shared" ref="P2690:P2696" si="8">1+P2689</f>
        <v>3</v>
      </c>
      <c r="Q2690" s="307">
        <v>19128</v>
      </c>
      <c r="R2690" s="307"/>
      <c r="S2690" s="307"/>
      <c r="T2690" s="307"/>
      <c r="U2690" s="307"/>
      <c r="V2690" s="307"/>
      <c r="W2690" s="307"/>
      <c r="X2690" s="307"/>
      <c r="Y2690" s="307"/>
      <c r="Z2690" s="307"/>
      <c r="AA2690" s="307"/>
      <c r="AB2690" s="307"/>
      <c r="AC2690" s="307"/>
      <c r="AD2690" s="307"/>
      <c r="AE2690" s="307"/>
      <c r="AF2690" s="307"/>
      <c r="AG2690" s="14"/>
      <c r="AH2690" s="14"/>
      <c r="AI2690" s="14"/>
      <c r="AJ2690" s="14"/>
      <c r="AK2690" s="14"/>
    </row>
    <row r="2691" spans="2:37" x14ac:dyDescent="0.25">
      <c r="B2691" s="307"/>
      <c r="C2691" s="307">
        <v>1135750</v>
      </c>
      <c r="D2691" s="307" t="s">
        <v>9</v>
      </c>
      <c r="E2691" s="323">
        <v>204060000058</v>
      </c>
      <c r="F2691" s="323"/>
      <c r="G2691" s="307"/>
      <c r="H2691" s="307"/>
      <c r="I2691" s="330">
        <v>0</v>
      </c>
      <c r="J2691" s="330"/>
      <c r="K2691" s="307" t="s">
        <v>8</v>
      </c>
      <c r="P2691" s="290">
        <f t="shared" si="8"/>
        <v>4</v>
      </c>
      <c r="Q2691" s="307"/>
      <c r="R2691" s="307"/>
      <c r="S2691" s="307"/>
      <c r="T2691" s="307"/>
      <c r="U2691" s="307"/>
      <c r="V2691" s="307"/>
      <c r="W2691" s="307"/>
      <c r="X2691" s="307"/>
      <c r="Y2691" s="307"/>
      <c r="Z2691" s="307"/>
      <c r="AA2691" s="307"/>
      <c r="AB2691" s="307"/>
      <c r="AC2691" s="307"/>
      <c r="AD2691" s="307"/>
      <c r="AE2691" s="307"/>
      <c r="AF2691" s="307"/>
      <c r="AG2691" s="14"/>
      <c r="AH2691" s="14"/>
      <c r="AI2691" s="14"/>
      <c r="AJ2691" s="14"/>
      <c r="AK2691" s="14"/>
    </row>
    <row r="2692" spans="2:37" x14ac:dyDescent="0.25">
      <c r="B2692" s="307"/>
      <c r="C2692" s="307">
        <v>1290399</v>
      </c>
      <c r="D2692" s="307" t="s">
        <v>35</v>
      </c>
      <c r="E2692" s="323">
        <v>204060000111</v>
      </c>
      <c r="F2692" s="323"/>
      <c r="G2692" s="307"/>
      <c r="H2692" s="307"/>
      <c r="I2692" s="330">
        <v>8</v>
      </c>
      <c r="J2692" s="330"/>
      <c r="K2692" s="307" t="s">
        <v>8</v>
      </c>
      <c r="P2692" s="290">
        <f t="shared" si="8"/>
        <v>5</v>
      </c>
      <c r="Q2692" s="307"/>
      <c r="R2692" s="307"/>
      <c r="S2692" s="307"/>
      <c r="T2692" s="307"/>
      <c r="U2692" s="307"/>
      <c r="V2692" s="307"/>
      <c r="W2692" s="307"/>
      <c r="X2692" s="307"/>
      <c r="Y2692" s="307"/>
      <c r="Z2692" s="307"/>
      <c r="AA2692" s="307"/>
      <c r="AB2692" s="307"/>
      <c r="AC2692" s="307"/>
      <c r="AD2692" s="307"/>
      <c r="AE2692" s="307"/>
      <c r="AF2692" s="307"/>
      <c r="AG2692" s="14"/>
      <c r="AH2692" s="14"/>
      <c r="AI2692" s="14"/>
      <c r="AJ2692" s="14"/>
      <c r="AK2692" s="14"/>
    </row>
    <row r="2693" spans="2:37" x14ac:dyDescent="0.25">
      <c r="B2693" s="307">
        <v>273702</v>
      </c>
      <c r="C2693" s="307">
        <v>1135753</v>
      </c>
      <c r="D2693" s="307" t="s">
        <v>10</v>
      </c>
      <c r="E2693" s="323">
        <v>301090080013</v>
      </c>
      <c r="F2693" s="323"/>
      <c r="G2693" s="307"/>
      <c r="H2693" s="307"/>
      <c r="I2693" s="334">
        <v>3</v>
      </c>
      <c r="J2693" s="334"/>
      <c r="K2693" s="307" t="s">
        <v>8</v>
      </c>
      <c r="P2693" s="290">
        <f t="shared" si="8"/>
        <v>6</v>
      </c>
      <c r="Q2693" s="307"/>
      <c r="R2693" s="307"/>
      <c r="S2693" s="307"/>
      <c r="T2693" s="307"/>
      <c r="U2693" s="307"/>
      <c r="V2693" s="307"/>
      <c r="W2693" s="307"/>
      <c r="X2693" s="307"/>
      <c r="Y2693" s="307"/>
      <c r="Z2693" s="307"/>
      <c r="AA2693" s="307"/>
      <c r="AB2693" s="307"/>
      <c r="AC2693" s="307"/>
      <c r="AD2693" s="307"/>
      <c r="AE2693" s="307"/>
      <c r="AF2693" s="307"/>
      <c r="AG2693" s="14"/>
      <c r="AH2693" s="14"/>
      <c r="AI2693" s="14"/>
      <c r="AJ2693" s="14"/>
      <c r="AK2693" s="14"/>
    </row>
    <row r="2694" spans="2:37" x14ac:dyDescent="0.25">
      <c r="B2694" s="307">
        <v>273698</v>
      </c>
      <c r="C2694" s="307">
        <v>1135752</v>
      </c>
      <c r="D2694" s="307" t="s">
        <v>36</v>
      </c>
      <c r="E2694" s="323">
        <v>701040120042</v>
      </c>
      <c r="F2694" s="323"/>
      <c r="G2694" s="307"/>
      <c r="H2694" s="307"/>
      <c r="I2694" s="330">
        <v>0</v>
      </c>
      <c r="J2694" s="330"/>
      <c r="K2694" s="307" t="s">
        <v>8</v>
      </c>
      <c r="P2694" s="290">
        <f t="shared" si="8"/>
        <v>7</v>
      </c>
      <c r="Q2694" s="307"/>
      <c r="R2694" s="307"/>
      <c r="S2694" s="307"/>
      <c r="T2694" s="307"/>
      <c r="U2694" s="307"/>
      <c r="V2694" s="307"/>
      <c r="W2694" s="307"/>
      <c r="X2694" s="307"/>
      <c r="Y2694" s="307"/>
      <c r="Z2694" s="307"/>
      <c r="AA2694" s="307"/>
      <c r="AB2694" s="307"/>
      <c r="AC2694" s="307"/>
      <c r="AD2694" s="307"/>
      <c r="AE2694" s="307"/>
      <c r="AF2694" s="307"/>
      <c r="AG2694" s="14"/>
      <c r="AH2694" s="14"/>
      <c r="AI2694" s="14"/>
      <c r="AJ2694" s="14"/>
      <c r="AK2694" s="14"/>
    </row>
    <row r="2695" spans="2:37" x14ac:dyDescent="0.25">
      <c r="B2695" s="307">
        <v>273698</v>
      </c>
      <c r="C2695" s="307">
        <v>1135752</v>
      </c>
      <c r="D2695" s="307" t="s">
        <v>11</v>
      </c>
      <c r="E2695" s="323">
        <v>701040120047</v>
      </c>
      <c r="F2695" s="323"/>
      <c r="G2695" s="307"/>
      <c r="H2695" s="307"/>
      <c r="I2695" s="330">
        <f>1+5</f>
        <v>6</v>
      </c>
      <c r="J2695" s="330"/>
      <c r="K2695" s="307" t="s">
        <v>8</v>
      </c>
      <c r="P2695" s="290">
        <f t="shared" si="8"/>
        <v>8</v>
      </c>
      <c r="Q2695" s="307"/>
      <c r="R2695" s="307"/>
      <c r="AG2695" s="14"/>
      <c r="AH2695" s="14"/>
      <c r="AI2695" s="14"/>
      <c r="AJ2695" s="14"/>
      <c r="AK2695" s="14"/>
    </row>
    <row r="2696" spans="2:37" ht="14.25" customHeight="1" x14ac:dyDescent="0.25">
      <c r="B2696" s="307">
        <v>273680</v>
      </c>
      <c r="C2696" s="307">
        <v>1135751</v>
      </c>
      <c r="D2696" s="307" t="s">
        <v>88</v>
      </c>
      <c r="E2696" s="323" t="s">
        <v>89</v>
      </c>
      <c r="F2696" s="323"/>
      <c r="G2696" s="307"/>
      <c r="H2696" s="307"/>
      <c r="I2696" s="330">
        <v>0</v>
      </c>
      <c r="J2696" s="330"/>
      <c r="K2696" s="307" t="s">
        <v>14</v>
      </c>
      <c r="P2696" s="290">
        <f t="shared" si="8"/>
        <v>9</v>
      </c>
      <c r="Q2696" s="307"/>
      <c r="R2696" s="307"/>
      <c r="S2696" s="322"/>
      <c r="T2696" s="322"/>
      <c r="U2696" s="322"/>
      <c r="V2696" s="322"/>
      <c r="W2696" s="322"/>
      <c r="X2696" s="322"/>
      <c r="Y2696" s="322"/>
      <c r="Z2696" s="322"/>
      <c r="AG2696" s="14"/>
      <c r="AH2696" s="14"/>
      <c r="AI2696" s="14"/>
      <c r="AJ2696" s="14"/>
      <c r="AK2696" s="14"/>
    </row>
    <row r="2697" spans="2:37" x14ac:dyDescent="0.25">
      <c r="B2697" s="307">
        <v>273680</v>
      </c>
      <c r="C2697" s="307">
        <v>1135751</v>
      </c>
      <c r="D2697" s="307" t="s">
        <v>12</v>
      </c>
      <c r="E2697" s="323" t="s">
        <v>13</v>
      </c>
      <c r="F2697" s="323"/>
      <c r="G2697" s="307"/>
      <c r="H2697" s="307"/>
      <c r="I2697" s="330">
        <v>9</v>
      </c>
      <c r="J2697" s="330"/>
      <c r="K2697" s="307" t="s">
        <v>14</v>
      </c>
      <c r="P2697" s="290">
        <v>10</v>
      </c>
      <c r="Q2697" s="307"/>
      <c r="R2697" s="307"/>
      <c r="S2697" s="58" t="s">
        <v>41</v>
      </c>
      <c r="T2697" s="58"/>
      <c r="U2697" s="58" t="s">
        <v>42</v>
      </c>
      <c r="V2697" s="58" t="s">
        <v>69</v>
      </c>
      <c r="W2697" s="58"/>
      <c r="X2697" s="58"/>
      <c r="Y2697" s="58"/>
      <c r="Z2697" s="58"/>
      <c r="AA2697" s="58" t="s">
        <v>44</v>
      </c>
      <c r="AB2697" s="58" t="s">
        <v>45</v>
      </c>
      <c r="AC2697" s="58"/>
      <c r="AD2697" s="58" t="s">
        <v>46</v>
      </c>
      <c r="AE2697" s="58" t="s">
        <v>47</v>
      </c>
      <c r="AF2697" s="58" t="s">
        <v>48</v>
      </c>
      <c r="AG2697" s="14"/>
      <c r="AH2697" s="14"/>
      <c r="AI2697" s="14"/>
      <c r="AJ2697" s="14"/>
      <c r="AK2697" s="14"/>
    </row>
    <row r="2698" spans="2:37" x14ac:dyDescent="0.25">
      <c r="B2698" s="312" t="s">
        <v>67</v>
      </c>
      <c r="E2698" s="331"/>
      <c r="F2698" s="331"/>
      <c r="I2698" s="331"/>
      <c r="J2698" s="331"/>
      <c r="Q2698" s="290">
        <v>3</v>
      </c>
      <c r="S2698" s="307"/>
      <c r="T2698" s="307"/>
      <c r="U2698" s="307" t="s">
        <v>77</v>
      </c>
      <c r="V2698" s="307" t="s">
        <v>81</v>
      </c>
      <c r="W2698" s="307"/>
      <c r="X2698" s="307"/>
      <c r="Y2698" s="307"/>
      <c r="Z2698" s="307"/>
      <c r="AA2698" s="307" t="s">
        <v>92</v>
      </c>
      <c r="AB2698" s="307"/>
      <c r="AC2698" s="307"/>
      <c r="AD2698" s="58"/>
      <c r="AE2698" s="332"/>
      <c r="AF2698" s="332">
        <v>18366</v>
      </c>
      <c r="AG2698" s="14"/>
      <c r="AH2698" s="14"/>
      <c r="AI2698" s="14"/>
      <c r="AJ2698" s="14"/>
      <c r="AK2698" s="14"/>
    </row>
    <row r="2699" spans="2:37" x14ac:dyDescent="0.25">
      <c r="B2699" s="345"/>
      <c r="C2699" s="312" t="s">
        <v>91</v>
      </c>
      <c r="E2699" s="331"/>
      <c r="F2699" s="331"/>
      <c r="I2699" s="331"/>
      <c r="J2699" s="331"/>
      <c r="S2699" s="307"/>
      <c r="T2699" s="307"/>
      <c r="U2699" s="307" t="s">
        <v>90</v>
      </c>
      <c r="V2699" s="307" t="s">
        <v>79</v>
      </c>
      <c r="W2699" s="307"/>
      <c r="X2699" s="307"/>
      <c r="Y2699" s="307"/>
      <c r="Z2699" s="307"/>
      <c r="AA2699" s="307"/>
      <c r="AB2699" s="307"/>
      <c r="AC2699" s="307"/>
      <c r="AD2699" s="58"/>
      <c r="AE2699" s="332"/>
      <c r="AF2699" s="332">
        <v>18367</v>
      </c>
      <c r="AG2699" s="14"/>
      <c r="AH2699" s="14"/>
      <c r="AI2699" s="14"/>
      <c r="AJ2699" s="14"/>
      <c r="AK2699" s="14"/>
    </row>
    <row r="2700" spans="2:37" x14ac:dyDescent="0.25">
      <c r="P2700" s="312" t="s">
        <v>39</v>
      </c>
      <c r="Q2700" s="58" t="s">
        <v>40</v>
      </c>
      <c r="R2700" s="58"/>
      <c r="S2700" s="307"/>
      <c r="T2700" s="307"/>
      <c r="U2700" s="307" t="s">
        <v>87</v>
      </c>
      <c r="V2700" s="307" t="s">
        <v>82</v>
      </c>
      <c r="W2700" s="307"/>
      <c r="X2700" s="307"/>
      <c r="Y2700" s="307"/>
      <c r="Z2700" s="307"/>
      <c r="AA2700" s="307"/>
      <c r="AB2700" s="307"/>
      <c r="AC2700" s="307"/>
      <c r="AD2700" s="58"/>
      <c r="AE2700" s="307"/>
      <c r="AF2700" s="332">
        <v>14723</v>
      </c>
      <c r="AG2700" s="14"/>
      <c r="AH2700" s="14"/>
      <c r="AI2700" s="14"/>
      <c r="AJ2700" s="14"/>
      <c r="AK2700" s="14"/>
    </row>
    <row r="2701" spans="2:37" x14ac:dyDescent="0.25">
      <c r="B2701" s="322" t="s">
        <v>18</v>
      </c>
      <c r="C2701" s="325">
        <v>44468</v>
      </c>
      <c r="P2701" s="290">
        <v>1</v>
      </c>
      <c r="Q2701" s="307">
        <v>18864</v>
      </c>
      <c r="R2701" s="307"/>
      <c r="S2701" s="307"/>
      <c r="T2701" s="307"/>
      <c r="U2701" s="307"/>
      <c r="V2701" s="307" t="s">
        <v>84</v>
      </c>
      <c r="W2701" s="307"/>
      <c r="X2701" s="307"/>
      <c r="Y2701" s="307"/>
      <c r="Z2701" s="307"/>
      <c r="AA2701" s="307"/>
      <c r="AB2701" s="307"/>
      <c r="AC2701" s="307"/>
      <c r="AD2701" s="58"/>
      <c r="AE2701" s="332" t="s">
        <v>93</v>
      </c>
      <c r="AF2701" s="335" t="s">
        <v>83</v>
      </c>
      <c r="AG2701" s="14"/>
      <c r="AH2701" s="14"/>
      <c r="AI2701" s="14"/>
      <c r="AJ2701" s="14"/>
      <c r="AK2701" s="14"/>
    </row>
    <row r="2702" spans="2:37" x14ac:dyDescent="0.25">
      <c r="B2702" s="308" t="s">
        <v>0</v>
      </c>
      <c r="C2702" s="308" t="s">
        <v>1</v>
      </c>
      <c r="D2702" s="308" t="s">
        <v>2</v>
      </c>
      <c r="E2702" s="308" t="s">
        <v>3</v>
      </c>
      <c r="F2702" s="308"/>
      <c r="G2702" s="308" t="s">
        <v>66</v>
      </c>
      <c r="H2702" s="308"/>
      <c r="I2702" s="308" t="s">
        <v>5</v>
      </c>
      <c r="J2702" s="308"/>
      <c r="K2702" s="308" t="s">
        <v>6</v>
      </c>
      <c r="P2702" s="290">
        <f>1+P2701</f>
        <v>2</v>
      </c>
      <c r="Q2702" s="307">
        <v>18863</v>
      </c>
      <c r="R2702" s="307"/>
      <c r="S2702" s="307"/>
      <c r="T2702" s="307"/>
      <c r="U2702" s="307"/>
      <c r="V2702" s="307" t="s">
        <v>86</v>
      </c>
      <c r="W2702" s="307"/>
      <c r="X2702" s="307"/>
      <c r="Y2702" s="307"/>
      <c r="Z2702" s="307"/>
      <c r="AA2702" s="307"/>
      <c r="AB2702" s="307"/>
      <c r="AC2702" s="307"/>
      <c r="AD2702" s="58"/>
      <c r="AE2702" s="307"/>
      <c r="AF2702" s="307"/>
      <c r="AG2702" s="14"/>
      <c r="AH2702" s="14"/>
      <c r="AI2702" s="14"/>
      <c r="AJ2702" s="14"/>
      <c r="AK2702" s="14"/>
    </row>
    <row r="2703" spans="2:37" x14ac:dyDescent="0.25">
      <c r="B2703" s="307">
        <v>273664</v>
      </c>
      <c r="C2703" s="307">
        <v>1135749</v>
      </c>
      <c r="D2703" s="307" t="s">
        <v>7</v>
      </c>
      <c r="E2703" s="323">
        <v>6060090013</v>
      </c>
      <c r="F2703" s="323"/>
      <c r="G2703" s="307"/>
      <c r="H2703" s="307"/>
      <c r="I2703" s="336">
        <v>3</v>
      </c>
      <c r="J2703" s="336"/>
      <c r="K2703" s="307" t="s">
        <v>8</v>
      </c>
      <c r="L2703" s="312"/>
      <c r="M2703" s="312"/>
      <c r="N2703" s="312"/>
      <c r="O2703" s="312"/>
      <c r="P2703" s="290">
        <f t="shared" ref="P2703:P2709" si="9">1+P2702</f>
        <v>3</v>
      </c>
      <c r="Q2703" s="307">
        <v>18862</v>
      </c>
      <c r="R2703" s="307"/>
      <c r="S2703" s="307"/>
      <c r="T2703" s="307"/>
      <c r="U2703" s="307"/>
      <c r="V2703" s="307"/>
      <c r="W2703" s="307"/>
      <c r="X2703" s="307"/>
      <c r="Y2703" s="307"/>
      <c r="Z2703" s="307"/>
      <c r="AA2703" s="307"/>
      <c r="AB2703" s="307"/>
      <c r="AC2703" s="307"/>
      <c r="AD2703" s="307"/>
      <c r="AE2703" s="307"/>
      <c r="AF2703" s="307"/>
      <c r="AG2703" s="14"/>
      <c r="AH2703" s="14"/>
      <c r="AI2703" s="14"/>
      <c r="AJ2703" s="14"/>
      <c r="AK2703" s="14"/>
    </row>
    <row r="2704" spans="2:37" x14ac:dyDescent="0.25">
      <c r="B2704" s="307">
        <v>273672</v>
      </c>
      <c r="C2704" s="307">
        <v>1135750</v>
      </c>
      <c r="D2704" s="307" t="s">
        <v>9</v>
      </c>
      <c r="E2704" s="323">
        <v>204060000206</v>
      </c>
      <c r="F2704" s="323"/>
      <c r="G2704" s="307"/>
      <c r="H2704" s="307"/>
      <c r="I2704" s="336">
        <v>2</v>
      </c>
      <c r="J2704" s="336"/>
      <c r="K2704" s="307" t="s">
        <v>8</v>
      </c>
      <c r="P2704" s="290">
        <f t="shared" si="9"/>
        <v>4</v>
      </c>
      <c r="Q2704" s="307">
        <v>19099</v>
      </c>
      <c r="R2704" s="307"/>
      <c r="S2704" s="307"/>
      <c r="T2704" s="307"/>
      <c r="U2704" s="307"/>
      <c r="V2704" s="307"/>
      <c r="W2704" s="307"/>
      <c r="X2704" s="307"/>
      <c r="Y2704" s="307"/>
      <c r="Z2704" s="307"/>
      <c r="AA2704" s="307"/>
      <c r="AB2704" s="307"/>
      <c r="AC2704" s="307"/>
      <c r="AD2704" s="307"/>
      <c r="AE2704" s="307"/>
      <c r="AF2704" s="307"/>
      <c r="AG2704" s="14"/>
      <c r="AH2704" s="14"/>
      <c r="AI2704" s="14"/>
      <c r="AJ2704" s="14"/>
      <c r="AK2704" s="14"/>
    </row>
    <row r="2705" spans="2:37" x14ac:dyDescent="0.25">
      <c r="B2705" s="307"/>
      <c r="C2705" s="307">
        <v>1135750</v>
      </c>
      <c r="D2705" s="307" t="s">
        <v>9</v>
      </c>
      <c r="E2705" s="323">
        <v>204060000058</v>
      </c>
      <c r="F2705" s="323"/>
      <c r="G2705" s="307"/>
      <c r="H2705" s="307"/>
      <c r="I2705" s="336">
        <v>0</v>
      </c>
      <c r="J2705" s="336"/>
      <c r="K2705" s="307" t="s">
        <v>8</v>
      </c>
      <c r="P2705" s="290">
        <f t="shared" si="9"/>
        <v>5</v>
      </c>
      <c r="Q2705" s="307">
        <v>19100</v>
      </c>
      <c r="R2705" s="307"/>
      <c r="S2705" s="307"/>
      <c r="T2705" s="307"/>
      <c r="U2705" s="307"/>
      <c r="V2705" s="307"/>
      <c r="W2705" s="307"/>
      <c r="X2705" s="307"/>
      <c r="Y2705" s="307"/>
      <c r="Z2705" s="307"/>
      <c r="AA2705" s="307"/>
      <c r="AB2705" s="307"/>
      <c r="AC2705" s="307"/>
      <c r="AD2705" s="307"/>
      <c r="AE2705" s="307"/>
      <c r="AF2705" s="307"/>
      <c r="AG2705" s="14"/>
      <c r="AH2705" s="14"/>
      <c r="AI2705" s="14"/>
      <c r="AJ2705" s="14"/>
      <c r="AK2705" s="14"/>
    </row>
    <row r="2706" spans="2:37" x14ac:dyDescent="0.25">
      <c r="B2706" s="307"/>
      <c r="C2706" s="307">
        <v>1290399</v>
      </c>
      <c r="D2706" s="307" t="s">
        <v>35</v>
      </c>
      <c r="E2706" s="323">
        <v>204060000111</v>
      </c>
      <c r="F2706" s="323"/>
      <c r="G2706" s="307"/>
      <c r="H2706" s="307"/>
      <c r="I2706" s="336">
        <v>8</v>
      </c>
      <c r="J2706" s="336"/>
      <c r="K2706" s="307" t="s">
        <v>8</v>
      </c>
      <c r="P2706" s="290">
        <f t="shared" si="9"/>
        <v>6</v>
      </c>
      <c r="Q2706" s="307"/>
      <c r="R2706" s="307"/>
      <c r="S2706" s="307"/>
      <c r="T2706" s="307"/>
      <c r="U2706" s="307"/>
      <c r="V2706" s="307"/>
      <c r="W2706" s="307"/>
      <c r="X2706" s="307"/>
      <c r="Y2706" s="307"/>
      <c r="Z2706" s="307"/>
      <c r="AA2706" s="307"/>
      <c r="AB2706" s="307"/>
      <c r="AC2706" s="307"/>
      <c r="AD2706" s="307"/>
      <c r="AE2706" s="307"/>
      <c r="AF2706" s="307"/>
      <c r="AG2706" s="14"/>
      <c r="AH2706" s="14"/>
      <c r="AI2706" s="14"/>
      <c r="AJ2706" s="14"/>
      <c r="AK2706" s="14"/>
    </row>
    <row r="2707" spans="2:37" x14ac:dyDescent="0.25">
      <c r="B2707" s="307">
        <v>273702</v>
      </c>
      <c r="C2707" s="307">
        <v>1135753</v>
      </c>
      <c r="D2707" s="307" t="s">
        <v>10</v>
      </c>
      <c r="E2707" s="323">
        <v>301090080013</v>
      </c>
      <c r="F2707" s="323"/>
      <c r="G2707" s="307"/>
      <c r="H2707" s="307"/>
      <c r="I2707" s="336">
        <v>4</v>
      </c>
      <c r="J2707" s="336"/>
      <c r="K2707" s="307" t="s">
        <v>8</v>
      </c>
      <c r="P2707" s="290">
        <f t="shared" si="9"/>
        <v>7</v>
      </c>
      <c r="Q2707" s="307"/>
      <c r="R2707" s="307"/>
      <c r="S2707" s="307"/>
      <c r="T2707" s="307"/>
      <c r="U2707" s="307"/>
      <c r="V2707" s="307"/>
      <c r="W2707" s="307"/>
      <c r="X2707" s="307"/>
      <c r="Y2707" s="307"/>
      <c r="Z2707" s="307"/>
      <c r="AA2707" s="307"/>
      <c r="AB2707" s="307"/>
      <c r="AC2707" s="307"/>
      <c r="AD2707" s="307"/>
      <c r="AE2707" s="307"/>
      <c r="AF2707" s="307"/>
      <c r="AG2707" s="14"/>
      <c r="AH2707" s="14"/>
      <c r="AI2707" s="14"/>
      <c r="AJ2707" s="14"/>
      <c r="AK2707" s="14"/>
    </row>
    <row r="2708" spans="2:37" x14ac:dyDescent="0.25">
      <c r="B2708" s="307">
        <v>273698</v>
      </c>
      <c r="C2708" s="307">
        <v>1135752</v>
      </c>
      <c r="D2708" s="307" t="s">
        <v>36</v>
      </c>
      <c r="E2708" s="323">
        <v>701040120042</v>
      </c>
      <c r="F2708" s="323"/>
      <c r="G2708" s="307"/>
      <c r="H2708" s="307"/>
      <c r="I2708" s="336">
        <v>0</v>
      </c>
      <c r="J2708" s="336"/>
      <c r="K2708" s="307" t="s">
        <v>8</v>
      </c>
      <c r="P2708" s="290">
        <f t="shared" si="9"/>
        <v>8</v>
      </c>
      <c r="Q2708" s="307"/>
      <c r="R2708" s="307"/>
      <c r="AG2708" s="14"/>
      <c r="AH2708" s="14"/>
      <c r="AI2708" s="14"/>
      <c r="AJ2708" s="14"/>
      <c r="AK2708" s="14"/>
    </row>
    <row r="2709" spans="2:37" x14ac:dyDescent="0.25">
      <c r="B2709" s="307">
        <v>273698</v>
      </c>
      <c r="C2709" s="307">
        <v>1135752</v>
      </c>
      <c r="D2709" s="307" t="s">
        <v>11</v>
      </c>
      <c r="E2709" s="323">
        <v>701040120047</v>
      </c>
      <c r="F2709" s="323"/>
      <c r="G2709" s="307"/>
      <c r="H2709" s="307"/>
      <c r="I2709" s="336">
        <f>1+5</f>
        <v>6</v>
      </c>
      <c r="J2709" s="336"/>
      <c r="K2709" s="307" t="s">
        <v>8</v>
      </c>
      <c r="P2709" s="290">
        <f t="shared" si="9"/>
        <v>9</v>
      </c>
      <c r="Q2709" s="307"/>
      <c r="R2709" s="307"/>
      <c r="AG2709" s="14"/>
      <c r="AH2709" s="14"/>
      <c r="AI2709" s="14"/>
      <c r="AJ2709" s="14"/>
      <c r="AK2709" s="14"/>
    </row>
    <row r="2710" spans="2:37" ht="14.25" customHeight="1" x14ac:dyDescent="0.25">
      <c r="B2710" s="307">
        <v>273680</v>
      </c>
      <c r="C2710" s="307">
        <v>1135751</v>
      </c>
      <c r="D2710" s="307" t="s">
        <v>88</v>
      </c>
      <c r="E2710" s="323" t="s">
        <v>89</v>
      </c>
      <c r="F2710" s="323"/>
      <c r="G2710" s="307"/>
      <c r="H2710" s="307"/>
      <c r="I2710" s="336">
        <v>0</v>
      </c>
      <c r="J2710" s="336"/>
      <c r="K2710" s="307" t="s">
        <v>14</v>
      </c>
      <c r="P2710" s="290">
        <v>10</v>
      </c>
      <c r="Q2710" s="307"/>
      <c r="R2710" s="307"/>
      <c r="S2710" s="322"/>
      <c r="T2710" s="322"/>
      <c r="U2710" s="322"/>
      <c r="V2710" s="322"/>
      <c r="W2710" s="322"/>
      <c r="X2710" s="322"/>
      <c r="Y2710" s="322"/>
      <c r="Z2710" s="322"/>
      <c r="AG2710" s="14"/>
      <c r="AH2710" s="14"/>
      <c r="AI2710" s="14"/>
      <c r="AJ2710" s="14"/>
      <c r="AK2710" s="14"/>
    </row>
    <row r="2711" spans="2:37" x14ac:dyDescent="0.25">
      <c r="B2711" s="307">
        <v>273680</v>
      </c>
      <c r="C2711" s="307">
        <v>1135751</v>
      </c>
      <c r="D2711" s="307" t="s">
        <v>12</v>
      </c>
      <c r="E2711" s="323" t="s">
        <v>13</v>
      </c>
      <c r="F2711" s="323"/>
      <c r="G2711" s="307"/>
      <c r="H2711" s="307"/>
      <c r="I2711" s="336">
        <v>9</v>
      </c>
      <c r="J2711" s="336"/>
      <c r="K2711" s="307" t="s">
        <v>14</v>
      </c>
      <c r="S2711" s="58" t="s">
        <v>41</v>
      </c>
      <c r="T2711" s="58"/>
      <c r="U2711" s="58" t="s">
        <v>42</v>
      </c>
      <c r="V2711" s="58" t="s">
        <v>69</v>
      </c>
      <c r="W2711" s="58"/>
      <c r="X2711" s="58"/>
      <c r="Y2711" s="58"/>
      <c r="Z2711" s="58"/>
      <c r="AA2711" s="58" t="s">
        <v>44</v>
      </c>
      <c r="AB2711" s="58" t="s">
        <v>45</v>
      </c>
      <c r="AC2711" s="58"/>
      <c r="AD2711" s="58" t="s">
        <v>46</v>
      </c>
      <c r="AE2711" s="58" t="s">
        <v>47</v>
      </c>
      <c r="AF2711" s="58" t="s">
        <v>48</v>
      </c>
      <c r="AG2711" s="14"/>
      <c r="AH2711" s="14"/>
      <c r="AI2711" s="14"/>
      <c r="AJ2711" s="14"/>
      <c r="AK2711" s="14"/>
    </row>
    <row r="2712" spans="2:37" x14ac:dyDescent="0.25">
      <c r="B2712" s="312" t="s">
        <v>67</v>
      </c>
      <c r="E2712" s="331"/>
      <c r="F2712" s="331"/>
      <c r="I2712" s="331"/>
      <c r="J2712" s="331"/>
      <c r="S2712" s="307" t="s">
        <v>94</v>
      </c>
      <c r="T2712" s="307"/>
      <c r="U2712" s="307"/>
      <c r="V2712" s="307"/>
      <c r="W2712" s="307"/>
      <c r="X2712" s="307"/>
      <c r="Y2712" s="307"/>
      <c r="Z2712" s="307"/>
      <c r="AA2712" s="307" t="s">
        <v>95</v>
      </c>
      <c r="AB2712" s="307"/>
      <c r="AC2712" s="307"/>
      <c r="AD2712" s="58"/>
      <c r="AE2712" s="332"/>
      <c r="AF2712" s="332">
        <v>18366</v>
      </c>
      <c r="AG2712" s="14"/>
      <c r="AH2712" s="14"/>
      <c r="AI2712" s="14"/>
      <c r="AJ2712" s="14"/>
      <c r="AK2712" s="14"/>
    </row>
    <row r="2713" spans="2:37" x14ac:dyDescent="0.25">
      <c r="P2713" s="312" t="s">
        <v>39</v>
      </c>
      <c r="Q2713" s="58" t="s">
        <v>40</v>
      </c>
      <c r="R2713" s="58"/>
      <c r="S2713" s="307" t="s">
        <v>96</v>
      </c>
      <c r="T2713" s="307"/>
      <c r="U2713" s="307"/>
      <c r="V2713" s="307"/>
      <c r="W2713" s="307"/>
      <c r="X2713" s="307"/>
      <c r="Y2713" s="307"/>
      <c r="Z2713" s="307"/>
      <c r="AA2713" s="307"/>
      <c r="AB2713" s="307"/>
      <c r="AC2713" s="307"/>
      <c r="AD2713" s="58"/>
      <c r="AE2713" s="332"/>
      <c r="AF2713" s="332">
        <v>18367</v>
      </c>
      <c r="AG2713" s="14"/>
      <c r="AH2713" s="14"/>
      <c r="AI2713" s="14"/>
      <c r="AJ2713" s="14"/>
      <c r="AK2713" s="14"/>
    </row>
    <row r="2714" spans="2:37" x14ac:dyDescent="0.25">
      <c r="B2714" s="322" t="s">
        <v>18</v>
      </c>
      <c r="C2714" s="325">
        <v>44455</v>
      </c>
      <c r="P2714" s="290">
        <v>1</v>
      </c>
      <c r="Q2714" s="307">
        <v>18864</v>
      </c>
      <c r="R2714" s="307"/>
      <c r="S2714" s="307"/>
      <c r="T2714" s="307"/>
      <c r="U2714" s="307"/>
      <c r="V2714" s="307"/>
      <c r="W2714" s="307"/>
      <c r="X2714" s="307"/>
      <c r="Y2714" s="307"/>
      <c r="Z2714" s="307"/>
      <c r="AA2714" s="307"/>
      <c r="AB2714" s="307"/>
      <c r="AC2714" s="307"/>
      <c r="AD2714" s="58"/>
      <c r="AE2714" s="307"/>
      <c r="AF2714" s="332">
        <v>14723</v>
      </c>
      <c r="AG2714" s="14"/>
      <c r="AH2714" s="14"/>
      <c r="AI2714" s="14"/>
      <c r="AJ2714" s="14"/>
      <c r="AK2714" s="14"/>
    </row>
    <row r="2715" spans="2:37" x14ac:dyDescent="0.25">
      <c r="B2715" s="308" t="s">
        <v>0</v>
      </c>
      <c r="C2715" s="308" t="s">
        <v>1</v>
      </c>
      <c r="D2715" s="308" t="s">
        <v>2</v>
      </c>
      <c r="E2715" s="308" t="s">
        <v>3</v>
      </c>
      <c r="F2715" s="308"/>
      <c r="G2715" s="308" t="s">
        <v>66</v>
      </c>
      <c r="H2715" s="308"/>
      <c r="I2715" s="308" t="s">
        <v>5</v>
      </c>
      <c r="J2715" s="308"/>
      <c r="K2715" s="308" t="s">
        <v>6</v>
      </c>
      <c r="P2715" s="290">
        <f>1+P2714</f>
        <v>2</v>
      </c>
      <c r="Q2715" s="307">
        <v>18863</v>
      </c>
      <c r="R2715" s="307"/>
      <c r="S2715" s="307"/>
      <c r="T2715" s="307"/>
      <c r="U2715" s="307"/>
      <c r="V2715" s="307"/>
      <c r="W2715" s="307"/>
      <c r="X2715" s="307"/>
      <c r="Y2715" s="307"/>
      <c r="Z2715" s="307"/>
      <c r="AA2715" s="307"/>
      <c r="AB2715" s="307"/>
      <c r="AC2715" s="307"/>
      <c r="AD2715" s="58"/>
      <c r="AE2715" s="332">
        <v>212</v>
      </c>
      <c r="AF2715" s="335" t="s">
        <v>83</v>
      </c>
      <c r="AG2715" s="14"/>
      <c r="AH2715" s="14"/>
      <c r="AI2715" s="14"/>
      <c r="AJ2715" s="14"/>
      <c r="AK2715" s="14"/>
    </row>
    <row r="2716" spans="2:37" x14ac:dyDescent="0.25">
      <c r="B2716" s="307">
        <v>273664</v>
      </c>
      <c r="C2716" s="307">
        <v>1135749</v>
      </c>
      <c r="D2716" s="307" t="s">
        <v>7</v>
      </c>
      <c r="E2716" s="323">
        <v>6060090013</v>
      </c>
      <c r="F2716" s="323"/>
      <c r="G2716" s="307"/>
      <c r="H2716" s="307"/>
      <c r="I2716" s="336">
        <v>3</v>
      </c>
      <c r="J2716" s="336"/>
      <c r="K2716" s="307" t="s">
        <v>8</v>
      </c>
      <c r="L2716" s="312"/>
      <c r="M2716" s="312"/>
      <c r="N2716" s="312"/>
      <c r="O2716" s="312"/>
      <c r="P2716" s="290">
        <f t="shared" ref="P2716:P2722" si="10">1+P2715</f>
        <v>3</v>
      </c>
      <c r="Q2716" s="307">
        <v>18862</v>
      </c>
      <c r="R2716" s="307"/>
      <c r="S2716" s="307"/>
      <c r="T2716" s="307"/>
      <c r="U2716" s="307"/>
      <c r="V2716" s="307"/>
      <c r="W2716" s="307"/>
      <c r="X2716" s="307"/>
      <c r="Y2716" s="307"/>
      <c r="Z2716" s="307"/>
      <c r="AA2716" s="307"/>
      <c r="AB2716" s="307"/>
      <c r="AC2716" s="307"/>
      <c r="AD2716" s="58"/>
      <c r="AE2716" s="307"/>
      <c r="AF2716" s="307"/>
      <c r="AG2716" s="14"/>
      <c r="AH2716" s="14"/>
      <c r="AI2716" s="14"/>
      <c r="AJ2716" s="14"/>
      <c r="AK2716" s="14"/>
    </row>
    <row r="2717" spans="2:37" x14ac:dyDescent="0.25">
      <c r="B2717" s="307">
        <v>273672</v>
      </c>
      <c r="C2717" s="307">
        <v>1135750</v>
      </c>
      <c r="D2717" s="307" t="s">
        <v>9</v>
      </c>
      <c r="E2717" s="323">
        <v>204060000206</v>
      </c>
      <c r="F2717" s="323"/>
      <c r="G2717" s="307"/>
      <c r="H2717" s="307"/>
      <c r="I2717" s="336">
        <v>0</v>
      </c>
      <c r="J2717" s="336"/>
      <c r="K2717" s="307" t="s">
        <v>8</v>
      </c>
      <c r="P2717" s="290">
        <f t="shared" si="10"/>
        <v>4</v>
      </c>
      <c r="Q2717" s="307">
        <v>19099</v>
      </c>
      <c r="R2717" s="307"/>
      <c r="S2717" s="307"/>
      <c r="T2717" s="307"/>
      <c r="U2717" s="307"/>
      <c r="V2717" s="307"/>
      <c r="W2717" s="307"/>
      <c r="X2717" s="307"/>
      <c r="Y2717" s="307"/>
      <c r="Z2717" s="307"/>
      <c r="AA2717" s="307"/>
      <c r="AB2717" s="307"/>
      <c r="AC2717" s="307"/>
      <c r="AD2717" s="307"/>
      <c r="AE2717" s="307"/>
      <c r="AF2717" s="307"/>
      <c r="AG2717" s="14"/>
      <c r="AH2717" s="14"/>
      <c r="AI2717" s="14"/>
      <c r="AJ2717" s="14"/>
      <c r="AK2717" s="14"/>
    </row>
    <row r="2718" spans="2:37" x14ac:dyDescent="0.25">
      <c r="B2718" s="307"/>
      <c r="C2718" s="307">
        <v>1135750</v>
      </c>
      <c r="D2718" s="307" t="s">
        <v>9</v>
      </c>
      <c r="E2718" s="323">
        <v>204060000058</v>
      </c>
      <c r="F2718" s="323"/>
      <c r="G2718" s="307"/>
      <c r="H2718" s="307"/>
      <c r="I2718" s="336">
        <v>12</v>
      </c>
      <c r="J2718" s="336"/>
      <c r="K2718" s="307" t="s">
        <v>8</v>
      </c>
      <c r="P2718" s="290">
        <f t="shared" si="10"/>
        <v>5</v>
      </c>
      <c r="Q2718" s="307">
        <v>19100</v>
      </c>
      <c r="R2718" s="307"/>
      <c r="S2718" s="307"/>
      <c r="T2718" s="307"/>
      <c r="U2718" s="307"/>
      <c r="V2718" s="307"/>
      <c r="W2718" s="307"/>
      <c r="X2718" s="307"/>
      <c r="Y2718" s="307"/>
      <c r="Z2718" s="307"/>
      <c r="AA2718" s="307"/>
      <c r="AB2718" s="307"/>
      <c r="AC2718" s="307"/>
      <c r="AD2718" s="307"/>
      <c r="AE2718" s="307"/>
      <c r="AF2718" s="307"/>
      <c r="AG2718" s="14"/>
      <c r="AH2718" s="14"/>
      <c r="AI2718" s="14"/>
      <c r="AJ2718" s="14"/>
      <c r="AK2718" s="14"/>
    </row>
    <row r="2719" spans="2:37" x14ac:dyDescent="0.25">
      <c r="B2719" s="307"/>
      <c r="C2719" s="307">
        <v>1290399</v>
      </c>
      <c r="D2719" s="307" t="s">
        <v>35</v>
      </c>
      <c r="E2719" s="323">
        <v>204060000111</v>
      </c>
      <c r="F2719" s="323"/>
      <c r="G2719" s="307"/>
      <c r="H2719" s="307"/>
      <c r="I2719" s="336"/>
      <c r="J2719" s="336"/>
      <c r="K2719" s="307" t="s">
        <v>8</v>
      </c>
      <c r="P2719" s="290">
        <f t="shared" si="10"/>
        <v>6</v>
      </c>
      <c r="Q2719" s="307"/>
      <c r="R2719" s="307"/>
      <c r="S2719" s="307"/>
      <c r="T2719" s="307"/>
      <c r="U2719" s="307"/>
      <c r="V2719" s="307"/>
      <c r="W2719" s="307"/>
      <c r="X2719" s="307"/>
      <c r="Y2719" s="307"/>
      <c r="Z2719" s="307"/>
      <c r="AA2719" s="307"/>
      <c r="AB2719" s="307"/>
      <c r="AC2719" s="307"/>
      <c r="AD2719" s="307"/>
      <c r="AE2719" s="307"/>
      <c r="AF2719" s="307"/>
      <c r="AG2719" s="14"/>
      <c r="AH2719" s="14"/>
      <c r="AI2719" s="14"/>
      <c r="AJ2719" s="14"/>
      <c r="AK2719" s="14"/>
    </row>
    <row r="2720" spans="2:37" x14ac:dyDescent="0.25">
      <c r="B2720" s="307">
        <v>273702</v>
      </c>
      <c r="C2720" s="307">
        <v>1135753</v>
      </c>
      <c r="D2720" s="307" t="s">
        <v>10</v>
      </c>
      <c r="E2720" s="323">
        <v>301090080013</v>
      </c>
      <c r="F2720" s="323"/>
      <c r="G2720" s="307"/>
      <c r="H2720" s="307"/>
      <c r="I2720" s="336">
        <v>4</v>
      </c>
      <c r="J2720" s="336"/>
      <c r="K2720" s="307" t="s">
        <v>8</v>
      </c>
      <c r="P2720" s="290">
        <f t="shared" si="10"/>
        <v>7</v>
      </c>
      <c r="Q2720" s="307"/>
      <c r="R2720" s="307"/>
      <c r="S2720" s="307"/>
      <c r="T2720" s="307"/>
      <c r="U2720" s="307"/>
      <c r="V2720" s="307"/>
      <c r="W2720" s="307"/>
      <c r="X2720" s="307"/>
      <c r="Y2720" s="307"/>
      <c r="Z2720" s="307"/>
      <c r="AA2720" s="307"/>
      <c r="AB2720" s="307"/>
      <c r="AC2720" s="307"/>
      <c r="AD2720" s="307"/>
      <c r="AE2720" s="307"/>
      <c r="AF2720" s="307"/>
      <c r="AG2720" s="14"/>
      <c r="AH2720" s="14"/>
      <c r="AI2720" s="14"/>
      <c r="AJ2720" s="14"/>
      <c r="AK2720" s="14"/>
    </row>
    <row r="2721" spans="2:37" x14ac:dyDescent="0.25">
      <c r="B2721" s="307">
        <v>273698</v>
      </c>
      <c r="C2721" s="307">
        <v>1135752</v>
      </c>
      <c r="D2721" s="307" t="s">
        <v>36</v>
      </c>
      <c r="E2721" s="323">
        <v>701040120042</v>
      </c>
      <c r="F2721" s="323"/>
      <c r="G2721" s="307"/>
      <c r="H2721" s="307"/>
      <c r="I2721" s="336">
        <v>0</v>
      </c>
      <c r="J2721" s="336"/>
      <c r="K2721" s="307" t="s">
        <v>8</v>
      </c>
      <c r="P2721" s="290">
        <f t="shared" si="10"/>
        <v>8</v>
      </c>
      <c r="Q2721" s="307"/>
      <c r="R2721" s="307"/>
      <c r="S2721" s="307"/>
      <c r="T2721" s="307"/>
      <c r="U2721" s="307"/>
      <c r="V2721" s="307"/>
      <c r="W2721" s="307"/>
      <c r="X2721" s="307"/>
      <c r="Y2721" s="307"/>
      <c r="Z2721" s="307"/>
      <c r="AA2721" s="307"/>
      <c r="AB2721" s="307"/>
      <c r="AC2721" s="307"/>
      <c r="AD2721" s="307"/>
      <c r="AE2721" s="307"/>
      <c r="AF2721" s="307"/>
      <c r="AG2721" s="14"/>
      <c r="AH2721" s="14"/>
      <c r="AI2721" s="14"/>
      <c r="AJ2721" s="14"/>
      <c r="AK2721" s="14"/>
    </row>
    <row r="2722" spans="2:37" x14ac:dyDescent="0.25">
      <c r="B2722" s="307">
        <v>273698</v>
      </c>
      <c r="C2722" s="307">
        <v>1135752</v>
      </c>
      <c r="D2722" s="307" t="s">
        <v>11</v>
      </c>
      <c r="E2722" s="323">
        <v>701040120047</v>
      </c>
      <c r="F2722" s="323"/>
      <c r="G2722" s="307"/>
      <c r="H2722" s="307"/>
      <c r="I2722" s="336">
        <f>1+5</f>
        <v>6</v>
      </c>
      <c r="J2722" s="336"/>
      <c r="K2722" s="307" t="s">
        <v>8</v>
      </c>
      <c r="P2722" s="290">
        <f t="shared" si="10"/>
        <v>9</v>
      </c>
      <c r="Q2722" s="307"/>
      <c r="R2722" s="307"/>
      <c r="AG2722" s="14"/>
      <c r="AH2722" s="14"/>
      <c r="AI2722" s="14"/>
      <c r="AJ2722" s="14"/>
      <c r="AK2722" s="14"/>
    </row>
    <row r="2723" spans="2:37" ht="14.25" customHeight="1" x14ac:dyDescent="0.25">
      <c r="B2723" s="307">
        <v>273680</v>
      </c>
      <c r="C2723" s="307">
        <v>1135751</v>
      </c>
      <c r="D2723" s="307" t="s">
        <v>88</v>
      </c>
      <c r="E2723" s="323" t="s">
        <v>89</v>
      </c>
      <c r="F2723" s="323"/>
      <c r="G2723" s="307"/>
      <c r="H2723" s="307"/>
      <c r="I2723" s="336">
        <v>0</v>
      </c>
      <c r="J2723" s="336"/>
      <c r="K2723" s="307" t="s">
        <v>14</v>
      </c>
      <c r="P2723" s="290">
        <v>10</v>
      </c>
      <c r="Q2723" s="307"/>
      <c r="R2723" s="307"/>
      <c r="S2723" s="322"/>
      <c r="T2723" s="322"/>
      <c r="U2723" s="322"/>
      <c r="V2723" s="322"/>
      <c r="W2723" s="322"/>
      <c r="X2723" s="322"/>
      <c r="Y2723" s="322"/>
      <c r="Z2723" s="322"/>
      <c r="AG2723" s="14"/>
      <c r="AH2723" s="14"/>
      <c r="AI2723" s="14"/>
      <c r="AJ2723" s="14"/>
      <c r="AK2723" s="14"/>
    </row>
    <row r="2724" spans="2:37" x14ac:dyDescent="0.25">
      <c r="B2724" s="307">
        <v>273680</v>
      </c>
      <c r="C2724" s="307">
        <v>1135751</v>
      </c>
      <c r="D2724" s="307" t="s">
        <v>12</v>
      </c>
      <c r="E2724" s="323" t="s">
        <v>13</v>
      </c>
      <c r="F2724" s="323"/>
      <c r="G2724" s="307"/>
      <c r="H2724" s="307"/>
      <c r="I2724" s="336">
        <v>12</v>
      </c>
      <c r="J2724" s="336"/>
      <c r="K2724" s="307" t="s">
        <v>14</v>
      </c>
      <c r="S2724" s="58" t="s">
        <v>41</v>
      </c>
      <c r="T2724" s="58"/>
      <c r="U2724" s="58" t="s">
        <v>42</v>
      </c>
      <c r="V2724" s="58" t="s">
        <v>69</v>
      </c>
      <c r="W2724" s="58"/>
      <c r="X2724" s="58"/>
      <c r="Y2724" s="58"/>
      <c r="Z2724" s="58"/>
      <c r="AA2724" s="58" t="s">
        <v>44</v>
      </c>
      <c r="AB2724" s="58" t="s">
        <v>45</v>
      </c>
      <c r="AC2724" s="58"/>
      <c r="AD2724" s="58" t="s">
        <v>46</v>
      </c>
      <c r="AE2724" s="58" t="s">
        <v>47</v>
      </c>
      <c r="AF2724" s="58" t="s">
        <v>48</v>
      </c>
      <c r="AG2724" s="14"/>
      <c r="AH2724" s="14"/>
      <c r="AI2724" s="14"/>
      <c r="AJ2724" s="14"/>
      <c r="AK2724" s="14"/>
    </row>
    <row r="2725" spans="2:37" x14ac:dyDescent="0.25">
      <c r="B2725" s="312" t="s">
        <v>67</v>
      </c>
      <c r="E2725" s="331"/>
      <c r="F2725" s="331"/>
      <c r="I2725" s="331"/>
      <c r="J2725" s="331"/>
      <c r="S2725" s="307"/>
      <c r="T2725" s="307"/>
      <c r="U2725" s="307"/>
      <c r="V2725" s="307"/>
      <c r="W2725" s="307"/>
      <c r="X2725" s="307"/>
      <c r="Y2725" s="307"/>
      <c r="Z2725" s="307"/>
      <c r="AA2725" s="307" t="s">
        <v>95</v>
      </c>
      <c r="AB2725" s="307"/>
      <c r="AC2725" s="307"/>
      <c r="AD2725" s="58"/>
      <c r="AE2725" s="332"/>
      <c r="AF2725" s="332">
        <v>18366</v>
      </c>
      <c r="AG2725" s="14"/>
      <c r="AH2725" s="14"/>
      <c r="AI2725" s="14"/>
      <c r="AJ2725" s="14"/>
      <c r="AK2725" s="14"/>
    </row>
    <row r="2726" spans="2:37" x14ac:dyDescent="0.25">
      <c r="B2726" s="312"/>
      <c r="E2726" s="331"/>
      <c r="F2726" s="331"/>
      <c r="I2726" s="331"/>
      <c r="J2726" s="331"/>
      <c r="S2726" s="307" t="s">
        <v>97</v>
      </c>
      <c r="T2726" s="307"/>
      <c r="U2726" s="307"/>
      <c r="V2726" s="307"/>
      <c r="W2726" s="307"/>
      <c r="X2726" s="307"/>
      <c r="Y2726" s="307"/>
      <c r="Z2726" s="307"/>
      <c r="AA2726" s="307"/>
      <c r="AB2726" s="307"/>
      <c r="AC2726" s="307"/>
      <c r="AD2726" s="58"/>
      <c r="AE2726" s="332"/>
      <c r="AF2726" s="332">
        <v>18367</v>
      </c>
      <c r="AG2726" s="14"/>
      <c r="AH2726" s="14"/>
      <c r="AI2726" s="14"/>
      <c r="AJ2726" s="14"/>
      <c r="AK2726" s="14"/>
    </row>
    <row r="2727" spans="2:37" x14ac:dyDescent="0.25">
      <c r="B2727" s="322" t="s">
        <v>18</v>
      </c>
      <c r="C2727" s="325">
        <v>44434</v>
      </c>
      <c r="P2727" s="312" t="s">
        <v>39</v>
      </c>
      <c r="Q2727" s="58" t="s">
        <v>40</v>
      </c>
      <c r="R2727" s="58"/>
      <c r="S2727" s="307"/>
      <c r="T2727" s="307"/>
      <c r="U2727" s="307"/>
      <c r="V2727" s="307"/>
      <c r="W2727" s="307"/>
      <c r="X2727" s="307"/>
      <c r="Y2727" s="307"/>
      <c r="Z2727" s="307"/>
      <c r="AA2727" s="307"/>
      <c r="AB2727" s="307"/>
      <c r="AC2727" s="307"/>
      <c r="AD2727" s="58"/>
      <c r="AE2727" s="307"/>
      <c r="AF2727" s="332">
        <v>14723</v>
      </c>
      <c r="AG2727" s="14"/>
      <c r="AH2727" s="14"/>
      <c r="AI2727" s="14"/>
      <c r="AJ2727" s="14"/>
      <c r="AK2727" s="14"/>
    </row>
    <row r="2728" spans="2:37" x14ac:dyDescent="0.25">
      <c r="B2728" s="308" t="s">
        <v>0</v>
      </c>
      <c r="C2728" s="308" t="s">
        <v>1</v>
      </c>
      <c r="D2728" s="308" t="s">
        <v>2</v>
      </c>
      <c r="E2728" s="308" t="s">
        <v>3</v>
      </c>
      <c r="F2728" s="308"/>
      <c r="G2728" s="308" t="s">
        <v>66</v>
      </c>
      <c r="H2728" s="308"/>
      <c r="I2728" s="308" t="s">
        <v>5</v>
      </c>
      <c r="J2728" s="308"/>
      <c r="K2728" s="308" t="s">
        <v>6</v>
      </c>
      <c r="P2728" s="290">
        <v>1</v>
      </c>
      <c r="Q2728" s="307"/>
      <c r="R2728" s="307"/>
      <c r="S2728" s="307"/>
      <c r="T2728" s="307"/>
      <c r="U2728" s="307"/>
      <c r="V2728" s="307"/>
      <c r="W2728" s="307"/>
      <c r="X2728" s="307"/>
      <c r="Y2728" s="307"/>
      <c r="Z2728" s="307"/>
      <c r="AA2728" s="307"/>
      <c r="AB2728" s="307"/>
      <c r="AC2728" s="307"/>
      <c r="AD2728" s="58"/>
      <c r="AE2728" s="332">
        <v>212</v>
      </c>
      <c r="AF2728" s="335" t="s">
        <v>83</v>
      </c>
      <c r="AG2728" s="14"/>
      <c r="AH2728" s="14"/>
      <c r="AI2728" s="14"/>
      <c r="AJ2728" s="14"/>
      <c r="AK2728" s="14"/>
    </row>
    <row r="2729" spans="2:37" x14ac:dyDescent="0.25">
      <c r="B2729" s="307">
        <v>273664</v>
      </c>
      <c r="C2729" s="307">
        <v>1135749</v>
      </c>
      <c r="D2729" s="307" t="s">
        <v>7</v>
      </c>
      <c r="E2729" s="323">
        <v>6060090013</v>
      </c>
      <c r="F2729" s="323"/>
      <c r="G2729" s="307"/>
      <c r="H2729" s="307"/>
      <c r="I2729" s="336">
        <v>5</v>
      </c>
      <c r="J2729" s="336"/>
      <c r="K2729" s="307" t="s">
        <v>8</v>
      </c>
      <c r="L2729" s="312"/>
      <c r="M2729" s="312"/>
      <c r="N2729" s="312"/>
      <c r="O2729" s="312"/>
      <c r="P2729" s="290">
        <f>1+P2728</f>
        <v>2</v>
      </c>
      <c r="Q2729" s="307"/>
      <c r="R2729" s="307"/>
      <c r="S2729" s="307"/>
      <c r="T2729" s="307"/>
      <c r="U2729" s="307"/>
      <c r="V2729" s="307"/>
      <c r="W2729" s="307"/>
      <c r="X2729" s="307"/>
      <c r="Y2729" s="307"/>
      <c r="Z2729" s="307"/>
      <c r="AA2729" s="307"/>
      <c r="AB2729" s="307"/>
      <c r="AC2729" s="307"/>
      <c r="AD2729" s="58"/>
      <c r="AE2729" s="307"/>
      <c r="AF2729" s="307"/>
      <c r="AG2729" s="14"/>
      <c r="AH2729" s="14"/>
      <c r="AI2729" s="14"/>
      <c r="AJ2729" s="14"/>
      <c r="AK2729" s="14"/>
    </row>
    <row r="2730" spans="2:37" x14ac:dyDescent="0.25">
      <c r="B2730" s="307">
        <v>273672</v>
      </c>
      <c r="C2730" s="307">
        <v>1135750</v>
      </c>
      <c r="D2730" s="307" t="s">
        <v>9</v>
      </c>
      <c r="E2730" s="323">
        <v>204060000206</v>
      </c>
      <c r="F2730" s="323"/>
      <c r="G2730" s="307"/>
      <c r="H2730" s="307"/>
      <c r="I2730" s="336">
        <v>5</v>
      </c>
      <c r="J2730" s="336"/>
      <c r="K2730" s="307" t="s">
        <v>8</v>
      </c>
      <c r="P2730" s="290">
        <f t="shared" ref="P2730:P2736" si="11">1+P2729</f>
        <v>3</v>
      </c>
      <c r="Q2730" s="307"/>
      <c r="R2730" s="307"/>
      <c r="S2730" s="307"/>
      <c r="T2730" s="307"/>
      <c r="U2730" s="307"/>
      <c r="V2730" s="307"/>
      <c r="W2730" s="307"/>
      <c r="X2730" s="307"/>
      <c r="Y2730" s="307"/>
      <c r="Z2730" s="307"/>
      <c r="AA2730" s="307"/>
      <c r="AB2730" s="307"/>
      <c r="AC2730" s="307"/>
      <c r="AD2730" s="307"/>
      <c r="AE2730" s="307"/>
      <c r="AF2730" s="307"/>
      <c r="AG2730" s="14"/>
      <c r="AH2730" s="14"/>
      <c r="AI2730" s="14"/>
      <c r="AJ2730" s="14"/>
      <c r="AK2730" s="14"/>
    </row>
    <row r="2731" spans="2:37" x14ac:dyDescent="0.25">
      <c r="B2731" s="307"/>
      <c r="C2731" s="307">
        <v>1135750</v>
      </c>
      <c r="D2731" s="307" t="s">
        <v>9</v>
      </c>
      <c r="E2731" s="323">
        <v>204060000058</v>
      </c>
      <c r="F2731" s="323"/>
      <c r="G2731" s="307"/>
      <c r="H2731" s="307"/>
      <c r="I2731" s="336">
        <v>0</v>
      </c>
      <c r="J2731" s="336"/>
      <c r="K2731" s="307" t="s">
        <v>8</v>
      </c>
      <c r="P2731" s="290">
        <f t="shared" si="11"/>
        <v>4</v>
      </c>
      <c r="Q2731" s="307">
        <v>18864</v>
      </c>
      <c r="R2731" s="307"/>
      <c r="S2731" s="307"/>
      <c r="T2731" s="307"/>
      <c r="U2731" s="307"/>
      <c r="V2731" s="307"/>
      <c r="W2731" s="307"/>
      <c r="X2731" s="307"/>
      <c r="Y2731" s="307"/>
      <c r="Z2731" s="307"/>
      <c r="AA2731" s="307"/>
      <c r="AB2731" s="307"/>
      <c r="AC2731" s="307"/>
      <c r="AD2731" s="307"/>
      <c r="AE2731" s="307"/>
      <c r="AF2731" s="307"/>
      <c r="AG2731" s="14"/>
      <c r="AH2731" s="14"/>
      <c r="AI2731" s="14"/>
      <c r="AJ2731" s="14"/>
      <c r="AK2731" s="14"/>
    </row>
    <row r="2732" spans="2:37" x14ac:dyDescent="0.25">
      <c r="B2732" s="307"/>
      <c r="C2732" s="307">
        <v>1290399</v>
      </c>
      <c r="D2732" s="307" t="s">
        <v>35</v>
      </c>
      <c r="E2732" s="323">
        <v>204060000111</v>
      </c>
      <c r="F2732" s="323"/>
      <c r="G2732" s="307"/>
      <c r="H2732" s="307"/>
      <c r="I2732" s="336">
        <v>3</v>
      </c>
      <c r="J2732" s="336"/>
      <c r="K2732" s="307" t="s">
        <v>8</v>
      </c>
      <c r="P2732" s="290">
        <f t="shared" si="11"/>
        <v>5</v>
      </c>
      <c r="Q2732" s="307">
        <v>18863</v>
      </c>
      <c r="R2732" s="307"/>
      <c r="S2732" s="307"/>
      <c r="T2732" s="307"/>
      <c r="U2732" s="307"/>
      <c r="V2732" s="307"/>
      <c r="W2732" s="307"/>
      <c r="X2732" s="307"/>
      <c r="Y2732" s="307"/>
      <c r="Z2732" s="307"/>
      <c r="AA2732" s="307"/>
      <c r="AB2732" s="307"/>
      <c r="AC2732" s="307"/>
      <c r="AD2732" s="307"/>
      <c r="AE2732" s="307"/>
      <c r="AF2732" s="307"/>
      <c r="AG2732" s="14"/>
      <c r="AH2732" s="14"/>
      <c r="AI2732" s="14"/>
      <c r="AJ2732" s="14"/>
      <c r="AK2732" s="14"/>
    </row>
    <row r="2733" spans="2:37" x14ac:dyDescent="0.25">
      <c r="B2733" s="307">
        <v>273702</v>
      </c>
      <c r="C2733" s="307">
        <v>1135753</v>
      </c>
      <c r="D2733" s="307" t="s">
        <v>10</v>
      </c>
      <c r="E2733" s="323">
        <v>301090080013</v>
      </c>
      <c r="F2733" s="323"/>
      <c r="G2733" s="307"/>
      <c r="H2733" s="307"/>
      <c r="I2733" s="336">
        <v>4</v>
      </c>
      <c r="J2733" s="336"/>
      <c r="K2733" s="307" t="s">
        <v>8</v>
      </c>
      <c r="P2733" s="290">
        <f t="shared" si="11"/>
        <v>6</v>
      </c>
      <c r="Q2733" s="307">
        <v>18862</v>
      </c>
      <c r="R2733" s="307"/>
      <c r="S2733" s="307"/>
      <c r="T2733" s="307"/>
      <c r="U2733" s="307"/>
      <c r="V2733" s="307"/>
      <c r="W2733" s="307"/>
      <c r="X2733" s="307"/>
      <c r="Y2733" s="307"/>
      <c r="Z2733" s="307"/>
      <c r="AA2733" s="307"/>
      <c r="AB2733" s="307"/>
      <c r="AC2733" s="307"/>
      <c r="AD2733" s="307"/>
      <c r="AE2733" s="307"/>
      <c r="AF2733" s="307"/>
      <c r="AG2733" s="14"/>
      <c r="AH2733" s="14"/>
      <c r="AI2733" s="14"/>
      <c r="AJ2733" s="14"/>
      <c r="AK2733" s="14"/>
    </row>
    <row r="2734" spans="2:37" x14ac:dyDescent="0.25">
      <c r="B2734" s="307">
        <v>273698</v>
      </c>
      <c r="C2734" s="307">
        <v>1135752</v>
      </c>
      <c r="D2734" s="307" t="s">
        <v>36</v>
      </c>
      <c r="E2734" s="323">
        <v>701040120042</v>
      </c>
      <c r="F2734" s="323"/>
      <c r="G2734" s="307"/>
      <c r="H2734" s="307"/>
      <c r="I2734" s="336">
        <v>0</v>
      </c>
      <c r="J2734" s="336"/>
      <c r="K2734" s="307" t="s">
        <v>8</v>
      </c>
      <c r="P2734" s="290">
        <f t="shared" si="11"/>
        <v>7</v>
      </c>
      <c r="Q2734" s="307"/>
      <c r="R2734" s="307"/>
      <c r="S2734" s="307"/>
      <c r="T2734" s="307"/>
      <c r="U2734" s="307"/>
      <c r="V2734" s="307"/>
      <c r="W2734" s="307"/>
      <c r="X2734" s="307"/>
      <c r="Y2734" s="307"/>
      <c r="Z2734" s="307"/>
      <c r="AA2734" s="307"/>
      <c r="AB2734" s="307"/>
      <c r="AC2734" s="307"/>
      <c r="AD2734" s="307"/>
      <c r="AE2734" s="307"/>
      <c r="AF2734" s="307"/>
      <c r="AG2734" s="14"/>
      <c r="AH2734" s="14"/>
      <c r="AI2734" s="14"/>
      <c r="AJ2734" s="14"/>
      <c r="AK2734" s="14"/>
    </row>
    <row r="2735" spans="2:37" x14ac:dyDescent="0.25">
      <c r="B2735" s="307">
        <v>273698</v>
      </c>
      <c r="C2735" s="307">
        <v>1135752</v>
      </c>
      <c r="D2735" s="307" t="s">
        <v>11</v>
      </c>
      <c r="E2735" s="323">
        <v>701040120047</v>
      </c>
      <c r="F2735" s="323"/>
      <c r="G2735" s="307"/>
      <c r="H2735" s="307"/>
      <c r="I2735" s="336">
        <v>1</v>
      </c>
      <c r="J2735" s="336"/>
      <c r="K2735" s="307" t="s">
        <v>8</v>
      </c>
      <c r="P2735" s="290">
        <f t="shared" si="11"/>
        <v>8</v>
      </c>
      <c r="Q2735" s="307"/>
      <c r="R2735" s="307"/>
      <c r="AG2735" s="14"/>
      <c r="AH2735" s="14"/>
      <c r="AI2735" s="14"/>
      <c r="AJ2735" s="14"/>
      <c r="AK2735" s="14"/>
    </row>
    <row r="2736" spans="2:37" ht="14.25" customHeight="1" x14ac:dyDescent="0.25">
      <c r="B2736" s="307">
        <v>273680</v>
      </c>
      <c r="C2736" s="307">
        <v>1135751</v>
      </c>
      <c r="D2736" s="307" t="s">
        <v>88</v>
      </c>
      <c r="E2736" s="323" t="s">
        <v>89</v>
      </c>
      <c r="F2736" s="323"/>
      <c r="G2736" s="307"/>
      <c r="H2736" s="307"/>
      <c r="I2736" s="336">
        <v>0</v>
      </c>
      <c r="J2736" s="336"/>
      <c r="K2736" s="307" t="s">
        <v>14</v>
      </c>
      <c r="P2736" s="290">
        <f t="shared" si="11"/>
        <v>9</v>
      </c>
      <c r="Q2736" s="307"/>
      <c r="R2736" s="307"/>
      <c r="S2736" s="322"/>
      <c r="T2736" s="322"/>
      <c r="U2736" s="322"/>
      <c r="V2736" s="322"/>
      <c r="W2736" s="322"/>
      <c r="X2736" s="322"/>
      <c r="Y2736" s="322"/>
      <c r="Z2736" s="322"/>
      <c r="AG2736" s="14"/>
      <c r="AH2736" s="14"/>
      <c r="AI2736" s="14"/>
      <c r="AJ2736" s="14"/>
      <c r="AK2736" s="14"/>
    </row>
    <row r="2737" spans="2:37" x14ac:dyDescent="0.25">
      <c r="B2737" s="307">
        <v>273680</v>
      </c>
      <c r="C2737" s="307">
        <v>1135751</v>
      </c>
      <c r="D2737" s="307" t="s">
        <v>12</v>
      </c>
      <c r="E2737" s="323" t="s">
        <v>13</v>
      </c>
      <c r="F2737" s="323"/>
      <c r="G2737" s="307"/>
      <c r="H2737" s="307"/>
      <c r="I2737" s="336">
        <v>12</v>
      </c>
      <c r="J2737" s="336"/>
      <c r="K2737" s="307" t="s">
        <v>14</v>
      </c>
      <c r="P2737" s="290">
        <v>10</v>
      </c>
      <c r="Q2737" s="307"/>
      <c r="R2737" s="307"/>
      <c r="S2737" s="58" t="s">
        <v>41</v>
      </c>
      <c r="T2737" s="58"/>
      <c r="U2737" s="58" t="s">
        <v>42</v>
      </c>
      <c r="V2737" s="58" t="s">
        <v>69</v>
      </c>
      <c r="W2737" s="58"/>
      <c r="X2737" s="58"/>
      <c r="Y2737" s="58"/>
      <c r="Z2737" s="58"/>
      <c r="AA2737" s="58" t="s">
        <v>44</v>
      </c>
      <c r="AB2737" s="58" t="s">
        <v>45</v>
      </c>
      <c r="AC2737" s="58"/>
      <c r="AD2737" s="58" t="s">
        <v>46</v>
      </c>
      <c r="AE2737" s="58" t="s">
        <v>47</v>
      </c>
      <c r="AF2737" s="58" t="s">
        <v>48</v>
      </c>
      <c r="AG2737" s="14"/>
      <c r="AH2737" s="14"/>
      <c r="AI2737" s="14"/>
      <c r="AJ2737" s="14"/>
      <c r="AK2737" s="14"/>
    </row>
    <row r="2738" spans="2:37" x14ac:dyDescent="0.25">
      <c r="B2738" s="312" t="s">
        <v>67</v>
      </c>
      <c r="E2738" s="331"/>
      <c r="F2738" s="331"/>
      <c r="I2738" s="331"/>
      <c r="J2738" s="331"/>
      <c r="S2738" s="307"/>
      <c r="T2738" s="307"/>
      <c r="U2738" s="307"/>
      <c r="V2738" s="307"/>
      <c r="W2738" s="307"/>
      <c r="X2738" s="307"/>
      <c r="Y2738" s="307"/>
      <c r="Z2738" s="307"/>
      <c r="AA2738" s="307" t="s">
        <v>95</v>
      </c>
      <c r="AB2738" s="307"/>
      <c r="AC2738" s="307"/>
      <c r="AD2738" s="58"/>
      <c r="AE2738" s="332">
        <v>206</v>
      </c>
      <c r="AF2738" s="332">
        <v>18366</v>
      </c>
      <c r="AG2738" s="14"/>
      <c r="AH2738" s="14"/>
      <c r="AI2738" s="14"/>
      <c r="AJ2738" s="14"/>
      <c r="AK2738" s="14"/>
    </row>
    <row r="2739" spans="2:37" x14ac:dyDescent="0.25">
      <c r="S2739" s="307" t="s">
        <v>97</v>
      </c>
      <c r="T2739" s="307"/>
      <c r="U2739" s="307"/>
      <c r="V2739" s="307"/>
      <c r="W2739" s="307"/>
      <c r="X2739" s="307"/>
      <c r="Y2739" s="307"/>
      <c r="Z2739" s="307"/>
      <c r="AA2739" s="307"/>
      <c r="AB2739" s="307"/>
      <c r="AC2739" s="307"/>
      <c r="AD2739" s="58"/>
      <c r="AE2739" s="332">
        <v>213</v>
      </c>
      <c r="AF2739" s="332">
        <v>18367</v>
      </c>
      <c r="AG2739" s="14"/>
      <c r="AH2739" s="14"/>
      <c r="AI2739" s="14"/>
      <c r="AJ2739" s="14"/>
      <c r="AK2739" s="14"/>
    </row>
    <row r="2740" spans="2:37" x14ac:dyDescent="0.25">
      <c r="P2740" s="312" t="s">
        <v>39</v>
      </c>
      <c r="Q2740" s="58" t="s">
        <v>40</v>
      </c>
      <c r="R2740" s="58"/>
      <c r="S2740" s="307" t="s">
        <v>98</v>
      </c>
      <c r="T2740" s="307"/>
      <c r="U2740" s="307"/>
      <c r="V2740" s="307"/>
      <c r="W2740" s="307"/>
      <c r="X2740" s="307"/>
      <c r="Y2740" s="307"/>
      <c r="Z2740" s="307"/>
      <c r="AA2740" s="307"/>
      <c r="AB2740" s="307"/>
      <c r="AC2740" s="307"/>
      <c r="AD2740" s="58"/>
      <c r="AE2740" s="307"/>
      <c r="AF2740" s="332">
        <v>14723</v>
      </c>
      <c r="AG2740" s="14"/>
      <c r="AH2740" s="14"/>
      <c r="AI2740" s="14"/>
      <c r="AJ2740" s="14"/>
      <c r="AK2740" s="14"/>
    </row>
    <row r="2741" spans="2:37" x14ac:dyDescent="0.25">
      <c r="B2741" s="322" t="s">
        <v>18</v>
      </c>
      <c r="C2741" s="325">
        <v>44423</v>
      </c>
      <c r="P2741" s="290">
        <v>1</v>
      </c>
      <c r="Q2741" s="307"/>
      <c r="R2741" s="307"/>
      <c r="S2741" s="307" t="s">
        <v>99</v>
      </c>
      <c r="T2741" s="307"/>
      <c r="U2741" s="307"/>
      <c r="V2741" s="307"/>
      <c r="W2741" s="307"/>
      <c r="X2741" s="307"/>
      <c r="Y2741" s="307"/>
      <c r="Z2741" s="307"/>
      <c r="AA2741" s="307"/>
      <c r="AB2741" s="307"/>
      <c r="AC2741" s="307"/>
      <c r="AD2741" s="58"/>
      <c r="AE2741" s="332">
        <v>212</v>
      </c>
      <c r="AF2741" s="335" t="s">
        <v>83</v>
      </c>
      <c r="AG2741" s="14"/>
      <c r="AH2741" s="14"/>
      <c r="AI2741" s="14"/>
      <c r="AJ2741" s="14"/>
      <c r="AK2741" s="14"/>
    </row>
    <row r="2742" spans="2:37" x14ac:dyDescent="0.25">
      <c r="B2742" s="308" t="s">
        <v>0</v>
      </c>
      <c r="C2742" s="308" t="s">
        <v>1</v>
      </c>
      <c r="D2742" s="308" t="s">
        <v>2</v>
      </c>
      <c r="E2742" s="308" t="s">
        <v>3</v>
      </c>
      <c r="F2742" s="308"/>
      <c r="G2742" s="308" t="s">
        <v>66</v>
      </c>
      <c r="H2742" s="308"/>
      <c r="I2742" s="308" t="s">
        <v>5</v>
      </c>
      <c r="J2742" s="308"/>
      <c r="K2742" s="308" t="s">
        <v>6</v>
      </c>
      <c r="P2742" s="290">
        <f>1+P2741</f>
        <v>2</v>
      </c>
      <c r="Q2742" s="307"/>
      <c r="R2742" s="307"/>
      <c r="S2742" s="307" t="s">
        <v>100</v>
      </c>
      <c r="T2742" s="307"/>
      <c r="U2742" s="307"/>
      <c r="V2742" s="307"/>
      <c r="W2742" s="307"/>
      <c r="X2742" s="307"/>
      <c r="Y2742" s="307"/>
      <c r="Z2742" s="307"/>
      <c r="AA2742" s="307"/>
      <c r="AB2742" s="307"/>
      <c r="AC2742" s="307"/>
      <c r="AD2742" s="58"/>
      <c r="AE2742" s="307"/>
      <c r="AF2742" s="307"/>
      <c r="AG2742" s="14"/>
      <c r="AH2742" s="14"/>
      <c r="AI2742" s="14"/>
      <c r="AJ2742" s="14"/>
      <c r="AK2742" s="14"/>
    </row>
    <row r="2743" spans="2:37" x14ac:dyDescent="0.25">
      <c r="B2743" s="307">
        <v>273664</v>
      </c>
      <c r="C2743" s="307">
        <v>1135749</v>
      </c>
      <c r="D2743" s="307" t="s">
        <v>7</v>
      </c>
      <c r="E2743" s="323">
        <v>6060090013</v>
      </c>
      <c r="F2743" s="323"/>
      <c r="G2743" s="307"/>
      <c r="H2743" s="307"/>
      <c r="I2743" s="336">
        <v>3</v>
      </c>
      <c r="J2743" s="336"/>
      <c r="K2743" s="307" t="s">
        <v>8</v>
      </c>
      <c r="L2743" s="312"/>
      <c r="M2743" s="312"/>
      <c r="N2743" s="312"/>
      <c r="O2743" s="312"/>
      <c r="P2743" s="290">
        <f t="shared" ref="P2743:P2749" si="12">1+P2742</f>
        <v>3</v>
      </c>
      <c r="Q2743" s="307"/>
      <c r="R2743" s="307"/>
      <c r="S2743" s="307"/>
      <c r="T2743" s="307"/>
      <c r="U2743" s="307"/>
      <c r="V2743" s="307"/>
      <c r="W2743" s="307"/>
      <c r="X2743" s="307"/>
      <c r="Y2743" s="307"/>
      <c r="Z2743" s="307"/>
      <c r="AA2743" s="307"/>
      <c r="AB2743" s="307"/>
      <c r="AC2743" s="307"/>
      <c r="AD2743" s="307"/>
      <c r="AE2743" s="307"/>
      <c r="AF2743" s="307"/>
      <c r="AG2743" s="14"/>
      <c r="AH2743" s="14"/>
      <c r="AI2743" s="14"/>
      <c r="AJ2743" s="14"/>
      <c r="AK2743" s="14"/>
    </row>
    <row r="2744" spans="2:37" x14ac:dyDescent="0.25">
      <c r="B2744" s="307">
        <v>273672</v>
      </c>
      <c r="C2744" s="307">
        <v>1135750</v>
      </c>
      <c r="D2744" s="307" t="s">
        <v>9</v>
      </c>
      <c r="E2744" s="323">
        <v>204060000206</v>
      </c>
      <c r="F2744" s="323"/>
      <c r="G2744" s="307"/>
      <c r="H2744" s="307"/>
      <c r="I2744" s="336">
        <v>0</v>
      </c>
      <c r="J2744" s="336"/>
      <c r="K2744" s="307" t="s">
        <v>8</v>
      </c>
      <c r="P2744" s="290">
        <f t="shared" si="12"/>
        <v>4</v>
      </c>
      <c r="Q2744" s="307">
        <v>18864</v>
      </c>
      <c r="R2744" s="307"/>
      <c r="S2744" s="307"/>
      <c r="T2744" s="307"/>
      <c r="U2744" s="307"/>
      <c r="V2744" s="307"/>
      <c r="W2744" s="307"/>
      <c r="X2744" s="307"/>
      <c r="Y2744" s="307"/>
      <c r="Z2744" s="307"/>
      <c r="AA2744" s="307"/>
      <c r="AB2744" s="307"/>
      <c r="AC2744" s="307"/>
      <c r="AD2744" s="307"/>
      <c r="AE2744" s="307"/>
      <c r="AF2744" s="307"/>
      <c r="AG2744" s="14"/>
      <c r="AH2744" s="14"/>
      <c r="AI2744" s="14"/>
      <c r="AJ2744" s="14"/>
      <c r="AK2744" s="14"/>
    </row>
    <row r="2745" spans="2:37" x14ac:dyDescent="0.25">
      <c r="B2745" s="307"/>
      <c r="C2745" s="307">
        <v>1135750</v>
      </c>
      <c r="D2745" s="307" t="s">
        <v>9</v>
      </c>
      <c r="E2745" s="323">
        <v>204060000058</v>
      </c>
      <c r="F2745" s="323"/>
      <c r="G2745" s="307"/>
      <c r="H2745" s="307"/>
      <c r="I2745" s="336">
        <v>2</v>
      </c>
      <c r="J2745" s="336"/>
      <c r="K2745" s="307" t="s">
        <v>8</v>
      </c>
      <c r="P2745" s="290">
        <f t="shared" si="12"/>
        <v>5</v>
      </c>
      <c r="Q2745" s="307">
        <v>18863</v>
      </c>
      <c r="R2745" s="307"/>
      <c r="S2745" s="307"/>
      <c r="T2745" s="307"/>
      <c r="U2745" s="307"/>
      <c r="V2745" s="307"/>
      <c r="W2745" s="307"/>
      <c r="X2745" s="307"/>
      <c r="Y2745" s="307"/>
      <c r="Z2745" s="307"/>
      <c r="AA2745" s="307"/>
      <c r="AB2745" s="307"/>
      <c r="AC2745" s="307"/>
      <c r="AD2745" s="307"/>
      <c r="AE2745" s="307"/>
      <c r="AF2745" s="307"/>
      <c r="AG2745" s="14"/>
      <c r="AH2745" s="14"/>
      <c r="AI2745" s="14"/>
      <c r="AJ2745" s="14"/>
      <c r="AK2745" s="14"/>
    </row>
    <row r="2746" spans="2:37" x14ac:dyDescent="0.25">
      <c r="B2746" s="307"/>
      <c r="C2746" s="307">
        <v>1290399</v>
      </c>
      <c r="D2746" s="307" t="s">
        <v>35</v>
      </c>
      <c r="E2746" s="323">
        <v>204060000111</v>
      </c>
      <c r="F2746" s="323"/>
      <c r="G2746" s="307"/>
      <c r="H2746" s="307"/>
      <c r="I2746" s="336">
        <v>0</v>
      </c>
      <c r="J2746" s="336"/>
      <c r="K2746" s="307" t="s">
        <v>8</v>
      </c>
      <c r="P2746" s="290">
        <f t="shared" si="12"/>
        <v>6</v>
      </c>
      <c r="Q2746" s="307">
        <v>18862</v>
      </c>
      <c r="R2746" s="307"/>
      <c r="S2746" s="307"/>
      <c r="T2746" s="307"/>
      <c r="U2746" s="307"/>
      <c r="V2746" s="307"/>
      <c r="W2746" s="307"/>
      <c r="X2746" s="307"/>
      <c r="Y2746" s="307"/>
      <c r="Z2746" s="307"/>
      <c r="AA2746" s="307"/>
      <c r="AB2746" s="307"/>
      <c r="AC2746" s="307"/>
      <c r="AD2746" s="307"/>
      <c r="AE2746" s="307"/>
      <c r="AF2746" s="307"/>
      <c r="AG2746" s="14"/>
      <c r="AH2746" s="14"/>
      <c r="AI2746" s="14"/>
      <c r="AJ2746" s="14"/>
      <c r="AK2746" s="14"/>
    </row>
    <row r="2747" spans="2:37" x14ac:dyDescent="0.25">
      <c r="B2747" s="307">
        <v>273702</v>
      </c>
      <c r="C2747" s="307">
        <v>1135753</v>
      </c>
      <c r="D2747" s="307" t="s">
        <v>10</v>
      </c>
      <c r="E2747" s="323">
        <v>301090080013</v>
      </c>
      <c r="F2747" s="323"/>
      <c r="G2747" s="307"/>
      <c r="H2747" s="307"/>
      <c r="I2747" s="336">
        <v>4</v>
      </c>
      <c r="J2747" s="336"/>
      <c r="K2747" s="307" t="s">
        <v>8</v>
      </c>
      <c r="P2747" s="290">
        <f t="shared" si="12"/>
        <v>7</v>
      </c>
      <c r="Q2747" s="307"/>
      <c r="R2747" s="307"/>
      <c r="S2747" s="307"/>
      <c r="T2747" s="307"/>
      <c r="U2747" s="307"/>
      <c r="V2747" s="307"/>
      <c r="W2747" s="307"/>
      <c r="X2747" s="307"/>
      <c r="Y2747" s="307"/>
      <c r="Z2747" s="307"/>
      <c r="AA2747" s="307"/>
      <c r="AB2747" s="307"/>
      <c r="AC2747" s="307"/>
      <c r="AD2747" s="307"/>
      <c r="AE2747" s="307"/>
      <c r="AF2747" s="307"/>
      <c r="AG2747" s="14"/>
      <c r="AH2747" s="14"/>
      <c r="AI2747" s="14"/>
      <c r="AJ2747" s="14"/>
      <c r="AK2747" s="14"/>
    </row>
    <row r="2748" spans="2:37" x14ac:dyDescent="0.25">
      <c r="B2748" s="307">
        <v>273698</v>
      </c>
      <c r="C2748" s="307">
        <v>1135752</v>
      </c>
      <c r="D2748" s="307" t="s">
        <v>36</v>
      </c>
      <c r="E2748" s="323">
        <v>701040120042</v>
      </c>
      <c r="F2748" s="323"/>
      <c r="G2748" s="307"/>
      <c r="H2748" s="307"/>
      <c r="I2748" s="336">
        <v>0</v>
      </c>
      <c r="J2748" s="336"/>
      <c r="K2748" s="307" t="s">
        <v>8</v>
      </c>
      <c r="P2748" s="290">
        <f t="shared" si="12"/>
        <v>8</v>
      </c>
      <c r="Q2748" s="307"/>
      <c r="R2748" s="307"/>
      <c r="AG2748" s="14"/>
      <c r="AH2748" s="14"/>
      <c r="AI2748" s="14"/>
      <c r="AJ2748" s="14"/>
      <c r="AK2748" s="14"/>
    </row>
    <row r="2749" spans="2:37" ht="14.25" customHeight="1" x14ac:dyDescent="0.25">
      <c r="B2749" s="307">
        <v>273698</v>
      </c>
      <c r="C2749" s="307">
        <v>1135752</v>
      </c>
      <c r="D2749" s="307" t="s">
        <v>11</v>
      </c>
      <c r="E2749" s="323">
        <v>701040120047</v>
      </c>
      <c r="F2749" s="323"/>
      <c r="G2749" s="307"/>
      <c r="H2749" s="307"/>
      <c r="I2749" s="336">
        <v>1</v>
      </c>
      <c r="J2749" s="336"/>
      <c r="K2749" s="307" t="s">
        <v>8</v>
      </c>
      <c r="P2749" s="290">
        <f t="shared" si="12"/>
        <v>9</v>
      </c>
      <c r="Q2749" s="307"/>
      <c r="R2749" s="307"/>
      <c r="S2749" s="322"/>
      <c r="T2749" s="322"/>
      <c r="U2749" s="322"/>
      <c r="V2749" s="322"/>
      <c r="W2749" s="322"/>
      <c r="X2749" s="322"/>
      <c r="Y2749" s="322"/>
      <c r="Z2749" s="322"/>
      <c r="AG2749" s="14"/>
      <c r="AH2749" s="14"/>
      <c r="AI2749" s="14"/>
      <c r="AJ2749" s="14"/>
      <c r="AK2749" s="14"/>
    </row>
    <row r="2750" spans="2:37" x14ac:dyDescent="0.25">
      <c r="B2750" s="307">
        <v>273680</v>
      </c>
      <c r="C2750" s="307">
        <v>1135751</v>
      </c>
      <c r="D2750" s="307" t="s">
        <v>88</v>
      </c>
      <c r="E2750" s="323" t="s">
        <v>89</v>
      </c>
      <c r="F2750" s="323"/>
      <c r="G2750" s="307"/>
      <c r="H2750" s="307"/>
      <c r="I2750" s="336">
        <v>0</v>
      </c>
      <c r="J2750" s="336"/>
      <c r="K2750" s="307" t="s">
        <v>14</v>
      </c>
      <c r="P2750" s="290">
        <v>10</v>
      </c>
      <c r="Q2750" s="307"/>
      <c r="R2750" s="307"/>
      <c r="S2750" s="58" t="s">
        <v>41</v>
      </c>
      <c r="T2750" s="58"/>
      <c r="U2750" s="58" t="s">
        <v>42</v>
      </c>
      <c r="V2750" s="58" t="s">
        <v>69</v>
      </c>
      <c r="W2750" s="58"/>
      <c r="X2750" s="58"/>
      <c r="Y2750" s="58"/>
      <c r="Z2750" s="58"/>
      <c r="AA2750" s="58" t="s">
        <v>44</v>
      </c>
      <c r="AB2750" s="58" t="s">
        <v>45</v>
      </c>
      <c r="AC2750" s="58"/>
      <c r="AD2750" s="58" t="s">
        <v>46</v>
      </c>
      <c r="AE2750" s="58" t="s">
        <v>47</v>
      </c>
      <c r="AF2750" s="58" t="s">
        <v>48</v>
      </c>
      <c r="AG2750" s="14"/>
      <c r="AH2750" s="14"/>
      <c r="AI2750" s="14"/>
      <c r="AJ2750" s="14"/>
      <c r="AK2750" s="14"/>
    </row>
    <row r="2751" spans="2:37" x14ac:dyDescent="0.25">
      <c r="B2751" s="307">
        <v>273680</v>
      </c>
      <c r="C2751" s="307">
        <v>1135751</v>
      </c>
      <c r="D2751" s="307" t="s">
        <v>12</v>
      </c>
      <c r="E2751" s="323" t="s">
        <v>13</v>
      </c>
      <c r="F2751" s="323"/>
      <c r="G2751" s="307"/>
      <c r="H2751" s="307"/>
      <c r="I2751" s="336">
        <v>12</v>
      </c>
      <c r="J2751" s="336"/>
      <c r="K2751" s="307" t="s">
        <v>14</v>
      </c>
      <c r="S2751" s="307" t="s">
        <v>101</v>
      </c>
      <c r="T2751" s="307"/>
      <c r="U2751" s="307"/>
      <c r="V2751" s="307"/>
      <c r="W2751" s="307"/>
      <c r="X2751" s="307"/>
      <c r="Y2751" s="307"/>
      <c r="Z2751" s="307"/>
      <c r="AA2751" s="307" t="s">
        <v>95</v>
      </c>
      <c r="AB2751" s="307"/>
      <c r="AC2751" s="307"/>
      <c r="AD2751" s="58"/>
      <c r="AE2751" s="332">
        <v>206</v>
      </c>
      <c r="AF2751" s="332">
        <v>18366</v>
      </c>
      <c r="AG2751" s="14"/>
      <c r="AH2751" s="14"/>
      <c r="AI2751" s="14"/>
      <c r="AJ2751" s="14"/>
      <c r="AK2751" s="14"/>
    </row>
    <row r="2752" spans="2:37" x14ac:dyDescent="0.25">
      <c r="B2752" s="312" t="s">
        <v>67</v>
      </c>
      <c r="E2752" s="331"/>
      <c r="F2752" s="331"/>
      <c r="I2752" s="331"/>
      <c r="J2752" s="331"/>
      <c r="S2752" s="307" t="s">
        <v>102</v>
      </c>
      <c r="T2752" s="307"/>
      <c r="U2752" s="307"/>
      <c r="V2752" s="307"/>
      <c r="W2752" s="307"/>
      <c r="X2752" s="307"/>
      <c r="Y2752" s="307"/>
      <c r="Z2752" s="307"/>
      <c r="AA2752" s="307"/>
      <c r="AB2752" s="307"/>
      <c r="AC2752" s="307"/>
      <c r="AD2752" s="58"/>
      <c r="AE2752" s="332">
        <v>213</v>
      </c>
      <c r="AF2752" s="332">
        <v>18367</v>
      </c>
      <c r="AG2752" s="14"/>
      <c r="AH2752" s="14"/>
      <c r="AI2752" s="14"/>
      <c r="AJ2752" s="14"/>
      <c r="AK2752" s="14"/>
    </row>
    <row r="2753" spans="2:37" x14ac:dyDescent="0.25">
      <c r="P2753" s="312" t="s">
        <v>39</v>
      </c>
      <c r="Q2753" s="58" t="s">
        <v>40</v>
      </c>
      <c r="R2753" s="58"/>
      <c r="S2753" s="307" t="s">
        <v>98</v>
      </c>
      <c r="T2753" s="307"/>
      <c r="U2753" s="307"/>
      <c r="V2753" s="307"/>
      <c r="W2753" s="307"/>
      <c r="X2753" s="307"/>
      <c r="Y2753" s="307"/>
      <c r="Z2753" s="307"/>
      <c r="AA2753" s="307"/>
      <c r="AB2753" s="307"/>
      <c r="AC2753" s="307"/>
      <c r="AD2753" s="58"/>
      <c r="AE2753" s="307"/>
      <c r="AF2753" s="332">
        <v>14723</v>
      </c>
      <c r="AG2753" s="14"/>
      <c r="AH2753" s="14"/>
      <c r="AI2753" s="14"/>
      <c r="AJ2753" s="14"/>
      <c r="AK2753" s="14"/>
    </row>
    <row r="2754" spans="2:37" x14ac:dyDescent="0.25">
      <c r="B2754" s="322" t="s">
        <v>18</v>
      </c>
      <c r="C2754" s="325">
        <v>44420</v>
      </c>
      <c r="P2754" s="290">
        <v>1</v>
      </c>
      <c r="Q2754" s="307">
        <v>18495</v>
      </c>
      <c r="R2754" s="307"/>
      <c r="S2754" s="307" t="s">
        <v>99</v>
      </c>
      <c r="T2754" s="307"/>
      <c r="U2754" s="307"/>
      <c r="V2754" s="307"/>
      <c r="W2754" s="307"/>
      <c r="X2754" s="307"/>
      <c r="Y2754" s="307"/>
      <c r="Z2754" s="307"/>
      <c r="AA2754" s="307"/>
      <c r="AB2754" s="307"/>
      <c r="AC2754" s="307"/>
      <c r="AD2754" s="58"/>
      <c r="AE2754" s="332">
        <v>212</v>
      </c>
      <c r="AF2754" s="335" t="s">
        <v>83</v>
      </c>
      <c r="AG2754" s="14"/>
      <c r="AH2754" s="14"/>
      <c r="AI2754" s="14"/>
      <c r="AJ2754" s="14"/>
      <c r="AK2754" s="14"/>
    </row>
    <row r="2755" spans="2:37" x14ac:dyDescent="0.25">
      <c r="B2755" s="308" t="s">
        <v>0</v>
      </c>
      <c r="C2755" s="308" t="s">
        <v>1</v>
      </c>
      <c r="D2755" s="308" t="s">
        <v>2</v>
      </c>
      <c r="E2755" s="308" t="s">
        <v>3</v>
      </c>
      <c r="F2755" s="308"/>
      <c r="G2755" s="308" t="s">
        <v>66</v>
      </c>
      <c r="H2755" s="308"/>
      <c r="I2755" s="308" t="s">
        <v>5</v>
      </c>
      <c r="J2755" s="308"/>
      <c r="K2755" s="308" t="s">
        <v>6</v>
      </c>
      <c r="P2755" s="290">
        <f>1+P2754</f>
        <v>2</v>
      </c>
      <c r="Q2755" s="307">
        <v>18496</v>
      </c>
      <c r="R2755" s="307"/>
      <c r="S2755" s="307" t="s">
        <v>100</v>
      </c>
      <c r="T2755" s="307"/>
      <c r="U2755" s="307"/>
      <c r="V2755" s="307"/>
      <c r="W2755" s="307"/>
      <c r="X2755" s="307"/>
      <c r="Y2755" s="307"/>
      <c r="Z2755" s="307"/>
      <c r="AA2755" s="307"/>
      <c r="AB2755" s="307"/>
      <c r="AC2755" s="307"/>
      <c r="AD2755" s="58"/>
      <c r="AE2755" s="307"/>
      <c r="AF2755" s="307"/>
      <c r="AG2755" s="14"/>
      <c r="AH2755" s="14"/>
      <c r="AI2755" s="14"/>
      <c r="AJ2755" s="14"/>
      <c r="AK2755" s="14"/>
    </row>
    <row r="2756" spans="2:37" x14ac:dyDescent="0.25">
      <c r="B2756" s="307">
        <v>273664</v>
      </c>
      <c r="C2756" s="307">
        <v>1135749</v>
      </c>
      <c r="D2756" s="307" t="s">
        <v>7</v>
      </c>
      <c r="E2756" s="323">
        <v>6060090013</v>
      </c>
      <c r="F2756" s="323"/>
      <c r="G2756" s="307"/>
      <c r="H2756" s="307"/>
      <c r="I2756" s="336">
        <v>3</v>
      </c>
      <c r="J2756" s="336"/>
      <c r="K2756" s="307" t="s">
        <v>8</v>
      </c>
      <c r="L2756" s="312"/>
      <c r="M2756" s="312"/>
      <c r="N2756" s="312"/>
      <c r="O2756" s="312"/>
      <c r="P2756" s="290">
        <f t="shared" ref="P2756:P2762" si="13">1+P2755</f>
        <v>3</v>
      </c>
      <c r="Q2756" s="307"/>
      <c r="R2756" s="307"/>
      <c r="S2756" s="307" t="s">
        <v>103</v>
      </c>
      <c r="T2756" s="307"/>
      <c r="U2756" s="307"/>
      <c r="V2756" s="307"/>
      <c r="W2756" s="307"/>
      <c r="X2756" s="307"/>
      <c r="Y2756" s="307"/>
      <c r="Z2756" s="307"/>
      <c r="AA2756" s="307"/>
      <c r="AB2756" s="307"/>
      <c r="AC2756" s="307"/>
      <c r="AD2756" s="307"/>
      <c r="AE2756" s="307"/>
      <c r="AF2756" s="307"/>
      <c r="AG2756" s="14"/>
      <c r="AH2756" s="14"/>
      <c r="AI2756" s="14"/>
      <c r="AJ2756" s="14"/>
      <c r="AK2756" s="14"/>
    </row>
    <row r="2757" spans="2:37" x14ac:dyDescent="0.25">
      <c r="B2757" s="307">
        <v>273672</v>
      </c>
      <c r="C2757" s="307">
        <v>1135750</v>
      </c>
      <c r="D2757" s="307" t="s">
        <v>9</v>
      </c>
      <c r="E2757" s="323">
        <v>204060000206</v>
      </c>
      <c r="F2757" s="323"/>
      <c r="G2757" s="307"/>
      <c r="H2757" s="307"/>
      <c r="I2757" s="336">
        <v>0</v>
      </c>
      <c r="J2757" s="336"/>
      <c r="K2757" s="307" t="s">
        <v>8</v>
      </c>
      <c r="P2757" s="290">
        <f t="shared" si="13"/>
        <v>4</v>
      </c>
      <c r="Q2757" s="307">
        <v>18864</v>
      </c>
      <c r="R2757" s="307"/>
      <c r="S2757" s="307"/>
      <c r="T2757" s="307"/>
      <c r="U2757" s="307"/>
      <c r="V2757" s="307"/>
      <c r="W2757" s="307"/>
      <c r="X2757" s="307"/>
      <c r="Y2757" s="307"/>
      <c r="Z2757" s="307"/>
      <c r="AA2757" s="307"/>
      <c r="AB2757" s="307"/>
      <c r="AC2757" s="307"/>
      <c r="AD2757" s="307"/>
      <c r="AE2757" s="307"/>
      <c r="AF2757" s="307"/>
      <c r="AG2757" s="14"/>
      <c r="AH2757" s="14"/>
      <c r="AI2757" s="14"/>
      <c r="AJ2757" s="14"/>
      <c r="AK2757" s="14"/>
    </row>
    <row r="2758" spans="2:37" x14ac:dyDescent="0.25">
      <c r="B2758" s="307"/>
      <c r="C2758" s="307">
        <v>1135750</v>
      </c>
      <c r="D2758" s="307" t="s">
        <v>9</v>
      </c>
      <c r="E2758" s="323">
        <v>204060000058</v>
      </c>
      <c r="F2758" s="323"/>
      <c r="G2758" s="307"/>
      <c r="H2758" s="307"/>
      <c r="I2758" s="336">
        <v>1</v>
      </c>
      <c r="J2758" s="336"/>
      <c r="K2758" s="307" t="s">
        <v>8</v>
      </c>
      <c r="P2758" s="290">
        <f t="shared" si="13"/>
        <v>5</v>
      </c>
      <c r="Q2758" s="307">
        <v>18863</v>
      </c>
      <c r="R2758" s="307"/>
      <c r="S2758" s="307"/>
      <c r="T2758" s="307"/>
      <c r="U2758" s="307"/>
      <c r="V2758" s="307"/>
      <c r="W2758" s="307"/>
      <c r="X2758" s="307"/>
      <c r="Y2758" s="307"/>
      <c r="Z2758" s="307"/>
      <c r="AA2758" s="307"/>
      <c r="AB2758" s="307"/>
      <c r="AC2758" s="307"/>
      <c r="AD2758" s="307"/>
      <c r="AE2758" s="307"/>
      <c r="AF2758" s="307"/>
      <c r="AG2758" s="14"/>
      <c r="AH2758" s="14"/>
      <c r="AI2758" s="14"/>
      <c r="AJ2758" s="14"/>
      <c r="AK2758" s="14"/>
    </row>
    <row r="2759" spans="2:37" x14ac:dyDescent="0.25">
      <c r="B2759" s="307"/>
      <c r="C2759" s="307">
        <v>1290399</v>
      </c>
      <c r="D2759" s="307" t="s">
        <v>35</v>
      </c>
      <c r="E2759" s="323">
        <v>204060000111</v>
      </c>
      <c r="F2759" s="323"/>
      <c r="G2759" s="307"/>
      <c r="H2759" s="307"/>
      <c r="I2759" s="336">
        <v>0</v>
      </c>
      <c r="J2759" s="336"/>
      <c r="K2759" s="307" t="s">
        <v>8</v>
      </c>
      <c r="P2759" s="290">
        <f t="shared" si="13"/>
        <v>6</v>
      </c>
      <c r="Q2759" s="307">
        <v>18862</v>
      </c>
      <c r="R2759" s="307"/>
      <c r="S2759" s="307"/>
      <c r="T2759" s="307"/>
      <c r="U2759" s="307"/>
      <c r="V2759" s="307"/>
      <c r="W2759" s="307"/>
      <c r="X2759" s="307"/>
      <c r="Y2759" s="307"/>
      <c r="Z2759" s="307"/>
      <c r="AA2759" s="307"/>
      <c r="AB2759" s="307"/>
      <c r="AC2759" s="307"/>
      <c r="AD2759" s="307"/>
      <c r="AE2759" s="307"/>
      <c r="AF2759" s="307"/>
      <c r="AG2759" s="14"/>
      <c r="AH2759" s="14"/>
      <c r="AI2759" s="14"/>
      <c r="AJ2759" s="14"/>
      <c r="AK2759" s="14"/>
    </row>
    <row r="2760" spans="2:37" x14ac:dyDescent="0.25">
      <c r="B2760" s="307">
        <v>273702</v>
      </c>
      <c r="C2760" s="307">
        <v>1135753</v>
      </c>
      <c r="D2760" s="307" t="s">
        <v>10</v>
      </c>
      <c r="E2760" s="323">
        <v>301090080013</v>
      </c>
      <c r="F2760" s="323"/>
      <c r="G2760" s="307"/>
      <c r="H2760" s="307"/>
      <c r="I2760" s="336">
        <v>4</v>
      </c>
      <c r="J2760" s="336"/>
      <c r="K2760" s="307" t="s">
        <v>8</v>
      </c>
      <c r="P2760" s="290">
        <f t="shared" si="13"/>
        <v>7</v>
      </c>
      <c r="Q2760" s="307"/>
      <c r="R2760" s="307"/>
      <c r="S2760" s="307"/>
      <c r="T2760" s="307"/>
      <c r="U2760" s="307"/>
      <c r="V2760" s="307"/>
      <c r="W2760" s="307"/>
      <c r="X2760" s="307"/>
      <c r="Y2760" s="307"/>
      <c r="Z2760" s="307"/>
      <c r="AA2760" s="307"/>
      <c r="AB2760" s="307"/>
      <c r="AC2760" s="307"/>
      <c r="AD2760" s="307"/>
      <c r="AE2760" s="307"/>
      <c r="AF2760" s="307"/>
      <c r="AG2760" s="14"/>
      <c r="AH2760" s="14"/>
      <c r="AI2760" s="14"/>
      <c r="AJ2760" s="14"/>
      <c r="AK2760" s="14"/>
    </row>
    <row r="2761" spans="2:37" ht="14.25" customHeight="1" x14ac:dyDescent="0.25">
      <c r="B2761" s="307">
        <v>273698</v>
      </c>
      <c r="C2761" s="307">
        <v>1135752</v>
      </c>
      <c r="D2761" s="307" t="s">
        <v>36</v>
      </c>
      <c r="E2761" s="323">
        <v>701040120042</v>
      </c>
      <c r="F2761" s="323"/>
      <c r="G2761" s="307"/>
      <c r="H2761" s="307"/>
      <c r="I2761" s="336">
        <v>0</v>
      </c>
      <c r="J2761" s="336"/>
      <c r="K2761" s="307" t="s">
        <v>8</v>
      </c>
      <c r="P2761" s="290">
        <f t="shared" si="13"/>
        <v>8</v>
      </c>
      <c r="Q2761" s="307"/>
      <c r="R2761" s="307"/>
      <c r="S2761" s="322"/>
      <c r="T2761" s="322"/>
      <c r="U2761" s="322"/>
      <c r="V2761" s="322"/>
      <c r="W2761" s="322"/>
      <c r="X2761" s="322"/>
      <c r="Y2761" s="322"/>
      <c r="Z2761" s="322"/>
      <c r="AG2761" s="14"/>
      <c r="AH2761" s="14"/>
      <c r="AI2761" s="14"/>
      <c r="AJ2761" s="14"/>
      <c r="AK2761" s="14"/>
    </row>
    <row r="2762" spans="2:37" ht="14.25" customHeight="1" x14ac:dyDescent="0.25">
      <c r="B2762" s="307">
        <v>273698</v>
      </c>
      <c r="C2762" s="307">
        <v>1135752</v>
      </c>
      <c r="D2762" s="307" t="s">
        <v>11</v>
      </c>
      <c r="E2762" s="323">
        <v>701040120047</v>
      </c>
      <c r="F2762" s="323"/>
      <c r="G2762" s="307"/>
      <c r="H2762" s="307"/>
      <c r="I2762" s="336">
        <v>1</v>
      </c>
      <c r="J2762" s="336"/>
      <c r="K2762" s="307" t="s">
        <v>8</v>
      </c>
      <c r="P2762" s="290">
        <f t="shared" si="13"/>
        <v>9</v>
      </c>
      <c r="Q2762" s="307"/>
      <c r="R2762" s="307"/>
      <c r="S2762" s="322"/>
      <c r="T2762" s="322"/>
      <c r="U2762" s="322"/>
      <c r="V2762" s="322"/>
      <c r="W2762" s="322"/>
      <c r="X2762" s="322"/>
      <c r="Y2762" s="322"/>
      <c r="Z2762" s="322"/>
      <c r="AG2762" s="14"/>
      <c r="AH2762" s="14"/>
      <c r="AI2762" s="14"/>
      <c r="AJ2762" s="14"/>
      <c r="AK2762" s="14"/>
    </row>
    <row r="2763" spans="2:37" x14ac:dyDescent="0.25">
      <c r="B2763" s="307">
        <v>273680</v>
      </c>
      <c r="C2763" s="307">
        <v>1135751</v>
      </c>
      <c r="D2763" s="307" t="s">
        <v>88</v>
      </c>
      <c r="E2763" s="323" t="s">
        <v>89</v>
      </c>
      <c r="F2763" s="323"/>
      <c r="G2763" s="307"/>
      <c r="H2763" s="307"/>
      <c r="I2763" s="336">
        <v>0</v>
      </c>
      <c r="J2763" s="336"/>
      <c r="K2763" s="307" t="s">
        <v>14</v>
      </c>
      <c r="P2763" s="290">
        <v>10</v>
      </c>
      <c r="Q2763" s="307"/>
      <c r="R2763" s="307"/>
      <c r="S2763" s="58" t="s">
        <v>41</v>
      </c>
      <c r="T2763" s="58"/>
      <c r="U2763" s="58" t="s">
        <v>42</v>
      </c>
      <c r="V2763" s="58" t="s">
        <v>69</v>
      </c>
      <c r="W2763" s="58"/>
      <c r="X2763" s="58"/>
      <c r="Y2763" s="58"/>
      <c r="Z2763" s="58"/>
      <c r="AA2763" s="58" t="s">
        <v>44</v>
      </c>
      <c r="AB2763" s="58" t="s">
        <v>45</v>
      </c>
      <c r="AC2763" s="58"/>
      <c r="AD2763" s="58" t="s">
        <v>46</v>
      </c>
      <c r="AE2763" s="58" t="s">
        <v>47</v>
      </c>
      <c r="AF2763" s="58" t="s">
        <v>48</v>
      </c>
      <c r="AG2763" s="14"/>
      <c r="AH2763" s="14"/>
      <c r="AI2763" s="14"/>
      <c r="AJ2763" s="14"/>
      <c r="AK2763" s="14"/>
    </row>
    <row r="2764" spans="2:37" x14ac:dyDescent="0.25">
      <c r="B2764" s="307">
        <v>273680</v>
      </c>
      <c r="C2764" s="307">
        <v>1135751</v>
      </c>
      <c r="D2764" s="307" t="s">
        <v>12</v>
      </c>
      <c r="E2764" s="323" t="s">
        <v>13</v>
      </c>
      <c r="F2764" s="323"/>
      <c r="G2764" s="307"/>
      <c r="H2764" s="307"/>
      <c r="I2764" s="336">
        <v>12</v>
      </c>
      <c r="J2764" s="336"/>
      <c r="K2764" s="307" t="s">
        <v>14</v>
      </c>
      <c r="S2764" s="307" t="s">
        <v>101</v>
      </c>
      <c r="T2764" s="307"/>
      <c r="U2764" s="307"/>
      <c r="V2764" s="307"/>
      <c r="W2764" s="307"/>
      <c r="X2764" s="307"/>
      <c r="Y2764" s="307"/>
      <c r="Z2764" s="307"/>
      <c r="AA2764" s="307" t="s">
        <v>95</v>
      </c>
      <c r="AB2764" s="307" t="s">
        <v>104</v>
      </c>
      <c r="AC2764" s="307"/>
      <c r="AD2764" s="58"/>
      <c r="AE2764" s="332">
        <v>206</v>
      </c>
      <c r="AF2764" s="332">
        <v>18366</v>
      </c>
      <c r="AG2764" s="14"/>
      <c r="AH2764" s="14"/>
      <c r="AI2764" s="14"/>
      <c r="AJ2764" s="14"/>
      <c r="AK2764" s="14"/>
    </row>
    <row r="2765" spans="2:37" x14ac:dyDescent="0.25">
      <c r="B2765" s="312" t="s">
        <v>67</v>
      </c>
      <c r="E2765" s="331"/>
      <c r="F2765" s="331"/>
      <c r="I2765" s="331"/>
      <c r="J2765" s="331"/>
      <c r="S2765" s="307" t="s">
        <v>102</v>
      </c>
      <c r="T2765" s="307"/>
      <c r="U2765" s="307"/>
      <c r="V2765" s="307"/>
      <c r="W2765" s="307"/>
      <c r="X2765" s="307"/>
      <c r="Y2765" s="307"/>
      <c r="Z2765" s="307"/>
      <c r="AA2765" s="307"/>
      <c r="AB2765" s="307"/>
      <c r="AC2765" s="307"/>
      <c r="AD2765" s="58"/>
      <c r="AE2765" s="332">
        <v>213</v>
      </c>
      <c r="AF2765" s="332">
        <v>18367</v>
      </c>
      <c r="AG2765" s="14"/>
      <c r="AH2765" s="14"/>
      <c r="AI2765" s="14"/>
      <c r="AJ2765" s="14"/>
      <c r="AK2765" s="14"/>
    </row>
    <row r="2766" spans="2:37" x14ac:dyDescent="0.25">
      <c r="P2766" s="312" t="s">
        <v>39</v>
      </c>
      <c r="Q2766" s="58" t="s">
        <v>40</v>
      </c>
      <c r="R2766" s="58"/>
      <c r="S2766" s="307" t="s">
        <v>105</v>
      </c>
      <c r="T2766" s="307"/>
      <c r="U2766" s="307"/>
      <c r="V2766" s="307"/>
      <c r="W2766" s="307"/>
      <c r="X2766" s="307"/>
      <c r="Y2766" s="307"/>
      <c r="Z2766" s="307"/>
      <c r="AA2766" s="307"/>
      <c r="AB2766" s="307"/>
      <c r="AC2766" s="307"/>
      <c r="AD2766" s="58"/>
      <c r="AE2766" s="307"/>
      <c r="AF2766" s="332">
        <v>14723</v>
      </c>
      <c r="AG2766" s="14"/>
      <c r="AH2766" s="14"/>
      <c r="AI2766" s="14"/>
      <c r="AJ2766" s="14"/>
      <c r="AK2766" s="14"/>
    </row>
    <row r="2767" spans="2:37" x14ac:dyDescent="0.25">
      <c r="B2767" s="322" t="s">
        <v>18</v>
      </c>
      <c r="C2767" s="325">
        <v>44391</v>
      </c>
      <c r="P2767" s="290">
        <v>1</v>
      </c>
      <c r="Q2767" s="307">
        <v>18495</v>
      </c>
      <c r="R2767" s="307"/>
      <c r="S2767" s="307" t="s">
        <v>99</v>
      </c>
      <c r="T2767" s="307"/>
      <c r="U2767" s="307"/>
      <c r="V2767" s="307"/>
      <c r="W2767" s="307"/>
      <c r="X2767" s="307"/>
      <c r="Y2767" s="307"/>
      <c r="Z2767" s="307"/>
      <c r="AA2767" s="307"/>
      <c r="AB2767" s="307"/>
      <c r="AC2767" s="307"/>
      <c r="AD2767" s="58"/>
      <c r="AE2767" s="332">
        <v>212</v>
      </c>
      <c r="AF2767" s="335" t="s">
        <v>83</v>
      </c>
      <c r="AG2767" s="14"/>
      <c r="AH2767" s="14"/>
      <c r="AI2767" s="14"/>
      <c r="AJ2767" s="14"/>
      <c r="AK2767" s="14"/>
    </row>
    <row r="2768" spans="2:37" x14ac:dyDescent="0.25">
      <c r="B2768" s="308" t="s">
        <v>0</v>
      </c>
      <c r="C2768" s="308" t="s">
        <v>1</v>
      </c>
      <c r="D2768" s="308" t="s">
        <v>2</v>
      </c>
      <c r="E2768" s="308" t="s">
        <v>3</v>
      </c>
      <c r="F2768" s="308"/>
      <c r="G2768" s="308" t="s">
        <v>66</v>
      </c>
      <c r="H2768" s="308"/>
      <c r="I2768" s="308" t="s">
        <v>5</v>
      </c>
      <c r="J2768" s="308"/>
      <c r="K2768" s="308" t="s">
        <v>6</v>
      </c>
      <c r="P2768" s="290">
        <f>1+P2767</f>
        <v>2</v>
      </c>
      <c r="Q2768" s="307">
        <v>18496</v>
      </c>
      <c r="R2768" s="307"/>
      <c r="S2768" s="307" t="s">
        <v>100</v>
      </c>
      <c r="T2768" s="307"/>
      <c r="U2768" s="307"/>
      <c r="V2768" s="307"/>
      <c r="W2768" s="307"/>
      <c r="X2768" s="307"/>
      <c r="Y2768" s="307"/>
      <c r="Z2768" s="307"/>
      <c r="AA2768" s="307"/>
      <c r="AB2768" s="307"/>
      <c r="AC2768" s="307"/>
      <c r="AD2768" s="58"/>
      <c r="AE2768" s="307"/>
      <c r="AF2768" s="307"/>
      <c r="AG2768" s="14"/>
      <c r="AH2768" s="14"/>
      <c r="AI2768" s="14"/>
      <c r="AJ2768" s="14"/>
      <c r="AK2768" s="14"/>
    </row>
    <row r="2769" spans="2:37" x14ac:dyDescent="0.25">
      <c r="B2769" s="307">
        <v>273664</v>
      </c>
      <c r="C2769" s="307">
        <v>1135749</v>
      </c>
      <c r="D2769" s="307" t="s">
        <v>7</v>
      </c>
      <c r="E2769" s="323">
        <v>6060090013</v>
      </c>
      <c r="F2769" s="323"/>
      <c r="G2769" s="307"/>
      <c r="H2769" s="307"/>
      <c r="I2769" s="336">
        <v>5</v>
      </c>
      <c r="J2769" s="336"/>
      <c r="K2769" s="307" t="s">
        <v>8</v>
      </c>
      <c r="L2769" s="312"/>
      <c r="M2769" s="312"/>
      <c r="N2769" s="312"/>
      <c r="O2769" s="312"/>
      <c r="P2769" s="290">
        <f t="shared" ref="P2769:P2775" si="14">1+P2768</f>
        <v>3</v>
      </c>
      <c r="Q2769" s="307">
        <v>18624</v>
      </c>
      <c r="R2769" s="307"/>
      <c r="S2769" s="307" t="s">
        <v>103</v>
      </c>
      <c r="T2769" s="307"/>
      <c r="U2769" s="307"/>
      <c r="V2769" s="307"/>
      <c r="W2769" s="307"/>
      <c r="X2769" s="307"/>
      <c r="Y2769" s="307"/>
      <c r="Z2769" s="307"/>
      <c r="AA2769" s="307"/>
      <c r="AB2769" s="307"/>
      <c r="AC2769" s="307"/>
      <c r="AD2769" s="307"/>
      <c r="AE2769" s="307"/>
      <c r="AF2769" s="307"/>
      <c r="AG2769" s="14"/>
      <c r="AH2769" s="14"/>
      <c r="AI2769" s="14"/>
      <c r="AJ2769" s="14"/>
      <c r="AK2769" s="14"/>
    </row>
    <row r="2770" spans="2:37" x14ac:dyDescent="0.25">
      <c r="B2770" s="307">
        <v>273672</v>
      </c>
      <c r="C2770" s="307">
        <v>1135750</v>
      </c>
      <c r="D2770" s="307" t="s">
        <v>9</v>
      </c>
      <c r="E2770" s="323">
        <v>204060000206</v>
      </c>
      <c r="F2770" s="323"/>
      <c r="G2770" s="307"/>
      <c r="H2770" s="307"/>
      <c r="I2770" s="336">
        <v>0</v>
      </c>
      <c r="J2770" s="336"/>
      <c r="K2770" s="307" t="s">
        <v>8</v>
      </c>
      <c r="P2770" s="290">
        <f t="shared" si="14"/>
        <v>4</v>
      </c>
      <c r="Q2770" s="307">
        <v>18864</v>
      </c>
      <c r="R2770" s="307"/>
      <c r="S2770" s="307"/>
      <c r="T2770" s="307"/>
      <c r="U2770" s="307"/>
      <c r="V2770" s="307"/>
      <c r="W2770" s="307"/>
      <c r="X2770" s="307"/>
      <c r="Y2770" s="307"/>
      <c r="Z2770" s="307"/>
      <c r="AA2770" s="307"/>
      <c r="AB2770" s="307"/>
      <c r="AC2770" s="307"/>
      <c r="AD2770" s="307"/>
      <c r="AE2770" s="307"/>
      <c r="AF2770" s="307"/>
      <c r="AG2770" s="14"/>
      <c r="AH2770" s="14"/>
      <c r="AI2770" s="14"/>
      <c r="AJ2770" s="14"/>
      <c r="AK2770" s="14"/>
    </row>
    <row r="2771" spans="2:37" x14ac:dyDescent="0.25">
      <c r="B2771" s="307"/>
      <c r="C2771" s="307">
        <v>1135750</v>
      </c>
      <c r="D2771" s="307" t="s">
        <v>9</v>
      </c>
      <c r="E2771" s="323">
        <v>204060000058</v>
      </c>
      <c r="F2771" s="323"/>
      <c r="G2771" s="307"/>
      <c r="H2771" s="307"/>
      <c r="I2771" s="336">
        <v>4</v>
      </c>
      <c r="J2771" s="336"/>
      <c r="K2771" s="307" t="s">
        <v>8</v>
      </c>
      <c r="P2771" s="290">
        <f t="shared" si="14"/>
        <v>5</v>
      </c>
      <c r="Q2771" s="307">
        <v>18863</v>
      </c>
      <c r="R2771" s="307"/>
      <c r="S2771" s="307"/>
      <c r="T2771" s="307"/>
      <c r="U2771" s="307"/>
      <c r="V2771" s="307"/>
      <c r="W2771" s="307"/>
      <c r="X2771" s="307"/>
      <c r="Y2771" s="307"/>
      <c r="Z2771" s="307"/>
      <c r="AA2771" s="307"/>
      <c r="AB2771" s="307"/>
      <c r="AC2771" s="307"/>
      <c r="AD2771" s="307"/>
      <c r="AE2771" s="307"/>
      <c r="AF2771" s="307"/>
      <c r="AG2771" s="14"/>
      <c r="AH2771" s="14"/>
      <c r="AI2771" s="14"/>
      <c r="AJ2771" s="14"/>
      <c r="AK2771" s="14"/>
    </row>
    <row r="2772" spans="2:37" x14ac:dyDescent="0.25">
      <c r="B2772" s="307"/>
      <c r="C2772" s="307">
        <v>1290399</v>
      </c>
      <c r="D2772" s="307" t="s">
        <v>35</v>
      </c>
      <c r="E2772" s="323">
        <v>204060000111</v>
      </c>
      <c r="F2772" s="323"/>
      <c r="G2772" s="307"/>
      <c r="H2772" s="307"/>
      <c r="I2772" s="336">
        <v>0</v>
      </c>
      <c r="J2772" s="336"/>
      <c r="K2772" s="307" t="s">
        <v>8</v>
      </c>
      <c r="P2772" s="290">
        <f t="shared" si="14"/>
        <v>6</v>
      </c>
      <c r="Q2772" s="307">
        <v>18862</v>
      </c>
      <c r="R2772" s="307"/>
      <c r="S2772" s="307"/>
      <c r="T2772" s="307"/>
      <c r="U2772" s="307"/>
      <c r="V2772" s="307"/>
      <c r="W2772" s="307"/>
      <c r="X2772" s="307"/>
      <c r="Y2772" s="307"/>
      <c r="Z2772" s="307"/>
      <c r="AA2772" s="307"/>
      <c r="AB2772" s="307"/>
      <c r="AC2772" s="307"/>
      <c r="AD2772" s="307"/>
      <c r="AE2772" s="307"/>
      <c r="AF2772" s="307"/>
      <c r="AG2772" s="14"/>
      <c r="AH2772" s="14"/>
      <c r="AI2772" s="14"/>
      <c r="AJ2772" s="14"/>
      <c r="AK2772" s="14"/>
    </row>
    <row r="2773" spans="2:37" x14ac:dyDescent="0.25">
      <c r="B2773" s="307">
        <v>273702</v>
      </c>
      <c r="C2773" s="307">
        <v>1135753</v>
      </c>
      <c r="D2773" s="307" t="s">
        <v>10</v>
      </c>
      <c r="E2773" s="323">
        <v>301090080013</v>
      </c>
      <c r="F2773" s="323"/>
      <c r="G2773" s="307"/>
      <c r="H2773" s="307"/>
      <c r="I2773" s="336">
        <v>4</v>
      </c>
      <c r="J2773" s="336"/>
      <c r="K2773" s="307" t="s">
        <v>8</v>
      </c>
      <c r="P2773" s="290">
        <f t="shared" si="14"/>
        <v>7</v>
      </c>
      <c r="Q2773" s="307"/>
      <c r="R2773" s="307"/>
      <c r="S2773" s="307"/>
      <c r="T2773" s="307"/>
      <c r="U2773" s="307"/>
      <c r="V2773" s="307"/>
      <c r="W2773" s="307"/>
      <c r="X2773" s="307"/>
      <c r="Y2773" s="307"/>
      <c r="Z2773" s="307"/>
      <c r="AA2773" s="307"/>
      <c r="AB2773" s="307"/>
      <c r="AC2773" s="307"/>
      <c r="AD2773" s="307"/>
      <c r="AE2773" s="307"/>
      <c r="AF2773" s="307"/>
      <c r="AG2773" s="14"/>
      <c r="AH2773" s="14"/>
      <c r="AI2773" s="14"/>
      <c r="AJ2773" s="14"/>
      <c r="AK2773" s="14"/>
    </row>
    <row r="2774" spans="2:37" x14ac:dyDescent="0.25">
      <c r="B2774" s="307">
        <v>273698</v>
      </c>
      <c r="C2774" s="307">
        <v>1135752</v>
      </c>
      <c r="D2774" s="307" t="s">
        <v>36</v>
      </c>
      <c r="E2774" s="323">
        <v>701040120042</v>
      </c>
      <c r="F2774" s="323"/>
      <c r="G2774" s="307"/>
      <c r="H2774" s="307"/>
      <c r="I2774" s="336">
        <v>0</v>
      </c>
      <c r="J2774" s="336"/>
      <c r="K2774" s="307" t="s">
        <v>8</v>
      </c>
      <c r="P2774" s="290">
        <f t="shared" si="14"/>
        <v>8</v>
      </c>
      <c r="Q2774" s="307"/>
      <c r="R2774" s="307"/>
      <c r="S2774" s="312">
        <f>COUNTA(S2764:S2773)</f>
        <v>6</v>
      </c>
      <c r="T2774" s="312"/>
      <c r="U2774" s="312">
        <f>COUNTA(U2764:U2772)</f>
        <v>0</v>
      </c>
      <c r="V2774" s="312">
        <f>COUNTA(V2764:V2772)</f>
        <v>0</v>
      </c>
      <c r="W2774" s="312"/>
      <c r="X2774" s="312"/>
      <c r="Y2774" s="312"/>
      <c r="Z2774" s="312"/>
      <c r="AA2774" s="312">
        <v>15</v>
      </c>
      <c r="AB2774" s="312">
        <v>3</v>
      </c>
      <c r="AC2774" s="312"/>
      <c r="AD2774" s="312">
        <v>0</v>
      </c>
      <c r="AE2774" s="312">
        <f>COUNT(AE2764:AE2772)</f>
        <v>3</v>
      </c>
      <c r="AF2774" s="312">
        <v>2</v>
      </c>
      <c r="AG2774" s="14"/>
      <c r="AH2774" s="14"/>
      <c r="AI2774" s="14"/>
      <c r="AJ2774" s="14"/>
      <c r="AK2774" s="14"/>
    </row>
    <row r="2775" spans="2:37" x14ac:dyDescent="0.25">
      <c r="B2775" s="307">
        <v>273698</v>
      </c>
      <c r="C2775" s="307">
        <v>1135752</v>
      </c>
      <c r="D2775" s="307" t="s">
        <v>11</v>
      </c>
      <c r="E2775" s="323">
        <v>701040120047</v>
      </c>
      <c r="F2775" s="323"/>
      <c r="G2775" s="307"/>
      <c r="H2775" s="307"/>
      <c r="I2775" s="336">
        <v>1</v>
      </c>
      <c r="J2775" s="336"/>
      <c r="K2775" s="307" t="s">
        <v>8</v>
      </c>
      <c r="P2775" s="290">
        <f t="shared" si="14"/>
        <v>9</v>
      </c>
      <c r="Q2775" s="307"/>
      <c r="R2775" s="307"/>
      <c r="AG2775" s="14"/>
      <c r="AH2775" s="14"/>
      <c r="AI2775" s="14"/>
      <c r="AJ2775" s="14"/>
      <c r="AK2775" s="14"/>
    </row>
    <row r="2776" spans="2:37" ht="14.25" customHeight="1" x14ac:dyDescent="0.25">
      <c r="B2776" s="307">
        <v>273680</v>
      </c>
      <c r="C2776" s="307">
        <v>1135751</v>
      </c>
      <c r="D2776" s="307" t="s">
        <v>88</v>
      </c>
      <c r="E2776" s="323" t="s">
        <v>89</v>
      </c>
      <c r="F2776" s="323"/>
      <c r="G2776" s="307"/>
      <c r="H2776" s="307"/>
      <c r="I2776" s="336">
        <v>0</v>
      </c>
      <c r="J2776" s="336"/>
      <c r="K2776" s="307" t="s">
        <v>14</v>
      </c>
      <c r="P2776" s="290">
        <v>10</v>
      </c>
      <c r="Q2776" s="307"/>
      <c r="R2776" s="307"/>
      <c r="S2776" s="322"/>
      <c r="T2776" s="322"/>
      <c r="U2776" s="322"/>
      <c r="V2776" s="322"/>
      <c r="W2776" s="322"/>
      <c r="X2776" s="322"/>
      <c r="Y2776" s="322"/>
      <c r="Z2776" s="322"/>
      <c r="AG2776" s="14"/>
      <c r="AH2776" s="14"/>
      <c r="AI2776" s="14"/>
      <c r="AJ2776" s="14"/>
      <c r="AK2776" s="14"/>
    </row>
    <row r="2777" spans="2:37" x14ac:dyDescent="0.25">
      <c r="B2777" s="307">
        <v>273680</v>
      </c>
      <c r="C2777" s="307">
        <v>1135751</v>
      </c>
      <c r="D2777" s="307" t="s">
        <v>12</v>
      </c>
      <c r="E2777" s="323" t="s">
        <v>13</v>
      </c>
      <c r="F2777" s="323"/>
      <c r="G2777" s="307"/>
      <c r="H2777" s="307"/>
      <c r="I2777" s="336">
        <v>15</v>
      </c>
      <c r="J2777" s="336"/>
      <c r="K2777" s="307" t="s">
        <v>14</v>
      </c>
      <c r="S2777" s="58" t="s">
        <v>41</v>
      </c>
      <c r="T2777" s="58"/>
      <c r="U2777" s="58" t="s">
        <v>42</v>
      </c>
      <c r="V2777" s="58" t="s">
        <v>69</v>
      </c>
      <c r="W2777" s="58"/>
      <c r="X2777" s="58"/>
      <c r="Y2777" s="58"/>
      <c r="Z2777" s="58"/>
      <c r="AA2777" s="58" t="s">
        <v>44</v>
      </c>
      <c r="AB2777" s="58" t="s">
        <v>45</v>
      </c>
      <c r="AC2777" s="58"/>
      <c r="AD2777" s="58" t="s">
        <v>46</v>
      </c>
      <c r="AE2777" s="58" t="s">
        <v>47</v>
      </c>
      <c r="AF2777" s="58" t="s">
        <v>48</v>
      </c>
      <c r="AG2777" s="14"/>
      <c r="AH2777" s="14"/>
      <c r="AI2777" s="14"/>
      <c r="AJ2777" s="14"/>
      <c r="AK2777" s="14"/>
    </row>
    <row r="2778" spans="2:37" x14ac:dyDescent="0.25">
      <c r="B2778" s="312" t="s">
        <v>67</v>
      </c>
      <c r="E2778" s="331"/>
      <c r="F2778" s="331"/>
      <c r="I2778" s="331"/>
      <c r="J2778" s="331"/>
      <c r="S2778" s="307" t="s">
        <v>101</v>
      </c>
      <c r="T2778" s="307"/>
      <c r="U2778" s="307"/>
      <c r="V2778" s="307"/>
      <c r="W2778" s="307"/>
      <c r="X2778" s="307"/>
      <c r="Y2778" s="307"/>
      <c r="Z2778" s="307"/>
      <c r="AA2778" s="307" t="s">
        <v>95</v>
      </c>
      <c r="AB2778" s="307" t="s">
        <v>104</v>
      </c>
      <c r="AC2778" s="307"/>
      <c r="AD2778" s="58"/>
      <c r="AE2778" s="332">
        <v>206</v>
      </c>
      <c r="AF2778" s="332">
        <v>18366</v>
      </c>
      <c r="AG2778" s="14"/>
      <c r="AH2778" s="14"/>
      <c r="AI2778" s="14"/>
      <c r="AJ2778" s="14"/>
      <c r="AK2778" s="14"/>
    </row>
    <row r="2779" spans="2:37" x14ac:dyDescent="0.25">
      <c r="P2779" s="312" t="s">
        <v>39</v>
      </c>
      <c r="Q2779" s="58" t="s">
        <v>40</v>
      </c>
      <c r="R2779" s="58"/>
      <c r="S2779" s="307" t="s">
        <v>102</v>
      </c>
      <c r="T2779" s="307"/>
      <c r="U2779" s="307"/>
      <c r="V2779" s="307"/>
      <c r="W2779" s="307"/>
      <c r="X2779" s="307"/>
      <c r="Y2779" s="307"/>
      <c r="Z2779" s="307"/>
      <c r="AA2779" s="307"/>
      <c r="AB2779" s="307"/>
      <c r="AC2779" s="307"/>
      <c r="AD2779" s="58"/>
      <c r="AE2779" s="332">
        <v>213</v>
      </c>
      <c r="AF2779" s="332">
        <v>18367</v>
      </c>
      <c r="AG2779" s="14"/>
      <c r="AH2779" s="14"/>
      <c r="AI2779" s="14"/>
      <c r="AJ2779" s="14"/>
      <c r="AK2779" s="14"/>
    </row>
    <row r="2780" spans="2:37" x14ac:dyDescent="0.25">
      <c r="B2780" s="322" t="s">
        <v>18</v>
      </c>
      <c r="C2780" s="325">
        <v>44378</v>
      </c>
      <c r="P2780" s="290">
        <v>1</v>
      </c>
      <c r="Q2780" s="307">
        <v>18495</v>
      </c>
      <c r="R2780" s="307"/>
      <c r="S2780" s="307" t="s">
        <v>105</v>
      </c>
      <c r="T2780" s="307"/>
      <c r="U2780" s="307"/>
      <c r="V2780" s="307"/>
      <c r="W2780" s="307"/>
      <c r="X2780" s="307"/>
      <c r="Y2780" s="307"/>
      <c r="Z2780" s="307"/>
      <c r="AA2780" s="307"/>
      <c r="AB2780" s="307"/>
      <c r="AC2780" s="307"/>
      <c r="AD2780" s="58"/>
      <c r="AE2780" s="307"/>
      <c r="AF2780" s="332">
        <v>14723</v>
      </c>
      <c r="AG2780" s="14"/>
      <c r="AH2780" s="14"/>
      <c r="AI2780" s="14"/>
      <c r="AJ2780" s="14"/>
      <c r="AK2780" s="14"/>
    </row>
    <row r="2781" spans="2:37" x14ac:dyDescent="0.25">
      <c r="B2781" s="308" t="s">
        <v>0</v>
      </c>
      <c r="C2781" s="308" t="s">
        <v>1</v>
      </c>
      <c r="D2781" s="308" t="s">
        <v>2</v>
      </c>
      <c r="E2781" s="308" t="s">
        <v>3</v>
      </c>
      <c r="F2781" s="308"/>
      <c r="G2781" s="308" t="s">
        <v>66</v>
      </c>
      <c r="H2781" s="308"/>
      <c r="I2781" s="308" t="s">
        <v>5</v>
      </c>
      <c r="J2781" s="308"/>
      <c r="K2781" s="308" t="s">
        <v>6</v>
      </c>
      <c r="P2781" s="290">
        <f>1+P2780</f>
        <v>2</v>
      </c>
      <c r="Q2781" s="307">
        <v>18496</v>
      </c>
      <c r="R2781" s="307"/>
      <c r="S2781" s="307" t="s">
        <v>99</v>
      </c>
      <c r="T2781" s="307"/>
      <c r="U2781" s="307"/>
      <c r="V2781" s="307"/>
      <c r="W2781" s="307"/>
      <c r="X2781" s="307"/>
      <c r="Y2781" s="307"/>
      <c r="Z2781" s="307"/>
      <c r="AA2781" s="307"/>
      <c r="AB2781" s="307"/>
      <c r="AC2781" s="307"/>
      <c r="AD2781" s="58"/>
      <c r="AE2781" s="332">
        <v>212</v>
      </c>
      <c r="AF2781" s="335" t="s">
        <v>83</v>
      </c>
      <c r="AG2781" s="14"/>
      <c r="AH2781" s="14"/>
      <c r="AI2781" s="14"/>
      <c r="AJ2781" s="14"/>
      <c r="AK2781" s="14"/>
    </row>
    <row r="2782" spans="2:37" x14ac:dyDescent="0.25">
      <c r="B2782" s="307">
        <v>273664</v>
      </c>
      <c r="C2782" s="307">
        <v>1135749</v>
      </c>
      <c r="D2782" s="307" t="s">
        <v>7</v>
      </c>
      <c r="E2782" s="323">
        <v>6060090013</v>
      </c>
      <c r="F2782" s="323"/>
      <c r="G2782" s="307"/>
      <c r="H2782" s="307"/>
      <c r="I2782" s="336">
        <v>6</v>
      </c>
      <c r="J2782" s="336"/>
      <c r="K2782" s="307" t="s">
        <v>8</v>
      </c>
      <c r="L2782" s="312"/>
      <c r="M2782" s="312"/>
      <c r="N2782" s="312"/>
      <c r="O2782" s="312"/>
      <c r="P2782" s="290">
        <f t="shared" ref="P2782:P2788" si="15">1+P2781</f>
        <v>3</v>
      </c>
      <c r="Q2782" s="307">
        <v>18624</v>
      </c>
      <c r="R2782" s="307"/>
      <c r="S2782" s="307" t="s">
        <v>100</v>
      </c>
      <c r="T2782" s="307"/>
      <c r="U2782" s="307"/>
      <c r="V2782" s="307"/>
      <c r="W2782" s="307"/>
      <c r="X2782" s="307"/>
      <c r="Y2782" s="307"/>
      <c r="Z2782" s="307"/>
      <c r="AA2782" s="307"/>
      <c r="AB2782" s="307"/>
      <c r="AC2782" s="307"/>
      <c r="AD2782" s="58"/>
      <c r="AE2782" s="307"/>
      <c r="AF2782" s="307"/>
      <c r="AG2782" s="14"/>
      <c r="AH2782" s="14"/>
      <c r="AI2782" s="14"/>
      <c r="AJ2782" s="14"/>
      <c r="AK2782" s="14"/>
    </row>
    <row r="2783" spans="2:37" x14ac:dyDescent="0.25">
      <c r="B2783" s="307">
        <v>273672</v>
      </c>
      <c r="C2783" s="307">
        <v>1135750</v>
      </c>
      <c r="D2783" s="307" t="s">
        <v>9</v>
      </c>
      <c r="E2783" s="323">
        <v>204060000206</v>
      </c>
      <c r="F2783" s="323"/>
      <c r="G2783" s="307"/>
      <c r="H2783" s="307"/>
      <c r="I2783" s="336">
        <v>0</v>
      </c>
      <c r="J2783" s="336"/>
      <c r="K2783" s="307" t="s">
        <v>8</v>
      </c>
      <c r="P2783" s="290">
        <f t="shared" si="15"/>
        <v>4</v>
      </c>
      <c r="Q2783" s="337">
        <v>18864</v>
      </c>
      <c r="R2783" s="337"/>
      <c r="S2783" s="307" t="s">
        <v>103</v>
      </c>
      <c r="T2783" s="307"/>
      <c r="U2783" s="307"/>
      <c r="V2783" s="307"/>
      <c r="W2783" s="307"/>
      <c r="X2783" s="307"/>
      <c r="Y2783" s="307"/>
      <c r="Z2783" s="307"/>
      <c r="AA2783" s="307"/>
      <c r="AB2783" s="307"/>
      <c r="AC2783" s="307"/>
      <c r="AD2783" s="307"/>
      <c r="AE2783" s="307"/>
      <c r="AF2783" s="307"/>
      <c r="AG2783" s="14"/>
      <c r="AH2783" s="14"/>
      <c r="AI2783" s="14"/>
      <c r="AJ2783" s="14"/>
      <c r="AK2783" s="14"/>
    </row>
    <row r="2784" spans="2:37" x14ac:dyDescent="0.25">
      <c r="B2784" s="307"/>
      <c r="C2784" s="307">
        <v>1135750</v>
      </c>
      <c r="D2784" s="307" t="s">
        <v>9</v>
      </c>
      <c r="E2784" s="323">
        <v>204060000058</v>
      </c>
      <c r="F2784" s="323"/>
      <c r="G2784" s="307"/>
      <c r="H2784" s="307"/>
      <c r="I2784" s="336">
        <v>6</v>
      </c>
      <c r="J2784" s="336"/>
      <c r="K2784" s="307" t="s">
        <v>8</v>
      </c>
      <c r="P2784" s="290">
        <f t="shared" si="15"/>
        <v>5</v>
      </c>
      <c r="Q2784" s="337">
        <v>18863</v>
      </c>
      <c r="R2784" s="337"/>
      <c r="S2784" s="307" t="s">
        <v>108</v>
      </c>
      <c r="T2784" s="307"/>
      <c r="U2784" s="307"/>
      <c r="V2784" s="307"/>
      <c r="W2784" s="307"/>
      <c r="X2784" s="307"/>
      <c r="Y2784" s="307"/>
      <c r="Z2784" s="307"/>
      <c r="AA2784" s="307"/>
      <c r="AB2784" s="307"/>
      <c r="AC2784" s="307"/>
      <c r="AD2784" s="307"/>
      <c r="AE2784" s="307"/>
      <c r="AF2784" s="307"/>
      <c r="AG2784" s="14"/>
      <c r="AH2784" s="14"/>
      <c r="AI2784" s="14"/>
      <c r="AJ2784" s="14"/>
      <c r="AK2784" s="14"/>
    </row>
    <row r="2785" spans="2:37" x14ac:dyDescent="0.25">
      <c r="B2785" s="307"/>
      <c r="C2785" s="307">
        <v>1290399</v>
      </c>
      <c r="D2785" s="307" t="s">
        <v>35</v>
      </c>
      <c r="E2785" s="323">
        <v>204060000111</v>
      </c>
      <c r="F2785" s="323"/>
      <c r="G2785" s="307"/>
      <c r="H2785" s="307"/>
      <c r="I2785" s="336">
        <v>0</v>
      </c>
      <c r="J2785" s="336"/>
      <c r="K2785" s="307" t="s">
        <v>8</v>
      </c>
      <c r="P2785" s="290">
        <f t="shared" si="15"/>
        <v>6</v>
      </c>
      <c r="Q2785" s="337">
        <v>18862</v>
      </c>
      <c r="R2785" s="337"/>
      <c r="S2785" s="307" t="s">
        <v>109</v>
      </c>
      <c r="T2785" s="307"/>
      <c r="U2785" s="307"/>
      <c r="V2785" s="307"/>
      <c r="W2785" s="307"/>
      <c r="X2785" s="307"/>
      <c r="Y2785" s="307"/>
      <c r="Z2785" s="307"/>
      <c r="AA2785" s="307"/>
      <c r="AB2785" s="307"/>
      <c r="AC2785" s="307"/>
      <c r="AD2785" s="307"/>
      <c r="AE2785" s="307"/>
      <c r="AF2785" s="307"/>
      <c r="AG2785" s="14"/>
      <c r="AH2785" s="14"/>
      <c r="AI2785" s="14"/>
      <c r="AJ2785" s="14"/>
      <c r="AK2785" s="14"/>
    </row>
    <row r="2786" spans="2:37" x14ac:dyDescent="0.25">
      <c r="B2786" s="307">
        <v>273702</v>
      </c>
      <c r="C2786" s="307">
        <v>1135753</v>
      </c>
      <c r="D2786" s="307" t="s">
        <v>10</v>
      </c>
      <c r="E2786" s="323">
        <v>301090080013</v>
      </c>
      <c r="F2786" s="323"/>
      <c r="G2786" s="307"/>
      <c r="H2786" s="307"/>
      <c r="I2786" s="336">
        <v>4</v>
      </c>
      <c r="J2786" s="336"/>
      <c r="K2786" s="307" t="s">
        <v>8</v>
      </c>
      <c r="P2786" s="290">
        <f t="shared" si="15"/>
        <v>7</v>
      </c>
      <c r="Q2786" s="307"/>
      <c r="R2786" s="307"/>
      <c r="S2786" s="307" t="s">
        <v>98</v>
      </c>
      <c r="T2786" s="307"/>
      <c r="U2786" s="307"/>
      <c r="V2786" s="307"/>
      <c r="W2786" s="307"/>
      <c r="X2786" s="307"/>
      <c r="Y2786" s="307"/>
      <c r="Z2786" s="307"/>
      <c r="AA2786" s="307"/>
      <c r="AB2786" s="307"/>
      <c r="AC2786" s="307"/>
      <c r="AD2786" s="307"/>
      <c r="AE2786" s="307"/>
      <c r="AF2786" s="307"/>
      <c r="AG2786" s="14"/>
      <c r="AH2786" s="14"/>
      <c r="AI2786" s="14"/>
      <c r="AJ2786" s="14"/>
      <c r="AK2786" s="14"/>
    </row>
    <row r="2787" spans="2:37" x14ac:dyDescent="0.25">
      <c r="B2787" s="307">
        <v>273698</v>
      </c>
      <c r="C2787" s="307">
        <v>1135752</v>
      </c>
      <c r="D2787" s="307" t="s">
        <v>36</v>
      </c>
      <c r="E2787" s="323">
        <v>701040120042</v>
      </c>
      <c r="F2787" s="323"/>
      <c r="G2787" s="307"/>
      <c r="H2787" s="307"/>
      <c r="I2787" s="336">
        <v>0</v>
      </c>
      <c r="J2787" s="336"/>
      <c r="K2787" s="307" t="s">
        <v>8</v>
      </c>
      <c r="P2787" s="290">
        <f t="shared" si="15"/>
        <v>8</v>
      </c>
      <c r="Q2787" s="307"/>
      <c r="R2787" s="307"/>
      <c r="S2787" s="307" t="s">
        <v>97</v>
      </c>
      <c r="T2787" s="307"/>
      <c r="U2787" s="307"/>
      <c r="V2787" s="307"/>
      <c r="W2787" s="307"/>
      <c r="X2787" s="307"/>
      <c r="Y2787" s="307"/>
      <c r="Z2787" s="307"/>
      <c r="AA2787" s="307"/>
      <c r="AB2787" s="307"/>
      <c r="AC2787" s="307"/>
      <c r="AD2787" s="307"/>
      <c r="AE2787" s="307"/>
      <c r="AF2787" s="307"/>
      <c r="AG2787" s="14"/>
      <c r="AH2787" s="14"/>
      <c r="AI2787" s="14"/>
      <c r="AJ2787" s="14"/>
      <c r="AK2787" s="14"/>
    </row>
    <row r="2788" spans="2:37" x14ac:dyDescent="0.25">
      <c r="B2788" s="307">
        <v>273698</v>
      </c>
      <c r="C2788" s="307">
        <v>1135752</v>
      </c>
      <c r="D2788" s="307" t="s">
        <v>11</v>
      </c>
      <c r="E2788" s="323">
        <v>701040120047</v>
      </c>
      <c r="F2788" s="323"/>
      <c r="G2788" s="307"/>
      <c r="H2788" s="307"/>
      <c r="I2788" s="336">
        <v>3</v>
      </c>
      <c r="J2788" s="336"/>
      <c r="K2788" s="307" t="s">
        <v>8</v>
      </c>
      <c r="P2788" s="290">
        <f t="shared" si="15"/>
        <v>9</v>
      </c>
      <c r="Q2788" s="307"/>
      <c r="R2788" s="307"/>
      <c r="S2788" s="312">
        <f>COUNTA(S2778:S2787)</f>
        <v>10</v>
      </c>
      <c r="T2788" s="312"/>
      <c r="U2788" s="312">
        <f>COUNTA(U2778:U2786)</f>
        <v>0</v>
      </c>
      <c r="V2788" s="312">
        <f>COUNTA(V2778:V2786)</f>
        <v>0</v>
      </c>
      <c r="W2788" s="312"/>
      <c r="X2788" s="312"/>
      <c r="Y2788" s="312"/>
      <c r="Z2788" s="312"/>
      <c r="AA2788" s="312">
        <v>15</v>
      </c>
      <c r="AB2788" s="312">
        <v>3</v>
      </c>
      <c r="AC2788" s="312"/>
      <c r="AD2788" s="312">
        <v>0</v>
      </c>
      <c r="AE2788" s="312">
        <f>COUNT(AE2778:AE2786)</f>
        <v>3</v>
      </c>
      <c r="AF2788" s="312">
        <v>2</v>
      </c>
      <c r="AG2788" s="14"/>
      <c r="AH2788" s="14"/>
      <c r="AI2788" s="14"/>
      <c r="AJ2788" s="14"/>
      <c r="AK2788" s="14"/>
    </row>
    <row r="2789" spans="2:37" x14ac:dyDescent="0.25">
      <c r="B2789" s="307">
        <v>273680</v>
      </c>
      <c r="C2789" s="307">
        <v>1135751</v>
      </c>
      <c r="D2789" s="307" t="s">
        <v>88</v>
      </c>
      <c r="E2789" s="323" t="s">
        <v>89</v>
      </c>
      <c r="F2789" s="323"/>
      <c r="G2789" s="307"/>
      <c r="H2789" s="307"/>
      <c r="I2789" s="336">
        <v>0</v>
      </c>
      <c r="J2789" s="336"/>
      <c r="K2789" s="307" t="s">
        <v>14</v>
      </c>
      <c r="P2789" s="290">
        <v>10</v>
      </c>
      <c r="Q2789" s="307"/>
      <c r="R2789" s="307"/>
      <c r="AG2789" s="14"/>
      <c r="AH2789" s="14"/>
      <c r="AI2789" s="14"/>
      <c r="AJ2789" s="14"/>
      <c r="AK2789" s="14"/>
    </row>
    <row r="2790" spans="2:37" ht="14.25" customHeight="1" x14ac:dyDescent="0.25">
      <c r="B2790" s="307">
        <v>273680</v>
      </c>
      <c r="C2790" s="307">
        <v>1135751</v>
      </c>
      <c r="D2790" s="307" t="s">
        <v>12</v>
      </c>
      <c r="E2790" s="323" t="s">
        <v>13</v>
      </c>
      <c r="F2790" s="323"/>
      <c r="G2790" s="307"/>
      <c r="H2790" s="307"/>
      <c r="I2790" s="336">
        <v>15</v>
      </c>
      <c r="J2790" s="336"/>
      <c r="K2790" s="307" t="s">
        <v>14</v>
      </c>
      <c r="P2790" s="290" t="s">
        <v>27</v>
      </c>
      <c r="Q2790" s="312">
        <f>COUNT(Q2780:Q2788)</f>
        <v>6</v>
      </c>
      <c r="R2790" s="312"/>
      <c r="S2790" s="322"/>
      <c r="T2790" s="322"/>
      <c r="U2790" s="322"/>
      <c r="V2790" s="322"/>
      <c r="W2790" s="322"/>
      <c r="X2790" s="322"/>
      <c r="Y2790" s="322"/>
      <c r="Z2790" s="322"/>
      <c r="AG2790" s="14"/>
      <c r="AH2790" s="14"/>
      <c r="AI2790" s="14"/>
      <c r="AJ2790" s="14"/>
      <c r="AK2790" s="14"/>
    </row>
    <row r="2791" spans="2:37" x14ac:dyDescent="0.25">
      <c r="B2791" s="312" t="s">
        <v>67</v>
      </c>
      <c r="E2791" s="331"/>
      <c r="F2791" s="331"/>
      <c r="I2791" s="331"/>
      <c r="J2791" s="331"/>
      <c r="S2791" s="58" t="s">
        <v>41</v>
      </c>
      <c r="T2791" s="58"/>
      <c r="U2791" s="58" t="s">
        <v>42</v>
      </c>
      <c r="V2791" s="58" t="s">
        <v>69</v>
      </c>
      <c r="W2791" s="58"/>
      <c r="X2791" s="58"/>
      <c r="Y2791" s="58"/>
      <c r="Z2791" s="58"/>
      <c r="AA2791" s="58" t="s">
        <v>44</v>
      </c>
      <c r="AB2791" s="58" t="s">
        <v>45</v>
      </c>
      <c r="AC2791" s="58"/>
      <c r="AD2791" s="58" t="s">
        <v>46</v>
      </c>
      <c r="AE2791" s="58" t="s">
        <v>47</v>
      </c>
      <c r="AF2791" s="58" t="s">
        <v>48</v>
      </c>
      <c r="AG2791" s="14"/>
      <c r="AH2791" s="14"/>
      <c r="AI2791" s="14"/>
      <c r="AJ2791" s="14"/>
      <c r="AK2791" s="14"/>
    </row>
    <row r="2792" spans="2:37" x14ac:dyDescent="0.25">
      <c r="B2792" s="322"/>
      <c r="C2792" s="325"/>
      <c r="P2792" s="290" t="s">
        <v>107</v>
      </c>
      <c r="S2792" s="307" t="s">
        <v>101</v>
      </c>
      <c r="T2792" s="307"/>
      <c r="U2792" s="307"/>
      <c r="V2792" s="307"/>
      <c r="W2792" s="307"/>
      <c r="X2792" s="307"/>
      <c r="Y2792" s="307"/>
      <c r="Z2792" s="307"/>
      <c r="AA2792" s="307" t="s">
        <v>95</v>
      </c>
      <c r="AB2792" s="307" t="s">
        <v>104</v>
      </c>
      <c r="AC2792" s="307"/>
      <c r="AD2792" s="58"/>
      <c r="AE2792" s="332">
        <v>206</v>
      </c>
      <c r="AF2792" s="332">
        <v>18366</v>
      </c>
      <c r="AG2792" s="14"/>
      <c r="AH2792" s="14"/>
      <c r="AI2792" s="14"/>
      <c r="AJ2792" s="14"/>
      <c r="AK2792" s="14"/>
    </row>
    <row r="2793" spans="2:37" x14ac:dyDescent="0.25">
      <c r="B2793" s="322" t="s">
        <v>18</v>
      </c>
      <c r="C2793" s="325">
        <v>44371</v>
      </c>
      <c r="P2793" s="312" t="s">
        <v>39</v>
      </c>
      <c r="Q2793" s="58" t="s">
        <v>40</v>
      </c>
      <c r="R2793" s="58"/>
      <c r="S2793" s="307" t="s">
        <v>102</v>
      </c>
      <c r="T2793" s="307"/>
      <c r="U2793" s="307"/>
      <c r="V2793" s="307"/>
      <c r="W2793" s="307"/>
      <c r="X2793" s="307"/>
      <c r="Y2793" s="307"/>
      <c r="Z2793" s="307"/>
      <c r="AA2793" s="307"/>
      <c r="AB2793" s="307"/>
      <c r="AC2793" s="307"/>
      <c r="AD2793" s="58"/>
      <c r="AE2793" s="332">
        <v>213</v>
      </c>
      <c r="AF2793" s="332">
        <v>18367</v>
      </c>
      <c r="AG2793" s="14"/>
      <c r="AH2793" s="14"/>
      <c r="AI2793" s="14"/>
      <c r="AJ2793" s="14"/>
      <c r="AK2793" s="14"/>
    </row>
    <row r="2794" spans="2:37" x14ac:dyDescent="0.25">
      <c r="B2794" s="308" t="s">
        <v>0</v>
      </c>
      <c r="C2794" s="308" t="s">
        <v>1</v>
      </c>
      <c r="D2794" s="308" t="s">
        <v>2</v>
      </c>
      <c r="E2794" s="308" t="s">
        <v>3</v>
      </c>
      <c r="F2794" s="308"/>
      <c r="G2794" s="308" t="s">
        <v>66</v>
      </c>
      <c r="H2794" s="308"/>
      <c r="I2794" s="308" t="s">
        <v>5</v>
      </c>
      <c r="J2794" s="308"/>
      <c r="K2794" s="308" t="s">
        <v>6</v>
      </c>
      <c r="P2794" s="290">
        <v>1</v>
      </c>
      <c r="Q2794" s="307">
        <v>18495</v>
      </c>
      <c r="R2794" s="307"/>
      <c r="S2794" s="307" t="s">
        <v>105</v>
      </c>
      <c r="T2794" s="307"/>
      <c r="U2794" s="307"/>
      <c r="V2794" s="307"/>
      <c r="W2794" s="307"/>
      <c r="X2794" s="307"/>
      <c r="Y2794" s="307"/>
      <c r="Z2794" s="307"/>
      <c r="AA2794" s="307"/>
      <c r="AB2794" s="307"/>
      <c r="AC2794" s="307"/>
      <c r="AD2794" s="58"/>
      <c r="AE2794" s="307"/>
      <c r="AF2794" s="332">
        <v>14723</v>
      </c>
      <c r="AG2794" s="14"/>
      <c r="AH2794" s="14"/>
      <c r="AI2794" s="14"/>
      <c r="AJ2794" s="14"/>
      <c r="AK2794" s="14"/>
    </row>
    <row r="2795" spans="2:37" x14ac:dyDescent="0.25">
      <c r="B2795" s="307">
        <v>273664</v>
      </c>
      <c r="C2795" s="307">
        <v>1135749</v>
      </c>
      <c r="D2795" s="307" t="s">
        <v>7</v>
      </c>
      <c r="E2795" s="323">
        <v>6060090013</v>
      </c>
      <c r="F2795" s="323"/>
      <c r="G2795" s="307"/>
      <c r="H2795" s="307"/>
      <c r="I2795" s="323">
        <v>3</v>
      </c>
      <c r="J2795" s="323"/>
      <c r="K2795" s="307" t="s">
        <v>8</v>
      </c>
      <c r="L2795" s="312"/>
      <c r="M2795" s="312"/>
      <c r="N2795" s="312"/>
      <c r="O2795" s="312"/>
      <c r="P2795" s="290">
        <f>1+P2794</f>
        <v>2</v>
      </c>
      <c r="Q2795" s="307">
        <v>18496</v>
      </c>
      <c r="R2795" s="307"/>
      <c r="S2795" s="307" t="s">
        <v>99</v>
      </c>
      <c r="T2795" s="307"/>
      <c r="U2795" s="307"/>
      <c r="V2795" s="307"/>
      <c r="W2795" s="307"/>
      <c r="X2795" s="307"/>
      <c r="Y2795" s="307"/>
      <c r="Z2795" s="307"/>
      <c r="AA2795" s="307"/>
      <c r="AB2795" s="307"/>
      <c r="AC2795" s="307"/>
      <c r="AD2795" s="58"/>
      <c r="AE2795" s="332">
        <v>212</v>
      </c>
      <c r="AF2795" s="335" t="s">
        <v>83</v>
      </c>
      <c r="AG2795" s="14"/>
      <c r="AH2795" s="14"/>
      <c r="AI2795" s="14"/>
      <c r="AJ2795" s="14"/>
      <c r="AK2795" s="14"/>
    </row>
    <row r="2796" spans="2:37" x14ac:dyDescent="0.25">
      <c r="B2796" s="307">
        <v>273672</v>
      </c>
      <c r="C2796" s="307">
        <v>1135750</v>
      </c>
      <c r="D2796" s="307" t="s">
        <v>9</v>
      </c>
      <c r="E2796" s="323">
        <v>204060000206</v>
      </c>
      <c r="F2796" s="323"/>
      <c r="G2796" s="307"/>
      <c r="H2796" s="307"/>
      <c r="I2796" s="323">
        <v>0</v>
      </c>
      <c r="J2796" s="323"/>
      <c r="K2796" s="307" t="s">
        <v>8</v>
      </c>
      <c r="P2796" s="290">
        <f t="shared" ref="P2796:P2802" si="16">1+P2795</f>
        <v>3</v>
      </c>
      <c r="Q2796" s="307">
        <v>18624</v>
      </c>
      <c r="R2796" s="307"/>
      <c r="S2796" s="307" t="s">
        <v>100</v>
      </c>
      <c r="T2796" s="307"/>
      <c r="U2796" s="307"/>
      <c r="V2796" s="307"/>
      <c r="W2796" s="307"/>
      <c r="X2796" s="307"/>
      <c r="Y2796" s="307"/>
      <c r="Z2796" s="307"/>
      <c r="AA2796" s="307"/>
      <c r="AB2796" s="307"/>
      <c r="AC2796" s="307"/>
      <c r="AD2796" s="58"/>
      <c r="AE2796" s="307"/>
      <c r="AF2796" s="307"/>
      <c r="AG2796" s="14"/>
      <c r="AH2796" s="14"/>
      <c r="AI2796" s="14"/>
      <c r="AJ2796" s="14"/>
      <c r="AK2796" s="14"/>
    </row>
    <row r="2797" spans="2:37" x14ac:dyDescent="0.25">
      <c r="B2797" s="307"/>
      <c r="C2797" s="307">
        <v>1135750</v>
      </c>
      <c r="D2797" s="307" t="s">
        <v>9</v>
      </c>
      <c r="E2797" s="323">
        <v>204060000058</v>
      </c>
      <c r="F2797" s="323"/>
      <c r="G2797" s="307"/>
      <c r="H2797" s="307"/>
      <c r="I2797" s="323">
        <v>6</v>
      </c>
      <c r="J2797" s="323"/>
      <c r="K2797" s="307" t="s">
        <v>8</v>
      </c>
      <c r="P2797" s="290">
        <f t="shared" si="16"/>
        <v>4</v>
      </c>
      <c r="Q2797" s="337">
        <v>18864</v>
      </c>
      <c r="R2797" s="337"/>
      <c r="S2797" s="307" t="s">
        <v>103</v>
      </c>
      <c r="T2797" s="307"/>
      <c r="U2797" s="307"/>
      <c r="V2797" s="307"/>
      <c r="W2797" s="307"/>
      <c r="X2797" s="307"/>
      <c r="Y2797" s="307"/>
      <c r="Z2797" s="307"/>
      <c r="AA2797" s="307"/>
      <c r="AB2797" s="307"/>
      <c r="AC2797" s="307"/>
      <c r="AD2797" s="307"/>
      <c r="AE2797" s="307"/>
      <c r="AF2797" s="307"/>
      <c r="AG2797" s="14"/>
      <c r="AH2797" s="14"/>
      <c r="AI2797" s="14"/>
      <c r="AJ2797" s="14"/>
      <c r="AK2797" s="14"/>
    </row>
    <row r="2798" spans="2:37" x14ac:dyDescent="0.25">
      <c r="B2798" s="307"/>
      <c r="C2798" s="307">
        <v>1290399</v>
      </c>
      <c r="D2798" s="307" t="s">
        <v>35</v>
      </c>
      <c r="E2798" s="323">
        <v>204060000111</v>
      </c>
      <c r="F2798" s="323"/>
      <c r="G2798" s="307"/>
      <c r="H2798" s="307"/>
      <c r="I2798" s="323">
        <v>0</v>
      </c>
      <c r="J2798" s="323"/>
      <c r="K2798" s="307" t="s">
        <v>8</v>
      </c>
      <c r="P2798" s="290">
        <f t="shared" si="16"/>
        <v>5</v>
      </c>
      <c r="Q2798" s="337">
        <v>18863</v>
      </c>
      <c r="R2798" s="337"/>
      <c r="S2798" s="307" t="s">
        <v>108</v>
      </c>
      <c r="T2798" s="307"/>
      <c r="U2798" s="307"/>
      <c r="V2798" s="307"/>
      <c r="W2798" s="307"/>
      <c r="X2798" s="307"/>
      <c r="Y2798" s="307"/>
      <c r="Z2798" s="307"/>
      <c r="AA2798" s="307"/>
      <c r="AB2798" s="307"/>
      <c r="AC2798" s="307"/>
      <c r="AD2798" s="307"/>
      <c r="AE2798" s="307"/>
      <c r="AF2798" s="307"/>
      <c r="AG2798" s="14"/>
      <c r="AH2798" s="14"/>
      <c r="AI2798" s="14"/>
      <c r="AJ2798" s="14"/>
      <c r="AK2798" s="14"/>
    </row>
    <row r="2799" spans="2:37" x14ac:dyDescent="0.25">
      <c r="B2799" s="307">
        <v>273702</v>
      </c>
      <c r="C2799" s="307">
        <v>1135753</v>
      </c>
      <c r="D2799" s="307" t="s">
        <v>10</v>
      </c>
      <c r="E2799" s="323">
        <v>301090080013</v>
      </c>
      <c r="F2799" s="323"/>
      <c r="G2799" s="307"/>
      <c r="H2799" s="307"/>
      <c r="I2799" s="313">
        <v>4</v>
      </c>
      <c r="J2799" s="313"/>
      <c r="K2799" s="307" t="s">
        <v>8</v>
      </c>
      <c r="P2799" s="290">
        <f t="shared" si="16"/>
        <v>6</v>
      </c>
      <c r="Q2799" s="337">
        <v>18862</v>
      </c>
      <c r="R2799" s="337"/>
      <c r="S2799" s="307" t="s">
        <v>109</v>
      </c>
      <c r="T2799" s="307"/>
      <c r="U2799" s="307"/>
      <c r="V2799" s="307"/>
      <c r="W2799" s="307"/>
      <c r="X2799" s="307"/>
      <c r="Y2799" s="307"/>
      <c r="Z2799" s="307"/>
      <c r="AA2799" s="307"/>
      <c r="AB2799" s="307"/>
      <c r="AC2799" s="307"/>
      <c r="AD2799" s="307"/>
      <c r="AE2799" s="307"/>
      <c r="AF2799" s="307"/>
      <c r="AG2799" s="14"/>
      <c r="AH2799" s="14"/>
      <c r="AI2799" s="14"/>
      <c r="AJ2799" s="14"/>
      <c r="AK2799" s="14"/>
    </row>
    <row r="2800" spans="2:37" x14ac:dyDescent="0.25">
      <c r="B2800" s="307">
        <v>273698</v>
      </c>
      <c r="C2800" s="307">
        <v>1135752</v>
      </c>
      <c r="D2800" s="307" t="s">
        <v>36</v>
      </c>
      <c r="E2800" s="323">
        <v>701040120042</v>
      </c>
      <c r="F2800" s="323"/>
      <c r="G2800" s="307"/>
      <c r="H2800" s="307"/>
      <c r="I2800" s="323">
        <v>0</v>
      </c>
      <c r="J2800" s="323"/>
      <c r="K2800" s="307" t="s">
        <v>8</v>
      </c>
      <c r="P2800" s="290">
        <f t="shared" si="16"/>
        <v>7</v>
      </c>
      <c r="Q2800" s="307"/>
      <c r="R2800" s="307"/>
      <c r="S2800" s="307" t="s">
        <v>98</v>
      </c>
      <c r="T2800" s="307"/>
      <c r="U2800" s="307"/>
      <c r="V2800" s="307"/>
      <c r="W2800" s="307"/>
      <c r="X2800" s="307"/>
      <c r="Y2800" s="307"/>
      <c r="Z2800" s="307"/>
      <c r="AA2800" s="307"/>
      <c r="AB2800" s="307"/>
      <c r="AC2800" s="307"/>
      <c r="AD2800" s="307"/>
      <c r="AE2800" s="307"/>
      <c r="AF2800" s="307"/>
      <c r="AG2800" s="14"/>
      <c r="AH2800" s="14"/>
      <c r="AI2800" s="14"/>
      <c r="AJ2800" s="14"/>
      <c r="AK2800" s="14"/>
    </row>
    <row r="2801" spans="2:37" x14ac:dyDescent="0.25">
      <c r="B2801" s="307">
        <v>273698</v>
      </c>
      <c r="C2801" s="307">
        <v>1135752</v>
      </c>
      <c r="D2801" s="307" t="s">
        <v>11</v>
      </c>
      <c r="E2801" s="323">
        <v>701040120047</v>
      </c>
      <c r="F2801" s="323"/>
      <c r="G2801" s="307"/>
      <c r="H2801" s="307"/>
      <c r="I2801" s="323">
        <v>3</v>
      </c>
      <c r="J2801" s="323"/>
      <c r="K2801" s="307" t="s">
        <v>8</v>
      </c>
      <c r="P2801" s="290">
        <f t="shared" si="16"/>
        <v>8</v>
      </c>
      <c r="Q2801" s="307"/>
      <c r="R2801" s="307"/>
      <c r="S2801" s="307" t="s">
        <v>97</v>
      </c>
      <c r="T2801" s="307"/>
      <c r="U2801" s="307"/>
      <c r="V2801" s="307"/>
      <c r="W2801" s="307"/>
      <c r="X2801" s="307"/>
      <c r="Y2801" s="307"/>
      <c r="Z2801" s="307"/>
      <c r="AA2801" s="307"/>
      <c r="AB2801" s="307"/>
      <c r="AC2801" s="307"/>
      <c r="AD2801" s="307"/>
      <c r="AE2801" s="307"/>
      <c r="AF2801" s="307"/>
      <c r="AG2801" s="14"/>
      <c r="AH2801" s="14"/>
      <c r="AI2801" s="14"/>
      <c r="AJ2801" s="14"/>
      <c r="AK2801" s="14"/>
    </row>
    <row r="2802" spans="2:37" x14ac:dyDescent="0.25">
      <c r="B2802" s="307">
        <v>273680</v>
      </c>
      <c r="C2802" s="307">
        <v>1135751</v>
      </c>
      <c r="D2802" s="307" t="s">
        <v>88</v>
      </c>
      <c r="E2802" s="323" t="s">
        <v>89</v>
      </c>
      <c r="F2802" s="323"/>
      <c r="G2802" s="307"/>
      <c r="H2802" s="307"/>
      <c r="I2802" s="323">
        <v>3</v>
      </c>
      <c r="J2802" s="323"/>
      <c r="K2802" s="307" t="s">
        <v>14</v>
      </c>
      <c r="P2802" s="290">
        <f t="shared" si="16"/>
        <v>9</v>
      </c>
      <c r="Q2802" s="307"/>
      <c r="R2802" s="307"/>
      <c r="S2802" s="312">
        <f>COUNTA(S2792:S2801)</f>
        <v>10</v>
      </c>
      <c r="T2802" s="312"/>
      <c r="U2802" s="312">
        <f>COUNTA(U2792:U2800)</f>
        <v>0</v>
      </c>
      <c r="V2802" s="312">
        <f>COUNTA(V2792:V2800)</f>
        <v>0</v>
      </c>
      <c r="W2802" s="312"/>
      <c r="X2802" s="312"/>
      <c r="Y2802" s="312"/>
      <c r="Z2802" s="312"/>
      <c r="AA2802" s="312">
        <v>15</v>
      </c>
      <c r="AB2802" s="312">
        <v>3</v>
      </c>
      <c r="AC2802" s="312"/>
      <c r="AD2802" s="312">
        <v>0</v>
      </c>
      <c r="AE2802" s="312">
        <f>COUNT(AE2792:AE2800)</f>
        <v>3</v>
      </c>
      <c r="AF2802" s="312">
        <v>2</v>
      </c>
      <c r="AG2802" s="14"/>
      <c r="AH2802" s="14"/>
      <c r="AI2802" s="14"/>
      <c r="AJ2802" s="14"/>
      <c r="AK2802" s="14"/>
    </row>
    <row r="2803" spans="2:37" x14ac:dyDescent="0.25">
      <c r="B2803" s="307">
        <v>273680</v>
      </c>
      <c r="C2803" s="307">
        <v>1135751</v>
      </c>
      <c r="D2803" s="307" t="s">
        <v>12</v>
      </c>
      <c r="E2803" s="323" t="s">
        <v>13</v>
      </c>
      <c r="F2803" s="323"/>
      <c r="G2803" s="307"/>
      <c r="H2803" s="307"/>
      <c r="I2803" s="323">
        <v>15</v>
      </c>
      <c r="J2803" s="323"/>
      <c r="K2803" s="307" t="s">
        <v>14</v>
      </c>
      <c r="P2803" s="290">
        <v>10</v>
      </c>
      <c r="Q2803" s="307"/>
      <c r="R2803" s="307"/>
      <c r="AG2803" s="14"/>
      <c r="AH2803" s="14"/>
      <c r="AI2803" s="14"/>
      <c r="AJ2803" s="14"/>
      <c r="AK2803" s="14"/>
    </row>
    <row r="2804" spans="2:37" ht="14.25" customHeight="1" x14ac:dyDescent="0.25">
      <c r="B2804" s="312" t="s">
        <v>67</v>
      </c>
      <c r="E2804" s="331"/>
      <c r="F2804" s="331"/>
      <c r="I2804" s="331"/>
      <c r="J2804" s="331"/>
      <c r="P2804" s="290" t="s">
        <v>27</v>
      </c>
      <c r="Q2804" s="312">
        <f>COUNT(Q2794:Q2802)</f>
        <v>6</v>
      </c>
      <c r="R2804" s="312"/>
      <c r="S2804" s="322"/>
      <c r="T2804" s="322"/>
      <c r="U2804" s="322"/>
      <c r="V2804" s="322"/>
      <c r="W2804" s="322"/>
      <c r="X2804" s="322"/>
      <c r="Y2804" s="322"/>
      <c r="Z2804" s="322"/>
      <c r="AG2804" s="14"/>
      <c r="AH2804" s="14"/>
      <c r="AI2804" s="14"/>
      <c r="AJ2804" s="14"/>
      <c r="AK2804" s="14"/>
    </row>
    <row r="2805" spans="2:37" x14ac:dyDescent="0.25">
      <c r="B2805" s="346" t="s">
        <v>106</v>
      </c>
      <c r="C2805" s="347"/>
      <c r="D2805" s="347"/>
      <c r="E2805" s="347"/>
      <c r="F2805" s="347"/>
      <c r="S2805" s="58" t="s">
        <v>41</v>
      </c>
      <c r="T2805" s="58"/>
      <c r="U2805" s="58" t="s">
        <v>42</v>
      </c>
      <c r="V2805" s="58" t="s">
        <v>69</v>
      </c>
      <c r="W2805" s="58"/>
      <c r="X2805" s="58"/>
      <c r="Y2805" s="58"/>
      <c r="Z2805" s="58"/>
      <c r="AA2805" s="58" t="s">
        <v>44</v>
      </c>
      <c r="AB2805" s="58" t="s">
        <v>45</v>
      </c>
      <c r="AC2805" s="58"/>
      <c r="AD2805" s="58" t="s">
        <v>46</v>
      </c>
      <c r="AE2805" s="58" t="s">
        <v>47</v>
      </c>
      <c r="AF2805" s="58" t="s">
        <v>48</v>
      </c>
      <c r="AG2805" s="14"/>
      <c r="AH2805" s="14"/>
      <c r="AI2805" s="14"/>
      <c r="AJ2805" s="14"/>
      <c r="AK2805" s="14"/>
    </row>
    <row r="2806" spans="2:37" x14ac:dyDescent="0.25">
      <c r="P2806" s="290" t="s">
        <v>107</v>
      </c>
      <c r="S2806" s="332" t="s">
        <v>111</v>
      </c>
      <c r="T2806" s="332"/>
      <c r="U2806" s="307"/>
      <c r="V2806" s="307"/>
      <c r="W2806" s="307"/>
      <c r="X2806" s="307"/>
      <c r="Y2806" s="307"/>
      <c r="Z2806" s="307"/>
      <c r="AA2806" s="307" t="s">
        <v>112</v>
      </c>
      <c r="AB2806" s="307" t="s">
        <v>104</v>
      </c>
      <c r="AC2806" s="307"/>
      <c r="AD2806" s="58"/>
      <c r="AE2806" s="332">
        <v>206</v>
      </c>
      <c r="AF2806" s="332">
        <v>18366</v>
      </c>
      <c r="AG2806" s="14"/>
      <c r="AH2806" s="14"/>
      <c r="AI2806" s="14"/>
      <c r="AJ2806" s="14"/>
      <c r="AK2806" s="14"/>
    </row>
    <row r="2807" spans="2:37" x14ac:dyDescent="0.25">
      <c r="B2807" s="322" t="s">
        <v>18</v>
      </c>
      <c r="C2807" s="325">
        <v>44365</v>
      </c>
      <c r="P2807" s="312" t="s">
        <v>39</v>
      </c>
      <c r="Q2807" s="58" t="s">
        <v>40</v>
      </c>
      <c r="R2807" s="58"/>
      <c r="S2807" s="307"/>
      <c r="T2807" s="307"/>
      <c r="U2807" s="332" t="s">
        <v>113</v>
      </c>
      <c r="V2807" s="307"/>
      <c r="W2807" s="307"/>
      <c r="X2807" s="307"/>
      <c r="Y2807" s="307"/>
      <c r="Z2807" s="307"/>
      <c r="AA2807" s="307"/>
      <c r="AB2807" s="307"/>
      <c r="AC2807" s="307"/>
      <c r="AD2807" s="58"/>
      <c r="AE2807" s="332">
        <v>213</v>
      </c>
      <c r="AF2807" s="332">
        <v>18367</v>
      </c>
      <c r="AG2807" s="14"/>
      <c r="AH2807" s="14"/>
      <c r="AI2807" s="14"/>
      <c r="AJ2807" s="14"/>
      <c r="AK2807" s="14"/>
    </row>
    <row r="2808" spans="2:37" x14ac:dyDescent="0.25">
      <c r="B2808" s="308" t="s">
        <v>0</v>
      </c>
      <c r="C2808" s="308" t="s">
        <v>1</v>
      </c>
      <c r="D2808" s="308" t="s">
        <v>2</v>
      </c>
      <c r="E2808" s="308" t="s">
        <v>3</v>
      </c>
      <c r="F2808" s="308"/>
      <c r="G2808" s="308" t="s">
        <v>66</v>
      </c>
      <c r="H2808" s="308"/>
      <c r="I2808" s="308" t="s">
        <v>5</v>
      </c>
      <c r="J2808" s="308"/>
      <c r="K2808" s="308" t="s">
        <v>6</v>
      </c>
      <c r="P2808" s="290">
        <v>1</v>
      </c>
      <c r="Q2808" s="307">
        <v>18495</v>
      </c>
      <c r="R2808" s="307"/>
      <c r="S2808" s="307"/>
      <c r="T2808" s="307"/>
      <c r="U2808" s="307"/>
      <c r="V2808" s="307"/>
      <c r="W2808" s="307"/>
      <c r="X2808" s="307"/>
      <c r="Y2808" s="307"/>
      <c r="Z2808" s="307"/>
      <c r="AA2808" s="307"/>
      <c r="AB2808" s="307"/>
      <c r="AC2808" s="307"/>
      <c r="AD2808" s="58"/>
      <c r="AE2808" s="332">
        <v>210</v>
      </c>
      <c r="AF2808" s="332">
        <v>14723</v>
      </c>
      <c r="AG2808" s="14"/>
      <c r="AH2808" s="14"/>
      <c r="AI2808" s="14"/>
      <c r="AJ2808" s="14"/>
      <c r="AK2808" s="14"/>
    </row>
    <row r="2809" spans="2:37" x14ac:dyDescent="0.25">
      <c r="B2809" s="307">
        <v>273664</v>
      </c>
      <c r="C2809" s="307">
        <v>1135749</v>
      </c>
      <c r="D2809" s="307" t="s">
        <v>7</v>
      </c>
      <c r="E2809" s="323">
        <v>6060090013</v>
      </c>
      <c r="F2809" s="323"/>
      <c r="G2809" s="307"/>
      <c r="H2809" s="307"/>
      <c r="I2809" s="323">
        <v>3</v>
      </c>
      <c r="J2809" s="323"/>
      <c r="K2809" s="307" t="s">
        <v>8</v>
      </c>
      <c r="L2809" s="312"/>
      <c r="M2809" s="312"/>
      <c r="N2809" s="312"/>
      <c r="O2809" s="312"/>
      <c r="P2809" s="290">
        <f>1+P2808</f>
        <v>2</v>
      </c>
      <c r="Q2809" s="307">
        <v>18496</v>
      </c>
      <c r="R2809" s="307"/>
      <c r="S2809" s="307"/>
      <c r="T2809" s="307"/>
      <c r="U2809" s="307"/>
      <c r="V2809" s="332" t="s">
        <v>114</v>
      </c>
      <c r="W2809" s="332"/>
      <c r="X2809" s="332"/>
      <c r="Y2809" s="332"/>
      <c r="Z2809" s="332"/>
      <c r="AA2809" s="307"/>
      <c r="AB2809" s="307"/>
      <c r="AC2809" s="307"/>
      <c r="AD2809" s="58"/>
      <c r="AE2809" s="332">
        <v>212</v>
      </c>
      <c r="AF2809" s="335" t="s">
        <v>83</v>
      </c>
      <c r="AG2809" s="14"/>
      <c r="AH2809" s="14"/>
      <c r="AI2809" s="14"/>
      <c r="AJ2809" s="14"/>
      <c r="AK2809" s="14"/>
    </row>
    <row r="2810" spans="2:37" x14ac:dyDescent="0.25">
      <c r="B2810" s="307">
        <v>273672</v>
      </c>
      <c r="C2810" s="307">
        <v>1135750</v>
      </c>
      <c r="D2810" s="307" t="s">
        <v>9</v>
      </c>
      <c r="E2810" s="323">
        <v>204060000206</v>
      </c>
      <c r="F2810" s="323"/>
      <c r="G2810" s="307"/>
      <c r="H2810" s="307"/>
      <c r="I2810" s="323">
        <v>0</v>
      </c>
      <c r="J2810" s="323"/>
      <c r="K2810" s="307" t="s">
        <v>8</v>
      </c>
      <c r="P2810" s="290">
        <f t="shared" ref="P2810:P2816" si="17">1+P2809</f>
        <v>3</v>
      </c>
      <c r="Q2810" s="307">
        <v>18624</v>
      </c>
      <c r="R2810" s="307"/>
      <c r="S2810" s="332" t="s">
        <v>115</v>
      </c>
      <c r="T2810" s="332"/>
      <c r="U2810" s="307"/>
      <c r="V2810" s="332" t="s">
        <v>116</v>
      </c>
      <c r="W2810" s="332"/>
      <c r="X2810" s="332"/>
      <c r="Y2810" s="332"/>
      <c r="Z2810" s="332"/>
      <c r="AA2810" s="307"/>
      <c r="AB2810" s="307"/>
      <c r="AC2810" s="307"/>
      <c r="AD2810" s="58"/>
      <c r="AE2810" s="332">
        <v>202</v>
      </c>
      <c r="AF2810" s="307"/>
      <c r="AG2810" s="14"/>
      <c r="AH2810" s="14"/>
      <c r="AI2810" s="14"/>
      <c r="AJ2810" s="14"/>
      <c r="AK2810" s="14"/>
    </row>
    <row r="2811" spans="2:37" x14ac:dyDescent="0.25">
      <c r="B2811" s="307"/>
      <c r="C2811" s="307">
        <v>1135750</v>
      </c>
      <c r="D2811" s="307" t="s">
        <v>9</v>
      </c>
      <c r="E2811" s="323">
        <v>204060000058</v>
      </c>
      <c r="F2811" s="323"/>
      <c r="G2811" s="307"/>
      <c r="H2811" s="307"/>
      <c r="I2811" s="323">
        <v>10</v>
      </c>
      <c r="J2811" s="323"/>
      <c r="K2811" s="307" t="s">
        <v>8</v>
      </c>
      <c r="P2811" s="290">
        <f t="shared" si="17"/>
        <v>4</v>
      </c>
      <c r="Q2811" s="307"/>
      <c r="R2811" s="307"/>
      <c r="S2811" s="307"/>
      <c r="T2811" s="307"/>
      <c r="U2811" s="307"/>
      <c r="V2811" s="307"/>
      <c r="W2811" s="307"/>
      <c r="X2811" s="307"/>
      <c r="Y2811" s="307"/>
      <c r="Z2811" s="307"/>
      <c r="AA2811" s="307"/>
      <c r="AB2811" s="307"/>
      <c r="AC2811" s="307"/>
      <c r="AD2811" s="307"/>
      <c r="AE2811" s="307"/>
      <c r="AF2811" s="307"/>
      <c r="AG2811" s="14"/>
      <c r="AH2811" s="14"/>
      <c r="AI2811" s="14"/>
      <c r="AJ2811" s="14"/>
      <c r="AK2811" s="14"/>
    </row>
    <row r="2812" spans="2:37" x14ac:dyDescent="0.25">
      <c r="B2812" s="307"/>
      <c r="C2812" s="307">
        <v>1290399</v>
      </c>
      <c r="D2812" s="307" t="s">
        <v>35</v>
      </c>
      <c r="E2812" s="323">
        <v>204060000111</v>
      </c>
      <c r="F2812" s="323"/>
      <c r="G2812" s="307"/>
      <c r="H2812" s="307"/>
      <c r="I2812" s="323">
        <v>0</v>
      </c>
      <c r="J2812" s="323"/>
      <c r="K2812" s="307" t="s">
        <v>8</v>
      </c>
      <c r="P2812" s="290">
        <f t="shared" si="17"/>
        <v>5</v>
      </c>
      <c r="Q2812" s="307"/>
      <c r="R2812" s="307"/>
      <c r="S2812" s="307"/>
      <c r="T2812" s="307"/>
      <c r="U2812" s="307"/>
      <c r="V2812" s="307"/>
      <c r="W2812" s="307"/>
      <c r="X2812" s="307"/>
      <c r="Y2812" s="307"/>
      <c r="Z2812" s="307"/>
      <c r="AA2812" s="307"/>
      <c r="AB2812" s="307"/>
      <c r="AC2812" s="307"/>
      <c r="AD2812" s="307"/>
      <c r="AE2812" s="307"/>
      <c r="AF2812" s="307"/>
      <c r="AG2812" s="14"/>
      <c r="AH2812" s="14"/>
      <c r="AI2812" s="14"/>
      <c r="AJ2812" s="14"/>
      <c r="AK2812" s="14"/>
    </row>
    <row r="2813" spans="2:37" x14ac:dyDescent="0.25">
      <c r="B2813" s="307">
        <v>273702</v>
      </c>
      <c r="C2813" s="307">
        <v>1135753</v>
      </c>
      <c r="D2813" s="307" t="s">
        <v>10</v>
      </c>
      <c r="E2813" s="323">
        <v>301090080013</v>
      </c>
      <c r="F2813" s="323"/>
      <c r="G2813" s="307"/>
      <c r="H2813" s="307"/>
      <c r="I2813" s="323">
        <v>2</v>
      </c>
      <c r="J2813" s="323"/>
      <c r="K2813" s="307" t="s">
        <v>8</v>
      </c>
      <c r="P2813" s="290">
        <f t="shared" si="17"/>
        <v>6</v>
      </c>
      <c r="Q2813" s="307"/>
      <c r="R2813" s="307"/>
      <c r="S2813" s="307"/>
      <c r="T2813" s="307"/>
      <c r="U2813" s="307"/>
      <c r="V2813" s="307"/>
      <c r="W2813" s="307"/>
      <c r="X2813" s="307"/>
      <c r="Y2813" s="307"/>
      <c r="Z2813" s="307"/>
      <c r="AA2813" s="307"/>
      <c r="AB2813" s="307"/>
      <c r="AC2813" s="307"/>
      <c r="AD2813" s="307"/>
      <c r="AE2813" s="307"/>
      <c r="AF2813" s="307"/>
      <c r="AG2813" s="14"/>
      <c r="AH2813" s="14"/>
      <c r="AI2813" s="14"/>
      <c r="AJ2813" s="14"/>
      <c r="AK2813" s="14"/>
    </row>
    <row r="2814" spans="2:37" x14ac:dyDescent="0.25">
      <c r="B2814" s="307">
        <v>273698</v>
      </c>
      <c r="C2814" s="307">
        <v>1135752</v>
      </c>
      <c r="D2814" s="307" t="s">
        <v>36</v>
      </c>
      <c r="E2814" s="323">
        <v>701040120042</v>
      </c>
      <c r="F2814" s="323"/>
      <c r="G2814" s="307"/>
      <c r="H2814" s="307"/>
      <c r="I2814" s="323">
        <v>0</v>
      </c>
      <c r="J2814" s="323"/>
      <c r="K2814" s="307" t="s">
        <v>8</v>
      </c>
      <c r="P2814" s="290">
        <f t="shared" si="17"/>
        <v>7</v>
      </c>
      <c r="Q2814" s="307"/>
      <c r="R2814" s="307"/>
      <c r="S2814" s="307"/>
      <c r="T2814" s="307"/>
      <c r="U2814" s="307"/>
      <c r="V2814" s="307"/>
      <c r="W2814" s="307"/>
      <c r="X2814" s="307"/>
      <c r="Y2814" s="307"/>
      <c r="Z2814" s="307"/>
      <c r="AA2814" s="307"/>
      <c r="AB2814" s="307"/>
      <c r="AC2814" s="307"/>
      <c r="AD2814" s="307"/>
      <c r="AE2814" s="307"/>
      <c r="AF2814" s="307"/>
      <c r="AG2814" s="14"/>
      <c r="AH2814" s="14"/>
      <c r="AI2814" s="14"/>
      <c r="AJ2814" s="14"/>
      <c r="AK2814" s="14"/>
    </row>
    <row r="2815" spans="2:37" x14ac:dyDescent="0.25">
      <c r="B2815" s="307">
        <v>273698</v>
      </c>
      <c r="C2815" s="307">
        <v>1135752</v>
      </c>
      <c r="D2815" s="307" t="s">
        <v>11</v>
      </c>
      <c r="E2815" s="323">
        <v>701040120047</v>
      </c>
      <c r="F2815" s="323"/>
      <c r="G2815" s="307"/>
      <c r="H2815" s="307"/>
      <c r="I2815" s="323">
        <v>3</v>
      </c>
      <c r="J2815" s="323"/>
      <c r="K2815" s="307" t="s">
        <v>8</v>
      </c>
      <c r="P2815" s="290">
        <f t="shared" si="17"/>
        <v>8</v>
      </c>
      <c r="Q2815" s="307"/>
      <c r="R2815" s="307"/>
      <c r="S2815" s="312">
        <f>COUNTA(S2806:S2814)</f>
        <v>2</v>
      </c>
      <c r="T2815" s="312"/>
      <c r="U2815" s="312">
        <f>COUNTA(U2806:U2814)</f>
        <v>1</v>
      </c>
      <c r="V2815" s="312">
        <f>COUNTA(V2806:V2814)</f>
        <v>2</v>
      </c>
      <c r="W2815" s="312"/>
      <c r="X2815" s="312"/>
      <c r="Y2815" s="312"/>
      <c r="Z2815" s="312"/>
      <c r="AA2815" s="312">
        <v>18</v>
      </c>
      <c r="AB2815" s="312">
        <v>3</v>
      </c>
      <c r="AC2815" s="312"/>
      <c r="AD2815" s="312">
        <v>0</v>
      </c>
      <c r="AE2815" s="312">
        <f>COUNT(AE2806:AE2814)</f>
        <v>5</v>
      </c>
      <c r="AF2815" s="312">
        <v>4</v>
      </c>
      <c r="AG2815" s="14"/>
      <c r="AH2815" s="14"/>
      <c r="AI2815" s="14"/>
      <c r="AJ2815" s="14"/>
      <c r="AK2815" s="14"/>
    </row>
    <row r="2816" spans="2:37" x14ac:dyDescent="0.25">
      <c r="B2816" s="307">
        <v>273680</v>
      </c>
      <c r="C2816" s="307">
        <v>1135751</v>
      </c>
      <c r="D2816" s="307" t="s">
        <v>88</v>
      </c>
      <c r="E2816" s="323" t="s">
        <v>89</v>
      </c>
      <c r="F2816" s="323"/>
      <c r="G2816" s="307"/>
      <c r="H2816" s="307"/>
      <c r="I2816" s="323">
        <v>3</v>
      </c>
      <c r="J2816" s="323"/>
      <c r="K2816" s="307" t="s">
        <v>14</v>
      </c>
      <c r="P2816" s="290">
        <f t="shared" si="17"/>
        <v>9</v>
      </c>
      <c r="Q2816" s="307"/>
      <c r="R2816" s="307"/>
      <c r="AG2816" s="14"/>
      <c r="AH2816" s="14"/>
      <c r="AI2816" s="14"/>
      <c r="AJ2816" s="14"/>
      <c r="AK2816" s="14"/>
    </row>
    <row r="2817" spans="2:37" x14ac:dyDescent="0.25">
      <c r="B2817" s="307">
        <v>273680</v>
      </c>
      <c r="C2817" s="307">
        <v>1135751</v>
      </c>
      <c r="D2817" s="307" t="s">
        <v>12</v>
      </c>
      <c r="E2817" s="323" t="s">
        <v>13</v>
      </c>
      <c r="F2817" s="323"/>
      <c r="G2817" s="307"/>
      <c r="H2817" s="307"/>
      <c r="I2817" s="323">
        <v>15</v>
      </c>
      <c r="J2817" s="323"/>
      <c r="K2817" s="307" t="s">
        <v>14</v>
      </c>
      <c r="P2817" s="290">
        <v>10</v>
      </c>
      <c r="Q2817" s="307"/>
      <c r="R2817" s="307"/>
      <c r="S2817" s="322"/>
      <c r="T2817" s="322"/>
      <c r="U2817" s="322"/>
      <c r="V2817" s="322"/>
      <c r="W2817" s="322"/>
      <c r="X2817" s="322"/>
      <c r="Y2817" s="322"/>
      <c r="Z2817" s="322"/>
      <c r="AG2817" s="14"/>
      <c r="AH2817" s="14"/>
      <c r="AI2817" s="14"/>
      <c r="AJ2817" s="14"/>
      <c r="AK2817" s="14"/>
    </row>
    <row r="2818" spans="2:37" x14ac:dyDescent="0.25">
      <c r="B2818" s="312" t="s">
        <v>67</v>
      </c>
      <c r="E2818" s="331"/>
      <c r="F2818" s="331"/>
      <c r="I2818" s="331"/>
      <c r="J2818" s="331"/>
      <c r="P2818" s="290" t="s">
        <v>27</v>
      </c>
      <c r="Q2818" s="312">
        <f>COUNT(Q2808:Q2816)</f>
        <v>3</v>
      </c>
      <c r="R2818" s="312"/>
      <c r="S2818" s="58" t="s">
        <v>41</v>
      </c>
      <c r="T2818" s="58"/>
      <c r="U2818" s="58" t="s">
        <v>42</v>
      </c>
      <c r="V2818" s="58" t="s">
        <v>69</v>
      </c>
      <c r="W2818" s="58"/>
      <c r="X2818" s="58"/>
      <c r="Y2818" s="58"/>
      <c r="Z2818" s="58"/>
      <c r="AA2818" s="58" t="s">
        <v>44</v>
      </c>
      <c r="AB2818" s="58" t="s">
        <v>45</v>
      </c>
      <c r="AC2818" s="58"/>
      <c r="AD2818" s="58" t="s">
        <v>46</v>
      </c>
      <c r="AE2818" s="58" t="s">
        <v>47</v>
      </c>
      <c r="AF2818" s="58" t="s">
        <v>48</v>
      </c>
      <c r="AG2818" s="14"/>
      <c r="AH2818" s="14"/>
      <c r="AI2818" s="14"/>
      <c r="AJ2818" s="14"/>
      <c r="AK2818" s="14"/>
    </row>
    <row r="2819" spans="2:37" x14ac:dyDescent="0.25">
      <c r="B2819" s="348" t="s">
        <v>110</v>
      </c>
      <c r="C2819" s="349"/>
      <c r="D2819" s="349"/>
      <c r="S2819" s="332" t="s">
        <v>111</v>
      </c>
      <c r="T2819" s="332"/>
      <c r="U2819" s="307" t="s">
        <v>117</v>
      </c>
      <c r="V2819" s="307" t="s">
        <v>118</v>
      </c>
      <c r="W2819" s="307"/>
      <c r="X2819" s="307"/>
      <c r="Y2819" s="307"/>
      <c r="Z2819" s="307"/>
      <c r="AA2819" s="307" t="s">
        <v>119</v>
      </c>
      <c r="AB2819" s="307" t="s">
        <v>104</v>
      </c>
      <c r="AC2819" s="307"/>
      <c r="AD2819" s="58" t="s">
        <v>83</v>
      </c>
      <c r="AE2819" s="332">
        <v>206</v>
      </c>
      <c r="AF2819" s="332">
        <v>18366</v>
      </c>
      <c r="AG2819" s="14"/>
      <c r="AH2819" s="14"/>
      <c r="AI2819" s="14"/>
      <c r="AJ2819" s="14"/>
      <c r="AK2819" s="14"/>
    </row>
    <row r="2820" spans="2:37" x14ac:dyDescent="0.25">
      <c r="P2820" s="290" t="s">
        <v>107</v>
      </c>
      <c r="S2820" s="307" t="s">
        <v>120</v>
      </c>
      <c r="T2820" s="307"/>
      <c r="U2820" s="332" t="s">
        <v>113</v>
      </c>
      <c r="V2820" s="307" t="s">
        <v>121</v>
      </c>
      <c r="W2820" s="307"/>
      <c r="X2820" s="307"/>
      <c r="Y2820" s="307"/>
      <c r="Z2820" s="307"/>
      <c r="AA2820" s="307"/>
      <c r="AB2820" s="307"/>
      <c r="AC2820" s="307"/>
      <c r="AD2820" s="58"/>
      <c r="AE2820" s="332">
        <v>213</v>
      </c>
      <c r="AF2820" s="332">
        <v>18367</v>
      </c>
      <c r="AG2820" s="14"/>
      <c r="AH2820" s="14"/>
      <c r="AI2820" s="14"/>
      <c r="AJ2820" s="14"/>
      <c r="AK2820" s="14"/>
    </row>
    <row r="2821" spans="2:37" x14ac:dyDescent="0.25">
      <c r="B2821" s="322" t="s">
        <v>18</v>
      </c>
      <c r="C2821" s="325">
        <v>44363</v>
      </c>
      <c r="P2821" s="312" t="s">
        <v>39</v>
      </c>
      <c r="Q2821" s="58" t="s">
        <v>40</v>
      </c>
      <c r="R2821" s="58"/>
      <c r="S2821" s="307" t="s">
        <v>122</v>
      </c>
      <c r="T2821" s="307"/>
      <c r="U2821" s="307" t="s">
        <v>123</v>
      </c>
      <c r="V2821" s="307" t="s">
        <v>124</v>
      </c>
      <c r="W2821" s="307"/>
      <c r="X2821" s="307"/>
      <c r="Y2821" s="307"/>
      <c r="Z2821" s="307"/>
      <c r="AA2821" s="307"/>
      <c r="AB2821" s="307"/>
      <c r="AC2821" s="307"/>
      <c r="AD2821" s="58"/>
      <c r="AE2821" s="332">
        <v>210</v>
      </c>
      <c r="AF2821" s="332">
        <v>14723</v>
      </c>
      <c r="AG2821" s="14"/>
      <c r="AH2821" s="14"/>
      <c r="AI2821" s="14"/>
      <c r="AJ2821" s="14"/>
      <c r="AK2821" s="14"/>
    </row>
    <row r="2822" spans="2:37" x14ac:dyDescent="0.25">
      <c r="B2822" s="308" t="s">
        <v>0</v>
      </c>
      <c r="C2822" s="308" t="s">
        <v>1</v>
      </c>
      <c r="D2822" s="308" t="s">
        <v>2</v>
      </c>
      <c r="E2822" s="308" t="s">
        <v>3</v>
      </c>
      <c r="F2822" s="308"/>
      <c r="G2822" s="308" t="s">
        <v>66</v>
      </c>
      <c r="H2822" s="308"/>
      <c r="I2822" s="308" t="s">
        <v>5</v>
      </c>
      <c r="J2822" s="308"/>
      <c r="K2822" s="308" t="s">
        <v>6</v>
      </c>
      <c r="P2822" s="290">
        <v>1</v>
      </c>
      <c r="Q2822" s="332">
        <v>18145</v>
      </c>
      <c r="R2822" s="332"/>
      <c r="S2822" s="307" t="s">
        <v>125</v>
      </c>
      <c r="T2822" s="307"/>
      <c r="U2822" s="307"/>
      <c r="V2822" s="332" t="s">
        <v>114</v>
      </c>
      <c r="W2822" s="332"/>
      <c r="X2822" s="332"/>
      <c r="Y2822" s="332"/>
      <c r="Z2822" s="332"/>
      <c r="AA2822" s="307"/>
      <c r="AB2822" s="307"/>
      <c r="AC2822" s="307"/>
      <c r="AD2822" s="58"/>
      <c r="AE2822" s="332">
        <v>212</v>
      </c>
      <c r="AF2822" s="335" t="s">
        <v>83</v>
      </c>
      <c r="AG2822" s="14"/>
      <c r="AH2822" s="14"/>
      <c r="AI2822" s="14"/>
      <c r="AJ2822" s="14"/>
      <c r="AK2822" s="14"/>
    </row>
    <row r="2823" spans="2:37" x14ac:dyDescent="0.25">
      <c r="B2823" s="307">
        <v>273664</v>
      </c>
      <c r="C2823" s="307">
        <v>1135749</v>
      </c>
      <c r="D2823" s="307" t="s">
        <v>7</v>
      </c>
      <c r="E2823" s="323">
        <v>6060090013</v>
      </c>
      <c r="F2823" s="323"/>
      <c r="G2823" s="307"/>
      <c r="H2823" s="307"/>
      <c r="I2823" s="323">
        <v>3</v>
      </c>
      <c r="J2823" s="323"/>
      <c r="K2823" s="307" t="s">
        <v>8</v>
      </c>
      <c r="L2823" s="312"/>
      <c r="M2823" s="312"/>
      <c r="N2823" s="312"/>
      <c r="O2823" s="312"/>
      <c r="P2823" s="290">
        <f>1+P2822</f>
        <v>2</v>
      </c>
      <c r="Q2823" s="332">
        <v>18146</v>
      </c>
      <c r="R2823" s="332"/>
      <c r="S2823" s="332" t="s">
        <v>115</v>
      </c>
      <c r="T2823" s="332"/>
      <c r="U2823" s="307"/>
      <c r="V2823" s="332" t="s">
        <v>116</v>
      </c>
      <c r="W2823" s="332"/>
      <c r="X2823" s="332"/>
      <c r="Y2823" s="332"/>
      <c r="Z2823" s="332"/>
      <c r="AA2823" s="307"/>
      <c r="AB2823" s="307"/>
      <c r="AC2823" s="307"/>
      <c r="AD2823" s="58"/>
      <c r="AE2823" s="332">
        <v>202</v>
      </c>
      <c r="AF2823" s="307"/>
      <c r="AG2823" s="14"/>
      <c r="AH2823" s="14"/>
      <c r="AI2823" s="14"/>
      <c r="AJ2823" s="14"/>
      <c r="AK2823" s="14"/>
    </row>
    <row r="2824" spans="2:37" x14ac:dyDescent="0.25">
      <c r="B2824" s="307">
        <v>273672</v>
      </c>
      <c r="C2824" s="307">
        <v>1135750</v>
      </c>
      <c r="D2824" s="307" t="s">
        <v>9</v>
      </c>
      <c r="E2824" s="323">
        <v>204060000206</v>
      </c>
      <c r="F2824" s="323"/>
      <c r="G2824" s="307"/>
      <c r="H2824" s="307"/>
      <c r="I2824" s="323">
        <v>0</v>
      </c>
      <c r="J2824" s="323"/>
      <c r="K2824" s="307" t="s">
        <v>8</v>
      </c>
      <c r="P2824" s="290">
        <f t="shared" ref="P2824:P2830" si="18">1+P2823</f>
        <v>3</v>
      </c>
      <c r="Q2824" s="307"/>
      <c r="R2824" s="307"/>
      <c r="S2824" s="307"/>
      <c r="T2824" s="307"/>
      <c r="U2824" s="307"/>
      <c r="V2824" s="307"/>
      <c r="W2824" s="307"/>
      <c r="X2824" s="307"/>
      <c r="Y2824" s="307"/>
      <c r="Z2824" s="307"/>
      <c r="AA2824" s="307"/>
      <c r="AB2824" s="307"/>
      <c r="AC2824" s="307"/>
      <c r="AD2824" s="307"/>
      <c r="AE2824" s="307"/>
      <c r="AF2824" s="307"/>
      <c r="AG2824" s="14"/>
      <c r="AH2824" s="14"/>
      <c r="AI2824" s="14"/>
      <c r="AJ2824" s="14"/>
      <c r="AK2824" s="14"/>
    </row>
    <row r="2825" spans="2:37" x14ac:dyDescent="0.25">
      <c r="B2825" s="307"/>
      <c r="C2825" s="307">
        <v>1135750</v>
      </c>
      <c r="D2825" s="307" t="s">
        <v>9</v>
      </c>
      <c r="E2825" s="323">
        <v>204060000058</v>
      </c>
      <c r="F2825" s="323"/>
      <c r="G2825" s="307"/>
      <c r="H2825" s="307"/>
      <c r="I2825" s="323">
        <v>10</v>
      </c>
      <c r="J2825" s="323"/>
      <c r="K2825" s="307" t="s">
        <v>8</v>
      </c>
      <c r="P2825" s="290">
        <f t="shared" si="18"/>
        <v>4</v>
      </c>
      <c r="Q2825" s="307"/>
      <c r="R2825" s="307"/>
      <c r="S2825" s="307"/>
      <c r="T2825" s="307"/>
      <c r="U2825" s="307"/>
      <c r="V2825" s="307"/>
      <c r="W2825" s="307"/>
      <c r="X2825" s="307"/>
      <c r="Y2825" s="307"/>
      <c r="Z2825" s="307"/>
      <c r="AA2825" s="307"/>
      <c r="AB2825" s="307"/>
      <c r="AC2825" s="307"/>
      <c r="AD2825" s="307"/>
      <c r="AE2825" s="307"/>
      <c r="AF2825" s="307"/>
      <c r="AG2825" s="14"/>
      <c r="AH2825" s="14"/>
      <c r="AI2825" s="14"/>
      <c r="AJ2825" s="14"/>
      <c r="AK2825" s="14"/>
    </row>
    <row r="2826" spans="2:37" x14ac:dyDescent="0.25">
      <c r="B2826" s="307"/>
      <c r="C2826" s="307">
        <v>1290399</v>
      </c>
      <c r="D2826" s="307" t="s">
        <v>35</v>
      </c>
      <c r="E2826" s="323">
        <v>204060000111</v>
      </c>
      <c r="F2826" s="323"/>
      <c r="G2826" s="307"/>
      <c r="H2826" s="307"/>
      <c r="I2826" s="323">
        <v>0</v>
      </c>
      <c r="J2826" s="323"/>
      <c r="K2826" s="307" t="s">
        <v>8</v>
      </c>
      <c r="P2826" s="290">
        <f t="shared" si="18"/>
        <v>5</v>
      </c>
      <c r="Q2826" s="307"/>
      <c r="R2826" s="307"/>
      <c r="S2826" s="307"/>
      <c r="T2826" s="307"/>
      <c r="U2826" s="307"/>
      <c r="V2826" s="307"/>
      <c r="W2826" s="307"/>
      <c r="X2826" s="307"/>
      <c r="Y2826" s="307"/>
      <c r="Z2826" s="307"/>
      <c r="AA2826" s="307"/>
      <c r="AB2826" s="307"/>
      <c r="AC2826" s="307"/>
      <c r="AD2826" s="307"/>
      <c r="AE2826" s="307"/>
      <c r="AF2826" s="307"/>
      <c r="AG2826" s="14"/>
      <c r="AH2826" s="14"/>
      <c r="AI2826" s="14"/>
      <c r="AJ2826" s="14"/>
      <c r="AK2826" s="14"/>
    </row>
    <row r="2827" spans="2:37" x14ac:dyDescent="0.25">
      <c r="B2827" s="307">
        <v>273702</v>
      </c>
      <c r="C2827" s="307">
        <v>1135753</v>
      </c>
      <c r="D2827" s="307" t="s">
        <v>10</v>
      </c>
      <c r="E2827" s="323">
        <v>301090080013</v>
      </c>
      <c r="F2827" s="323"/>
      <c r="G2827" s="307"/>
      <c r="H2827" s="307"/>
      <c r="I2827" s="323">
        <v>2</v>
      </c>
      <c r="J2827" s="323"/>
      <c r="K2827" s="307" t="s">
        <v>8</v>
      </c>
      <c r="P2827" s="290">
        <f t="shared" si="18"/>
        <v>6</v>
      </c>
      <c r="Q2827" s="307"/>
      <c r="R2827" s="307"/>
      <c r="S2827" s="307"/>
      <c r="T2827" s="307"/>
      <c r="U2827" s="307"/>
      <c r="V2827" s="307"/>
      <c r="W2827" s="307"/>
      <c r="X2827" s="307"/>
      <c r="Y2827" s="307"/>
      <c r="Z2827" s="307"/>
      <c r="AA2827" s="307"/>
      <c r="AB2827" s="307"/>
      <c r="AC2827" s="307"/>
      <c r="AD2827" s="307"/>
      <c r="AE2827" s="307"/>
      <c r="AF2827" s="307"/>
      <c r="AG2827" s="14"/>
      <c r="AH2827" s="14"/>
      <c r="AI2827" s="14"/>
      <c r="AJ2827" s="14"/>
      <c r="AK2827" s="14"/>
    </row>
    <row r="2828" spans="2:37" x14ac:dyDescent="0.25">
      <c r="B2828" s="307">
        <v>273698</v>
      </c>
      <c r="C2828" s="307">
        <v>1135752</v>
      </c>
      <c r="D2828" s="307" t="s">
        <v>36</v>
      </c>
      <c r="E2828" s="323">
        <v>701040120042</v>
      </c>
      <c r="F2828" s="323"/>
      <c r="G2828" s="307"/>
      <c r="H2828" s="307"/>
      <c r="I2828" s="323">
        <v>0</v>
      </c>
      <c r="J2828" s="323"/>
      <c r="K2828" s="307" t="s">
        <v>8</v>
      </c>
      <c r="P2828" s="290">
        <f t="shared" si="18"/>
        <v>7</v>
      </c>
      <c r="Q2828" s="307"/>
      <c r="R2828" s="307"/>
      <c r="S2828" s="312">
        <f>COUNTA(S2819:S2827)</f>
        <v>5</v>
      </c>
      <c r="T2828" s="312"/>
      <c r="U2828" s="312">
        <f>COUNTA(U2819:U2827)</f>
        <v>3</v>
      </c>
      <c r="V2828" s="312">
        <f>COUNTA(V2819:V2827)</f>
        <v>5</v>
      </c>
      <c r="W2828" s="312"/>
      <c r="X2828" s="312"/>
      <c r="Y2828" s="312"/>
      <c r="Z2828" s="312"/>
      <c r="AA2828" s="312">
        <v>22</v>
      </c>
      <c r="AB2828" s="312">
        <v>3</v>
      </c>
      <c r="AC2828" s="312"/>
      <c r="AD2828" s="312">
        <v>1</v>
      </c>
      <c r="AE2828" s="312">
        <f>COUNT(AE2819:AE2827)</f>
        <v>5</v>
      </c>
      <c r="AF2828" s="312">
        <f>COUNT(AF2819:AF2827)</f>
        <v>3</v>
      </c>
      <c r="AG2828" s="14"/>
      <c r="AH2828" s="14"/>
      <c r="AI2828" s="14"/>
      <c r="AJ2828" s="14"/>
      <c r="AK2828" s="14"/>
    </row>
    <row r="2829" spans="2:37" x14ac:dyDescent="0.25">
      <c r="B2829" s="307">
        <v>273698</v>
      </c>
      <c r="C2829" s="307">
        <v>1135752</v>
      </c>
      <c r="D2829" s="307" t="s">
        <v>11</v>
      </c>
      <c r="E2829" s="323">
        <v>701040120047</v>
      </c>
      <c r="F2829" s="323"/>
      <c r="G2829" s="307"/>
      <c r="H2829" s="307"/>
      <c r="I2829" s="323">
        <v>3</v>
      </c>
      <c r="J2829" s="323"/>
      <c r="K2829" s="307" t="s">
        <v>8</v>
      </c>
      <c r="P2829" s="290">
        <f t="shared" si="18"/>
        <v>8</v>
      </c>
      <c r="Q2829" s="307"/>
      <c r="R2829" s="307"/>
      <c r="AG2829" s="14"/>
      <c r="AH2829" s="14"/>
      <c r="AI2829" s="14"/>
      <c r="AJ2829" s="14"/>
      <c r="AK2829" s="14"/>
    </row>
    <row r="2830" spans="2:37" x14ac:dyDescent="0.25">
      <c r="B2830" s="307">
        <v>273680</v>
      </c>
      <c r="C2830" s="307">
        <v>1135751</v>
      </c>
      <c r="D2830" s="307" t="s">
        <v>88</v>
      </c>
      <c r="E2830" s="323" t="s">
        <v>89</v>
      </c>
      <c r="F2830" s="323"/>
      <c r="G2830" s="307"/>
      <c r="H2830" s="307"/>
      <c r="I2830" s="323">
        <v>3</v>
      </c>
      <c r="J2830" s="323"/>
      <c r="K2830" s="307" t="s">
        <v>14</v>
      </c>
      <c r="P2830" s="290">
        <f t="shared" si="18"/>
        <v>9</v>
      </c>
      <c r="Q2830" s="307"/>
      <c r="R2830" s="307"/>
      <c r="AG2830" s="14"/>
      <c r="AH2830" s="14"/>
      <c r="AI2830" s="14"/>
      <c r="AJ2830" s="14"/>
      <c r="AK2830" s="14"/>
    </row>
    <row r="2831" spans="2:37" x14ac:dyDescent="0.25">
      <c r="B2831" s="307">
        <v>273680</v>
      </c>
      <c r="C2831" s="307">
        <v>1135751</v>
      </c>
      <c r="D2831" s="307" t="s">
        <v>12</v>
      </c>
      <c r="E2831" s="323" t="s">
        <v>13</v>
      </c>
      <c r="F2831" s="323"/>
      <c r="G2831" s="307"/>
      <c r="H2831" s="307"/>
      <c r="I2831" s="323">
        <v>15</v>
      </c>
      <c r="J2831" s="323"/>
      <c r="K2831" s="307" t="s">
        <v>14</v>
      </c>
      <c r="P2831" s="290" t="s">
        <v>27</v>
      </c>
      <c r="Q2831" s="312">
        <f>COUNT(Q2822:Q2830)</f>
        <v>2</v>
      </c>
      <c r="R2831" s="312"/>
      <c r="AG2831" s="14"/>
      <c r="AH2831" s="14"/>
      <c r="AI2831" s="14"/>
      <c r="AJ2831" s="14"/>
      <c r="AK2831" s="14"/>
    </row>
    <row r="2832" spans="2:37" x14ac:dyDescent="0.25">
      <c r="B2832" s="312" t="s">
        <v>67</v>
      </c>
      <c r="E2832" s="331"/>
      <c r="F2832" s="331"/>
      <c r="I2832" s="331"/>
      <c r="J2832" s="331"/>
      <c r="AG2832" s="14"/>
      <c r="AH2832" s="14"/>
      <c r="AI2832" s="14"/>
      <c r="AJ2832" s="14"/>
      <c r="AK2832" s="14"/>
    </row>
    <row r="2833" spans="2:37" x14ac:dyDescent="0.25">
      <c r="P2833" s="290" t="s">
        <v>107</v>
      </c>
      <c r="AG2833" s="14"/>
      <c r="AH2833" s="14"/>
      <c r="AI2833" s="14"/>
      <c r="AJ2833" s="14"/>
      <c r="AK2833" s="14"/>
    </row>
    <row r="2834" spans="2:37" x14ac:dyDescent="0.25">
      <c r="P2834" s="312" t="s">
        <v>39</v>
      </c>
      <c r="Q2834" s="58" t="s">
        <v>40</v>
      </c>
      <c r="R2834" s="58"/>
      <c r="AG2834" s="14"/>
      <c r="AH2834" s="14"/>
      <c r="AI2834" s="14"/>
      <c r="AJ2834" s="14"/>
      <c r="AK2834" s="14"/>
    </row>
    <row r="2835" spans="2:37" x14ac:dyDescent="0.25">
      <c r="B2835" s="322" t="s">
        <v>18</v>
      </c>
      <c r="C2835" s="325">
        <v>44329</v>
      </c>
      <c r="P2835" s="290">
        <v>1</v>
      </c>
      <c r="Q2835" s="332">
        <v>18145</v>
      </c>
      <c r="R2835" s="332"/>
      <c r="AG2835" s="14"/>
      <c r="AH2835" s="14"/>
      <c r="AI2835" s="14"/>
      <c r="AJ2835" s="14"/>
      <c r="AK2835" s="14"/>
    </row>
    <row r="2836" spans="2:37" x14ac:dyDescent="0.25">
      <c r="B2836" s="308" t="s">
        <v>0</v>
      </c>
      <c r="C2836" s="308" t="s">
        <v>1</v>
      </c>
      <c r="D2836" s="308" t="s">
        <v>2</v>
      </c>
      <c r="E2836" s="308" t="s">
        <v>3</v>
      </c>
      <c r="F2836" s="308"/>
      <c r="G2836" s="308" t="s">
        <v>66</v>
      </c>
      <c r="H2836" s="308"/>
      <c r="I2836" s="308" t="s">
        <v>5</v>
      </c>
      <c r="J2836" s="308"/>
      <c r="K2836" s="308" t="s">
        <v>6</v>
      </c>
      <c r="P2836" s="290">
        <f>1+P2835</f>
        <v>2</v>
      </c>
      <c r="Q2836" s="332">
        <v>18146</v>
      </c>
      <c r="R2836" s="332"/>
      <c r="AG2836" s="14"/>
      <c r="AH2836" s="14"/>
      <c r="AI2836" s="14"/>
      <c r="AJ2836" s="14"/>
      <c r="AK2836" s="14"/>
    </row>
    <row r="2837" spans="2:37" x14ac:dyDescent="0.25">
      <c r="B2837" s="307">
        <v>273664</v>
      </c>
      <c r="C2837" s="307">
        <v>1135749</v>
      </c>
      <c r="D2837" s="307" t="s">
        <v>7</v>
      </c>
      <c r="E2837" s="323">
        <v>6060090013</v>
      </c>
      <c r="F2837" s="323"/>
      <c r="G2837" s="307"/>
      <c r="H2837" s="307"/>
      <c r="I2837" s="323">
        <v>2</v>
      </c>
      <c r="J2837" s="323"/>
      <c r="K2837" s="307" t="s">
        <v>8</v>
      </c>
      <c r="L2837" s="312"/>
      <c r="M2837" s="312"/>
      <c r="N2837" s="312"/>
      <c r="O2837" s="312"/>
      <c r="P2837" s="290">
        <f t="shared" ref="P2837:P2843" si="19">1+P2836</f>
        <v>3</v>
      </c>
      <c r="Q2837" s="307">
        <v>18144</v>
      </c>
      <c r="R2837" s="307"/>
      <c r="AG2837" s="14"/>
      <c r="AH2837" s="14"/>
      <c r="AI2837" s="14"/>
      <c r="AJ2837" s="14"/>
      <c r="AK2837" s="14"/>
    </row>
    <row r="2838" spans="2:37" x14ac:dyDescent="0.25">
      <c r="B2838" s="307">
        <v>273672</v>
      </c>
      <c r="C2838" s="307">
        <v>1135750</v>
      </c>
      <c r="D2838" s="307" t="s">
        <v>9</v>
      </c>
      <c r="E2838" s="323">
        <v>204060000206</v>
      </c>
      <c r="F2838" s="323"/>
      <c r="G2838" s="307"/>
      <c r="H2838" s="307"/>
      <c r="I2838" s="323">
        <v>2</v>
      </c>
      <c r="J2838" s="323"/>
      <c r="K2838" s="307" t="s">
        <v>8</v>
      </c>
      <c r="P2838" s="290">
        <f t="shared" si="19"/>
        <v>4</v>
      </c>
      <c r="Q2838" s="307">
        <v>18147</v>
      </c>
      <c r="R2838" s="307"/>
      <c r="AG2838" s="14"/>
      <c r="AH2838" s="14"/>
      <c r="AI2838" s="14"/>
      <c r="AJ2838" s="14"/>
      <c r="AK2838" s="14"/>
    </row>
    <row r="2839" spans="2:37" x14ac:dyDescent="0.25">
      <c r="B2839" s="307"/>
      <c r="C2839" s="307">
        <v>1135750</v>
      </c>
      <c r="D2839" s="307" t="s">
        <v>9</v>
      </c>
      <c r="E2839" s="323">
        <v>204060000058</v>
      </c>
      <c r="F2839" s="323"/>
      <c r="G2839" s="307"/>
      <c r="H2839" s="307"/>
      <c r="I2839" s="323">
        <v>2</v>
      </c>
      <c r="J2839" s="323"/>
      <c r="K2839" s="307" t="s">
        <v>8</v>
      </c>
      <c r="P2839" s="290">
        <f t="shared" si="19"/>
        <v>5</v>
      </c>
      <c r="Q2839" s="307">
        <v>18143</v>
      </c>
      <c r="R2839" s="307"/>
      <c r="AG2839" s="14"/>
      <c r="AH2839" s="14"/>
      <c r="AI2839" s="14"/>
      <c r="AJ2839" s="14"/>
      <c r="AK2839" s="14"/>
    </row>
    <row r="2840" spans="2:37" x14ac:dyDescent="0.25">
      <c r="B2840" s="307"/>
      <c r="C2840" s="307">
        <v>1290399</v>
      </c>
      <c r="D2840" s="307" t="s">
        <v>35</v>
      </c>
      <c r="E2840" s="323">
        <v>204060000111</v>
      </c>
      <c r="F2840" s="323"/>
      <c r="G2840" s="307"/>
      <c r="H2840" s="307"/>
      <c r="I2840" s="323">
        <v>1</v>
      </c>
      <c r="J2840" s="323"/>
      <c r="K2840" s="307" t="s">
        <v>8</v>
      </c>
      <c r="P2840" s="290">
        <f t="shared" si="19"/>
        <v>6</v>
      </c>
      <c r="Q2840" s="307"/>
      <c r="R2840" s="307"/>
      <c r="S2840" s="14"/>
      <c r="T2840" s="14"/>
      <c r="U2840" s="14"/>
      <c r="V2840" s="14"/>
      <c r="W2840" s="14"/>
      <c r="X2840" s="14"/>
      <c r="Y2840" s="14"/>
      <c r="Z2840" s="14"/>
      <c r="AA2840" s="14"/>
      <c r="AB2840" s="14"/>
      <c r="AC2840" s="14"/>
      <c r="AD2840" s="14"/>
      <c r="AE2840" s="14"/>
      <c r="AF2840" s="14"/>
      <c r="AG2840" s="14"/>
      <c r="AH2840" s="14"/>
      <c r="AI2840" s="14"/>
      <c r="AJ2840" s="14"/>
      <c r="AK2840" s="14"/>
    </row>
    <row r="2841" spans="2:37" x14ac:dyDescent="0.25">
      <c r="B2841" s="307">
        <v>273702</v>
      </c>
      <c r="C2841" s="307">
        <v>1135753</v>
      </c>
      <c r="D2841" s="307" t="s">
        <v>10</v>
      </c>
      <c r="E2841" s="323">
        <v>301090080013</v>
      </c>
      <c r="F2841" s="323"/>
      <c r="G2841" s="307"/>
      <c r="H2841" s="307"/>
      <c r="I2841" s="323">
        <v>4</v>
      </c>
      <c r="J2841" s="323"/>
      <c r="K2841" s="307" t="s">
        <v>8</v>
      </c>
      <c r="P2841" s="290">
        <f t="shared" si="19"/>
        <v>7</v>
      </c>
      <c r="Q2841" s="307"/>
      <c r="R2841" s="307"/>
      <c r="S2841" s="14"/>
      <c r="T2841" s="14"/>
      <c r="U2841" s="14"/>
      <c r="V2841" s="14"/>
      <c r="W2841" s="14"/>
      <c r="X2841" s="14"/>
      <c r="Y2841" s="14"/>
      <c r="Z2841" s="14"/>
      <c r="AA2841" s="14"/>
      <c r="AB2841" s="14"/>
      <c r="AC2841" s="14"/>
      <c r="AD2841" s="14"/>
      <c r="AE2841" s="14"/>
      <c r="AF2841" s="14"/>
      <c r="AG2841" s="14"/>
      <c r="AH2841" s="14"/>
      <c r="AI2841" s="14"/>
      <c r="AJ2841" s="14"/>
      <c r="AK2841" s="14"/>
    </row>
    <row r="2842" spans="2:37" x14ac:dyDescent="0.25">
      <c r="B2842" s="307">
        <v>273698</v>
      </c>
      <c r="C2842" s="307">
        <v>1135752</v>
      </c>
      <c r="D2842" s="307" t="s">
        <v>36</v>
      </c>
      <c r="E2842" s="323">
        <v>701040120042</v>
      </c>
      <c r="F2842" s="323"/>
      <c r="G2842" s="307"/>
      <c r="H2842" s="307"/>
      <c r="I2842" s="323">
        <v>0</v>
      </c>
      <c r="J2842" s="323"/>
      <c r="K2842" s="307" t="s">
        <v>8</v>
      </c>
      <c r="P2842" s="290">
        <f t="shared" si="19"/>
        <v>8</v>
      </c>
      <c r="Q2842" s="307"/>
      <c r="R2842" s="307"/>
      <c r="S2842" s="14"/>
      <c r="T2842" s="14"/>
      <c r="U2842" s="14"/>
      <c r="V2842" s="14"/>
      <c r="W2842" s="14"/>
      <c r="X2842" s="14"/>
      <c r="Y2842" s="14"/>
      <c r="Z2842" s="14"/>
      <c r="AA2842" s="14"/>
      <c r="AB2842" s="14"/>
      <c r="AC2842" s="14"/>
      <c r="AD2842" s="14"/>
      <c r="AE2842" s="14"/>
      <c r="AF2842" s="14"/>
      <c r="AG2842" s="14"/>
      <c r="AH2842" s="14"/>
      <c r="AI2842" s="14"/>
      <c r="AJ2842" s="14"/>
      <c r="AK2842" s="14"/>
    </row>
    <row r="2843" spans="2:37" x14ac:dyDescent="0.25">
      <c r="B2843" s="307">
        <v>273698</v>
      </c>
      <c r="C2843" s="307">
        <v>1135752</v>
      </c>
      <c r="D2843" s="307" t="s">
        <v>11</v>
      </c>
      <c r="E2843" s="323">
        <v>701040120047</v>
      </c>
      <c r="F2843" s="323"/>
      <c r="G2843" s="307"/>
      <c r="H2843" s="307"/>
      <c r="I2843" s="323">
        <v>5</v>
      </c>
      <c r="J2843" s="323"/>
      <c r="K2843" s="307" t="s">
        <v>8</v>
      </c>
      <c r="P2843" s="290">
        <f t="shared" si="19"/>
        <v>9</v>
      </c>
      <c r="Q2843" s="307"/>
      <c r="R2843" s="307"/>
      <c r="S2843" s="14"/>
      <c r="T2843" s="14"/>
      <c r="U2843" s="14"/>
      <c r="V2843" s="14"/>
      <c r="W2843" s="14"/>
      <c r="X2843" s="14"/>
      <c r="Y2843" s="14"/>
      <c r="Z2843" s="14"/>
      <c r="AA2843" s="14"/>
      <c r="AB2843" s="14"/>
      <c r="AC2843" s="14"/>
      <c r="AD2843" s="14"/>
      <c r="AE2843" s="14"/>
      <c r="AF2843" s="14"/>
      <c r="AG2843" s="14"/>
      <c r="AH2843" s="14"/>
      <c r="AI2843" s="14"/>
      <c r="AJ2843" s="14"/>
      <c r="AK2843" s="14"/>
    </row>
    <row r="2844" spans="2:37" x14ac:dyDescent="0.25">
      <c r="B2844" s="307">
        <v>273680</v>
      </c>
      <c r="C2844" s="307">
        <v>1135751</v>
      </c>
      <c r="D2844" s="307" t="s">
        <v>88</v>
      </c>
      <c r="E2844" s="323" t="s">
        <v>89</v>
      </c>
      <c r="F2844" s="323"/>
      <c r="G2844" s="307"/>
      <c r="H2844" s="307"/>
      <c r="I2844" s="323">
        <v>3</v>
      </c>
      <c r="J2844" s="323"/>
      <c r="K2844" s="307" t="s">
        <v>14</v>
      </c>
      <c r="P2844" s="290" t="s">
        <v>27</v>
      </c>
      <c r="Q2844" s="312">
        <f>COUNT(Q2835:Q2843)</f>
        <v>5</v>
      </c>
      <c r="R2844" s="312"/>
      <c r="S2844" s="14"/>
      <c r="T2844" s="14"/>
      <c r="U2844" s="14"/>
      <c r="V2844" s="14"/>
      <c r="W2844" s="14"/>
      <c r="X2844" s="14"/>
      <c r="Y2844" s="14"/>
      <c r="Z2844" s="14"/>
      <c r="AA2844" s="14"/>
      <c r="AB2844" s="14"/>
      <c r="AC2844" s="14"/>
      <c r="AD2844" s="14"/>
      <c r="AE2844" s="14"/>
      <c r="AF2844" s="14"/>
      <c r="AG2844" s="14"/>
      <c r="AH2844" s="14"/>
      <c r="AI2844" s="14"/>
      <c r="AJ2844" s="14"/>
      <c r="AK2844" s="14"/>
    </row>
    <row r="2845" spans="2:37" x14ac:dyDescent="0.25">
      <c r="B2845" s="307">
        <v>273680</v>
      </c>
      <c r="C2845" s="307">
        <v>1135751</v>
      </c>
      <c r="D2845" s="307" t="s">
        <v>12</v>
      </c>
      <c r="E2845" s="323" t="s">
        <v>13</v>
      </c>
      <c r="F2845" s="323"/>
      <c r="G2845" s="307"/>
      <c r="H2845" s="307"/>
      <c r="I2845" s="323">
        <v>18</v>
      </c>
      <c r="J2845" s="323"/>
      <c r="K2845" s="307" t="s">
        <v>14</v>
      </c>
      <c r="S2845" s="14"/>
      <c r="T2845" s="14"/>
      <c r="U2845" s="14"/>
      <c r="V2845" s="14"/>
      <c r="W2845" s="14"/>
      <c r="X2845" s="14"/>
      <c r="Y2845" s="14"/>
      <c r="Z2845" s="14"/>
      <c r="AA2845" s="14"/>
      <c r="AB2845" s="14"/>
      <c r="AC2845" s="14"/>
      <c r="AD2845" s="14"/>
      <c r="AE2845" s="14"/>
      <c r="AF2845" s="14"/>
      <c r="AG2845" s="14"/>
      <c r="AH2845" s="14"/>
      <c r="AI2845" s="14"/>
      <c r="AJ2845" s="14"/>
      <c r="AK2845" s="14"/>
    </row>
    <row r="2848" spans="2:37" x14ac:dyDescent="0.25">
      <c r="B2848" s="322" t="s">
        <v>18</v>
      </c>
      <c r="C2848" s="325">
        <v>44286</v>
      </c>
      <c r="S2848" s="14"/>
      <c r="T2848" s="14"/>
      <c r="U2848" s="14"/>
      <c r="V2848" s="14"/>
      <c r="W2848" s="14"/>
      <c r="X2848" s="14"/>
      <c r="Y2848" s="14"/>
      <c r="Z2848" s="14"/>
      <c r="AA2848" s="14"/>
      <c r="AB2848" s="14"/>
      <c r="AC2848" s="14"/>
      <c r="AD2848" s="14"/>
      <c r="AE2848" s="14"/>
      <c r="AF2848" s="14"/>
      <c r="AG2848" s="14"/>
      <c r="AH2848" s="14"/>
      <c r="AI2848" s="14"/>
      <c r="AJ2848" s="14"/>
      <c r="AK2848" s="14"/>
    </row>
    <row r="2849" spans="2:37" x14ac:dyDescent="0.25">
      <c r="B2849" s="308" t="s">
        <v>0</v>
      </c>
      <c r="C2849" s="308" t="s">
        <v>1</v>
      </c>
      <c r="D2849" s="308" t="s">
        <v>2</v>
      </c>
      <c r="E2849" s="308" t="s">
        <v>3</v>
      </c>
      <c r="F2849" s="308"/>
      <c r="G2849" s="308" t="s">
        <v>66</v>
      </c>
      <c r="H2849" s="308"/>
      <c r="I2849" s="308" t="s">
        <v>5</v>
      </c>
      <c r="J2849" s="308"/>
      <c r="K2849" s="308" t="s">
        <v>6</v>
      </c>
      <c r="S2849" s="14"/>
      <c r="T2849" s="14"/>
      <c r="U2849" s="14"/>
      <c r="V2849" s="14"/>
      <c r="W2849" s="14"/>
      <c r="X2849" s="14"/>
      <c r="Y2849" s="14"/>
      <c r="Z2849" s="14"/>
      <c r="AA2849" s="14"/>
      <c r="AB2849" s="14"/>
      <c r="AC2849" s="14"/>
      <c r="AD2849" s="14"/>
      <c r="AE2849" s="14"/>
      <c r="AF2849" s="14"/>
      <c r="AG2849" s="14"/>
      <c r="AH2849" s="14"/>
      <c r="AI2849" s="14"/>
      <c r="AJ2849" s="14"/>
      <c r="AK2849" s="14"/>
    </row>
    <row r="2850" spans="2:37" x14ac:dyDescent="0.25">
      <c r="B2850" s="307">
        <v>273664</v>
      </c>
      <c r="C2850" s="307">
        <v>1135749</v>
      </c>
      <c r="D2850" s="307" t="s">
        <v>7</v>
      </c>
      <c r="E2850" s="323">
        <v>6060090013</v>
      </c>
      <c r="F2850" s="323"/>
      <c r="G2850" s="307"/>
      <c r="H2850" s="307"/>
      <c r="I2850" s="323">
        <v>5</v>
      </c>
      <c r="J2850" s="323"/>
      <c r="K2850" s="307" t="s">
        <v>8</v>
      </c>
      <c r="L2850" s="312"/>
      <c r="M2850" s="312"/>
      <c r="N2850" s="312"/>
      <c r="O2850" s="312"/>
      <c r="S2850" s="14"/>
      <c r="T2850" s="14"/>
      <c r="U2850" s="14"/>
      <c r="V2850" s="14"/>
      <c r="W2850" s="14"/>
      <c r="X2850" s="14"/>
      <c r="Y2850" s="14"/>
      <c r="Z2850" s="14"/>
      <c r="AA2850" s="14"/>
      <c r="AB2850" s="14"/>
      <c r="AC2850" s="14"/>
      <c r="AD2850" s="14"/>
      <c r="AE2850" s="14"/>
      <c r="AF2850" s="14"/>
      <c r="AG2850" s="14"/>
      <c r="AH2850" s="14"/>
      <c r="AI2850" s="14"/>
      <c r="AJ2850" s="14"/>
      <c r="AK2850" s="14"/>
    </row>
    <row r="2851" spans="2:37" x14ac:dyDescent="0.25">
      <c r="B2851" s="307">
        <v>273672</v>
      </c>
      <c r="C2851" s="307">
        <v>1135750</v>
      </c>
      <c r="D2851" s="307" t="s">
        <v>9</v>
      </c>
      <c r="E2851" s="323">
        <v>204060000206</v>
      </c>
      <c r="F2851" s="323"/>
      <c r="G2851" s="307"/>
      <c r="H2851" s="307"/>
      <c r="I2851" s="323">
        <v>5</v>
      </c>
      <c r="J2851" s="323"/>
      <c r="K2851" s="307" t="s">
        <v>8</v>
      </c>
      <c r="S2851" s="14"/>
      <c r="T2851" s="14"/>
      <c r="U2851" s="14"/>
      <c r="V2851" s="14"/>
      <c r="W2851" s="14"/>
      <c r="X2851" s="14"/>
      <c r="Y2851" s="14"/>
      <c r="Z2851" s="14"/>
      <c r="AA2851" s="14"/>
      <c r="AB2851" s="14"/>
      <c r="AC2851" s="14"/>
      <c r="AD2851" s="14"/>
      <c r="AE2851" s="14"/>
      <c r="AF2851" s="14"/>
      <c r="AG2851" s="14"/>
      <c r="AH2851" s="14"/>
      <c r="AI2851" s="14"/>
      <c r="AJ2851" s="14"/>
      <c r="AK2851" s="14"/>
    </row>
    <row r="2852" spans="2:37" x14ac:dyDescent="0.25">
      <c r="B2852" s="307"/>
      <c r="C2852" s="307">
        <v>1135750</v>
      </c>
      <c r="D2852" s="307" t="s">
        <v>9</v>
      </c>
      <c r="E2852" s="323">
        <v>204060000058</v>
      </c>
      <c r="F2852" s="323"/>
      <c r="G2852" s="307"/>
      <c r="H2852" s="307"/>
      <c r="I2852" s="323">
        <v>5</v>
      </c>
      <c r="J2852" s="323"/>
      <c r="K2852" s="307" t="s">
        <v>8</v>
      </c>
      <c r="S2852" s="14"/>
      <c r="T2852" s="14"/>
      <c r="U2852" s="14"/>
      <c r="V2852" s="14"/>
      <c r="W2852" s="14"/>
      <c r="X2852" s="14"/>
      <c r="Y2852" s="14"/>
      <c r="Z2852" s="14"/>
      <c r="AA2852" s="14"/>
      <c r="AB2852" s="14"/>
      <c r="AC2852" s="14"/>
      <c r="AD2852" s="14"/>
      <c r="AE2852" s="14"/>
      <c r="AF2852" s="14"/>
      <c r="AG2852" s="14"/>
      <c r="AH2852" s="14"/>
      <c r="AI2852" s="14"/>
      <c r="AJ2852" s="14"/>
      <c r="AK2852" s="14"/>
    </row>
    <row r="2853" spans="2:37" x14ac:dyDescent="0.25">
      <c r="B2853" s="307"/>
      <c r="C2853" s="307">
        <v>1290399</v>
      </c>
      <c r="D2853" s="307" t="s">
        <v>35</v>
      </c>
      <c r="E2853" s="323">
        <v>204060000111</v>
      </c>
      <c r="F2853" s="323"/>
      <c r="G2853" s="307"/>
      <c r="H2853" s="307"/>
      <c r="I2853" s="323">
        <v>3</v>
      </c>
      <c r="J2853" s="323"/>
      <c r="K2853" s="307" t="s">
        <v>8</v>
      </c>
      <c r="S2853" s="14"/>
      <c r="T2853" s="14"/>
      <c r="U2853" s="14"/>
      <c r="V2853" s="14"/>
      <c r="W2853" s="14"/>
      <c r="X2853" s="14"/>
      <c r="Y2853" s="14"/>
      <c r="Z2853" s="14"/>
      <c r="AA2853" s="14"/>
      <c r="AB2853" s="14"/>
      <c r="AC2853" s="14"/>
      <c r="AD2853" s="14"/>
      <c r="AE2853" s="14"/>
      <c r="AF2853" s="14"/>
      <c r="AG2853" s="14"/>
      <c r="AH2853" s="14"/>
      <c r="AI2853" s="14"/>
      <c r="AJ2853" s="14"/>
      <c r="AK2853" s="14"/>
    </row>
    <row r="2854" spans="2:37" x14ac:dyDescent="0.25">
      <c r="B2854" s="307">
        <v>273702</v>
      </c>
      <c r="C2854" s="307">
        <v>1135753</v>
      </c>
      <c r="D2854" s="307" t="s">
        <v>10</v>
      </c>
      <c r="E2854" s="323">
        <v>301090080013</v>
      </c>
      <c r="F2854" s="323"/>
      <c r="G2854" s="307"/>
      <c r="H2854" s="307"/>
      <c r="I2854" s="323">
        <v>4</v>
      </c>
      <c r="J2854" s="323"/>
      <c r="K2854" s="307" t="s">
        <v>8</v>
      </c>
      <c r="S2854" s="14"/>
      <c r="T2854" s="14"/>
      <c r="U2854" s="14"/>
      <c r="V2854" s="14"/>
      <c r="W2854" s="14"/>
      <c r="X2854" s="14"/>
      <c r="Y2854" s="14"/>
      <c r="Z2854" s="14"/>
      <c r="AA2854" s="14"/>
      <c r="AB2854" s="14"/>
      <c r="AC2854" s="14"/>
      <c r="AD2854" s="14"/>
      <c r="AE2854" s="14"/>
      <c r="AF2854" s="14"/>
      <c r="AG2854" s="14"/>
      <c r="AH2854" s="14"/>
      <c r="AI2854" s="14"/>
      <c r="AJ2854" s="14"/>
      <c r="AK2854" s="14"/>
    </row>
    <row r="2855" spans="2:37" x14ac:dyDescent="0.25">
      <c r="B2855" s="307">
        <v>273698</v>
      </c>
      <c r="C2855" s="307">
        <v>1135752</v>
      </c>
      <c r="D2855" s="307" t="s">
        <v>36</v>
      </c>
      <c r="E2855" s="323">
        <v>701040120042</v>
      </c>
      <c r="F2855" s="323"/>
      <c r="G2855" s="307"/>
      <c r="H2855" s="307"/>
      <c r="I2855" s="323">
        <v>1</v>
      </c>
      <c r="J2855" s="323"/>
      <c r="K2855" s="307" t="s">
        <v>8</v>
      </c>
      <c r="S2855" s="14"/>
      <c r="T2855" s="14"/>
      <c r="U2855" s="14"/>
      <c r="V2855" s="14"/>
      <c r="W2855" s="14"/>
      <c r="X2855" s="14"/>
      <c r="Y2855" s="14"/>
      <c r="Z2855" s="14"/>
      <c r="AA2855" s="14"/>
      <c r="AB2855" s="14"/>
      <c r="AC2855" s="14"/>
      <c r="AD2855" s="14"/>
      <c r="AE2855" s="14"/>
      <c r="AF2855" s="14"/>
      <c r="AG2855" s="14"/>
      <c r="AH2855" s="14"/>
      <c r="AI2855" s="14"/>
      <c r="AJ2855" s="14"/>
      <c r="AK2855" s="14"/>
    </row>
    <row r="2856" spans="2:37" x14ac:dyDescent="0.25">
      <c r="B2856" s="307">
        <v>273698</v>
      </c>
      <c r="C2856" s="307">
        <v>1135752</v>
      </c>
      <c r="D2856" s="307" t="s">
        <v>11</v>
      </c>
      <c r="E2856" s="323">
        <v>701040120047</v>
      </c>
      <c r="F2856" s="323"/>
      <c r="G2856" s="307"/>
      <c r="H2856" s="307"/>
      <c r="I2856" s="323">
        <v>5</v>
      </c>
      <c r="J2856" s="323"/>
      <c r="K2856" s="307" t="s">
        <v>8</v>
      </c>
      <c r="L2856" s="14"/>
      <c r="M2856" s="14"/>
      <c r="N2856" s="14"/>
      <c r="O2856" s="14"/>
      <c r="P2856" s="14"/>
      <c r="Q2856" s="14"/>
      <c r="R2856" s="14"/>
      <c r="S2856" s="14"/>
      <c r="T2856" s="14"/>
      <c r="U2856" s="14"/>
      <c r="V2856" s="14"/>
      <c r="W2856" s="14"/>
      <c r="X2856" s="14"/>
      <c r="Y2856" s="14"/>
      <c r="Z2856" s="14"/>
      <c r="AA2856" s="14"/>
      <c r="AB2856" s="14"/>
      <c r="AC2856" s="14"/>
      <c r="AD2856" s="14"/>
      <c r="AE2856" s="14"/>
      <c r="AF2856" s="14"/>
      <c r="AG2856" s="14"/>
      <c r="AH2856" s="14"/>
      <c r="AI2856" s="14"/>
      <c r="AJ2856" s="14"/>
      <c r="AK2856" s="14"/>
    </row>
    <row r="2857" spans="2:37" x14ac:dyDescent="0.25">
      <c r="B2857" s="307">
        <v>273680</v>
      </c>
      <c r="C2857" s="307">
        <v>1135751</v>
      </c>
      <c r="D2857" s="307" t="s">
        <v>88</v>
      </c>
      <c r="E2857" s="323" t="s">
        <v>89</v>
      </c>
      <c r="F2857" s="323"/>
      <c r="G2857" s="307"/>
      <c r="H2857" s="307"/>
      <c r="I2857" s="323">
        <v>3</v>
      </c>
      <c r="J2857" s="323"/>
      <c r="K2857" s="307" t="s">
        <v>14</v>
      </c>
      <c r="L2857" s="14"/>
      <c r="M2857" s="14"/>
      <c r="N2857" s="14"/>
      <c r="O2857" s="14"/>
      <c r="P2857" s="14"/>
      <c r="Q2857" s="14"/>
      <c r="R2857" s="14"/>
      <c r="S2857" s="14"/>
      <c r="T2857" s="14"/>
      <c r="U2857" s="14"/>
      <c r="V2857" s="14"/>
      <c r="W2857" s="14"/>
      <c r="X2857" s="14"/>
      <c r="Y2857" s="14"/>
      <c r="Z2857" s="14"/>
      <c r="AA2857" s="14"/>
      <c r="AB2857" s="14"/>
      <c r="AC2857" s="14"/>
      <c r="AD2857" s="14"/>
      <c r="AE2857" s="14"/>
      <c r="AF2857" s="14"/>
      <c r="AG2857" s="14"/>
      <c r="AH2857" s="14"/>
      <c r="AI2857" s="14"/>
      <c r="AJ2857" s="14"/>
      <c r="AK2857" s="14"/>
    </row>
    <row r="2858" spans="2:37" x14ac:dyDescent="0.25">
      <c r="B2858" s="307">
        <v>273680</v>
      </c>
      <c r="C2858" s="307">
        <v>1135751</v>
      </c>
      <c r="D2858" s="307" t="s">
        <v>12</v>
      </c>
      <c r="E2858" s="323" t="s">
        <v>13</v>
      </c>
      <c r="F2858" s="323"/>
      <c r="G2858" s="307"/>
      <c r="H2858" s="307"/>
      <c r="I2858" s="323">
        <v>22</v>
      </c>
      <c r="J2858" s="323"/>
      <c r="K2858" s="307" t="s">
        <v>14</v>
      </c>
      <c r="L2858" s="14"/>
      <c r="M2858" s="14"/>
      <c r="N2858" s="14"/>
      <c r="O2858" s="14"/>
      <c r="P2858" s="14"/>
      <c r="Q2858" s="14"/>
      <c r="R2858" s="14"/>
      <c r="S2858" s="14"/>
      <c r="T2858" s="14"/>
      <c r="U2858" s="14"/>
      <c r="V2858" s="14"/>
      <c r="W2858" s="14"/>
      <c r="X2858" s="14"/>
      <c r="Y2858" s="14"/>
      <c r="Z2858" s="14"/>
      <c r="AA2858" s="14"/>
      <c r="AB2858" s="14"/>
      <c r="AC2858" s="14"/>
      <c r="AD2858" s="14"/>
      <c r="AE2858" s="14"/>
      <c r="AF2858" s="14"/>
      <c r="AG2858" s="14"/>
      <c r="AH2858" s="14"/>
      <c r="AI2858" s="14"/>
      <c r="AJ2858" s="14"/>
      <c r="AK2858" s="14"/>
    </row>
  </sheetData>
  <autoFilter ref="B2836:K2845" xr:uid="{00000000-0009-0000-0000-000003000000}"/>
  <mergeCells count="105">
    <mergeCell ref="A37:A41"/>
    <mergeCell ref="A42:A68"/>
    <mergeCell ref="A71:A75"/>
    <mergeCell ref="A76:A102"/>
    <mergeCell ref="A176:A180"/>
    <mergeCell ref="A181:A207"/>
    <mergeCell ref="A141:A145"/>
    <mergeCell ref="A146:A172"/>
    <mergeCell ref="A211:A215"/>
    <mergeCell ref="A216:A242"/>
    <mergeCell ref="A246:A250"/>
    <mergeCell ref="A106:A110"/>
    <mergeCell ref="A111:A137"/>
    <mergeCell ref="A251:A277"/>
    <mergeCell ref="A281:A285"/>
    <mergeCell ref="A286:A312"/>
    <mergeCell ref="A316:A320"/>
    <mergeCell ref="A321:A347"/>
    <mergeCell ref="A456:A460"/>
    <mergeCell ref="A461:A487"/>
    <mergeCell ref="A421:A425"/>
    <mergeCell ref="A426:A452"/>
    <mergeCell ref="A351:A355"/>
    <mergeCell ref="A356:A382"/>
    <mergeCell ref="A386:A390"/>
    <mergeCell ref="A391:A417"/>
    <mergeCell ref="A491:A495"/>
    <mergeCell ref="A496:A522"/>
    <mergeCell ref="A981:A985"/>
    <mergeCell ref="A986:A1012"/>
    <mergeCell ref="A876:A880"/>
    <mergeCell ref="A881:A907"/>
    <mergeCell ref="A946:A950"/>
    <mergeCell ref="A916:A942"/>
    <mergeCell ref="A911:A915"/>
    <mergeCell ref="A951:A977"/>
    <mergeCell ref="A631:A635"/>
    <mergeCell ref="A636:A662"/>
    <mergeCell ref="A806:A810"/>
    <mergeCell ref="A841:A845"/>
    <mergeCell ref="A846:A872"/>
    <mergeCell ref="A666:A670"/>
    <mergeCell ref="A671:A697"/>
    <mergeCell ref="A811:A837"/>
    <mergeCell ref="A736:A740"/>
    <mergeCell ref="A741:A767"/>
    <mergeCell ref="A1301:A1327"/>
    <mergeCell ref="A561:A565"/>
    <mergeCell ref="A566:A592"/>
    <mergeCell ref="A526:A530"/>
    <mergeCell ref="A531:A557"/>
    <mergeCell ref="A596:A600"/>
    <mergeCell ref="A601:A627"/>
    <mergeCell ref="A701:A705"/>
    <mergeCell ref="A706:A732"/>
    <mergeCell ref="A771:A775"/>
    <mergeCell ref="A776:A802"/>
    <mergeCell ref="G2326:G2327"/>
    <mergeCell ref="A1716:A1720"/>
    <mergeCell ref="A1721:A1747"/>
    <mergeCell ref="B2326:B2327"/>
    <mergeCell ref="C2326:C2327"/>
    <mergeCell ref="D2326:D2327"/>
    <mergeCell ref="E2326:E2327"/>
    <mergeCell ref="A1021:A1047"/>
    <mergeCell ref="A1016:A1020"/>
    <mergeCell ref="A1161:A1187"/>
    <mergeCell ref="A1191:A1195"/>
    <mergeCell ref="A1091:A1117"/>
    <mergeCell ref="A1121:A1125"/>
    <mergeCell ref="A1126:A1152"/>
    <mergeCell ref="A1051:A1055"/>
    <mergeCell ref="A1056:A1082"/>
    <mergeCell ref="A1156:A1160"/>
    <mergeCell ref="A1086:A1090"/>
    <mergeCell ref="A1231:A1257"/>
    <mergeCell ref="A1436:A1440"/>
    <mergeCell ref="A1196:A1222"/>
    <mergeCell ref="A1226:A1230"/>
    <mergeCell ref="A1261:A1265"/>
    <mergeCell ref="A1266:A1292"/>
    <mergeCell ref="A3:A7"/>
    <mergeCell ref="A8:A34"/>
    <mergeCell ref="A1441:A1467"/>
    <mergeCell ref="A1506:A1510"/>
    <mergeCell ref="A1331:A1335"/>
    <mergeCell ref="A1336:A1362"/>
    <mergeCell ref="A1471:A1475"/>
    <mergeCell ref="A1371:A1397"/>
    <mergeCell ref="A1686:A1712"/>
    <mergeCell ref="A1611:A1615"/>
    <mergeCell ref="A1681:A1685"/>
    <mergeCell ref="A1476:A1502"/>
    <mergeCell ref="A1646:A1650"/>
    <mergeCell ref="A1651:A1677"/>
    <mergeCell ref="A1581:A1607"/>
    <mergeCell ref="A1616:A1642"/>
    <mergeCell ref="A1546:A1572"/>
    <mergeCell ref="A1576:A1580"/>
    <mergeCell ref="A1511:A1537"/>
    <mergeCell ref="A1541:A1545"/>
    <mergeCell ref="A1401:A1405"/>
    <mergeCell ref="A1406:A1432"/>
    <mergeCell ref="A1366:A1370"/>
    <mergeCell ref="A1296:A1300"/>
  </mergeCells>
  <conditionalFormatting sqref="K69:K1048576">
    <cfRule type="cellIs" dxfId="46" priority="3" operator="equal">
      <formula>0</formula>
    </cfRule>
  </conditionalFormatting>
  <conditionalFormatting sqref="K35:K68">
    <cfRule type="cellIs" dxfId="45" priority="2" operator="equal">
      <formula>0</formula>
    </cfRule>
  </conditionalFormatting>
  <conditionalFormatting sqref="K1:K34">
    <cfRule type="cellIs" dxfId="44" priority="1" operator="equal">
      <formula>0</formula>
    </cfRule>
  </conditionalFormatting>
  <pageMargins left="0.7" right="0.7" top="0.75" bottom="0.75" header="0.3" footer="0.3"/>
  <pageSetup scale="91" orientation="landscape" r:id="rId1"/>
  <colBreaks count="1" manualBreakCount="1">
    <brk id="13" max="1048575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3D677-96AA-439C-B3F1-95031295416B}">
  <dimension ref="A1:E28"/>
  <sheetViews>
    <sheetView tabSelected="1" workbookViewId="0">
      <selection sqref="A1:E28"/>
    </sheetView>
  </sheetViews>
  <sheetFormatPr baseColWidth="10" defaultRowHeight="15" x14ac:dyDescent="0.25"/>
  <cols>
    <col min="1" max="1" width="15" bestFit="1" customWidth="1"/>
    <col min="2" max="2" width="44.42578125" bestFit="1" customWidth="1"/>
    <col min="4" max="4" width="14.42578125" bestFit="1" customWidth="1"/>
    <col min="5" max="5" width="12.42578125" bestFit="1" customWidth="1"/>
  </cols>
  <sheetData>
    <row r="1" spans="1:5" x14ac:dyDescent="0.25">
      <c r="A1" s="72" t="s">
        <v>642</v>
      </c>
      <c r="B1" s="72" t="s">
        <v>641</v>
      </c>
      <c r="C1" s="72" t="s">
        <v>640</v>
      </c>
      <c r="D1" s="72" t="s">
        <v>645</v>
      </c>
      <c r="E1" s="72" t="s">
        <v>646</v>
      </c>
    </row>
    <row r="2" spans="1:5" x14ac:dyDescent="0.25">
      <c r="A2" s="473" t="s">
        <v>643</v>
      </c>
      <c r="B2" s="72" t="s">
        <v>7</v>
      </c>
      <c r="C2" s="72">
        <v>1135749</v>
      </c>
    </row>
    <row r="3" spans="1:5" x14ac:dyDescent="0.25">
      <c r="A3" s="473"/>
      <c r="B3" s="72" t="s">
        <v>9</v>
      </c>
      <c r="C3" s="72">
        <v>1135750</v>
      </c>
    </row>
    <row r="4" spans="1:5" x14ac:dyDescent="0.25">
      <c r="A4" s="473"/>
      <c r="B4" s="72" t="s">
        <v>10</v>
      </c>
      <c r="C4" s="72">
        <v>1135753</v>
      </c>
    </row>
    <row r="5" spans="1:5" x14ac:dyDescent="0.25">
      <c r="A5" s="473"/>
      <c r="B5" s="72" t="s">
        <v>11</v>
      </c>
      <c r="C5" s="72">
        <v>1135752</v>
      </c>
    </row>
    <row r="6" spans="1:5" x14ac:dyDescent="0.25">
      <c r="A6" s="473"/>
      <c r="B6" s="72" t="s">
        <v>12</v>
      </c>
      <c r="C6" s="72">
        <v>1135751</v>
      </c>
    </row>
    <row r="7" spans="1:5" x14ac:dyDescent="0.25">
      <c r="A7" s="473" t="s">
        <v>644</v>
      </c>
      <c r="B7" s="72" t="s">
        <v>394</v>
      </c>
      <c r="C7" s="72">
        <v>1140327</v>
      </c>
    </row>
    <row r="8" spans="1:5" x14ac:dyDescent="0.25">
      <c r="A8" s="473"/>
      <c r="B8" s="72" t="s">
        <v>395</v>
      </c>
      <c r="C8" s="72">
        <v>1151231</v>
      </c>
    </row>
    <row r="9" spans="1:5" x14ac:dyDescent="0.25">
      <c r="A9" s="473" t="s">
        <v>570</v>
      </c>
      <c r="B9" s="72" t="s">
        <v>396</v>
      </c>
      <c r="C9" s="72">
        <v>1146032</v>
      </c>
    </row>
    <row r="10" spans="1:5" x14ac:dyDescent="0.25">
      <c r="A10" s="473"/>
      <c r="B10" s="72" t="s">
        <v>397</v>
      </c>
      <c r="C10" s="72">
        <v>1146021</v>
      </c>
    </row>
    <row r="11" spans="1:5" x14ac:dyDescent="0.25">
      <c r="A11" s="473"/>
      <c r="B11" s="72" t="s">
        <v>398</v>
      </c>
      <c r="C11" s="72">
        <v>1146018</v>
      </c>
    </row>
    <row r="12" spans="1:5" x14ac:dyDescent="0.25">
      <c r="A12" s="473"/>
      <c r="B12" s="72" t="s">
        <v>399</v>
      </c>
      <c r="C12" s="72">
        <v>1146024</v>
      </c>
    </row>
    <row r="13" spans="1:5" x14ac:dyDescent="0.25">
      <c r="A13" s="473"/>
      <c r="B13" s="72" t="s">
        <v>400</v>
      </c>
      <c r="C13" s="72">
        <v>1146028</v>
      </c>
    </row>
    <row r="14" spans="1:5" x14ac:dyDescent="0.25">
      <c r="A14" s="473" t="s">
        <v>571</v>
      </c>
      <c r="B14" s="72" t="s">
        <v>401</v>
      </c>
      <c r="C14" s="72">
        <v>1146031</v>
      </c>
    </row>
    <row r="15" spans="1:5" x14ac:dyDescent="0.25">
      <c r="A15" s="473"/>
      <c r="B15" s="72" t="s">
        <v>402</v>
      </c>
      <c r="C15" s="72">
        <v>1146020</v>
      </c>
    </row>
    <row r="16" spans="1:5" x14ac:dyDescent="0.25">
      <c r="A16" s="473"/>
      <c r="B16" s="72" t="s">
        <v>398</v>
      </c>
      <c r="C16" s="72">
        <v>1146016</v>
      </c>
    </row>
    <row r="17" spans="1:3" x14ac:dyDescent="0.25">
      <c r="A17" s="473"/>
      <c r="B17" s="72" t="s">
        <v>403</v>
      </c>
      <c r="C17" s="72">
        <v>1146022</v>
      </c>
    </row>
    <row r="18" spans="1:3" x14ac:dyDescent="0.25">
      <c r="A18" s="473"/>
      <c r="B18" s="72" t="s">
        <v>404</v>
      </c>
      <c r="C18" s="72">
        <v>1146027</v>
      </c>
    </row>
    <row r="19" spans="1:3" x14ac:dyDescent="0.25">
      <c r="A19" s="473" t="s">
        <v>572</v>
      </c>
      <c r="B19" s="72" t="s">
        <v>405</v>
      </c>
      <c r="C19" s="72">
        <v>1151653</v>
      </c>
    </row>
    <row r="20" spans="1:3" x14ac:dyDescent="0.25">
      <c r="A20" s="473"/>
      <c r="B20" s="72" t="s">
        <v>406</v>
      </c>
      <c r="C20" s="72">
        <v>1151650</v>
      </c>
    </row>
    <row r="21" spans="1:3" x14ac:dyDescent="0.25">
      <c r="A21" s="473"/>
      <c r="B21" s="72" t="s">
        <v>407</v>
      </c>
      <c r="C21" s="72">
        <v>1151649</v>
      </c>
    </row>
    <row r="22" spans="1:3" x14ac:dyDescent="0.25">
      <c r="A22" s="473"/>
      <c r="B22" s="72" t="s">
        <v>408</v>
      </c>
      <c r="C22" s="72">
        <v>1151651</v>
      </c>
    </row>
    <row r="23" spans="1:3" x14ac:dyDescent="0.25">
      <c r="A23" s="473"/>
      <c r="B23" s="72" t="s">
        <v>409</v>
      </c>
      <c r="C23" s="72">
        <v>1146029</v>
      </c>
    </row>
    <row r="24" spans="1:3" x14ac:dyDescent="0.25">
      <c r="A24" s="473" t="s">
        <v>573</v>
      </c>
      <c r="B24" s="72" t="s">
        <v>411</v>
      </c>
      <c r="C24" s="72">
        <v>1699118</v>
      </c>
    </row>
    <row r="25" spans="1:3" x14ac:dyDescent="0.25">
      <c r="A25" s="473"/>
      <c r="B25" s="72" t="s">
        <v>412</v>
      </c>
      <c r="C25" s="72">
        <v>1699119</v>
      </c>
    </row>
    <row r="26" spans="1:3" x14ac:dyDescent="0.25">
      <c r="A26" s="473"/>
      <c r="B26" s="72" t="s">
        <v>413</v>
      </c>
      <c r="C26" s="72">
        <v>1699130</v>
      </c>
    </row>
    <row r="27" spans="1:3" x14ac:dyDescent="0.25">
      <c r="A27" s="473"/>
      <c r="B27" s="72" t="s">
        <v>414</v>
      </c>
      <c r="C27" s="72">
        <v>1699131</v>
      </c>
    </row>
    <row r="28" spans="1:3" x14ac:dyDescent="0.25">
      <c r="A28" s="473"/>
      <c r="B28" s="72" t="s">
        <v>415</v>
      </c>
      <c r="C28" s="72">
        <v>1699132</v>
      </c>
    </row>
  </sheetData>
  <mergeCells count="6">
    <mergeCell ref="A24:A28"/>
    <mergeCell ref="A2:A6"/>
    <mergeCell ref="A7:A8"/>
    <mergeCell ref="A9:A13"/>
    <mergeCell ref="A14:A18"/>
    <mergeCell ref="A19:A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/>
  <dimension ref="A2:BZ41"/>
  <sheetViews>
    <sheetView zoomScale="40" zoomScaleNormal="40" workbookViewId="0">
      <selection activeCell="G65" sqref="G65"/>
    </sheetView>
  </sheetViews>
  <sheetFormatPr baseColWidth="10" defaultColWidth="10.7109375" defaultRowHeight="15" x14ac:dyDescent="0.25"/>
  <cols>
    <col min="1" max="1" width="25" customWidth="1"/>
    <col min="2" max="2" width="56.28515625" customWidth="1"/>
    <col min="3" max="3" width="45.7109375" customWidth="1"/>
    <col min="4" max="4" width="52.28515625" customWidth="1"/>
    <col min="5" max="5" width="42.28515625" customWidth="1"/>
    <col min="6" max="6" width="44.28515625" customWidth="1"/>
    <col min="7" max="7" width="13" customWidth="1"/>
    <col min="8" max="10" width="53.7109375" customWidth="1"/>
    <col min="11" max="11" width="51.28515625" customWidth="1"/>
    <col min="12" max="12" width="60.140625" customWidth="1"/>
    <col min="13" max="13" width="52.28515625" customWidth="1"/>
    <col min="14" max="14" width="49.5703125" customWidth="1"/>
    <col min="15" max="15" width="41.28515625" customWidth="1"/>
    <col min="16" max="16" width="39.42578125" customWidth="1"/>
    <col min="17" max="17" width="47.7109375" customWidth="1"/>
    <col min="18" max="18" width="40.28515625" customWidth="1"/>
    <col min="19" max="19" width="49.5703125" customWidth="1"/>
    <col min="20" max="20" width="41.28515625" customWidth="1"/>
    <col min="21" max="21" width="39.42578125" customWidth="1"/>
    <col min="22" max="22" width="47.7109375" customWidth="1"/>
    <col min="23" max="23" width="40.28515625" customWidth="1"/>
    <col min="24" max="24" width="49.5703125" customWidth="1"/>
    <col min="25" max="25" width="41.28515625" customWidth="1"/>
    <col min="26" max="26" width="39.42578125" customWidth="1"/>
    <col min="27" max="27" width="47.7109375" customWidth="1"/>
    <col min="28" max="28" width="40.28515625" customWidth="1"/>
    <col min="29" max="29" width="54.42578125" customWidth="1"/>
    <col min="30" max="30" width="46.140625" customWidth="1"/>
    <col min="31" max="31" width="44.42578125" customWidth="1"/>
    <col min="32" max="32" width="52.5703125" customWidth="1"/>
    <col min="33" max="33" width="45.28515625" customWidth="1"/>
    <col min="34" max="34" width="51.140625" customWidth="1"/>
    <col min="35" max="35" width="43" customWidth="1"/>
    <col min="36" max="36" width="41.140625" customWidth="1"/>
    <col min="37" max="37" width="49.28515625" customWidth="1"/>
    <col min="38" max="38" width="42" customWidth="1"/>
    <col min="39" max="39" width="49.5703125" customWidth="1"/>
    <col min="40" max="40" width="41.28515625" customWidth="1"/>
    <col min="41" max="41" width="39.42578125" customWidth="1"/>
    <col min="42" max="42" width="47.7109375" customWidth="1"/>
    <col min="43" max="43" width="40.28515625" customWidth="1"/>
    <col min="44" max="44" width="49.5703125" customWidth="1"/>
    <col min="45" max="45" width="41.28515625" customWidth="1"/>
    <col min="46" max="46" width="39.42578125" customWidth="1"/>
    <col min="47" max="47" width="47.7109375" customWidth="1"/>
    <col min="48" max="48" width="40.28515625" customWidth="1"/>
    <col min="49" max="49" width="51.140625" customWidth="1"/>
    <col min="50" max="50" width="43" customWidth="1"/>
    <col min="51" max="51" width="41.140625" customWidth="1"/>
    <col min="52" max="52" width="49.28515625" customWidth="1"/>
    <col min="53" max="53" width="42" customWidth="1"/>
    <col min="54" max="54" width="49.5703125" customWidth="1"/>
    <col min="55" max="55" width="41.28515625" customWidth="1"/>
    <col min="56" max="56" width="39.42578125" customWidth="1"/>
    <col min="57" max="57" width="47.7109375" customWidth="1"/>
    <col min="58" max="58" width="40.28515625" customWidth="1"/>
    <col min="59" max="59" width="51.140625" customWidth="1"/>
    <col min="60" max="60" width="43" customWidth="1"/>
    <col min="61" max="61" width="41.140625" customWidth="1"/>
    <col min="62" max="62" width="49.28515625" customWidth="1"/>
    <col min="63" max="63" width="42" customWidth="1"/>
    <col min="64" max="64" width="49.5703125" customWidth="1"/>
    <col min="65" max="65" width="41.28515625" customWidth="1"/>
    <col min="66" max="66" width="39.42578125" customWidth="1"/>
    <col min="67" max="67" width="47.7109375" customWidth="1"/>
    <col min="68" max="68" width="40.28515625" customWidth="1"/>
    <col min="69" max="69" width="51.140625" customWidth="1"/>
    <col min="70" max="70" width="43" customWidth="1"/>
    <col min="71" max="71" width="41.140625" customWidth="1"/>
    <col min="72" max="72" width="49.28515625" customWidth="1"/>
    <col min="73" max="73" width="42" customWidth="1"/>
    <col min="74" max="74" width="54.42578125" customWidth="1"/>
    <col min="75" max="75" width="46.140625" customWidth="1"/>
    <col min="76" max="76" width="44.42578125" customWidth="1"/>
    <col min="77" max="77" width="52.5703125" customWidth="1"/>
    <col min="78" max="78" width="45.28515625" customWidth="1"/>
    <col min="79" max="79" width="51.140625" customWidth="1"/>
    <col min="80" max="80" width="43" customWidth="1"/>
    <col min="81" max="81" width="41.140625" customWidth="1"/>
    <col min="82" max="82" width="49.28515625" customWidth="1"/>
    <col min="83" max="83" width="42" customWidth="1"/>
    <col min="84" max="84" width="49.5703125" customWidth="1"/>
    <col min="85" max="85" width="41.28515625" customWidth="1"/>
    <col min="86" max="86" width="39.42578125" customWidth="1"/>
    <col min="87" max="87" width="47.7109375" customWidth="1"/>
    <col min="88" max="88" width="40.28515625" customWidth="1"/>
    <col min="89" max="89" width="51.140625" customWidth="1"/>
    <col min="90" max="90" width="43" customWidth="1"/>
    <col min="91" max="91" width="41.140625" customWidth="1"/>
    <col min="92" max="92" width="49.28515625" customWidth="1"/>
    <col min="93" max="93" width="42" customWidth="1"/>
    <col min="94" max="94" width="49.5703125" customWidth="1"/>
    <col min="95" max="95" width="41.28515625" customWidth="1"/>
    <col min="96" max="96" width="39.42578125" customWidth="1"/>
    <col min="97" max="97" width="47.7109375" customWidth="1"/>
    <col min="98" max="98" width="40.28515625" customWidth="1"/>
    <col min="99" max="99" width="51.140625" customWidth="1"/>
    <col min="100" max="100" width="43" customWidth="1"/>
    <col min="101" max="101" width="41.140625" customWidth="1"/>
    <col min="102" max="102" width="49.28515625" customWidth="1"/>
    <col min="103" max="103" width="42" customWidth="1"/>
    <col min="104" max="104" width="51.140625" customWidth="1"/>
    <col min="105" max="105" width="43" customWidth="1"/>
    <col min="106" max="106" width="41.140625" customWidth="1"/>
    <col min="107" max="107" width="49.28515625" customWidth="1"/>
    <col min="108" max="108" width="42" customWidth="1"/>
    <col min="109" max="109" width="49.5703125" customWidth="1"/>
    <col min="110" max="110" width="41.28515625" customWidth="1"/>
    <col min="111" max="111" width="39.42578125" customWidth="1"/>
    <col min="112" max="112" width="47.7109375" customWidth="1"/>
    <col min="113" max="113" width="40.28515625" customWidth="1"/>
    <col min="114" max="114" width="51.140625" customWidth="1"/>
    <col min="115" max="115" width="43" customWidth="1"/>
    <col min="116" max="116" width="41.140625" customWidth="1"/>
    <col min="117" max="117" width="49.28515625" customWidth="1"/>
    <col min="118" max="118" width="42" customWidth="1"/>
    <col min="119" max="119" width="49.5703125" customWidth="1"/>
    <col min="120" max="120" width="41.28515625" customWidth="1"/>
    <col min="121" max="121" width="39.42578125" customWidth="1"/>
    <col min="122" max="122" width="47.7109375" customWidth="1"/>
    <col min="123" max="123" width="40.28515625" customWidth="1"/>
    <col min="124" max="124" width="51.140625" bestFit="1" customWidth="1"/>
    <col min="125" max="125" width="43" customWidth="1"/>
    <col min="126" max="126" width="41.140625" customWidth="1"/>
    <col min="127" max="127" width="49.28515625" customWidth="1"/>
    <col min="128" max="128" width="42" customWidth="1"/>
    <col min="129" max="129" width="51.140625" customWidth="1"/>
    <col min="130" max="130" width="43" customWidth="1"/>
    <col min="131" max="131" width="41.140625" customWidth="1"/>
    <col min="132" max="132" width="49.28515625" customWidth="1"/>
    <col min="133" max="133" width="42" customWidth="1"/>
    <col min="134" max="134" width="49.5703125" customWidth="1"/>
    <col min="135" max="135" width="41.28515625" customWidth="1"/>
    <col min="136" max="136" width="39.42578125" customWidth="1"/>
    <col min="137" max="137" width="47.7109375" customWidth="1"/>
    <col min="138" max="138" width="40.28515625" customWidth="1"/>
    <col min="139" max="139" width="51.140625" customWidth="1"/>
    <col min="140" max="140" width="43" customWidth="1"/>
    <col min="141" max="141" width="41.140625" customWidth="1"/>
    <col min="142" max="142" width="49.28515625" customWidth="1"/>
    <col min="143" max="143" width="42" customWidth="1"/>
    <col min="144" max="144" width="49.5703125" customWidth="1"/>
    <col min="145" max="145" width="41.28515625" customWidth="1"/>
    <col min="146" max="146" width="39.42578125" customWidth="1"/>
    <col min="147" max="147" width="47.7109375" customWidth="1"/>
    <col min="148" max="148" width="40.28515625" customWidth="1"/>
    <col min="149" max="149" width="51.140625" customWidth="1"/>
    <col min="150" max="150" width="43" customWidth="1"/>
    <col min="151" max="151" width="41.140625" customWidth="1"/>
    <col min="152" max="152" width="49.28515625" customWidth="1"/>
    <col min="153" max="153" width="42" customWidth="1"/>
    <col min="154" max="154" width="49.5703125" customWidth="1"/>
    <col min="155" max="155" width="41.28515625" customWidth="1"/>
    <col min="156" max="156" width="39.42578125" customWidth="1"/>
    <col min="157" max="157" width="47.7109375" customWidth="1"/>
    <col min="158" max="158" width="40.28515625" customWidth="1"/>
    <col min="159" max="159" width="51.140625" customWidth="1"/>
    <col min="160" max="160" width="43" customWidth="1"/>
    <col min="161" max="161" width="41.140625" customWidth="1"/>
    <col min="162" max="162" width="49.28515625" customWidth="1"/>
    <col min="163" max="163" width="42" customWidth="1"/>
    <col min="164" max="164" width="49.5703125" customWidth="1"/>
    <col min="165" max="165" width="41.28515625" customWidth="1"/>
    <col min="166" max="166" width="39.42578125" customWidth="1"/>
    <col min="167" max="167" width="47.7109375" customWidth="1"/>
    <col min="168" max="168" width="40.28515625" customWidth="1"/>
    <col min="169" max="169" width="51.140625" customWidth="1"/>
    <col min="170" max="170" width="43" customWidth="1"/>
    <col min="171" max="171" width="41.140625" customWidth="1"/>
    <col min="172" max="172" width="49.28515625" bestFit="1" customWidth="1"/>
    <col min="173" max="173" width="42" customWidth="1"/>
    <col min="174" max="174" width="51.140625" customWidth="1"/>
    <col min="175" max="175" width="43" customWidth="1"/>
    <col min="176" max="176" width="41.140625" customWidth="1"/>
    <col min="177" max="177" width="49.28515625" customWidth="1"/>
    <col min="178" max="178" width="42" customWidth="1"/>
    <col min="179" max="179" width="49.5703125" customWidth="1"/>
    <col min="180" max="180" width="41.28515625" customWidth="1"/>
    <col min="181" max="181" width="39.42578125" customWidth="1"/>
    <col min="182" max="182" width="47.7109375" customWidth="1"/>
    <col min="183" max="183" width="40.28515625" customWidth="1"/>
    <col min="184" max="184" width="51.140625" bestFit="1" customWidth="1"/>
    <col min="185" max="185" width="43" customWidth="1"/>
    <col min="186" max="186" width="41.140625" customWidth="1"/>
    <col min="187" max="187" width="49.28515625" customWidth="1"/>
    <col min="188" max="188" width="42" customWidth="1"/>
    <col min="189" max="189" width="51.140625" customWidth="1"/>
    <col min="190" max="190" width="43" customWidth="1"/>
    <col min="191" max="191" width="41.140625" customWidth="1"/>
    <col min="192" max="192" width="49.28515625" customWidth="1"/>
    <col min="193" max="193" width="42" customWidth="1"/>
    <col min="194" max="194" width="49.5703125" customWidth="1"/>
    <col min="195" max="195" width="41.28515625" customWidth="1"/>
    <col min="196" max="196" width="39.42578125" customWidth="1"/>
    <col min="197" max="197" width="47.7109375" customWidth="1"/>
    <col min="198" max="198" width="40.28515625" customWidth="1"/>
    <col min="199" max="199" width="52.28515625" customWidth="1"/>
    <col min="200" max="200" width="44.140625" customWidth="1"/>
    <col min="201" max="201" width="42.28515625" customWidth="1"/>
    <col min="202" max="202" width="50.42578125" customWidth="1"/>
    <col min="203" max="203" width="43" customWidth="1"/>
    <col min="204" max="204" width="51.140625" customWidth="1"/>
    <col min="205" max="205" width="43" customWidth="1"/>
    <col min="206" max="206" width="41.140625" customWidth="1"/>
    <col min="207" max="207" width="49.28515625" customWidth="1"/>
    <col min="208" max="208" width="42" customWidth="1"/>
    <col min="209" max="209" width="54.42578125" customWidth="1"/>
    <col min="210" max="210" width="46.140625" customWidth="1"/>
    <col min="211" max="211" width="44.42578125" customWidth="1"/>
    <col min="212" max="212" width="52.5703125" customWidth="1"/>
    <col min="213" max="213" width="45.28515625" customWidth="1"/>
    <col min="214" max="214" width="49.5703125" customWidth="1"/>
    <col min="215" max="215" width="41.28515625" customWidth="1"/>
    <col min="216" max="216" width="39.42578125" customWidth="1"/>
    <col min="217" max="217" width="47.7109375" customWidth="1"/>
    <col min="218" max="218" width="40.28515625" customWidth="1"/>
    <col min="219" max="219" width="51.140625" customWidth="1"/>
    <col min="220" max="220" width="43" customWidth="1"/>
    <col min="221" max="221" width="41.140625" customWidth="1"/>
    <col min="222" max="222" width="49.28515625" customWidth="1"/>
    <col min="223" max="223" width="42" customWidth="1"/>
    <col min="224" max="224" width="51.140625" customWidth="1"/>
    <col min="225" max="225" width="43" customWidth="1"/>
    <col min="226" max="226" width="41.140625" customWidth="1"/>
    <col min="227" max="227" width="49.28515625" customWidth="1"/>
    <col min="228" max="228" width="42" customWidth="1"/>
    <col min="229" max="229" width="51.140625" customWidth="1"/>
    <col min="230" max="230" width="43" customWidth="1"/>
    <col min="231" max="231" width="41.140625" customWidth="1"/>
    <col min="232" max="232" width="49.28515625" customWidth="1"/>
    <col min="233" max="233" width="42" customWidth="1"/>
    <col min="234" max="234" width="49.5703125" customWidth="1"/>
    <col min="235" max="235" width="41.28515625" customWidth="1"/>
    <col min="236" max="236" width="39.42578125" customWidth="1"/>
    <col min="237" max="237" width="47.7109375" customWidth="1"/>
    <col min="238" max="238" width="40.28515625" customWidth="1"/>
    <col min="239" max="239" width="49.5703125" customWidth="1"/>
    <col min="240" max="240" width="41.28515625" customWidth="1"/>
    <col min="241" max="241" width="39.42578125" customWidth="1"/>
    <col min="242" max="242" width="47.7109375" customWidth="1"/>
    <col min="243" max="243" width="40.28515625" customWidth="1"/>
    <col min="244" max="244" width="51.140625" bestFit="1" customWidth="1"/>
    <col min="245" max="245" width="43" customWidth="1"/>
    <col min="246" max="246" width="41.140625" customWidth="1"/>
    <col min="247" max="247" width="49.28515625" customWidth="1"/>
    <col min="248" max="248" width="42" customWidth="1"/>
    <col min="249" max="249" width="51.140625" customWidth="1"/>
    <col min="250" max="250" width="43" customWidth="1"/>
    <col min="251" max="251" width="41.140625" customWidth="1"/>
    <col min="252" max="252" width="49.28515625" customWidth="1"/>
    <col min="253" max="253" width="42" customWidth="1"/>
    <col min="254" max="254" width="49.5703125" customWidth="1"/>
    <col min="255" max="255" width="41.28515625" customWidth="1"/>
    <col min="256" max="256" width="39.42578125" customWidth="1"/>
    <col min="257" max="257" width="47.7109375" customWidth="1"/>
    <col min="258" max="258" width="40.28515625" customWidth="1"/>
    <col min="259" max="259" width="51.140625" customWidth="1"/>
    <col min="260" max="260" width="43" customWidth="1"/>
    <col min="261" max="261" width="41.140625" customWidth="1"/>
    <col min="262" max="262" width="49.28515625" customWidth="1"/>
    <col min="263" max="263" width="42" customWidth="1"/>
    <col min="264" max="264" width="51.140625" customWidth="1"/>
    <col min="265" max="265" width="43" customWidth="1"/>
    <col min="266" max="266" width="41.140625" customWidth="1"/>
    <col min="267" max="267" width="49.28515625" customWidth="1"/>
    <col min="268" max="268" width="42" customWidth="1"/>
    <col min="269" max="269" width="49.5703125" customWidth="1"/>
    <col min="270" max="270" width="41.28515625" customWidth="1"/>
    <col min="271" max="271" width="39.42578125" customWidth="1"/>
    <col min="272" max="272" width="47.7109375" customWidth="1"/>
    <col min="273" max="273" width="40.28515625" customWidth="1"/>
    <col min="274" max="274" width="51.140625" bestFit="1" customWidth="1"/>
    <col min="275" max="275" width="43" customWidth="1"/>
    <col min="276" max="276" width="41.140625" customWidth="1"/>
    <col min="277" max="277" width="49.28515625" customWidth="1"/>
    <col min="278" max="278" width="42" customWidth="1"/>
    <col min="279" max="279" width="51.140625" customWidth="1"/>
    <col min="280" max="280" width="43" customWidth="1"/>
    <col min="281" max="281" width="41.140625" customWidth="1"/>
    <col min="282" max="282" width="49.28515625" customWidth="1"/>
    <col min="283" max="283" width="42" customWidth="1"/>
    <col min="284" max="284" width="49.5703125" customWidth="1"/>
    <col min="285" max="285" width="41.28515625" customWidth="1"/>
    <col min="286" max="286" width="39.42578125" customWidth="1"/>
    <col min="287" max="287" width="47.7109375" customWidth="1"/>
    <col min="288" max="288" width="40.28515625" customWidth="1"/>
    <col min="289" max="289" width="51.140625" bestFit="1" customWidth="1"/>
    <col min="290" max="290" width="43" bestFit="1" customWidth="1"/>
    <col min="291" max="291" width="41.140625" bestFit="1" customWidth="1"/>
    <col min="292" max="292" width="49.28515625" bestFit="1" customWidth="1"/>
    <col min="293" max="293" width="42" customWidth="1"/>
    <col min="294" max="294" width="51.140625" bestFit="1" customWidth="1"/>
    <col min="295" max="295" width="43" bestFit="1" customWidth="1"/>
    <col min="296" max="296" width="41.140625" customWidth="1"/>
    <col min="297" max="297" width="49.28515625" customWidth="1"/>
    <col min="298" max="298" width="42" customWidth="1"/>
    <col min="299" max="299" width="51.140625" bestFit="1" customWidth="1"/>
    <col min="300" max="300" width="43" customWidth="1"/>
    <col min="301" max="301" width="41.140625" customWidth="1"/>
    <col min="302" max="302" width="49.28515625" bestFit="1" customWidth="1"/>
    <col min="303" max="303" width="42" bestFit="1" customWidth="1"/>
    <col min="304" max="304" width="49.5703125" customWidth="1"/>
    <col min="305" max="305" width="41.28515625" customWidth="1"/>
    <col min="306" max="306" width="39.42578125" customWidth="1"/>
    <col min="307" max="307" width="47.7109375" customWidth="1"/>
    <col min="308" max="308" width="40.28515625" customWidth="1"/>
    <col min="309" max="309" width="51.140625" bestFit="1" customWidth="1"/>
    <col min="310" max="310" width="43" bestFit="1" customWidth="1"/>
    <col min="311" max="311" width="41.140625" bestFit="1" customWidth="1"/>
    <col min="312" max="312" width="49.28515625" bestFit="1" customWidth="1"/>
    <col min="313" max="313" width="42" customWidth="1"/>
    <col min="314" max="314" width="51.140625" bestFit="1" customWidth="1"/>
    <col min="315" max="315" width="43" bestFit="1" customWidth="1"/>
    <col min="316" max="316" width="41.140625" customWidth="1"/>
    <col min="317" max="317" width="49.28515625" customWidth="1"/>
    <col min="318" max="318" width="42" bestFit="1" customWidth="1"/>
    <col min="319" max="319" width="51.140625" bestFit="1" customWidth="1"/>
    <col min="320" max="320" width="43" customWidth="1"/>
    <col min="321" max="321" width="41.140625" customWidth="1"/>
    <col min="322" max="322" width="49.28515625" bestFit="1" customWidth="1"/>
    <col min="323" max="323" width="42" customWidth="1"/>
    <col min="324" max="324" width="49.5703125" bestFit="1" customWidth="1"/>
    <col min="325" max="325" width="41.28515625" customWidth="1"/>
    <col min="326" max="326" width="39.42578125" customWidth="1"/>
    <col min="327" max="327" width="47.7109375" bestFit="1" customWidth="1"/>
    <col min="328" max="328" width="40.28515625" customWidth="1"/>
    <col min="329" max="329" width="51.140625" bestFit="1" customWidth="1"/>
    <col min="330" max="330" width="43" bestFit="1" customWidth="1"/>
    <col min="331" max="331" width="41.140625" bestFit="1" customWidth="1"/>
    <col min="332" max="332" width="49.28515625" bestFit="1" customWidth="1"/>
    <col min="333" max="333" width="42" customWidth="1"/>
    <col min="334" max="334" width="52.28515625" bestFit="1" customWidth="1"/>
    <col min="335" max="335" width="44.140625" bestFit="1" customWidth="1"/>
    <col min="336" max="336" width="42.28515625" customWidth="1"/>
    <col min="337" max="337" width="50.42578125" customWidth="1"/>
    <col min="338" max="338" width="43" customWidth="1"/>
    <col min="339" max="339" width="51.140625" bestFit="1" customWidth="1"/>
    <col min="340" max="340" width="43" customWidth="1"/>
    <col min="341" max="341" width="41.140625" customWidth="1"/>
    <col min="342" max="342" width="49.28515625" bestFit="1" customWidth="1"/>
    <col min="343" max="343" width="42" bestFit="1" customWidth="1"/>
    <col min="344" max="344" width="54.42578125" bestFit="1" customWidth="1"/>
    <col min="345" max="345" width="46.140625" customWidth="1"/>
    <col min="346" max="346" width="44.42578125" customWidth="1"/>
    <col min="347" max="347" width="52.5703125" bestFit="1" customWidth="1"/>
    <col min="348" max="348" width="45.28515625" customWidth="1"/>
    <col min="349" max="349" width="51.140625" bestFit="1" customWidth="1"/>
    <col min="350" max="350" width="43" bestFit="1" customWidth="1"/>
    <col min="351" max="351" width="41.140625" bestFit="1" customWidth="1"/>
    <col min="352" max="352" width="49.28515625" bestFit="1" customWidth="1"/>
    <col min="353" max="353" width="42" customWidth="1"/>
    <col min="354" max="354" width="49.5703125" bestFit="1" customWidth="1"/>
    <col min="355" max="355" width="41.28515625" bestFit="1" customWidth="1"/>
    <col min="356" max="356" width="39.42578125" customWidth="1"/>
    <col min="357" max="357" width="47.7109375" customWidth="1"/>
    <col min="358" max="358" width="40.28515625" customWidth="1"/>
    <col min="359" max="359" width="51.140625" bestFit="1" customWidth="1"/>
    <col min="360" max="360" width="43" customWidth="1"/>
    <col min="361" max="361" width="41.140625" customWidth="1"/>
    <col min="362" max="362" width="49.28515625" bestFit="1" customWidth="1"/>
    <col min="363" max="363" width="42" bestFit="1" customWidth="1"/>
    <col min="364" max="364" width="51.140625" bestFit="1" customWidth="1"/>
    <col min="365" max="365" width="43" customWidth="1"/>
    <col min="366" max="366" width="41.140625" customWidth="1"/>
    <col min="367" max="367" width="49.28515625" bestFit="1" customWidth="1"/>
    <col min="368" max="368" width="42" customWidth="1"/>
    <col min="369" max="369" width="51.140625" customWidth="1"/>
    <col min="370" max="370" width="43" customWidth="1"/>
    <col min="371" max="371" width="41.140625" customWidth="1"/>
    <col min="372" max="372" width="49.28515625" customWidth="1"/>
    <col min="373" max="373" width="42" customWidth="1"/>
    <col min="374" max="374" width="49.5703125" bestFit="1" customWidth="1"/>
    <col min="375" max="375" width="41.28515625" bestFit="1" customWidth="1"/>
    <col min="376" max="376" width="39.42578125" customWidth="1"/>
    <col min="377" max="377" width="47.7109375" customWidth="1"/>
    <col min="378" max="378" width="40.28515625" customWidth="1"/>
    <col min="379" max="379" width="52.28515625" bestFit="1" customWidth="1"/>
    <col min="380" max="380" width="44.140625" customWidth="1"/>
    <col min="381" max="381" width="42.28515625" bestFit="1" customWidth="1"/>
    <col min="382" max="382" width="50.42578125" bestFit="1" customWidth="1"/>
    <col min="383" max="383" width="43" bestFit="1" customWidth="1"/>
    <col min="384" max="384" width="51.140625" bestFit="1" customWidth="1"/>
    <col min="385" max="385" width="43" bestFit="1" customWidth="1"/>
    <col min="386" max="386" width="41.140625" bestFit="1" customWidth="1"/>
    <col min="387" max="387" width="49.28515625" bestFit="1" customWidth="1"/>
    <col min="388" max="388" width="42" bestFit="1" customWidth="1"/>
    <col min="389" max="389" width="51.140625" bestFit="1" customWidth="1"/>
    <col min="390" max="390" width="43" bestFit="1" customWidth="1"/>
    <col min="391" max="391" width="41.140625" bestFit="1" customWidth="1"/>
    <col min="392" max="392" width="49.28515625" bestFit="1" customWidth="1"/>
    <col min="393" max="393" width="42" bestFit="1" customWidth="1"/>
    <col min="394" max="394" width="49.5703125" bestFit="1" customWidth="1"/>
    <col min="395" max="395" width="41.28515625" bestFit="1" customWidth="1"/>
    <col min="396" max="396" width="39.42578125" bestFit="1" customWidth="1"/>
    <col min="397" max="397" width="47.7109375" bestFit="1" customWidth="1"/>
    <col min="398" max="398" width="40.28515625" bestFit="1" customWidth="1"/>
    <col min="399" max="399" width="51.140625" bestFit="1" customWidth="1"/>
    <col min="400" max="400" width="43" bestFit="1" customWidth="1"/>
    <col min="401" max="401" width="41.140625" bestFit="1" customWidth="1"/>
    <col min="402" max="402" width="49.28515625" bestFit="1" customWidth="1"/>
    <col min="403" max="403" width="42" bestFit="1" customWidth="1"/>
    <col min="404" max="404" width="51.140625" bestFit="1" customWidth="1"/>
    <col min="405" max="405" width="43" bestFit="1" customWidth="1"/>
    <col min="406" max="406" width="41.140625" bestFit="1" customWidth="1"/>
    <col min="407" max="407" width="49.28515625" bestFit="1" customWidth="1"/>
    <col min="408" max="408" width="42" bestFit="1" customWidth="1"/>
    <col min="409" max="409" width="51.140625" bestFit="1" customWidth="1"/>
    <col min="410" max="410" width="43" bestFit="1" customWidth="1"/>
    <col min="411" max="411" width="41.140625" bestFit="1" customWidth="1"/>
    <col min="412" max="412" width="49.28515625" bestFit="1" customWidth="1"/>
    <col min="413" max="413" width="42" bestFit="1" customWidth="1"/>
    <col min="414" max="414" width="51.140625" bestFit="1" customWidth="1"/>
    <col min="415" max="415" width="43" bestFit="1" customWidth="1"/>
    <col min="416" max="416" width="41.140625" bestFit="1" customWidth="1"/>
    <col min="417" max="417" width="49.28515625" bestFit="1" customWidth="1"/>
    <col min="418" max="418" width="42" bestFit="1" customWidth="1"/>
    <col min="419" max="419" width="49.5703125" bestFit="1" customWidth="1"/>
    <col min="420" max="420" width="41.28515625" bestFit="1" customWidth="1"/>
    <col min="421" max="421" width="39.42578125" bestFit="1" customWidth="1"/>
    <col min="422" max="422" width="47.7109375" bestFit="1" customWidth="1"/>
    <col min="423" max="423" width="40.28515625" bestFit="1" customWidth="1"/>
    <col min="424" max="424" width="51.140625" bestFit="1" customWidth="1"/>
    <col min="425" max="425" width="43" bestFit="1" customWidth="1"/>
    <col min="426" max="426" width="41.140625" bestFit="1" customWidth="1"/>
    <col min="427" max="427" width="49.28515625" bestFit="1" customWidth="1"/>
    <col min="428" max="428" width="42" bestFit="1" customWidth="1"/>
    <col min="429" max="429" width="51.140625" bestFit="1" customWidth="1"/>
    <col min="430" max="430" width="43" bestFit="1" customWidth="1"/>
    <col min="431" max="431" width="41.140625" bestFit="1" customWidth="1"/>
    <col min="432" max="432" width="49.28515625" bestFit="1" customWidth="1"/>
    <col min="433" max="433" width="42" bestFit="1" customWidth="1"/>
    <col min="434" max="434" width="51.140625" bestFit="1" customWidth="1"/>
    <col min="435" max="435" width="43" bestFit="1" customWidth="1"/>
    <col min="436" max="436" width="41.140625" bestFit="1" customWidth="1"/>
    <col min="437" max="437" width="49.28515625" bestFit="1" customWidth="1"/>
    <col min="438" max="438" width="42" bestFit="1" customWidth="1"/>
    <col min="439" max="439" width="51.140625" bestFit="1" customWidth="1"/>
    <col min="440" max="440" width="43" bestFit="1" customWidth="1"/>
    <col min="441" max="441" width="41.140625" bestFit="1" customWidth="1"/>
    <col min="442" max="442" width="49.28515625" bestFit="1" customWidth="1"/>
    <col min="443" max="443" width="42" bestFit="1" customWidth="1"/>
    <col min="444" max="444" width="49.5703125" bestFit="1" customWidth="1"/>
    <col min="445" max="445" width="41.28515625" bestFit="1" customWidth="1"/>
    <col min="446" max="446" width="39.42578125" bestFit="1" customWidth="1"/>
    <col min="447" max="447" width="47.7109375" bestFit="1" customWidth="1"/>
    <col min="448" max="448" width="40.28515625" bestFit="1" customWidth="1"/>
    <col min="449" max="449" width="51.140625" bestFit="1" customWidth="1"/>
    <col min="450" max="450" width="43" bestFit="1" customWidth="1"/>
    <col min="451" max="451" width="41.140625" bestFit="1" customWidth="1"/>
    <col min="452" max="452" width="49.28515625" bestFit="1" customWidth="1"/>
    <col min="453" max="453" width="42" bestFit="1" customWidth="1"/>
    <col min="454" max="454" width="51.140625" bestFit="1" customWidth="1"/>
    <col min="455" max="455" width="43" bestFit="1" customWidth="1"/>
    <col min="456" max="456" width="41.140625" bestFit="1" customWidth="1"/>
    <col min="457" max="457" width="49.28515625" bestFit="1" customWidth="1"/>
    <col min="458" max="458" width="42" bestFit="1" customWidth="1"/>
    <col min="459" max="459" width="52.28515625" bestFit="1" customWidth="1"/>
    <col min="460" max="460" width="44.140625" bestFit="1" customWidth="1"/>
    <col min="461" max="461" width="42.28515625" bestFit="1" customWidth="1"/>
    <col min="462" max="462" width="50.42578125" bestFit="1" customWidth="1"/>
    <col min="463" max="463" width="43" bestFit="1" customWidth="1"/>
    <col min="464" max="464" width="51.140625" bestFit="1" customWidth="1"/>
    <col min="465" max="465" width="43" bestFit="1" customWidth="1"/>
    <col min="466" max="466" width="41.140625" bestFit="1" customWidth="1"/>
    <col min="467" max="467" width="49.28515625" bestFit="1" customWidth="1"/>
    <col min="468" max="468" width="42" bestFit="1" customWidth="1"/>
    <col min="469" max="469" width="54.42578125" bestFit="1" customWidth="1"/>
    <col min="470" max="470" width="46.140625" bestFit="1" customWidth="1"/>
    <col min="471" max="471" width="44.42578125" bestFit="1" customWidth="1"/>
    <col min="472" max="472" width="52.5703125" bestFit="1" customWidth="1"/>
    <col min="473" max="473" width="45.28515625" bestFit="1" customWidth="1"/>
  </cols>
  <sheetData>
    <row r="2" spans="1:78" s="9" customFormat="1" ht="15.75" thickBot="1" x14ac:dyDescent="0.3">
      <c r="A2" s="8">
        <v>44634</v>
      </c>
    </row>
    <row r="3" spans="1:78" ht="15.75" thickBot="1" x14ac:dyDescent="0.3">
      <c r="A3" s="2" t="s">
        <v>0</v>
      </c>
      <c r="B3" s="3" t="s">
        <v>1</v>
      </c>
      <c r="C3" s="3" t="s">
        <v>3</v>
      </c>
      <c r="D3" s="3" t="s">
        <v>2</v>
      </c>
      <c r="E3" s="13">
        <v>44634</v>
      </c>
      <c r="F3" s="13">
        <v>44641</v>
      </c>
      <c r="G3" s="13">
        <v>44648</v>
      </c>
      <c r="H3" s="13">
        <v>44655</v>
      </c>
      <c r="I3" s="13">
        <v>44662</v>
      </c>
      <c r="J3" s="13">
        <v>44669</v>
      </c>
      <c r="K3" s="13">
        <v>44676</v>
      </c>
      <c r="L3" s="13">
        <v>44683</v>
      </c>
      <c r="M3" s="13">
        <v>44690</v>
      </c>
      <c r="N3" s="13">
        <v>44697</v>
      </c>
      <c r="O3" s="13">
        <v>44704</v>
      </c>
      <c r="P3" s="13">
        <v>44711</v>
      </c>
      <c r="Q3" s="13">
        <v>44718</v>
      </c>
      <c r="R3" s="13">
        <v>44725</v>
      </c>
      <c r="S3" s="13">
        <v>44732</v>
      </c>
      <c r="T3" s="13">
        <v>44739</v>
      </c>
      <c r="U3" s="13">
        <v>44746</v>
      </c>
      <c r="V3" s="13">
        <v>44753</v>
      </c>
      <c r="W3" s="13">
        <v>44760</v>
      </c>
      <c r="X3" s="13">
        <v>44767</v>
      </c>
      <c r="Y3" s="13">
        <v>44774</v>
      </c>
      <c r="Z3" s="13">
        <v>44781</v>
      </c>
      <c r="AA3" s="13">
        <v>44788</v>
      </c>
      <c r="AB3" s="13">
        <v>44795</v>
      </c>
      <c r="AC3" s="13">
        <v>44802</v>
      </c>
      <c r="AD3" s="13">
        <v>44809</v>
      </c>
      <c r="AE3" s="13">
        <v>44816</v>
      </c>
      <c r="AF3" s="13">
        <v>44823</v>
      </c>
      <c r="AG3" s="13">
        <v>44830</v>
      </c>
      <c r="AH3" s="13">
        <v>44837</v>
      </c>
      <c r="AI3" s="13">
        <v>44844</v>
      </c>
      <c r="AJ3" s="13">
        <v>44851</v>
      </c>
      <c r="AK3" s="13">
        <v>44872</v>
      </c>
      <c r="AL3" s="13">
        <v>44893</v>
      </c>
      <c r="AM3" s="13">
        <v>44900</v>
      </c>
      <c r="AN3" s="13">
        <v>44907</v>
      </c>
      <c r="AO3" s="13">
        <v>44914</v>
      </c>
      <c r="AP3" s="13">
        <v>44928</v>
      </c>
      <c r="AQ3" s="13">
        <v>44935</v>
      </c>
      <c r="AR3" s="13">
        <v>44942</v>
      </c>
      <c r="AS3" s="13">
        <v>44949</v>
      </c>
      <c r="AT3" s="13">
        <v>44956</v>
      </c>
      <c r="AU3" s="13">
        <v>44963</v>
      </c>
      <c r="AV3" s="13">
        <v>44980</v>
      </c>
      <c r="AW3" s="13">
        <v>44998</v>
      </c>
      <c r="AX3" s="13">
        <v>45012</v>
      </c>
      <c r="AY3" s="13">
        <v>45019</v>
      </c>
      <c r="AZ3" s="13">
        <v>45026</v>
      </c>
      <c r="BA3" s="13">
        <v>45040</v>
      </c>
      <c r="BB3" s="13">
        <v>45047</v>
      </c>
      <c r="BC3" s="13">
        <v>45054</v>
      </c>
      <c r="BD3" s="13">
        <v>45061</v>
      </c>
      <c r="BE3" s="13">
        <v>45068</v>
      </c>
      <c r="BF3" s="13">
        <v>45075</v>
      </c>
      <c r="BG3" s="13">
        <v>45082</v>
      </c>
      <c r="BH3" s="13">
        <v>45096</v>
      </c>
      <c r="BI3" s="13">
        <v>45103</v>
      </c>
      <c r="BJ3" s="13">
        <v>45110</v>
      </c>
      <c r="BK3" s="13">
        <v>45117</v>
      </c>
      <c r="BL3" s="13">
        <v>45138</v>
      </c>
      <c r="BM3" s="13">
        <v>45145</v>
      </c>
      <c r="BN3" s="13">
        <v>45166</v>
      </c>
      <c r="BO3" s="13">
        <v>45173</v>
      </c>
      <c r="BP3" s="13">
        <v>45180</v>
      </c>
      <c r="BQ3" s="13">
        <v>45187</v>
      </c>
      <c r="BR3" s="13">
        <v>45194</v>
      </c>
      <c r="BS3" s="13">
        <v>45201</v>
      </c>
      <c r="BT3" s="13">
        <v>45208</v>
      </c>
      <c r="BU3" s="13">
        <v>45215</v>
      </c>
      <c r="BV3" s="13">
        <v>45222</v>
      </c>
      <c r="BW3" s="13">
        <v>45229</v>
      </c>
      <c r="BX3" s="13">
        <v>45236</v>
      </c>
      <c r="BY3" s="13">
        <v>45243</v>
      </c>
      <c r="BZ3" s="13">
        <v>45250</v>
      </c>
    </row>
    <row r="4" spans="1:78" ht="15.75" thickBot="1" x14ac:dyDescent="0.3">
      <c r="A4" s="5">
        <v>273664</v>
      </c>
      <c r="B4" s="6">
        <v>1135749</v>
      </c>
      <c r="C4" s="6">
        <v>6060050026</v>
      </c>
      <c r="D4" s="6" t="s">
        <v>7</v>
      </c>
      <c r="E4" s="6">
        <v>2</v>
      </c>
      <c r="F4" s="6">
        <v>2</v>
      </c>
      <c r="G4" s="6">
        <v>2</v>
      </c>
      <c r="H4" s="6">
        <v>2</v>
      </c>
      <c r="I4" s="6">
        <v>2</v>
      </c>
      <c r="J4" s="7">
        <v>5</v>
      </c>
      <c r="K4" s="7">
        <v>5</v>
      </c>
      <c r="L4" s="7">
        <v>3</v>
      </c>
      <c r="M4" s="7">
        <v>3</v>
      </c>
      <c r="N4" s="7">
        <v>1</v>
      </c>
      <c r="O4" s="7">
        <v>1</v>
      </c>
      <c r="P4" s="7">
        <v>1</v>
      </c>
      <c r="Q4" s="12">
        <v>1</v>
      </c>
      <c r="R4" s="7">
        <v>1</v>
      </c>
      <c r="S4" s="7">
        <v>4</v>
      </c>
      <c r="T4" s="7">
        <v>4</v>
      </c>
      <c r="U4" s="7">
        <v>4</v>
      </c>
      <c r="V4" s="7">
        <v>2</v>
      </c>
      <c r="W4" s="7">
        <v>2</v>
      </c>
      <c r="X4" s="7">
        <v>2</v>
      </c>
      <c r="Y4" s="7">
        <v>2</v>
      </c>
      <c r="Z4" s="7">
        <v>2</v>
      </c>
      <c r="AA4" s="7">
        <v>6</v>
      </c>
      <c r="AB4" s="7">
        <v>7</v>
      </c>
      <c r="AC4" s="7">
        <v>7</v>
      </c>
      <c r="AD4" s="7">
        <v>6</v>
      </c>
      <c r="AE4" s="7">
        <v>9</v>
      </c>
      <c r="AF4" s="7">
        <v>7</v>
      </c>
      <c r="AG4" s="7">
        <v>7</v>
      </c>
      <c r="AH4" s="7">
        <v>7</v>
      </c>
      <c r="AI4" s="7">
        <v>7</v>
      </c>
      <c r="AJ4" s="7">
        <v>5</v>
      </c>
      <c r="AK4" s="7">
        <v>5</v>
      </c>
      <c r="AL4" s="7">
        <v>4</v>
      </c>
      <c r="AM4" s="7">
        <v>4</v>
      </c>
      <c r="AN4" s="7">
        <v>4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2</v>
      </c>
      <c r="AV4" s="7">
        <v>15</v>
      </c>
      <c r="AW4" s="7">
        <v>15</v>
      </c>
      <c r="AX4" s="7">
        <v>15</v>
      </c>
      <c r="AY4" s="7">
        <v>15</v>
      </c>
      <c r="AZ4" s="7">
        <v>15</v>
      </c>
      <c r="BA4" s="7">
        <v>13</v>
      </c>
      <c r="BB4" s="7">
        <v>13</v>
      </c>
      <c r="BC4" s="7">
        <v>13</v>
      </c>
      <c r="BD4" s="7">
        <v>13</v>
      </c>
      <c r="BE4" s="7">
        <v>13</v>
      </c>
      <c r="BF4" s="7">
        <v>13</v>
      </c>
      <c r="BG4" s="7">
        <v>13</v>
      </c>
      <c r="BH4" s="7">
        <v>13</v>
      </c>
      <c r="BI4" s="7">
        <v>13</v>
      </c>
      <c r="BJ4" s="7">
        <v>13</v>
      </c>
      <c r="BK4" s="7">
        <v>13</v>
      </c>
      <c r="BL4" s="7">
        <v>8</v>
      </c>
      <c r="BM4" s="7">
        <v>8</v>
      </c>
      <c r="BN4" s="7">
        <v>8</v>
      </c>
      <c r="BO4" s="7">
        <v>8</v>
      </c>
      <c r="BP4" s="7">
        <v>8</v>
      </c>
      <c r="BQ4" s="7">
        <v>8</v>
      </c>
      <c r="BR4" s="7">
        <v>8</v>
      </c>
      <c r="BS4" s="7">
        <v>8</v>
      </c>
      <c r="BT4" s="7">
        <v>8</v>
      </c>
      <c r="BU4" s="7">
        <v>8</v>
      </c>
      <c r="BV4" s="7">
        <v>8</v>
      </c>
      <c r="BW4" s="7">
        <v>8</v>
      </c>
      <c r="BX4" s="7">
        <v>8</v>
      </c>
      <c r="BY4" s="7">
        <v>8</v>
      </c>
      <c r="BZ4" s="7">
        <v>8</v>
      </c>
    </row>
    <row r="5" spans="1:78" ht="15.75" thickBot="1" x14ac:dyDescent="0.3">
      <c r="A5" s="5">
        <v>273672</v>
      </c>
      <c r="B5" s="6">
        <v>1135750</v>
      </c>
      <c r="C5" s="6">
        <v>2040600000000000</v>
      </c>
      <c r="D5" s="6" t="s">
        <v>9</v>
      </c>
      <c r="E5" s="6">
        <v>5</v>
      </c>
      <c r="F5" s="6">
        <v>3</v>
      </c>
      <c r="G5" s="6">
        <v>0</v>
      </c>
      <c r="H5" s="6">
        <v>12</v>
      </c>
      <c r="I5" s="6">
        <v>8</v>
      </c>
      <c r="J5" s="7">
        <v>8</v>
      </c>
      <c r="K5" s="7">
        <v>11</v>
      </c>
      <c r="L5" s="7">
        <v>10</v>
      </c>
      <c r="M5" s="7">
        <v>8</v>
      </c>
      <c r="N5" s="7">
        <v>12</v>
      </c>
      <c r="O5" s="7">
        <v>14</v>
      </c>
      <c r="P5" s="7">
        <v>14</v>
      </c>
      <c r="Q5" s="10">
        <v>12</v>
      </c>
      <c r="R5" s="7">
        <v>12</v>
      </c>
      <c r="S5" s="7">
        <v>14</v>
      </c>
      <c r="T5" s="7">
        <v>16</v>
      </c>
      <c r="U5" s="7">
        <v>14</v>
      </c>
      <c r="V5" s="7">
        <v>16</v>
      </c>
      <c r="W5" s="7">
        <v>19</v>
      </c>
      <c r="X5" s="7">
        <v>19</v>
      </c>
      <c r="Y5" s="7">
        <v>17</v>
      </c>
      <c r="Z5" s="7">
        <v>17</v>
      </c>
      <c r="AA5" s="7">
        <v>16</v>
      </c>
      <c r="AB5" s="7">
        <v>16</v>
      </c>
      <c r="AC5" s="7">
        <v>13</v>
      </c>
      <c r="AD5" s="7">
        <v>11</v>
      </c>
      <c r="AE5" s="7">
        <v>9</v>
      </c>
      <c r="AF5" s="7">
        <v>9</v>
      </c>
      <c r="AG5" s="7">
        <v>20</v>
      </c>
      <c r="AH5" s="7">
        <v>20</v>
      </c>
      <c r="AI5" s="7">
        <v>35</v>
      </c>
      <c r="AJ5" s="7">
        <v>35</v>
      </c>
      <c r="AK5" s="7">
        <v>39</v>
      </c>
      <c r="AL5" s="7">
        <v>35</v>
      </c>
      <c r="AM5" s="7">
        <v>27</v>
      </c>
      <c r="AN5" s="7">
        <v>27</v>
      </c>
      <c r="AO5" s="7">
        <v>27</v>
      </c>
      <c r="AP5" s="7">
        <v>20</v>
      </c>
      <c r="AQ5" s="7">
        <v>20</v>
      </c>
      <c r="AR5" s="7">
        <v>20</v>
      </c>
      <c r="AS5" s="7">
        <v>18</v>
      </c>
      <c r="AT5" s="7">
        <v>18</v>
      </c>
      <c r="AU5" s="7">
        <v>20</v>
      </c>
      <c r="AV5" s="7">
        <v>22</v>
      </c>
      <c r="AW5" s="7">
        <v>42</v>
      </c>
      <c r="AX5" s="7">
        <v>42</v>
      </c>
      <c r="AY5" s="7">
        <v>42</v>
      </c>
      <c r="AZ5" s="7">
        <v>42</v>
      </c>
      <c r="BA5" s="7">
        <v>36</v>
      </c>
      <c r="BB5" s="7">
        <v>46</v>
      </c>
      <c r="BC5" s="7">
        <v>46</v>
      </c>
      <c r="BD5" s="7">
        <v>46</v>
      </c>
      <c r="BE5" s="7">
        <v>46</v>
      </c>
      <c r="BF5" s="7">
        <v>46</v>
      </c>
      <c r="BG5" s="7">
        <v>42</v>
      </c>
      <c r="BH5" s="7">
        <v>42</v>
      </c>
      <c r="BI5" s="7">
        <v>42</v>
      </c>
      <c r="BJ5" s="7">
        <v>42</v>
      </c>
      <c r="BK5" s="7">
        <v>42</v>
      </c>
      <c r="BL5" s="7">
        <v>27</v>
      </c>
      <c r="BM5" s="7">
        <v>27</v>
      </c>
      <c r="BN5" s="7">
        <v>27</v>
      </c>
      <c r="BO5" s="7">
        <v>27</v>
      </c>
      <c r="BP5" s="7">
        <v>27</v>
      </c>
      <c r="BQ5" s="7">
        <v>27</v>
      </c>
      <c r="BR5" s="7">
        <v>27</v>
      </c>
      <c r="BS5" s="7">
        <v>27</v>
      </c>
      <c r="BT5" s="7">
        <v>27</v>
      </c>
      <c r="BU5" s="7">
        <v>27</v>
      </c>
      <c r="BV5" s="7">
        <v>27</v>
      </c>
      <c r="BW5" s="7">
        <v>27</v>
      </c>
      <c r="BX5" s="7">
        <v>27</v>
      </c>
      <c r="BY5" s="7">
        <v>27</v>
      </c>
      <c r="BZ5" s="7">
        <v>27</v>
      </c>
    </row>
    <row r="6" spans="1:78" ht="15.75" thickBot="1" x14ac:dyDescent="0.3">
      <c r="A6" s="5">
        <v>273702</v>
      </c>
      <c r="B6" s="6">
        <v>1135753</v>
      </c>
      <c r="C6" s="6">
        <v>3010900000000000</v>
      </c>
      <c r="D6" s="6" t="s">
        <v>10</v>
      </c>
      <c r="E6" s="6">
        <v>3</v>
      </c>
      <c r="F6" s="6">
        <v>3</v>
      </c>
      <c r="G6" s="6">
        <v>2</v>
      </c>
      <c r="H6" s="6">
        <v>2</v>
      </c>
      <c r="I6" s="6">
        <v>1</v>
      </c>
      <c r="J6" s="7">
        <v>1</v>
      </c>
      <c r="K6" s="7">
        <v>1</v>
      </c>
      <c r="L6" s="7">
        <v>1</v>
      </c>
      <c r="M6" s="7">
        <v>1</v>
      </c>
      <c r="N6" s="7">
        <v>1</v>
      </c>
      <c r="O6" s="7">
        <v>3</v>
      </c>
      <c r="P6" s="7">
        <v>3</v>
      </c>
      <c r="Q6" s="10">
        <v>3</v>
      </c>
      <c r="R6" s="7">
        <v>3</v>
      </c>
      <c r="S6" s="7">
        <v>3</v>
      </c>
      <c r="T6" s="7">
        <v>3</v>
      </c>
      <c r="U6" s="7">
        <v>3</v>
      </c>
      <c r="V6" s="7">
        <v>3</v>
      </c>
      <c r="W6" s="7">
        <v>3</v>
      </c>
      <c r="X6" s="7">
        <v>3</v>
      </c>
      <c r="Y6" s="7">
        <v>3</v>
      </c>
      <c r="Z6" s="7">
        <v>3</v>
      </c>
      <c r="AA6" s="7">
        <v>3</v>
      </c>
      <c r="AB6" s="7">
        <v>3</v>
      </c>
      <c r="AC6" s="7">
        <v>3</v>
      </c>
      <c r="AD6" s="7">
        <v>3</v>
      </c>
      <c r="AE6" s="7">
        <v>3</v>
      </c>
      <c r="AF6" s="7">
        <v>3</v>
      </c>
      <c r="AG6" s="7">
        <v>3</v>
      </c>
      <c r="AH6" s="7">
        <v>3</v>
      </c>
      <c r="AI6" s="7">
        <v>3</v>
      </c>
      <c r="AJ6" s="7">
        <v>3</v>
      </c>
      <c r="AK6" s="7">
        <v>3</v>
      </c>
      <c r="AL6" s="7">
        <v>3</v>
      </c>
      <c r="AM6" s="7">
        <v>2</v>
      </c>
      <c r="AN6" s="7">
        <v>2</v>
      </c>
      <c r="AO6" s="7">
        <v>2</v>
      </c>
      <c r="AP6" s="7">
        <v>2</v>
      </c>
      <c r="AQ6" s="7">
        <v>2</v>
      </c>
      <c r="AR6" s="7">
        <v>2</v>
      </c>
      <c r="AS6" s="7">
        <v>1</v>
      </c>
      <c r="AT6" s="7">
        <v>1</v>
      </c>
      <c r="AU6" s="7">
        <v>1</v>
      </c>
      <c r="AV6" s="7">
        <v>2</v>
      </c>
      <c r="AW6" s="7">
        <v>2</v>
      </c>
      <c r="AX6" s="7">
        <v>2</v>
      </c>
      <c r="AY6" s="7">
        <v>2</v>
      </c>
      <c r="AZ6" s="7">
        <v>2</v>
      </c>
      <c r="BA6" s="7">
        <v>2</v>
      </c>
      <c r="BB6" s="7">
        <v>2</v>
      </c>
      <c r="BC6" s="7">
        <v>2</v>
      </c>
      <c r="BD6" s="7">
        <v>2</v>
      </c>
      <c r="BE6" s="7">
        <v>2</v>
      </c>
      <c r="BF6" s="7">
        <v>0</v>
      </c>
      <c r="BG6" s="7">
        <v>0</v>
      </c>
      <c r="BH6" s="7">
        <v>0</v>
      </c>
      <c r="BI6" s="7">
        <v>2</v>
      </c>
      <c r="BJ6" s="7">
        <v>2</v>
      </c>
      <c r="BK6" s="7">
        <v>2</v>
      </c>
      <c r="BL6" s="7">
        <v>1</v>
      </c>
      <c r="BM6" s="7">
        <v>1</v>
      </c>
      <c r="BN6" s="7">
        <v>1</v>
      </c>
      <c r="BO6" s="7">
        <v>1</v>
      </c>
      <c r="BP6" s="7">
        <v>1</v>
      </c>
      <c r="BQ6" s="7">
        <v>1</v>
      </c>
      <c r="BR6" s="7">
        <v>1</v>
      </c>
      <c r="BS6" s="7">
        <v>1</v>
      </c>
      <c r="BT6" s="7">
        <v>0</v>
      </c>
      <c r="BU6" s="7">
        <v>0</v>
      </c>
      <c r="BV6" s="7">
        <v>0</v>
      </c>
      <c r="BW6" s="7">
        <v>0</v>
      </c>
      <c r="BX6" s="7">
        <v>0</v>
      </c>
      <c r="BY6" s="7">
        <v>0</v>
      </c>
      <c r="BZ6" s="7">
        <v>0</v>
      </c>
    </row>
    <row r="7" spans="1:78" ht="15.75" thickBot="1" x14ac:dyDescent="0.3">
      <c r="A7" s="5">
        <v>273698</v>
      </c>
      <c r="B7" s="6">
        <v>1135752</v>
      </c>
      <c r="C7" s="6">
        <v>7010400000000000</v>
      </c>
      <c r="D7" s="6" t="s">
        <v>11</v>
      </c>
      <c r="E7" s="6">
        <v>10</v>
      </c>
      <c r="F7" s="6">
        <v>10</v>
      </c>
      <c r="G7" s="6">
        <v>10</v>
      </c>
      <c r="H7" s="6">
        <v>10</v>
      </c>
      <c r="I7" s="6">
        <v>9</v>
      </c>
      <c r="J7" s="7">
        <v>9</v>
      </c>
      <c r="K7" s="7">
        <v>9</v>
      </c>
      <c r="L7" s="7">
        <v>9</v>
      </c>
      <c r="M7" s="7">
        <v>9</v>
      </c>
      <c r="N7" s="7">
        <v>9</v>
      </c>
      <c r="O7" s="7">
        <v>10</v>
      </c>
      <c r="P7" s="7">
        <v>10</v>
      </c>
      <c r="Q7" s="10">
        <v>10</v>
      </c>
      <c r="R7" s="7">
        <v>10</v>
      </c>
      <c r="S7" s="7">
        <v>7</v>
      </c>
      <c r="T7" s="7">
        <v>7</v>
      </c>
      <c r="U7" s="7">
        <v>7</v>
      </c>
      <c r="V7" s="7">
        <v>7</v>
      </c>
      <c r="W7" s="7">
        <v>7</v>
      </c>
      <c r="X7" s="7">
        <v>7</v>
      </c>
      <c r="Y7" s="7">
        <v>7</v>
      </c>
      <c r="Z7" s="7">
        <v>7</v>
      </c>
      <c r="AA7" s="7">
        <v>7</v>
      </c>
      <c r="AB7" s="7">
        <v>7</v>
      </c>
      <c r="AC7" s="7">
        <v>7</v>
      </c>
      <c r="AD7" s="7">
        <v>7</v>
      </c>
      <c r="AE7" s="7">
        <v>5</v>
      </c>
      <c r="AF7" s="7">
        <v>4</v>
      </c>
      <c r="AG7" s="7">
        <v>4</v>
      </c>
      <c r="AH7" s="7">
        <v>4</v>
      </c>
      <c r="AI7" s="7">
        <v>4</v>
      </c>
      <c r="AJ7" s="7">
        <v>4</v>
      </c>
      <c r="AK7" s="7">
        <v>5</v>
      </c>
      <c r="AL7" s="7">
        <v>4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5</v>
      </c>
      <c r="AW7" s="7">
        <v>5</v>
      </c>
      <c r="AX7" s="7">
        <v>5</v>
      </c>
      <c r="AY7" s="7">
        <v>5</v>
      </c>
      <c r="AZ7" s="7">
        <v>5</v>
      </c>
      <c r="BA7" s="7">
        <v>5</v>
      </c>
      <c r="BB7" s="7">
        <v>5</v>
      </c>
      <c r="BC7" s="7">
        <v>5</v>
      </c>
      <c r="BD7" s="7">
        <v>5</v>
      </c>
      <c r="BE7" s="7">
        <v>5</v>
      </c>
      <c r="BF7" s="7">
        <v>4</v>
      </c>
      <c r="BG7" s="7">
        <v>4</v>
      </c>
      <c r="BH7" s="7">
        <v>4</v>
      </c>
      <c r="BI7" s="7">
        <v>4</v>
      </c>
      <c r="BJ7" s="7">
        <v>7</v>
      </c>
      <c r="BK7" s="7">
        <v>7</v>
      </c>
      <c r="BL7" s="7">
        <v>7</v>
      </c>
      <c r="BM7" s="7">
        <v>7</v>
      </c>
      <c r="BN7" s="7">
        <v>7</v>
      </c>
      <c r="BO7" s="7">
        <v>7</v>
      </c>
      <c r="BP7" s="7">
        <v>7</v>
      </c>
      <c r="BQ7" s="7">
        <v>7</v>
      </c>
      <c r="BR7" s="7">
        <v>7</v>
      </c>
      <c r="BS7" s="7">
        <v>7</v>
      </c>
      <c r="BT7" s="7">
        <v>7</v>
      </c>
      <c r="BU7" s="7">
        <v>7</v>
      </c>
      <c r="BV7" s="7">
        <v>7</v>
      </c>
      <c r="BW7" s="7">
        <v>7</v>
      </c>
      <c r="BX7" s="7">
        <v>7</v>
      </c>
      <c r="BY7" s="7">
        <v>7</v>
      </c>
      <c r="BZ7" s="7">
        <v>7</v>
      </c>
    </row>
    <row r="8" spans="1:78" ht="15.75" thickBot="1" x14ac:dyDescent="0.3">
      <c r="A8" s="5">
        <v>273680</v>
      </c>
      <c r="B8" s="6">
        <v>1135751</v>
      </c>
      <c r="C8" s="6" t="s">
        <v>13</v>
      </c>
      <c r="D8" s="6" t="s">
        <v>12</v>
      </c>
      <c r="E8" s="6">
        <v>20</v>
      </c>
      <c r="F8" s="6">
        <v>20</v>
      </c>
      <c r="G8" s="6">
        <v>20</v>
      </c>
      <c r="H8" s="6">
        <v>20</v>
      </c>
      <c r="I8" s="6">
        <v>15</v>
      </c>
      <c r="J8" s="7">
        <v>17</v>
      </c>
      <c r="K8" s="7">
        <v>17</v>
      </c>
      <c r="L8" s="7">
        <v>17</v>
      </c>
      <c r="M8" s="7">
        <v>17</v>
      </c>
      <c r="N8" s="7">
        <v>17</v>
      </c>
      <c r="O8" s="7">
        <v>13</v>
      </c>
      <c r="P8" s="7">
        <v>13</v>
      </c>
      <c r="Q8" s="11">
        <v>13</v>
      </c>
      <c r="R8" s="7">
        <v>18</v>
      </c>
      <c r="S8" s="7">
        <v>13</v>
      </c>
      <c r="T8" s="7">
        <v>13</v>
      </c>
      <c r="U8" s="7">
        <v>13</v>
      </c>
      <c r="V8" s="7">
        <v>11</v>
      </c>
      <c r="W8" s="7">
        <v>11</v>
      </c>
      <c r="X8" s="7">
        <v>11</v>
      </c>
      <c r="Y8" s="7">
        <v>11</v>
      </c>
      <c r="Z8" s="7">
        <v>11</v>
      </c>
      <c r="AA8" s="7">
        <v>11</v>
      </c>
      <c r="AB8" s="7">
        <v>11</v>
      </c>
      <c r="AC8" s="7">
        <v>11</v>
      </c>
      <c r="AD8" s="7">
        <v>16</v>
      </c>
      <c r="AE8" s="7">
        <v>10</v>
      </c>
      <c r="AF8" s="7">
        <v>10</v>
      </c>
      <c r="AG8" s="7">
        <v>10</v>
      </c>
      <c r="AH8" s="7">
        <v>10</v>
      </c>
      <c r="AI8" s="7">
        <v>7</v>
      </c>
      <c r="AJ8" s="7">
        <v>7</v>
      </c>
      <c r="AK8" s="7">
        <v>7</v>
      </c>
      <c r="AL8" s="7">
        <v>0</v>
      </c>
      <c r="AM8" s="7">
        <v>0</v>
      </c>
      <c r="AN8" s="7">
        <v>0</v>
      </c>
      <c r="AO8" s="7">
        <v>1</v>
      </c>
      <c r="AP8" s="7">
        <v>1</v>
      </c>
      <c r="AQ8" s="7">
        <v>1</v>
      </c>
      <c r="AR8" s="7">
        <v>1</v>
      </c>
      <c r="AS8" s="7">
        <v>1</v>
      </c>
      <c r="AT8" s="7">
        <v>1</v>
      </c>
      <c r="AU8" s="7">
        <v>1</v>
      </c>
      <c r="AV8" s="7">
        <v>1</v>
      </c>
      <c r="AW8" s="7">
        <v>1</v>
      </c>
      <c r="AX8" s="7">
        <v>1</v>
      </c>
      <c r="AY8" s="7">
        <v>1</v>
      </c>
      <c r="AZ8" s="7">
        <v>1</v>
      </c>
      <c r="BA8" s="7">
        <v>1</v>
      </c>
      <c r="BB8" s="7">
        <v>0</v>
      </c>
      <c r="BC8" s="7">
        <v>0</v>
      </c>
      <c r="BD8" s="7">
        <v>7</v>
      </c>
      <c r="BE8" s="7">
        <v>7</v>
      </c>
      <c r="BF8" s="7">
        <v>0</v>
      </c>
      <c r="BG8" s="7">
        <v>0</v>
      </c>
      <c r="BH8" s="7">
        <v>0</v>
      </c>
      <c r="BI8" s="7">
        <v>14</v>
      </c>
      <c r="BJ8" s="7">
        <v>5</v>
      </c>
      <c r="BK8" s="7">
        <v>5</v>
      </c>
      <c r="BL8" s="7">
        <v>5</v>
      </c>
      <c r="BM8" s="7">
        <v>5</v>
      </c>
      <c r="BN8" s="7">
        <v>5</v>
      </c>
      <c r="BO8" s="7">
        <v>5</v>
      </c>
      <c r="BP8" s="7">
        <v>16</v>
      </c>
      <c r="BQ8" s="7">
        <v>16</v>
      </c>
      <c r="BR8" s="7">
        <v>16</v>
      </c>
      <c r="BS8" s="7">
        <v>16</v>
      </c>
      <c r="BT8" s="7">
        <v>16</v>
      </c>
      <c r="BU8" s="7">
        <v>16</v>
      </c>
      <c r="BV8" s="7">
        <v>16</v>
      </c>
      <c r="BW8" s="7">
        <v>16</v>
      </c>
      <c r="BX8" s="7">
        <v>11</v>
      </c>
      <c r="BY8" s="7">
        <v>11</v>
      </c>
      <c r="BZ8" s="7">
        <v>11</v>
      </c>
    </row>
    <row r="9" spans="1:78" x14ac:dyDescent="0.25">
      <c r="A9" s="1"/>
    </row>
    <row r="15" spans="1:78" x14ac:dyDescent="0.25">
      <c r="A15" s="213" t="s">
        <v>264</v>
      </c>
      <c r="B15" t="s">
        <v>281</v>
      </c>
      <c r="C15" t="s">
        <v>282</v>
      </c>
      <c r="D15" t="s">
        <v>283</v>
      </c>
      <c r="E15" t="s">
        <v>284</v>
      </c>
      <c r="F15" t="s">
        <v>285</v>
      </c>
    </row>
    <row r="16" spans="1:78" x14ac:dyDescent="0.25">
      <c r="A16" s="163" t="s">
        <v>291</v>
      </c>
      <c r="B16" s="214"/>
      <c r="C16" s="214"/>
      <c r="D16" s="214"/>
      <c r="E16" s="214"/>
      <c r="F16" s="214"/>
    </row>
    <row r="17" spans="1:6" x14ac:dyDescent="0.25">
      <c r="A17" s="220" t="s">
        <v>319</v>
      </c>
      <c r="B17" s="214"/>
      <c r="C17" s="214"/>
      <c r="D17" s="214"/>
      <c r="E17" s="214"/>
      <c r="F17" s="214"/>
    </row>
    <row r="18" spans="1:6" x14ac:dyDescent="0.25">
      <c r="A18" s="221" t="s">
        <v>320</v>
      </c>
      <c r="B18" s="214">
        <v>3</v>
      </c>
      <c r="C18" s="214">
        <v>8</v>
      </c>
      <c r="D18" s="214">
        <v>2</v>
      </c>
      <c r="E18" s="214">
        <v>1</v>
      </c>
      <c r="F18" s="214">
        <v>16</v>
      </c>
    </row>
    <row r="19" spans="1:6" x14ac:dyDescent="0.25">
      <c r="A19" s="221" t="s">
        <v>321</v>
      </c>
      <c r="B19" s="214">
        <v>3</v>
      </c>
      <c r="C19" s="214">
        <v>8</v>
      </c>
      <c r="D19" s="214">
        <v>2</v>
      </c>
      <c r="E19" s="214">
        <v>1</v>
      </c>
      <c r="F19" s="214">
        <v>16</v>
      </c>
    </row>
    <row r="20" spans="1:6" x14ac:dyDescent="0.25">
      <c r="A20" s="221" t="s">
        <v>331</v>
      </c>
      <c r="B20" s="214">
        <v>3</v>
      </c>
      <c r="C20" s="214">
        <v>2</v>
      </c>
      <c r="D20" s="214">
        <v>2</v>
      </c>
      <c r="E20" s="214">
        <v>1</v>
      </c>
      <c r="F20" s="214">
        <v>16</v>
      </c>
    </row>
    <row r="21" spans="1:6" x14ac:dyDescent="0.25">
      <c r="A21" s="221" t="s">
        <v>332</v>
      </c>
      <c r="B21" s="214">
        <v>3</v>
      </c>
      <c r="C21" s="214">
        <v>2</v>
      </c>
      <c r="D21" s="214">
        <v>2</v>
      </c>
      <c r="E21" s="214">
        <v>1</v>
      </c>
      <c r="F21" s="214">
        <v>16</v>
      </c>
    </row>
    <row r="22" spans="1:6" x14ac:dyDescent="0.25">
      <c r="A22" s="220" t="s">
        <v>333</v>
      </c>
      <c r="B22" s="214"/>
      <c r="C22" s="214"/>
      <c r="D22" s="214"/>
      <c r="E22" s="214"/>
      <c r="F22" s="214"/>
    </row>
    <row r="23" spans="1:6" x14ac:dyDescent="0.25">
      <c r="A23" s="221" t="s">
        <v>334</v>
      </c>
      <c r="B23" s="214">
        <v>7</v>
      </c>
      <c r="C23" s="214">
        <v>2</v>
      </c>
      <c r="D23" s="214">
        <v>2</v>
      </c>
      <c r="E23" s="214">
        <v>3</v>
      </c>
      <c r="F23" s="214">
        <v>16</v>
      </c>
    </row>
    <row r="24" spans="1:6" x14ac:dyDescent="0.25">
      <c r="A24" s="221" t="s">
        <v>335</v>
      </c>
      <c r="B24" s="214">
        <v>7</v>
      </c>
      <c r="C24" s="214">
        <v>2</v>
      </c>
      <c r="D24" s="214">
        <v>2</v>
      </c>
      <c r="E24" s="214">
        <v>3</v>
      </c>
      <c r="F24" s="214">
        <v>16</v>
      </c>
    </row>
    <row r="25" spans="1:6" x14ac:dyDescent="0.25">
      <c r="A25" s="221" t="s">
        <v>346</v>
      </c>
      <c r="B25" s="214">
        <v>7</v>
      </c>
      <c r="C25" s="214">
        <v>10</v>
      </c>
      <c r="D25" s="214">
        <v>2</v>
      </c>
      <c r="E25" s="214">
        <v>3</v>
      </c>
      <c r="F25" s="214">
        <v>16</v>
      </c>
    </row>
    <row r="26" spans="1:6" x14ac:dyDescent="0.25">
      <c r="A26" s="221" t="s">
        <v>347</v>
      </c>
      <c r="B26" s="214">
        <v>4</v>
      </c>
      <c r="C26" s="214">
        <v>4</v>
      </c>
      <c r="D26" s="214">
        <v>2</v>
      </c>
      <c r="E26" s="214">
        <v>3</v>
      </c>
      <c r="F26" s="214">
        <v>16</v>
      </c>
    </row>
    <row r="27" spans="1:6" x14ac:dyDescent="0.25">
      <c r="A27" s="221" t="s">
        <v>348</v>
      </c>
      <c r="B27" s="214">
        <v>4</v>
      </c>
      <c r="C27" s="214">
        <v>4</v>
      </c>
      <c r="D27" s="214">
        <v>2</v>
      </c>
      <c r="E27" s="214">
        <v>3</v>
      </c>
      <c r="F27" s="214">
        <v>16</v>
      </c>
    </row>
    <row r="28" spans="1:6" x14ac:dyDescent="0.25">
      <c r="A28" s="220" t="s">
        <v>349</v>
      </c>
      <c r="B28" s="214"/>
      <c r="C28" s="214"/>
      <c r="D28" s="214"/>
      <c r="E28" s="214"/>
      <c r="F28" s="214"/>
    </row>
    <row r="29" spans="1:6" x14ac:dyDescent="0.25">
      <c r="A29" s="221" t="s">
        <v>350</v>
      </c>
      <c r="B29" s="214">
        <v>0</v>
      </c>
      <c r="C29" s="214">
        <v>0</v>
      </c>
      <c r="D29" s="214">
        <v>2</v>
      </c>
      <c r="E29" s="214">
        <v>3</v>
      </c>
      <c r="F29" s="214">
        <v>5</v>
      </c>
    </row>
    <row r="30" spans="1:6" x14ac:dyDescent="0.25">
      <c r="A30" s="221" t="s">
        <v>362</v>
      </c>
      <c r="B30" s="214">
        <v>1</v>
      </c>
      <c r="C30" s="214">
        <v>6</v>
      </c>
      <c r="D30" s="214">
        <v>2</v>
      </c>
      <c r="E30" s="214">
        <v>3</v>
      </c>
      <c r="F30" s="214">
        <v>5</v>
      </c>
    </row>
    <row r="31" spans="1:6" x14ac:dyDescent="0.25">
      <c r="A31" s="221" t="s">
        <v>363</v>
      </c>
      <c r="B31" s="214">
        <v>1</v>
      </c>
      <c r="C31" s="214">
        <v>6</v>
      </c>
      <c r="D31" s="214">
        <v>2</v>
      </c>
      <c r="E31" s="214">
        <v>3</v>
      </c>
      <c r="F31" s="214">
        <v>5</v>
      </c>
    </row>
    <row r="32" spans="1:6" x14ac:dyDescent="0.25">
      <c r="A32" s="221" t="s">
        <v>364</v>
      </c>
      <c r="B32" s="214">
        <v>1</v>
      </c>
      <c r="C32" s="214">
        <v>6</v>
      </c>
      <c r="D32" s="214">
        <v>2</v>
      </c>
      <c r="E32" s="214">
        <v>3</v>
      </c>
      <c r="F32" s="214">
        <v>5</v>
      </c>
    </row>
    <row r="33" spans="1:6" x14ac:dyDescent="0.25">
      <c r="A33" s="220" t="s">
        <v>365</v>
      </c>
      <c r="B33" s="214"/>
      <c r="C33" s="214"/>
      <c r="D33" s="214"/>
      <c r="E33" s="214"/>
      <c r="F33" s="214"/>
    </row>
    <row r="34" spans="1:6" x14ac:dyDescent="0.25">
      <c r="A34" s="221" t="s">
        <v>366</v>
      </c>
      <c r="B34" s="214">
        <v>1</v>
      </c>
      <c r="C34" s="214">
        <v>0</v>
      </c>
      <c r="D34" s="214">
        <v>2</v>
      </c>
      <c r="E34" s="214">
        <v>3</v>
      </c>
      <c r="F34" s="214">
        <v>5</v>
      </c>
    </row>
    <row r="35" spans="1:6" x14ac:dyDescent="0.25">
      <c r="A35" s="221" t="s">
        <v>369</v>
      </c>
      <c r="B35" s="214">
        <v>1</v>
      </c>
      <c r="C35" s="214">
        <v>0</v>
      </c>
      <c r="D35" s="214">
        <v>2</v>
      </c>
      <c r="E35" s="214">
        <v>3</v>
      </c>
      <c r="F35" s="214">
        <v>5</v>
      </c>
    </row>
    <row r="36" spans="1:6" x14ac:dyDescent="0.25">
      <c r="A36" s="221" t="s">
        <v>381</v>
      </c>
      <c r="B36" s="214">
        <v>1</v>
      </c>
      <c r="C36" s="214">
        <v>0</v>
      </c>
      <c r="D36" s="214">
        <v>2</v>
      </c>
      <c r="E36" s="214">
        <v>3</v>
      </c>
      <c r="F36" s="214">
        <v>5</v>
      </c>
    </row>
    <row r="37" spans="1:6" x14ac:dyDescent="0.25">
      <c r="A37" s="221" t="s">
        <v>382</v>
      </c>
      <c r="B37" s="214">
        <v>2</v>
      </c>
      <c r="C37" s="214">
        <v>0</v>
      </c>
      <c r="D37" s="214">
        <v>2</v>
      </c>
      <c r="E37" s="214">
        <v>3</v>
      </c>
      <c r="F37" s="214">
        <v>5</v>
      </c>
    </row>
    <row r="38" spans="1:6" x14ac:dyDescent="0.25">
      <c r="A38" s="220" t="s">
        <v>383</v>
      </c>
      <c r="B38" s="214"/>
      <c r="C38" s="214"/>
      <c r="D38" s="214"/>
      <c r="E38" s="214"/>
      <c r="F38" s="214"/>
    </row>
    <row r="39" spans="1:6" x14ac:dyDescent="0.25">
      <c r="A39" s="221" t="s">
        <v>384</v>
      </c>
      <c r="B39" s="214">
        <v>2</v>
      </c>
      <c r="C39" s="214">
        <v>0</v>
      </c>
      <c r="D39" s="214">
        <v>2</v>
      </c>
      <c r="E39" s="214">
        <v>3</v>
      </c>
      <c r="F39" s="214">
        <v>5</v>
      </c>
    </row>
    <row r="40" spans="1:6" x14ac:dyDescent="0.25">
      <c r="A40" s="221" t="s">
        <v>385</v>
      </c>
      <c r="B40" s="214">
        <v>2</v>
      </c>
      <c r="C40" s="214">
        <v>6</v>
      </c>
      <c r="D40" s="214">
        <v>2</v>
      </c>
      <c r="E40" s="214">
        <v>3</v>
      </c>
      <c r="F40" s="214">
        <v>5</v>
      </c>
    </row>
    <row r="41" spans="1:6" x14ac:dyDescent="0.25">
      <c r="A41" s="163" t="s">
        <v>265</v>
      </c>
      <c r="B41" s="214">
        <v>53</v>
      </c>
      <c r="C41" s="214">
        <v>66</v>
      </c>
      <c r="D41" s="214">
        <v>38</v>
      </c>
      <c r="E41" s="214">
        <v>49</v>
      </c>
      <c r="F41" s="214">
        <v>194</v>
      </c>
    </row>
  </sheetData>
  <pageMargins left="0.7" right="0.7" top="0.75" bottom="0.75" header="0.3" footer="0.3"/>
  <pageSetup paperSize="9" orientation="portrait" r:id="rId2"/>
  <drawing r:id="rId3"/>
  <extLs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2"/>
  <dimension ref="A2:BJ9"/>
  <sheetViews>
    <sheetView zoomScale="90" zoomScaleNormal="90" workbookViewId="0">
      <pane xSplit="4" topLeftCell="AX1" activePane="topRight" state="frozen"/>
      <selection pane="topRight" activeCell="BE12" sqref="BE12"/>
    </sheetView>
  </sheetViews>
  <sheetFormatPr baseColWidth="10" defaultColWidth="10.7109375" defaultRowHeight="15" x14ac:dyDescent="0.25"/>
  <cols>
    <col min="1" max="1" width="13.28515625" bestFit="1" customWidth="1"/>
    <col min="2" max="2" width="15.42578125" bestFit="1" customWidth="1"/>
    <col min="3" max="3" width="15.42578125" customWidth="1"/>
    <col min="4" max="4" width="39.28515625" bestFit="1" customWidth="1"/>
    <col min="5" max="5" width="10.28515625" bestFit="1" customWidth="1"/>
    <col min="6" max="6" width="11.5703125" bestFit="1" customWidth="1"/>
  </cols>
  <sheetData>
    <row r="2" spans="1:62" s="9" customFormat="1" ht="15.75" thickBot="1" x14ac:dyDescent="0.3">
      <c r="A2" s="8">
        <v>44634</v>
      </c>
    </row>
    <row r="3" spans="1:62" ht="15.75" thickBot="1" x14ac:dyDescent="0.3">
      <c r="A3" s="2" t="s">
        <v>0</v>
      </c>
      <c r="B3" s="3" t="s">
        <v>1</v>
      </c>
      <c r="C3" s="3" t="s">
        <v>3</v>
      </c>
      <c r="D3" s="3" t="s">
        <v>2</v>
      </c>
      <c r="E3" s="13">
        <v>44634</v>
      </c>
      <c r="F3" s="13">
        <v>44641</v>
      </c>
      <c r="G3" s="13">
        <v>44648</v>
      </c>
      <c r="H3" s="13">
        <v>44655</v>
      </c>
      <c r="I3" s="13">
        <v>44662</v>
      </c>
      <c r="J3" s="13">
        <v>44669</v>
      </c>
      <c r="K3" s="13">
        <v>44676</v>
      </c>
      <c r="L3" s="13">
        <v>44683</v>
      </c>
      <c r="M3" s="13">
        <v>44690</v>
      </c>
      <c r="N3" s="13">
        <v>44697</v>
      </c>
      <c r="O3" s="13">
        <v>44704</v>
      </c>
      <c r="P3" s="13">
        <v>44711</v>
      </c>
      <c r="Q3" s="13">
        <v>44718</v>
      </c>
      <c r="R3" s="13">
        <v>44725</v>
      </c>
      <c r="S3" s="13">
        <v>44732</v>
      </c>
      <c r="T3" s="13">
        <v>44739</v>
      </c>
      <c r="U3" s="13">
        <v>44746</v>
      </c>
      <c r="V3" s="13">
        <v>44753</v>
      </c>
      <c r="W3" s="13">
        <v>44760</v>
      </c>
      <c r="X3" s="13">
        <v>44767</v>
      </c>
      <c r="Y3" s="13">
        <v>44774</v>
      </c>
      <c r="Z3" s="13">
        <v>44781</v>
      </c>
      <c r="AA3" s="13">
        <v>44788</v>
      </c>
      <c r="AB3" s="13">
        <v>44795</v>
      </c>
      <c r="AC3" s="13">
        <v>44802</v>
      </c>
      <c r="AD3" s="13">
        <v>44809</v>
      </c>
      <c r="AE3" s="13">
        <v>44816</v>
      </c>
      <c r="AF3" s="13">
        <v>44823</v>
      </c>
      <c r="AG3" s="13">
        <v>44830</v>
      </c>
      <c r="AH3" s="13">
        <v>44837</v>
      </c>
      <c r="AI3" s="13">
        <v>44844</v>
      </c>
      <c r="AJ3" s="13">
        <v>44851</v>
      </c>
      <c r="AK3" s="13">
        <v>44872</v>
      </c>
      <c r="AL3" s="13">
        <v>44893</v>
      </c>
      <c r="AM3" s="13">
        <v>44900</v>
      </c>
      <c r="AN3" s="13">
        <v>44907</v>
      </c>
      <c r="AO3" s="13">
        <v>44914</v>
      </c>
      <c r="AP3" s="13">
        <v>44928</v>
      </c>
      <c r="AQ3" s="13">
        <v>44935</v>
      </c>
      <c r="AR3" s="13">
        <v>44942</v>
      </c>
      <c r="AS3" s="13">
        <v>44949</v>
      </c>
      <c r="AT3" s="13">
        <v>44956</v>
      </c>
      <c r="AU3" s="13">
        <v>44963</v>
      </c>
      <c r="AV3" s="13">
        <v>44980</v>
      </c>
      <c r="AW3" s="13">
        <v>44998</v>
      </c>
      <c r="AX3" s="13">
        <v>45012</v>
      </c>
      <c r="AY3" s="13">
        <v>45019</v>
      </c>
      <c r="AZ3" s="13">
        <v>45026</v>
      </c>
      <c r="BA3" s="13">
        <v>45040</v>
      </c>
      <c r="BB3" s="13">
        <v>45047</v>
      </c>
      <c r="BC3" s="13">
        <v>45054</v>
      </c>
      <c r="BD3" s="13">
        <v>45061</v>
      </c>
      <c r="BE3" s="13">
        <v>45068</v>
      </c>
      <c r="BF3" s="13">
        <v>45075</v>
      </c>
      <c r="BG3" s="13">
        <v>45082</v>
      </c>
      <c r="BH3" s="13">
        <v>45089</v>
      </c>
      <c r="BI3" s="13">
        <v>45096</v>
      </c>
      <c r="BJ3" s="13">
        <v>45103</v>
      </c>
    </row>
    <row r="4" spans="1:62" ht="15.75" thickBot="1" x14ac:dyDescent="0.3">
      <c r="A4" s="5">
        <v>273664</v>
      </c>
      <c r="B4" s="6">
        <v>1135749</v>
      </c>
      <c r="C4" s="6">
        <v>6060050026</v>
      </c>
      <c r="D4" s="6" t="s">
        <v>7</v>
      </c>
      <c r="E4" s="6">
        <v>2</v>
      </c>
      <c r="F4" s="6">
        <v>2</v>
      </c>
      <c r="G4" s="6">
        <v>2</v>
      </c>
      <c r="H4" s="6">
        <v>2</v>
      </c>
      <c r="I4" s="6">
        <v>2</v>
      </c>
      <c r="J4" s="7">
        <v>5</v>
      </c>
      <c r="K4" s="7">
        <v>5</v>
      </c>
      <c r="L4" s="7">
        <v>3</v>
      </c>
      <c r="M4" s="7">
        <v>3</v>
      </c>
      <c r="N4" s="7">
        <v>1</v>
      </c>
      <c r="O4" s="7">
        <v>1</v>
      </c>
      <c r="P4" s="7">
        <v>1</v>
      </c>
      <c r="Q4" s="12">
        <v>1</v>
      </c>
      <c r="R4" s="7">
        <v>1</v>
      </c>
      <c r="S4" s="7">
        <v>4</v>
      </c>
      <c r="T4" s="7">
        <v>4</v>
      </c>
      <c r="U4" s="7">
        <v>4</v>
      </c>
      <c r="V4" s="7">
        <v>2</v>
      </c>
      <c r="W4" s="7">
        <v>2</v>
      </c>
      <c r="X4" s="7">
        <v>2</v>
      </c>
      <c r="Y4" s="7">
        <v>2</v>
      </c>
      <c r="Z4" s="7">
        <v>2</v>
      </c>
      <c r="AA4" s="7">
        <v>6</v>
      </c>
      <c r="AB4" s="7">
        <v>7</v>
      </c>
      <c r="AC4" s="7">
        <v>7</v>
      </c>
      <c r="AD4" s="7">
        <v>6</v>
      </c>
      <c r="AE4" s="7">
        <v>9</v>
      </c>
      <c r="AF4" s="7">
        <v>7</v>
      </c>
      <c r="AG4" s="7">
        <v>7</v>
      </c>
      <c r="AH4" s="7">
        <v>7</v>
      </c>
      <c r="AI4" s="7">
        <v>7</v>
      </c>
      <c r="AJ4" s="7">
        <v>5</v>
      </c>
      <c r="AK4" s="7">
        <v>5</v>
      </c>
      <c r="AL4" s="7">
        <v>4</v>
      </c>
      <c r="AM4" s="7">
        <v>4</v>
      </c>
      <c r="AN4" s="7">
        <v>4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2</v>
      </c>
      <c r="AV4" s="7">
        <v>15</v>
      </c>
      <c r="AW4" s="7">
        <v>15</v>
      </c>
      <c r="AX4" s="7">
        <v>15</v>
      </c>
      <c r="AY4" s="7">
        <v>15</v>
      </c>
      <c r="AZ4" s="7">
        <v>15</v>
      </c>
      <c r="BA4" s="7">
        <v>13</v>
      </c>
      <c r="BB4" s="7">
        <v>13</v>
      </c>
      <c r="BC4" s="7">
        <v>13</v>
      </c>
      <c r="BD4" s="7">
        <v>13</v>
      </c>
      <c r="BE4" s="7">
        <v>13</v>
      </c>
      <c r="BF4" s="7">
        <v>13</v>
      </c>
      <c r="BG4" s="7">
        <v>13</v>
      </c>
      <c r="BH4" s="7"/>
      <c r="BI4" s="7"/>
      <c r="BJ4" s="7"/>
    </row>
    <row r="5" spans="1:62" ht="15.75" thickBot="1" x14ac:dyDescent="0.3">
      <c r="A5" s="5">
        <v>273672</v>
      </c>
      <c r="B5" s="6">
        <v>1135750</v>
      </c>
      <c r="C5" s="6">
        <v>2040600000000000</v>
      </c>
      <c r="D5" s="6" t="s">
        <v>9</v>
      </c>
      <c r="E5" s="6">
        <v>5</v>
      </c>
      <c r="F5" s="6">
        <v>3</v>
      </c>
      <c r="G5" s="6">
        <v>0</v>
      </c>
      <c r="H5" s="6">
        <v>12</v>
      </c>
      <c r="I5" s="6">
        <v>8</v>
      </c>
      <c r="J5" s="7">
        <v>8</v>
      </c>
      <c r="K5" s="7">
        <v>11</v>
      </c>
      <c r="L5" s="7">
        <v>10</v>
      </c>
      <c r="M5" s="7">
        <v>8</v>
      </c>
      <c r="N5" s="7">
        <v>12</v>
      </c>
      <c r="O5" s="7">
        <v>14</v>
      </c>
      <c r="P5" s="7">
        <v>14</v>
      </c>
      <c r="Q5" s="10">
        <v>12</v>
      </c>
      <c r="R5" s="7">
        <v>12</v>
      </c>
      <c r="S5" s="7">
        <v>14</v>
      </c>
      <c r="T5" s="7">
        <v>16</v>
      </c>
      <c r="U5" s="7">
        <v>14</v>
      </c>
      <c r="V5" s="7">
        <v>16</v>
      </c>
      <c r="W5" s="7">
        <v>19</v>
      </c>
      <c r="X5" s="7">
        <v>19</v>
      </c>
      <c r="Y5" s="7">
        <v>17</v>
      </c>
      <c r="Z5" s="7">
        <v>17</v>
      </c>
      <c r="AA5" s="7">
        <v>16</v>
      </c>
      <c r="AB5" s="7">
        <v>16</v>
      </c>
      <c r="AC5" s="7">
        <v>13</v>
      </c>
      <c r="AD5" s="7">
        <v>11</v>
      </c>
      <c r="AE5" s="7">
        <v>9</v>
      </c>
      <c r="AF5" s="7">
        <v>9</v>
      </c>
      <c r="AG5" s="7">
        <v>20</v>
      </c>
      <c r="AH5" s="7">
        <v>20</v>
      </c>
      <c r="AI5" s="7">
        <v>35</v>
      </c>
      <c r="AJ5" s="7">
        <v>35</v>
      </c>
      <c r="AK5" s="7">
        <v>39</v>
      </c>
      <c r="AL5" s="7">
        <v>35</v>
      </c>
      <c r="AM5" s="7">
        <v>27</v>
      </c>
      <c r="AN5" s="7">
        <v>27</v>
      </c>
      <c r="AO5" s="7">
        <v>27</v>
      </c>
      <c r="AP5" s="7">
        <v>20</v>
      </c>
      <c r="AQ5" s="7">
        <v>20</v>
      </c>
      <c r="AR5" s="7">
        <v>20</v>
      </c>
      <c r="AS5" s="7">
        <v>18</v>
      </c>
      <c r="AT5" s="7">
        <v>18</v>
      </c>
      <c r="AU5" s="7">
        <v>20</v>
      </c>
      <c r="AV5" s="7">
        <v>22</v>
      </c>
      <c r="AW5" s="7">
        <v>42</v>
      </c>
      <c r="AX5" s="7">
        <v>42</v>
      </c>
      <c r="AY5" s="7">
        <v>42</v>
      </c>
      <c r="AZ5" s="7">
        <v>42</v>
      </c>
      <c r="BA5" s="7">
        <v>36</v>
      </c>
      <c r="BB5" s="7">
        <v>46</v>
      </c>
      <c r="BC5" s="7">
        <v>46</v>
      </c>
      <c r="BD5" s="7">
        <v>46</v>
      </c>
      <c r="BE5" s="7">
        <v>46</v>
      </c>
      <c r="BF5" s="7">
        <v>46</v>
      </c>
      <c r="BG5" s="7">
        <v>42</v>
      </c>
      <c r="BH5" s="7"/>
      <c r="BI5" s="7"/>
      <c r="BJ5" s="7"/>
    </row>
    <row r="6" spans="1:62" ht="15.75" thickBot="1" x14ac:dyDescent="0.3">
      <c r="A6" s="5">
        <v>273702</v>
      </c>
      <c r="B6" s="6">
        <v>1135753</v>
      </c>
      <c r="C6" s="6">
        <v>3010900000000000</v>
      </c>
      <c r="D6" s="6" t="s">
        <v>10</v>
      </c>
      <c r="E6" s="6">
        <v>3</v>
      </c>
      <c r="F6" s="6">
        <v>3</v>
      </c>
      <c r="G6" s="6">
        <v>2</v>
      </c>
      <c r="H6" s="6">
        <v>2</v>
      </c>
      <c r="I6" s="6">
        <v>1</v>
      </c>
      <c r="J6" s="7">
        <v>1</v>
      </c>
      <c r="K6" s="7">
        <v>1</v>
      </c>
      <c r="L6" s="7">
        <v>1</v>
      </c>
      <c r="M6" s="7">
        <v>1</v>
      </c>
      <c r="N6" s="7">
        <v>1</v>
      </c>
      <c r="O6" s="7">
        <v>3</v>
      </c>
      <c r="P6" s="7">
        <v>3</v>
      </c>
      <c r="Q6" s="10">
        <v>3</v>
      </c>
      <c r="R6" s="7">
        <v>3</v>
      </c>
      <c r="S6" s="7">
        <v>3</v>
      </c>
      <c r="T6" s="7">
        <v>3</v>
      </c>
      <c r="U6" s="7">
        <v>3</v>
      </c>
      <c r="V6" s="7">
        <v>3</v>
      </c>
      <c r="W6" s="7">
        <v>3</v>
      </c>
      <c r="X6" s="7">
        <v>3</v>
      </c>
      <c r="Y6" s="7">
        <v>3</v>
      </c>
      <c r="Z6" s="7">
        <v>3</v>
      </c>
      <c r="AA6" s="7">
        <v>3</v>
      </c>
      <c r="AB6" s="7">
        <v>3</v>
      </c>
      <c r="AC6" s="7">
        <v>3</v>
      </c>
      <c r="AD6" s="7">
        <v>3</v>
      </c>
      <c r="AE6" s="7">
        <v>3</v>
      </c>
      <c r="AF6" s="7">
        <v>3</v>
      </c>
      <c r="AG6" s="7">
        <v>3</v>
      </c>
      <c r="AH6" s="7">
        <v>3</v>
      </c>
      <c r="AI6" s="7">
        <v>3</v>
      </c>
      <c r="AJ6" s="7">
        <v>3</v>
      </c>
      <c r="AK6" s="7">
        <v>3</v>
      </c>
      <c r="AL6" s="7">
        <v>3</v>
      </c>
      <c r="AM6" s="7">
        <v>2</v>
      </c>
      <c r="AN6" s="7">
        <v>2</v>
      </c>
      <c r="AO6" s="7">
        <v>2</v>
      </c>
      <c r="AP6" s="7">
        <v>2</v>
      </c>
      <c r="AQ6" s="7">
        <v>2</v>
      </c>
      <c r="AR6" s="7">
        <v>2</v>
      </c>
      <c r="AS6" s="7">
        <v>1</v>
      </c>
      <c r="AT6" s="7">
        <v>1</v>
      </c>
      <c r="AU6" s="7">
        <v>1</v>
      </c>
      <c r="AV6" s="7">
        <v>2</v>
      </c>
      <c r="AW6" s="7">
        <v>2</v>
      </c>
      <c r="AX6" s="7">
        <v>2</v>
      </c>
      <c r="AY6" s="7">
        <v>2</v>
      </c>
      <c r="AZ6" s="7">
        <v>2</v>
      </c>
      <c r="BA6" s="7">
        <v>2</v>
      </c>
      <c r="BB6" s="7">
        <v>2</v>
      </c>
      <c r="BC6" s="7">
        <v>2</v>
      </c>
      <c r="BD6" s="7">
        <v>2</v>
      </c>
      <c r="BE6" s="7">
        <v>2</v>
      </c>
      <c r="BF6" s="7">
        <v>0</v>
      </c>
      <c r="BG6" s="7">
        <v>0</v>
      </c>
      <c r="BH6" s="7"/>
      <c r="BI6" s="7"/>
      <c r="BJ6" s="7"/>
    </row>
    <row r="7" spans="1:62" ht="15.75" thickBot="1" x14ac:dyDescent="0.3">
      <c r="A7" s="5">
        <v>273698</v>
      </c>
      <c r="B7" s="6">
        <v>1135752</v>
      </c>
      <c r="C7" s="6">
        <v>7010400000000000</v>
      </c>
      <c r="D7" s="6" t="s">
        <v>11</v>
      </c>
      <c r="E7" s="6">
        <v>10</v>
      </c>
      <c r="F7" s="6">
        <v>10</v>
      </c>
      <c r="G7" s="6">
        <v>10</v>
      </c>
      <c r="H7" s="6">
        <v>10</v>
      </c>
      <c r="I7" s="6">
        <v>9</v>
      </c>
      <c r="J7" s="7">
        <v>9</v>
      </c>
      <c r="K7" s="7">
        <v>9</v>
      </c>
      <c r="L7" s="7">
        <v>9</v>
      </c>
      <c r="M7" s="7">
        <v>9</v>
      </c>
      <c r="N7" s="7">
        <v>9</v>
      </c>
      <c r="O7" s="7">
        <v>10</v>
      </c>
      <c r="P7" s="7">
        <v>10</v>
      </c>
      <c r="Q7" s="10">
        <v>10</v>
      </c>
      <c r="R7" s="7">
        <v>10</v>
      </c>
      <c r="S7" s="7">
        <v>7</v>
      </c>
      <c r="T7" s="7">
        <v>7</v>
      </c>
      <c r="U7" s="7">
        <v>7</v>
      </c>
      <c r="V7" s="7">
        <v>7</v>
      </c>
      <c r="W7" s="7">
        <v>7</v>
      </c>
      <c r="X7" s="7">
        <v>7</v>
      </c>
      <c r="Y7" s="7">
        <v>7</v>
      </c>
      <c r="Z7" s="7">
        <v>7</v>
      </c>
      <c r="AA7" s="7">
        <v>7</v>
      </c>
      <c r="AB7" s="7">
        <v>7</v>
      </c>
      <c r="AC7" s="7">
        <v>7</v>
      </c>
      <c r="AD7" s="7">
        <v>7</v>
      </c>
      <c r="AE7" s="7">
        <v>5</v>
      </c>
      <c r="AF7" s="7">
        <v>4</v>
      </c>
      <c r="AG7" s="7">
        <v>4</v>
      </c>
      <c r="AH7" s="7">
        <v>4</v>
      </c>
      <c r="AI7" s="7">
        <v>4</v>
      </c>
      <c r="AJ7" s="7">
        <v>4</v>
      </c>
      <c r="AK7" s="7">
        <v>5</v>
      </c>
      <c r="AL7" s="7">
        <v>4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5</v>
      </c>
      <c r="AW7" s="7">
        <v>5</v>
      </c>
      <c r="AX7" s="7">
        <v>5</v>
      </c>
      <c r="AY7" s="7">
        <v>5</v>
      </c>
      <c r="AZ7" s="7">
        <v>5</v>
      </c>
      <c r="BA7" s="7">
        <v>5</v>
      </c>
      <c r="BB7" s="7">
        <v>5</v>
      </c>
      <c r="BC7" s="7">
        <v>5</v>
      </c>
      <c r="BD7" s="7">
        <v>5</v>
      </c>
      <c r="BE7" s="7">
        <v>5</v>
      </c>
      <c r="BF7" s="7">
        <v>4</v>
      </c>
      <c r="BG7" s="7">
        <v>4</v>
      </c>
      <c r="BH7" s="7"/>
      <c r="BI7" s="7"/>
      <c r="BJ7" s="7"/>
    </row>
    <row r="8" spans="1:62" ht="15.75" thickBot="1" x14ac:dyDescent="0.3">
      <c r="A8" s="5">
        <v>273680</v>
      </c>
      <c r="B8" s="6">
        <v>1135751</v>
      </c>
      <c r="C8" s="6" t="s">
        <v>13</v>
      </c>
      <c r="D8" s="6" t="s">
        <v>12</v>
      </c>
      <c r="E8" s="6">
        <v>20</v>
      </c>
      <c r="F8" s="6">
        <v>20</v>
      </c>
      <c r="G8" s="6">
        <v>20</v>
      </c>
      <c r="H8" s="6">
        <v>20</v>
      </c>
      <c r="I8" s="6">
        <v>15</v>
      </c>
      <c r="J8" s="7">
        <v>17</v>
      </c>
      <c r="K8" s="7">
        <v>17</v>
      </c>
      <c r="L8" s="7">
        <v>17</v>
      </c>
      <c r="M8" s="7">
        <v>17</v>
      </c>
      <c r="N8" s="7">
        <v>17</v>
      </c>
      <c r="O8" s="7">
        <v>13</v>
      </c>
      <c r="P8" s="7">
        <v>13</v>
      </c>
      <c r="Q8" s="11">
        <v>13</v>
      </c>
      <c r="R8" s="7">
        <v>18</v>
      </c>
      <c r="S8" s="7">
        <v>13</v>
      </c>
      <c r="T8" s="7">
        <v>13</v>
      </c>
      <c r="U8" s="7">
        <v>13</v>
      </c>
      <c r="V8" s="7">
        <v>11</v>
      </c>
      <c r="W8" s="7">
        <v>11</v>
      </c>
      <c r="X8" s="7">
        <v>11</v>
      </c>
      <c r="Y8" s="7">
        <v>11</v>
      </c>
      <c r="Z8" s="7">
        <v>11</v>
      </c>
      <c r="AA8" s="7">
        <v>11</v>
      </c>
      <c r="AB8" s="7">
        <v>11</v>
      </c>
      <c r="AC8" s="7">
        <v>11</v>
      </c>
      <c r="AD8" s="7">
        <v>16</v>
      </c>
      <c r="AE8" s="7">
        <v>10</v>
      </c>
      <c r="AF8" s="7">
        <v>10</v>
      </c>
      <c r="AG8" s="7">
        <v>10</v>
      </c>
      <c r="AH8" s="7">
        <v>10</v>
      </c>
      <c r="AI8" s="7">
        <v>7</v>
      </c>
      <c r="AJ8" s="7">
        <v>7</v>
      </c>
      <c r="AK8" s="7">
        <v>7</v>
      </c>
      <c r="AL8" s="7">
        <v>0</v>
      </c>
      <c r="AM8" s="7">
        <v>0</v>
      </c>
      <c r="AN8" s="7">
        <v>0</v>
      </c>
      <c r="AO8" s="7">
        <v>1</v>
      </c>
      <c r="AP8" s="7">
        <v>1</v>
      </c>
      <c r="AQ8" s="7">
        <v>1</v>
      </c>
      <c r="AR8" s="7">
        <v>1</v>
      </c>
      <c r="AS8" s="7">
        <v>1</v>
      </c>
      <c r="AT8" s="7">
        <v>1</v>
      </c>
      <c r="AU8" s="7">
        <v>1</v>
      </c>
      <c r="AV8" s="7">
        <v>1</v>
      </c>
      <c r="AW8" s="7">
        <v>1</v>
      </c>
      <c r="AX8" s="7">
        <v>1</v>
      </c>
      <c r="AY8" s="7">
        <v>1</v>
      </c>
      <c r="AZ8" s="7">
        <v>1</v>
      </c>
      <c r="BA8" s="7">
        <v>1</v>
      </c>
      <c r="BB8" s="7">
        <v>0</v>
      </c>
      <c r="BC8" s="7">
        <v>0</v>
      </c>
      <c r="BD8" s="7">
        <v>7</v>
      </c>
      <c r="BE8" s="7">
        <v>7</v>
      </c>
      <c r="BF8" s="7">
        <v>0</v>
      </c>
      <c r="BG8" s="7">
        <v>0</v>
      </c>
      <c r="BH8" s="7"/>
      <c r="BI8" s="7"/>
      <c r="BJ8" s="7"/>
    </row>
    <row r="9" spans="1:62" x14ac:dyDescent="0.25">
      <c r="A9" s="1"/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4"/>
  <dimension ref="A1:U55"/>
  <sheetViews>
    <sheetView topLeftCell="A10" zoomScale="75" zoomScaleNormal="70" workbookViewId="0">
      <selection activeCell="D2" sqref="D2:O6"/>
    </sheetView>
  </sheetViews>
  <sheetFormatPr baseColWidth="10" defaultColWidth="10.7109375" defaultRowHeight="15" x14ac:dyDescent="0.25"/>
  <cols>
    <col min="1" max="1" width="8.5703125" customWidth="1"/>
    <col min="2" max="2" width="14.5703125" bestFit="1" customWidth="1"/>
    <col min="3" max="3" width="35.85546875" bestFit="1" customWidth="1"/>
    <col min="4" max="7" width="10.7109375" customWidth="1"/>
    <col min="8" max="19" width="11.85546875" customWidth="1"/>
    <col min="20" max="20" width="11.28515625" customWidth="1"/>
    <col min="21" max="21" width="12.28515625" bestFit="1" customWidth="1"/>
  </cols>
  <sheetData>
    <row r="1" spans="2:21" hidden="1" x14ac:dyDescent="0.25"/>
    <row r="2" spans="2:21" ht="15.75" hidden="1" thickBot="1" x14ac:dyDescent="0.3">
      <c r="B2">
        <v>2022</v>
      </c>
    </row>
    <row r="3" spans="2:21" ht="45.75" hidden="1" thickBot="1" x14ac:dyDescent="0.3">
      <c r="B3" s="125" t="s">
        <v>205</v>
      </c>
      <c r="C3" s="126" t="s">
        <v>132</v>
      </c>
      <c r="D3" s="126" t="s">
        <v>133</v>
      </c>
      <c r="E3" s="126" t="s">
        <v>134</v>
      </c>
      <c r="F3" s="126" t="s">
        <v>135</v>
      </c>
      <c r="G3" s="126" t="s">
        <v>136</v>
      </c>
      <c r="H3" s="126" t="s">
        <v>171</v>
      </c>
      <c r="I3" s="126" t="s">
        <v>137</v>
      </c>
      <c r="J3" s="126" t="s">
        <v>138</v>
      </c>
      <c r="K3" s="126" t="s">
        <v>139</v>
      </c>
      <c r="L3" s="126" t="s">
        <v>140</v>
      </c>
      <c r="M3" s="126" t="s">
        <v>141</v>
      </c>
      <c r="N3" s="126" t="s">
        <v>142</v>
      </c>
      <c r="O3" s="126" t="s">
        <v>143</v>
      </c>
      <c r="P3" s="126" t="s">
        <v>144</v>
      </c>
      <c r="Q3" s="126" t="s">
        <v>145</v>
      </c>
      <c r="R3" s="126" t="s">
        <v>146</v>
      </c>
      <c r="S3" s="126" t="s">
        <v>147</v>
      </c>
      <c r="T3" s="82" t="s">
        <v>20</v>
      </c>
      <c r="U3" s="82" t="s">
        <v>204</v>
      </c>
    </row>
    <row r="4" spans="2:21" hidden="1" x14ac:dyDescent="0.25">
      <c r="B4" s="127" t="s">
        <v>148</v>
      </c>
      <c r="C4" t="s">
        <v>149</v>
      </c>
      <c r="D4">
        <v>681</v>
      </c>
      <c r="E4">
        <v>570</v>
      </c>
      <c r="F4">
        <v>607</v>
      </c>
      <c r="G4" s="128">
        <f>(Tabla134[[#This Row],[PRECIO 2021
USD]]-Tabla134[[#This Row],[PRECIO 2020
USD]])/Tabla134[[#This Row],[PRECIO 2020
USD]]</f>
        <v>-0.16299559471365638</v>
      </c>
      <c r="H4" s="72">
        <v>6</v>
      </c>
      <c r="I4" s="72">
        <v>4</v>
      </c>
      <c r="J4" s="72">
        <v>7</v>
      </c>
      <c r="K4" s="72">
        <v>7</v>
      </c>
      <c r="L4" s="72">
        <v>7</v>
      </c>
      <c r="M4" s="72">
        <v>8</v>
      </c>
      <c r="N4" s="72">
        <v>7</v>
      </c>
      <c r="O4" s="72">
        <v>6</v>
      </c>
      <c r="P4" s="72">
        <v>8</v>
      </c>
      <c r="Q4" s="72">
        <v>2</v>
      </c>
      <c r="R4" s="72">
        <v>6</v>
      </c>
      <c r="S4" s="72">
        <v>18</v>
      </c>
      <c r="T4" s="83">
        <f>SUM(Tabla134[[#This Row],[ENERO]:[DICIEMBRE]])</f>
        <v>86</v>
      </c>
      <c r="U4" s="120">
        <f>T4/12</f>
        <v>7.166666666666667</v>
      </c>
    </row>
    <row r="5" spans="2:21" hidden="1" x14ac:dyDescent="0.25">
      <c r="B5" s="127" t="s">
        <v>150</v>
      </c>
      <c r="C5" t="s">
        <v>151</v>
      </c>
      <c r="D5">
        <v>563</v>
      </c>
      <c r="E5">
        <v>350</v>
      </c>
      <c r="F5">
        <v>372</v>
      </c>
      <c r="G5" s="128">
        <f>(Tabla134[[#This Row],[PRECIO 2021
USD]]-Tabla134[[#This Row],[PRECIO 2020
USD]])/Tabla134[[#This Row],[PRECIO 2020
USD]]</f>
        <v>-0.37833037300177619</v>
      </c>
      <c r="H5" s="72">
        <v>2</v>
      </c>
      <c r="I5" s="72"/>
      <c r="J5" s="72"/>
      <c r="K5" s="72">
        <v>1</v>
      </c>
      <c r="L5" s="72"/>
      <c r="M5" s="72">
        <v>3</v>
      </c>
      <c r="N5" s="72"/>
      <c r="O5" s="72"/>
      <c r="P5" s="72">
        <v>3</v>
      </c>
      <c r="Q5" s="72"/>
      <c r="R5" s="72">
        <v>1</v>
      </c>
      <c r="S5" s="72">
        <v>4</v>
      </c>
      <c r="T5" s="84">
        <f>SUM(Tabla134[[#This Row],[ENERO]:[DICIEMBRE]])</f>
        <v>14</v>
      </c>
      <c r="U5" s="119">
        <f>T5/12</f>
        <v>1.1666666666666667</v>
      </c>
    </row>
    <row r="6" spans="2:21" hidden="1" x14ac:dyDescent="0.25">
      <c r="B6" s="127" t="s">
        <v>152</v>
      </c>
      <c r="C6" t="s">
        <v>126</v>
      </c>
      <c r="D6">
        <v>4712</v>
      </c>
      <c r="E6">
        <v>3720</v>
      </c>
      <c r="F6">
        <v>3959</v>
      </c>
      <c r="G6" s="128">
        <f>(Tabla134[[#This Row],[PRECIO 2021
USD]]-Tabla134[[#This Row],[PRECIO 2020
USD]])/Tabla134[[#This Row],[PRECIO 2020
USD]]</f>
        <v>-0.21052631578947367</v>
      </c>
      <c r="H6" s="72">
        <v>2</v>
      </c>
      <c r="I6" s="72">
        <v>2</v>
      </c>
      <c r="J6" s="72"/>
      <c r="K6" s="72">
        <v>2</v>
      </c>
      <c r="L6" s="72">
        <v>4</v>
      </c>
      <c r="M6" s="72">
        <v>1</v>
      </c>
      <c r="N6" s="72">
        <v>2</v>
      </c>
      <c r="O6" s="72">
        <v>2</v>
      </c>
      <c r="P6" s="72">
        <v>4</v>
      </c>
      <c r="Q6" s="72">
        <v>2</v>
      </c>
      <c r="R6" s="72">
        <v>3</v>
      </c>
      <c r="S6" s="72">
        <v>6</v>
      </c>
      <c r="T6" s="83">
        <f>SUM(Tabla134[[#This Row],[ENERO]:[DICIEMBRE]])</f>
        <v>30</v>
      </c>
      <c r="U6" s="118">
        <f>T6/12</f>
        <v>2.5</v>
      </c>
    </row>
    <row r="7" spans="2:21" hidden="1" x14ac:dyDescent="0.25">
      <c r="B7" s="127" t="s">
        <v>13</v>
      </c>
      <c r="C7" t="s">
        <v>128</v>
      </c>
      <c r="D7">
        <v>1012</v>
      </c>
      <c r="E7">
        <v>670</v>
      </c>
      <c r="F7">
        <v>713</v>
      </c>
      <c r="G7" s="128">
        <f>(Tabla134[[#This Row],[PRECIO 2021
USD]]-Tabla134[[#This Row],[PRECIO 2020
USD]])/Tabla134[[#This Row],[PRECIO 2020
USD]]</f>
        <v>-0.33794466403162055</v>
      </c>
      <c r="H7" s="72">
        <v>2</v>
      </c>
      <c r="I7" s="72"/>
      <c r="J7" s="72"/>
      <c r="K7" s="72">
        <v>5</v>
      </c>
      <c r="L7" s="72">
        <v>4</v>
      </c>
      <c r="M7" s="72">
        <v>5</v>
      </c>
      <c r="N7" s="72">
        <v>2</v>
      </c>
      <c r="O7" s="72"/>
      <c r="P7" s="72">
        <v>6</v>
      </c>
      <c r="Q7" s="72"/>
      <c r="R7" s="72">
        <v>7</v>
      </c>
      <c r="S7" s="72"/>
      <c r="T7" s="84">
        <f>SUM(Tabla134[[#This Row],[ENERO]:[DICIEMBRE]])</f>
        <v>31</v>
      </c>
      <c r="U7" s="119">
        <f>T7/12</f>
        <v>2.5833333333333335</v>
      </c>
    </row>
    <row r="8" spans="2:21" ht="15.75" hidden="1" thickBot="1" x14ac:dyDescent="0.3">
      <c r="B8" s="129" t="s">
        <v>153</v>
      </c>
      <c r="C8" s="81" t="s">
        <v>127</v>
      </c>
      <c r="D8" s="81">
        <v>8856</v>
      </c>
      <c r="E8" s="81">
        <v>7400</v>
      </c>
      <c r="F8" s="81">
        <v>7875</v>
      </c>
      <c r="G8" s="130">
        <f>(Tabla134[[#This Row],[PRECIO 2021
USD]]-Tabla134[[#This Row],[PRECIO 2020
USD]])/Tabla134[[#This Row],[PRECIO 2020
USD]]</f>
        <v>-0.16440831074977416</v>
      </c>
      <c r="H8" s="131" t="s">
        <v>154</v>
      </c>
      <c r="I8" s="131"/>
      <c r="J8" s="131">
        <v>1</v>
      </c>
      <c r="K8" s="131">
        <v>1</v>
      </c>
      <c r="L8" s="131"/>
      <c r="M8" s="131">
        <v>0</v>
      </c>
      <c r="N8" s="131"/>
      <c r="O8" s="131"/>
      <c r="P8" s="131"/>
      <c r="Q8" s="131"/>
      <c r="R8" s="131"/>
      <c r="S8" s="131">
        <v>1</v>
      </c>
      <c r="T8" s="132">
        <f>SUM(Tabla134[[#This Row],[ENERO]:[DICIEMBRE]])</f>
        <v>3</v>
      </c>
      <c r="U8" s="121">
        <f>T8/12</f>
        <v>0.25</v>
      </c>
    </row>
    <row r="9" spans="2:21" ht="15.75" hidden="1" thickBot="1" x14ac:dyDescent="0.3">
      <c r="E9" s="73"/>
      <c r="F9" s="73">
        <f>4*F4</f>
        <v>2428</v>
      </c>
      <c r="G9" s="74" t="e">
        <f>SUBTOTAL(101,Tabla134[DESCUENTO])</f>
        <v>#DIV/0!</v>
      </c>
      <c r="H9" s="122">
        <f>SUMPRODUCT(H4:H8,$F4:$F8)</f>
        <v>13730</v>
      </c>
      <c r="I9" s="122">
        <f t="shared" ref="I9:S9" si="0">SUMPRODUCT(I4:I8,$F4:$F8)</f>
        <v>10346</v>
      </c>
      <c r="J9" s="122">
        <f t="shared" si="0"/>
        <v>12124</v>
      </c>
      <c r="K9" s="122">
        <f t="shared" si="0"/>
        <v>23979</v>
      </c>
      <c r="L9" s="122">
        <f t="shared" si="0"/>
        <v>22937</v>
      </c>
      <c r="M9" s="122">
        <f t="shared" si="0"/>
        <v>13496</v>
      </c>
      <c r="N9" s="122">
        <f t="shared" si="0"/>
        <v>13593</v>
      </c>
      <c r="O9" s="122">
        <f t="shared" si="0"/>
        <v>11560</v>
      </c>
      <c r="P9" s="122">
        <f t="shared" si="0"/>
        <v>26086</v>
      </c>
      <c r="Q9" s="122">
        <f t="shared" si="0"/>
        <v>9132</v>
      </c>
      <c r="R9" s="122">
        <f t="shared" si="0"/>
        <v>20882</v>
      </c>
      <c r="S9" s="123">
        <f t="shared" si="0"/>
        <v>44043</v>
      </c>
      <c r="T9" s="124">
        <f>SUMPRODUCT(T4:T8,$F4:$F8)</f>
        <v>221908</v>
      </c>
    </row>
    <row r="11" spans="2:21" ht="15.75" thickBot="1" x14ac:dyDescent="0.3">
      <c r="B11">
        <v>20223</v>
      </c>
      <c r="C11" t="s">
        <v>250</v>
      </c>
    </row>
    <row r="12" spans="2:21" ht="45.75" thickBot="1" x14ac:dyDescent="0.3">
      <c r="B12" s="205" t="s">
        <v>131</v>
      </c>
      <c r="C12" s="205" t="s">
        <v>132</v>
      </c>
      <c r="D12" s="205" t="s">
        <v>133</v>
      </c>
      <c r="E12" s="205" t="s">
        <v>134</v>
      </c>
      <c r="F12" s="205" t="s">
        <v>135</v>
      </c>
      <c r="G12" s="205" t="s">
        <v>136</v>
      </c>
      <c r="H12" s="205" t="s">
        <v>171</v>
      </c>
      <c r="I12" s="205" t="s">
        <v>137</v>
      </c>
      <c r="J12" s="205" t="s">
        <v>138</v>
      </c>
      <c r="K12" s="205" t="s">
        <v>139</v>
      </c>
      <c r="L12" s="205" t="s">
        <v>140</v>
      </c>
      <c r="M12" s="205" t="s">
        <v>141</v>
      </c>
      <c r="N12" s="205" t="s">
        <v>142</v>
      </c>
      <c r="O12" s="205" t="s">
        <v>143</v>
      </c>
      <c r="P12" s="205" t="s">
        <v>144</v>
      </c>
      <c r="Q12" s="205" t="s">
        <v>145</v>
      </c>
      <c r="R12" s="205" t="s">
        <v>146</v>
      </c>
      <c r="S12" s="205" t="s">
        <v>147</v>
      </c>
      <c r="T12" s="201" t="s">
        <v>20</v>
      </c>
      <c r="U12" s="82" t="s">
        <v>204</v>
      </c>
    </row>
    <row r="13" spans="2:21" x14ac:dyDescent="0.25">
      <c r="B13" t="s">
        <v>148</v>
      </c>
      <c r="C13" t="s">
        <v>149</v>
      </c>
      <c r="D13">
        <v>681</v>
      </c>
      <c r="E13">
        <v>570</v>
      </c>
      <c r="F13">
        <v>607</v>
      </c>
      <c r="G13" s="128">
        <f>(Tabla1343[[#This Row],[PRECIO 2021
USD]]-Tabla1343[[#This Row],[PRECIO 2020
USD]])/Tabla1343[[#This Row],[PRECIO 2020
USD]]</f>
        <v>-0.16299559471365638</v>
      </c>
      <c r="H13" s="72">
        <v>6</v>
      </c>
      <c r="I13" s="72">
        <v>0</v>
      </c>
      <c r="J13" s="72">
        <v>4</v>
      </c>
      <c r="K13" s="72">
        <v>6</v>
      </c>
      <c r="L13" s="72">
        <v>0</v>
      </c>
      <c r="M13" s="72">
        <v>4</v>
      </c>
      <c r="N13" s="72">
        <v>15</v>
      </c>
      <c r="O13" s="72">
        <v>0</v>
      </c>
      <c r="P13" s="72">
        <v>0</v>
      </c>
      <c r="Q13" s="72">
        <v>0</v>
      </c>
      <c r="R13" s="72">
        <v>0</v>
      </c>
      <c r="S13" s="72"/>
      <c r="T13" s="202">
        <f>SUM(Tabla1343[[#This Row],[ENERO]:[DICIEMBRE]])</f>
        <v>35</v>
      </c>
      <c r="U13" s="120">
        <f>T13/COUNT(Tabla1343[[#This Row],[ENERO]:[DICIEMBRE]])</f>
        <v>3.1818181818181817</v>
      </c>
    </row>
    <row r="14" spans="2:21" x14ac:dyDescent="0.25">
      <c r="B14" t="s">
        <v>150</v>
      </c>
      <c r="C14" t="s">
        <v>151</v>
      </c>
      <c r="D14">
        <v>563</v>
      </c>
      <c r="E14">
        <v>350</v>
      </c>
      <c r="F14">
        <v>372</v>
      </c>
      <c r="G14" s="128">
        <f>(Tabla1343[[#This Row],[PRECIO 2021
USD]]-Tabla1343[[#This Row],[PRECIO 2020
USD]])/Tabla1343[[#This Row],[PRECIO 2020
USD]]</f>
        <v>-0.37833037300177619</v>
      </c>
      <c r="H14" s="72">
        <v>0</v>
      </c>
      <c r="I14" s="72">
        <v>0</v>
      </c>
      <c r="J14" s="72">
        <v>0</v>
      </c>
      <c r="K14" s="72">
        <v>0</v>
      </c>
      <c r="L14" s="72">
        <v>1</v>
      </c>
      <c r="M14" s="72">
        <v>0</v>
      </c>
      <c r="N14" s="72">
        <v>0</v>
      </c>
      <c r="O14" s="72">
        <v>0</v>
      </c>
      <c r="P14" s="72">
        <v>0</v>
      </c>
      <c r="Q14" s="72">
        <v>0</v>
      </c>
      <c r="R14" s="72">
        <v>0</v>
      </c>
      <c r="S14" s="72"/>
      <c r="T14" s="203">
        <f>SUM(Tabla1343[[#This Row],[ENERO]:[DICIEMBRE]])</f>
        <v>1</v>
      </c>
      <c r="U14" s="119">
        <f>T14/COUNT(Tabla1343[[#This Row],[ENERO]:[DICIEMBRE]])</f>
        <v>9.0909090909090912E-2</v>
      </c>
    </row>
    <row r="15" spans="2:21" x14ac:dyDescent="0.25">
      <c r="B15" t="s">
        <v>152</v>
      </c>
      <c r="C15" t="s">
        <v>126</v>
      </c>
      <c r="D15">
        <v>4712</v>
      </c>
      <c r="E15">
        <v>3720</v>
      </c>
      <c r="F15">
        <v>3959</v>
      </c>
      <c r="G15" s="128">
        <f>(Tabla1343[[#This Row],[PRECIO 2021
USD]]-Tabla1343[[#This Row],[PRECIO 2020
USD]])/Tabla1343[[#This Row],[PRECIO 2020
USD]]</f>
        <v>-0.21052631578947367</v>
      </c>
      <c r="H15" s="72">
        <v>4</v>
      </c>
      <c r="I15" s="72">
        <v>0</v>
      </c>
      <c r="J15" s="72">
        <v>0</v>
      </c>
      <c r="K15" s="72">
        <v>2</v>
      </c>
      <c r="L15" s="72">
        <v>0</v>
      </c>
      <c r="M15" s="72">
        <v>0</v>
      </c>
      <c r="N15" s="72">
        <v>5</v>
      </c>
      <c r="O15" s="72">
        <v>0</v>
      </c>
      <c r="P15" s="72">
        <v>0</v>
      </c>
      <c r="Q15" s="72">
        <v>0</v>
      </c>
      <c r="R15" s="72">
        <v>0</v>
      </c>
      <c r="S15" s="72"/>
      <c r="T15" s="202">
        <f>SUM(Tabla1343[[#This Row],[ENERO]:[DICIEMBRE]])</f>
        <v>11</v>
      </c>
      <c r="U15" s="118">
        <f>T15/COUNT(Tabla1343[[#This Row],[ENERO]:[DICIEMBRE]])</f>
        <v>1</v>
      </c>
    </row>
    <row r="16" spans="2:21" x14ac:dyDescent="0.25">
      <c r="B16" t="s">
        <v>13</v>
      </c>
      <c r="C16" t="s">
        <v>128</v>
      </c>
      <c r="D16">
        <v>1012</v>
      </c>
      <c r="E16">
        <v>670</v>
      </c>
      <c r="F16">
        <v>713</v>
      </c>
      <c r="G16" s="128">
        <f>(Tabla1343[[#This Row],[PRECIO 2021
USD]]-Tabla1343[[#This Row],[PRECIO 2020
USD]])/Tabla1343[[#This Row],[PRECIO 2020
USD]]</f>
        <v>-0.33794466403162055</v>
      </c>
      <c r="H16" s="72">
        <v>0</v>
      </c>
      <c r="I16" s="72">
        <v>5</v>
      </c>
      <c r="J16" s="72">
        <v>0</v>
      </c>
      <c r="K16" s="72">
        <v>1</v>
      </c>
      <c r="L16" s="72">
        <v>7</v>
      </c>
      <c r="M16" s="72">
        <v>0</v>
      </c>
      <c r="N16" s="72">
        <v>14</v>
      </c>
      <c r="O16" s="72">
        <v>0</v>
      </c>
      <c r="P16" s="72">
        <v>0</v>
      </c>
      <c r="Q16" s="72">
        <v>0</v>
      </c>
      <c r="R16" s="72">
        <v>5</v>
      </c>
      <c r="S16" s="72"/>
      <c r="T16" s="203">
        <f>SUM(Tabla1343[[#This Row],[ENERO]:[DICIEMBRE]])</f>
        <v>32</v>
      </c>
      <c r="U16" s="119">
        <f>T16/COUNT(Tabla1343[[#This Row],[ENERO]:[DICIEMBRE]])</f>
        <v>2.9090909090909092</v>
      </c>
    </row>
    <row r="17" spans="2:21" ht="15.75" thickBot="1" x14ac:dyDescent="0.3">
      <c r="B17" t="s">
        <v>153</v>
      </c>
      <c r="C17" t="s">
        <v>127</v>
      </c>
      <c r="D17">
        <v>8856</v>
      </c>
      <c r="E17">
        <v>7400</v>
      </c>
      <c r="F17">
        <v>7875</v>
      </c>
      <c r="G17" s="128">
        <f>(Tabla1343[[#This Row],[PRECIO 2021
USD]]-Tabla1343[[#This Row],[PRECIO 2020
USD]])/Tabla1343[[#This Row],[PRECIO 2020
USD]]</f>
        <v>-0.16440831074977416</v>
      </c>
      <c r="H17" s="72">
        <v>1</v>
      </c>
      <c r="I17" s="72">
        <v>0</v>
      </c>
      <c r="J17" s="72">
        <v>0</v>
      </c>
      <c r="K17" s="72">
        <v>0</v>
      </c>
      <c r="L17" s="72">
        <v>2</v>
      </c>
      <c r="M17" s="72">
        <v>0</v>
      </c>
      <c r="N17" s="72">
        <v>1</v>
      </c>
      <c r="O17" s="72">
        <v>0</v>
      </c>
      <c r="P17" s="72">
        <v>0</v>
      </c>
      <c r="Q17" s="72">
        <v>1</v>
      </c>
      <c r="R17" s="72">
        <v>0</v>
      </c>
      <c r="S17" s="72"/>
      <c r="T17" s="204">
        <f>SUM(Tabla1343[[#This Row],[ENERO]:[DICIEMBRE]])</f>
        <v>5</v>
      </c>
      <c r="U17" s="121">
        <f>T17/COUNT(Tabla1343[[#This Row],[ENERO]:[DICIEMBRE]])</f>
        <v>0.45454545454545453</v>
      </c>
    </row>
    <row r="18" spans="2:21" ht="15.75" thickBot="1" x14ac:dyDescent="0.3">
      <c r="E18" s="73"/>
      <c r="F18" s="73">
        <f>4*F13</f>
        <v>2428</v>
      </c>
      <c r="G18" s="74">
        <f>SUBTOTAL(101,Tabla1343[DESCUENTO])</f>
        <v>-0.25084105165726023</v>
      </c>
      <c r="H18" s="122">
        <f t="shared" ref="H18:T18" si="1">SUMPRODUCT(H13:H17,$F13:$F17)</f>
        <v>27353</v>
      </c>
      <c r="I18" s="122">
        <f t="shared" si="1"/>
        <v>3565</v>
      </c>
      <c r="J18" s="122">
        <f t="shared" si="1"/>
        <v>2428</v>
      </c>
      <c r="K18" s="122">
        <f t="shared" si="1"/>
        <v>12273</v>
      </c>
      <c r="L18" s="122">
        <f t="shared" si="1"/>
        <v>21113</v>
      </c>
      <c r="M18" s="122">
        <f t="shared" si="1"/>
        <v>2428</v>
      </c>
      <c r="N18" s="122">
        <f t="shared" si="1"/>
        <v>46757</v>
      </c>
      <c r="O18" s="122">
        <f t="shared" si="1"/>
        <v>0</v>
      </c>
      <c r="P18" s="122">
        <f t="shared" si="1"/>
        <v>0</v>
      </c>
      <c r="Q18" s="122">
        <f t="shared" si="1"/>
        <v>7875</v>
      </c>
      <c r="R18" s="122">
        <f t="shared" si="1"/>
        <v>3565</v>
      </c>
      <c r="S18" s="123">
        <f t="shared" si="1"/>
        <v>0</v>
      </c>
      <c r="T18" s="124">
        <f t="shared" si="1"/>
        <v>127357</v>
      </c>
    </row>
    <row r="19" spans="2:21" x14ac:dyDescent="0.25">
      <c r="H19" s="200" t="s">
        <v>242</v>
      </c>
      <c r="I19" s="200"/>
      <c r="J19" s="200"/>
    </row>
    <row r="20" spans="2:21" x14ac:dyDescent="0.25">
      <c r="H20" s="72"/>
      <c r="I20" s="72"/>
      <c r="J20" s="72"/>
    </row>
    <row r="21" spans="2:21" x14ac:dyDescent="0.25">
      <c r="H21" s="72"/>
      <c r="I21" s="72"/>
      <c r="J21" s="72"/>
    </row>
    <row r="22" spans="2:21" ht="15.75" thickBot="1" x14ac:dyDescent="0.3">
      <c r="B22">
        <v>20223</v>
      </c>
      <c r="C22" t="s">
        <v>251</v>
      </c>
    </row>
    <row r="23" spans="2:21" ht="45.75" thickBot="1" x14ac:dyDescent="0.3">
      <c r="B23" s="125" t="s">
        <v>131</v>
      </c>
      <c r="C23" s="126" t="s">
        <v>132</v>
      </c>
      <c r="D23" s="126" t="s">
        <v>133</v>
      </c>
      <c r="E23" s="126" t="s">
        <v>134</v>
      </c>
      <c r="F23" s="126" t="s">
        <v>135</v>
      </c>
      <c r="G23" s="126" t="s">
        <v>136</v>
      </c>
      <c r="H23" s="126" t="s">
        <v>171</v>
      </c>
      <c r="I23" s="126" t="s">
        <v>137</v>
      </c>
      <c r="J23" s="126" t="s">
        <v>138</v>
      </c>
      <c r="K23" s="126" t="s">
        <v>139</v>
      </c>
      <c r="L23" s="126" t="s">
        <v>140</v>
      </c>
      <c r="M23" s="126" t="s">
        <v>141</v>
      </c>
      <c r="N23" s="126" t="s">
        <v>142</v>
      </c>
      <c r="O23" s="126" t="s">
        <v>143</v>
      </c>
      <c r="P23" s="126" t="s">
        <v>144</v>
      </c>
      <c r="Q23" s="126" t="s">
        <v>145</v>
      </c>
      <c r="R23" s="126" t="s">
        <v>146</v>
      </c>
      <c r="S23" s="126" t="s">
        <v>147</v>
      </c>
      <c r="T23" s="82" t="s">
        <v>20</v>
      </c>
      <c r="U23" s="82" t="s">
        <v>204</v>
      </c>
    </row>
    <row r="24" spans="2:21" x14ac:dyDescent="0.25">
      <c r="B24" s="127" t="s">
        <v>148</v>
      </c>
      <c r="C24" t="s">
        <v>149</v>
      </c>
      <c r="D24">
        <v>681</v>
      </c>
      <c r="E24">
        <v>570</v>
      </c>
      <c r="F24">
        <v>607</v>
      </c>
      <c r="G24" s="128">
        <f>(Tabla13434[[#This Row],[PRECIO 2021
USD]]-Tabla13434[[#This Row],[PRECIO 2020
USD]])/Tabla13434[[#This Row],[PRECIO 2020
USD]]</f>
        <v>-0.16299559471365638</v>
      </c>
      <c r="H24" s="72">
        <v>4</v>
      </c>
      <c r="I24" s="72">
        <v>8</v>
      </c>
      <c r="J24" s="72">
        <v>4</v>
      </c>
      <c r="K24" s="72">
        <v>5</v>
      </c>
      <c r="L24" s="72">
        <v>2</v>
      </c>
      <c r="M24" s="72">
        <v>5</v>
      </c>
      <c r="N24" s="72">
        <v>4</v>
      </c>
      <c r="O24" s="72">
        <v>2</v>
      </c>
      <c r="P24" s="72">
        <v>3</v>
      </c>
      <c r="Q24" s="72">
        <v>3</v>
      </c>
      <c r="R24" s="72">
        <v>6</v>
      </c>
      <c r="S24" s="72"/>
      <c r="T24" s="83">
        <f>SUM(Tabla13434[[#This Row],[ENERO]:[DICIEMBRE]])</f>
        <v>46</v>
      </c>
      <c r="U24" s="120">
        <f>T24/COUNT(Tabla13434[[#This Row],[ENERO]:[DICIEMBRE]])</f>
        <v>4.1818181818181817</v>
      </c>
    </row>
    <row r="25" spans="2:21" x14ac:dyDescent="0.25">
      <c r="B25" s="127" t="s">
        <v>150</v>
      </c>
      <c r="C25" t="s">
        <v>151</v>
      </c>
      <c r="D25">
        <v>563</v>
      </c>
      <c r="E25">
        <v>350</v>
      </c>
      <c r="F25">
        <v>372</v>
      </c>
      <c r="G25" s="128">
        <f>(Tabla13434[[#This Row],[PRECIO 2021
USD]]-Tabla13434[[#This Row],[PRECIO 2020
USD]])/Tabla13434[[#This Row],[PRECIO 2020
USD]]</f>
        <v>-0.37833037300177619</v>
      </c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84">
        <f>SUM(Tabla13434[[#This Row],[ENERO]:[DICIEMBRE]])</f>
        <v>0</v>
      </c>
      <c r="U25" s="119" t="e">
        <f>T25/COUNT(Tabla13434[[#This Row],[ENERO]:[DICIEMBRE]])</f>
        <v>#DIV/0!</v>
      </c>
    </row>
    <row r="26" spans="2:21" x14ac:dyDescent="0.25">
      <c r="B26" s="127" t="s">
        <v>152</v>
      </c>
      <c r="C26" t="s">
        <v>126</v>
      </c>
      <c r="D26">
        <v>4712</v>
      </c>
      <c r="E26">
        <v>3720</v>
      </c>
      <c r="F26">
        <v>3959</v>
      </c>
      <c r="G26" s="128">
        <f>(Tabla13434[[#This Row],[PRECIO 2021
USD]]-Tabla13434[[#This Row],[PRECIO 2020
USD]])/Tabla13434[[#This Row],[PRECIO 2020
USD]]</f>
        <v>-0.21052631578947367</v>
      </c>
      <c r="H26" s="72">
        <v>2</v>
      </c>
      <c r="I26" s="72">
        <v>2</v>
      </c>
      <c r="J26" s="72">
        <v>1</v>
      </c>
      <c r="K26" s="72">
        <v>3</v>
      </c>
      <c r="L26" s="72">
        <v>0</v>
      </c>
      <c r="M26" s="72">
        <v>2</v>
      </c>
      <c r="N26" s="72">
        <v>1</v>
      </c>
      <c r="O26" s="72">
        <v>2</v>
      </c>
      <c r="P26" s="72">
        <v>0</v>
      </c>
      <c r="Q26" s="72">
        <v>2</v>
      </c>
      <c r="R26" s="72">
        <v>1</v>
      </c>
      <c r="S26" s="72"/>
      <c r="T26" s="83">
        <f>SUM(Tabla13434[[#This Row],[ENERO]:[DICIEMBRE]])</f>
        <v>16</v>
      </c>
      <c r="U26" s="118">
        <f>T26/COUNT(Tabla13434[[#This Row],[ENERO]:[DICIEMBRE]])</f>
        <v>1.4545454545454546</v>
      </c>
    </row>
    <row r="27" spans="2:21" x14ac:dyDescent="0.25">
      <c r="B27" s="127" t="s">
        <v>13</v>
      </c>
      <c r="C27" t="s">
        <v>128</v>
      </c>
      <c r="D27">
        <v>1012</v>
      </c>
      <c r="E27">
        <v>670</v>
      </c>
      <c r="F27">
        <v>713</v>
      </c>
      <c r="G27" s="128">
        <f>(Tabla13434[[#This Row],[PRECIO 2021
USD]]-Tabla13434[[#This Row],[PRECIO 2020
USD]])/Tabla13434[[#This Row],[PRECIO 2020
USD]]</f>
        <v>-0.33794466403162055</v>
      </c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84">
        <f>SUM(Tabla13434[[#This Row],[ENERO]:[DICIEMBRE]])</f>
        <v>0</v>
      </c>
      <c r="U27" s="119" t="e">
        <f>T27/COUNT(Tabla13434[[#This Row],[ENERO]:[DICIEMBRE]])</f>
        <v>#DIV/0!</v>
      </c>
    </row>
    <row r="28" spans="2:21" ht="15.75" thickBot="1" x14ac:dyDescent="0.3">
      <c r="B28" s="129" t="s">
        <v>153</v>
      </c>
      <c r="C28" s="81" t="s">
        <v>127</v>
      </c>
      <c r="D28" s="81">
        <v>8856</v>
      </c>
      <c r="E28" s="81">
        <v>7400</v>
      </c>
      <c r="F28" s="81">
        <v>7875</v>
      </c>
      <c r="G28" s="130">
        <f>(Tabla13434[[#This Row],[PRECIO 2021
USD]]-Tabla13434[[#This Row],[PRECIO 2020
USD]])/Tabla13434[[#This Row],[PRECIO 2020
USD]]</f>
        <v>-0.16440831074977416</v>
      </c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>
        <v>1</v>
      </c>
      <c r="S28" s="131"/>
      <c r="T28" s="132">
        <f>SUM(Tabla13434[[#This Row],[ENERO]:[DICIEMBRE]])</f>
        <v>1</v>
      </c>
      <c r="U28" s="121">
        <f>T28/COUNT(Tabla13434[[#This Row],[ENERO]:[DICIEMBRE]])</f>
        <v>1</v>
      </c>
    </row>
    <row r="29" spans="2:21" ht="15.75" thickBot="1" x14ac:dyDescent="0.3">
      <c r="E29" s="73"/>
      <c r="F29" s="73">
        <f>4*F24</f>
        <v>2428</v>
      </c>
      <c r="G29" s="74">
        <f>SUBTOTAL(101,Tabla13434[DESCUENTO])</f>
        <v>-0.25084105165726023</v>
      </c>
      <c r="H29" s="122">
        <f>SUMPRODUCT(H24:H28,$F24:$F28)</f>
        <v>10346</v>
      </c>
      <c r="I29" s="122">
        <f t="shared" ref="I29:S29" si="2">SUMPRODUCT(I24:I28,$F24:$F28)</f>
        <v>12774</v>
      </c>
      <c r="J29" s="122">
        <f t="shared" si="2"/>
        <v>6387</v>
      </c>
      <c r="K29" s="122">
        <f t="shared" si="2"/>
        <v>14912</v>
      </c>
      <c r="L29" s="122">
        <f t="shared" si="2"/>
        <v>1214</v>
      </c>
      <c r="M29" s="122">
        <f t="shared" si="2"/>
        <v>10953</v>
      </c>
      <c r="N29" s="122">
        <f t="shared" si="2"/>
        <v>6387</v>
      </c>
      <c r="O29" s="122">
        <f t="shared" si="2"/>
        <v>9132</v>
      </c>
      <c r="P29" s="122">
        <f t="shared" si="2"/>
        <v>1821</v>
      </c>
      <c r="Q29" s="122">
        <f t="shared" si="2"/>
        <v>9739</v>
      </c>
      <c r="R29" s="122">
        <f t="shared" si="2"/>
        <v>15476</v>
      </c>
      <c r="S29" s="123">
        <f t="shared" si="2"/>
        <v>0</v>
      </c>
      <c r="T29" s="124">
        <f>SUMPRODUCT(T24:T28,$F24:$F28)</f>
        <v>99141</v>
      </c>
    </row>
    <row r="30" spans="2:21" x14ac:dyDescent="0.25">
      <c r="H30" s="72"/>
      <c r="I30" s="72"/>
      <c r="J30" s="72"/>
    </row>
    <row r="31" spans="2:21" x14ac:dyDescent="0.25">
      <c r="H31" s="72"/>
      <c r="I31" s="72"/>
      <c r="J31" s="72"/>
    </row>
    <row r="32" spans="2:21" x14ac:dyDescent="0.25">
      <c r="H32" s="72"/>
      <c r="I32" s="72"/>
      <c r="J32" s="72"/>
    </row>
    <row r="33" spans="1:10" x14ac:dyDescent="0.25">
      <c r="H33" s="72"/>
      <c r="I33" s="72"/>
      <c r="J33" s="72"/>
    </row>
    <row r="34" spans="1:10" x14ac:dyDescent="0.25">
      <c r="H34" s="72"/>
      <c r="I34" s="72"/>
      <c r="J34" s="72"/>
    </row>
    <row r="35" spans="1:10" x14ac:dyDescent="0.25">
      <c r="H35" s="72"/>
      <c r="I35" s="72"/>
      <c r="J35" s="72"/>
    </row>
    <row r="36" spans="1:10" x14ac:dyDescent="0.25">
      <c r="H36" s="72"/>
      <c r="I36" s="72"/>
      <c r="J36" s="72"/>
    </row>
    <row r="37" spans="1:10" x14ac:dyDescent="0.25">
      <c r="H37" s="72"/>
      <c r="I37" s="72"/>
      <c r="J37" s="72"/>
    </row>
    <row r="38" spans="1:10" x14ac:dyDescent="0.25">
      <c r="H38" s="72"/>
      <c r="I38" s="72"/>
      <c r="J38" s="72"/>
    </row>
    <row r="39" spans="1:10" x14ac:dyDescent="0.25">
      <c r="H39" s="72"/>
      <c r="I39" s="72"/>
      <c r="J39" s="72"/>
    </row>
    <row r="40" spans="1:10" x14ac:dyDescent="0.25">
      <c r="H40" s="72"/>
      <c r="I40" s="72"/>
      <c r="J40" s="72"/>
    </row>
    <row r="42" spans="1:10" ht="15.75" thickBot="1" x14ac:dyDescent="0.3">
      <c r="C42">
        <v>197842</v>
      </c>
    </row>
    <row r="43" spans="1:10" ht="30.75" thickBot="1" x14ac:dyDescent="0.3">
      <c r="A43" s="474" t="s">
        <v>224</v>
      </c>
      <c r="B43" s="133" t="s">
        <v>209</v>
      </c>
      <c r="C43" s="134" t="s">
        <v>132</v>
      </c>
      <c r="D43" s="139"/>
      <c r="E43" s="139"/>
      <c r="F43" s="139"/>
      <c r="G43" s="139"/>
      <c r="H43" s="140" t="s">
        <v>208</v>
      </c>
    </row>
    <row r="44" spans="1:10" x14ac:dyDescent="0.25">
      <c r="A44" s="474"/>
      <c r="B44" s="135" t="s">
        <v>148</v>
      </c>
      <c r="C44" s="136" t="s">
        <v>149</v>
      </c>
      <c r="H44" s="141">
        <v>2748</v>
      </c>
    </row>
    <row r="45" spans="1:10" x14ac:dyDescent="0.25">
      <c r="A45" s="474"/>
      <c r="B45" s="127" t="s">
        <v>150</v>
      </c>
      <c r="C45" t="s">
        <v>151</v>
      </c>
      <c r="H45" s="142">
        <f>$C$42/T5</f>
        <v>14131.571428571429</v>
      </c>
    </row>
    <row r="46" spans="1:10" x14ac:dyDescent="0.25">
      <c r="A46" s="474"/>
      <c r="B46" s="135" t="s">
        <v>152</v>
      </c>
      <c r="C46" s="136" t="s">
        <v>126</v>
      </c>
      <c r="H46" s="141">
        <v>8993</v>
      </c>
    </row>
    <row r="47" spans="1:10" x14ac:dyDescent="0.25">
      <c r="A47" s="474"/>
      <c r="B47" s="127" t="s">
        <v>13</v>
      </c>
      <c r="C47" t="s">
        <v>128</v>
      </c>
      <c r="H47" s="142">
        <f>$C$42/T7</f>
        <v>6382</v>
      </c>
    </row>
    <row r="48" spans="1:10" ht="15.75" thickBot="1" x14ac:dyDescent="0.3">
      <c r="A48" s="474"/>
      <c r="B48" s="137" t="s">
        <v>153</v>
      </c>
      <c r="C48" s="138" t="s">
        <v>127</v>
      </c>
      <c r="D48" s="81"/>
      <c r="E48" s="81"/>
      <c r="F48" s="81"/>
      <c r="G48" s="81"/>
      <c r="H48" s="143">
        <f>$C$42/T8</f>
        <v>65947.333333333328</v>
      </c>
    </row>
    <row r="49" spans="1:14" ht="15.75" thickBot="1" x14ac:dyDescent="0.3"/>
    <row r="50" spans="1:14" ht="45.75" thickBot="1" x14ac:dyDescent="0.3">
      <c r="A50" s="474" t="s">
        <v>225</v>
      </c>
      <c r="B50" s="174" t="s">
        <v>209</v>
      </c>
      <c r="C50" s="175" t="s">
        <v>132</v>
      </c>
      <c r="D50" s="176"/>
      <c r="E50" s="176"/>
      <c r="F50" s="176"/>
      <c r="G50" s="176"/>
      <c r="H50" s="175" t="s">
        <v>208</v>
      </c>
      <c r="I50" s="177" t="s">
        <v>230</v>
      </c>
      <c r="J50" s="475" t="s">
        <v>227</v>
      </c>
      <c r="K50" s="475"/>
      <c r="L50" s="475"/>
      <c r="M50" s="475"/>
      <c r="N50" s="476"/>
    </row>
    <row r="51" spans="1:14" x14ac:dyDescent="0.25">
      <c r="A51" s="474"/>
      <c r="B51" s="161" t="s">
        <v>148</v>
      </c>
      <c r="C51" s="162" t="s">
        <v>149</v>
      </c>
      <c r="D51" s="163"/>
      <c r="E51" s="163"/>
      <c r="F51" s="163"/>
      <c r="G51" s="163"/>
      <c r="H51" s="164">
        <v>2658</v>
      </c>
      <c r="I51" s="171">
        <v>0.88600000000000001</v>
      </c>
      <c r="J51" s="481" t="s">
        <v>231</v>
      </c>
      <c r="K51" s="481"/>
      <c r="L51" s="481"/>
      <c r="M51" s="481"/>
      <c r="N51" s="482"/>
    </row>
    <row r="52" spans="1:14" x14ac:dyDescent="0.25">
      <c r="A52" s="474"/>
      <c r="B52" s="165" t="s">
        <v>150</v>
      </c>
      <c r="C52" s="163" t="s">
        <v>151</v>
      </c>
      <c r="D52" s="163"/>
      <c r="E52" s="163"/>
      <c r="F52" s="163"/>
      <c r="G52" s="163"/>
      <c r="H52" s="166">
        <v>17633</v>
      </c>
      <c r="I52" s="172">
        <v>1.3563846153846153</v>
      </c>
      <c r="J52" s="483"/>
      <c r="K52" s="483"/>
      <c r="L52" s="483"/>
      <c r="M52" s="483"/>
      <c r="N52" s="484"/>
    </row>
    <row r="53" spans="1:14" x14ac:dyDescent="0.25">
      <c r="A53" s="474"/>
      <c r="B53" s="161" t="s">
        <v>152</v>
      </c>
      <c r="C53" s="162" t="s">
        <v>126</v>
      </c>
      <c r="D53" s="163"/>
      <c r="E53" s="163"/>
      <c r="F53" s="163"/>
      <c r="G53" s="163"/>
      <c r="H53" s="164">
        <v>7136</v>
      </c>
      <c r="I53" s="171">
        <v>0.83952941176470586</v>
      </c>
      <c r="J53" s="483"/>
      <c r="K53" s="483"/>
      <c r="L53" s="483"/>
      <c r="M53" s="483"/>
      <c r="N53" s="484"/>
    </row>
    <row r="54" spans="1:14" x14ac:dyDescent="0.25">
      <c r="A54" s="474"/>
      <c r="B54" s="165" t="s">
        <v>13</v>
      </c>
      <c r="C54" s="163" t="s">
        <v>128</v>
      </c>
      <c r="D54" s="163"/>
      <c r="E54" s="163"/>
      <c r="F54" s="163"/>
      <c r="G54" s="163"/>
      <c r="H54" s="166" t="s">
        <v>226</v>
      </c>
      <c r="I54" s="172"/>
      <c r="J54" s="477" t="s">
        <v>228</v>
      </c>
      <c r="K54" s="477"/>
      <c r="L54" s="477"/>
      <c r="M54" s="477"/>
      <c r="N54" s="478"/>
    </row>
    <row r="55" spans="1:14" ht="15.75" thickBot="1" x14ac:dyDescent="0.3">
      <c r="A55" s="474"/>
      <c r="B55" s="167" t="s">
        <v>153</v>
      </c>
      <c r="C55" s="168" t="s">
        <v>127</v>
      </c>
      <c r="D55" s="169"/>
      <c r="E55" s="169"/>
      <c r="F55" s="169"/>
      <c r="G55" s="169"/>
      <c r="H55" s="170">
        <v>48252</v>
      </c>
      <c r="I55" s="173">
        <v>1.1221627906976743</v>
      </c>
      <c r="J55" s="479" t="s">
        <v>229</v>
      </c>
      <c r="K55" s="479"/>
      <c r="L55" s="479"/>
      <c r="M55" s="479"/>
      <c r="N55" s="480"/>
    </row>
  </sheetData>
  <mergeCells count="6">
    <mergeCell ref="A43:A48"/>
    <mergeCell ref="A50:A55"/>
    <mergeCell ref="J50:N50"/>
    <mergeCell ref="J54:N54"/>
    <mergeCell ref="J55:N55"/>
    <mergeCell ref="J51:N53"/>
  </mergeCells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6">
    <tabColor rgb="FFFF0000"/>
  </sheetPr>
  <dimension ref="B1:T52"/>
  <sheetViews>
    <sheetView showGridLines="0" zoomScale="70" zoomScaleNormal="70" workbookViewId="0">
      <selection activeCell="D2" sqref="D2:O6"/>
    </sheetView>
  </sheetViews>
  <sheetFormatPr baseColWidth="10" defaultColWidth="10.42578125" defaultRowHeight="15.75" x14ac:dyDescent="0.3"/>
  <cols>
    <col min="1" max="1" width="5" style="88" customWidth="1"/>
    <col min="2" max="2" width="19.28515625" style="88" customWidth="1"/>
    <col min="3" max="3" width="41.85546875" style="88" customWidth="1"/>
    <col min="4" max="15" width="13" style="88" customWidth="1"/>
    <col min="16" max="16" width="11.85546875" style="88" customWidth="1"/>
    <col min="17" max="17" width="18.7109375" style="88" customWidth="1"/>
    <col min="18" max="18" width="8.28515625" style="88" customWidth="1"/>
    <col min="19" max="19" width="9.7109375" style="88" customWidth="1"/>
    <col min="20" max="20" width="12" style="88" bestFit="1" customWidth="1"/>
    <col min="21" max="21" width="42.7109375" style="88" bestFit="1" customWidth="1"/>
    <col min="22" max="16384" width="10.42578125" style="88"/>
  </cols>
  <sheetData>
    <row r="1" spans="2:20" ht="31.5" customHeight="1" thickBot="1" x14ac:dyDescent="0.35">
      <c r="B1" s="133" t="s">
        <v>131</v>
      </c>
      <c r="C1" s="133" t="s">
        <v>132</v>
      </c>
      <c r="D1" s="147">
        <v>44927</v>
      </c>
      <c r="E1" s="147">
        <v>44958</v>
      </c>
      <c r="F1" s="147">
        <v>44986</v>
      </c>
      <c r="G1" s="147">
        <v>45017</v>
      </c>
      <c r="H1" s="147">
        <v>45047</v>
      </c>
      <c r="I1" s="147">
        <v>45078</v>
      </c>
      <c r="J1" s="147">
        <v>45108</v>
      </c>
      <c r="K1" s="147">
        <v>45139</v>
      </c>
      <c r="L1" s="147">
        <v>45170</v>
      </c>
      <c r="M1" s="147">
        <v>45200</v>
      </c>
      <c r="N1" s="147">
        <v>45231</v>
      </c>
      <c r="O1" s="147">
        <v>45261</v>
      </c>
      <c r="P1" s="87" t="s">
        <v>27</v>
      </c>
      <c r="S1" s="89" t="s">
        <v>172</v>
      </c>
      <c r="T1" s="90">
        <v>44686</v>
      </c>
    </row>
    <row r="2" spans="2:20" x14ac:dyDescent="0.3">
      <c r="B2" s="91" t="s">
        <v>148</v>
      </c>
      <c r="C2" s="91" t="s">
        <v>149</v>
      </c>
      <c r="D2" s="92">
        <v>6</v>
      </c>
      <c r="E2" s="92">
        <v>0</v>
      </c>
      <c r="F2" s="92">
        <v>4</v>
      </c>
      <c r="G2" s="92">
        <v>6</v>
      </c>
      <c r="H2" s="92">
        <v>0</v>
      </c>
      <c r="I2" s="92">
        <v>4</v>
      </c>
      <c r="J2" s="92">
        <v>15</v>
      </c>
      <c r="K2" s="92">
        <v>0</v>
      </c>
      <c r="L2" s="92">
        <v>0</v>
      </c>
      <c r="M2" s="92">
        <v>0</v>
      </c>
      <c r="N2" s="92">
        <v>0</v>
      </c>
      <c r="O2" s="92">
        <v>12</v>
      </c>
      <c r="P2" s="93">
        <f>SUM(D2:O2)</f>
        <v>47</v>
      </c>
      <c r="S2" s="89">
        <v>3</v>
      </c>
    </row>
    <row r="3" spans="2:20" x14ac:dyDescent="0.3">
      <c r="B3" s="91" t="s">
        <v>150</v>
      </c>
      <c r="C3" s="91" t="s">
        <v>151</v>
      </c>
      <c r="D3" s="92">
        <v>0</v>
      </c>
      <c r="E3" s="92">
        <v>0</v>
      </c>
      <c r="F3" s="92">
        <v>0</v>
      </c>
      <c r="G3" s="92">
        <v>0</v>
      </c>
      <c r="H3" s="92">
        <v>1</v>
      </c>
      <c r="I3" s="92">
        <v>0</v>
      </c>
      <c r="J3" s="92">
        <v>0</v>
      </c>
      <c r="K3" s="92">
        <v>0</v>
      </c>
      <c r="L3" s="92">
        <v>0</v>
      </c>
      <c r="M3" s="92">
        <v>0</v>
      </c>
      <c r="N3" s="92">
        <v>0</v>
      </c>
      <c r="O3" s="92">
        <v>4</v>
      </c>
      <c r="P3" s="93">
        <f>SUM(D3:O3)</f>
        <v>5</v>
      </c>
      <c r="S3" s="89"/>
    </row>
    <row r="4" spans="2:20" x14ac:dyDescent="0.3">
      <c r="B4" s="91" t="s">
        <v>152</v>
      </c>
      <c r="C4" s="91" t="s">
        <v>126</v>
      </c>
      <c r="D4" s="92">
        <v>4</v>
      </c>
      <c r="E4" s="92">
        <v>0</v>
      </c>
      <c r="F4" s="92">
        <v>0</v>
      </c>
      <c r="G4" s="92">
        <v>2</v>
      </c>
      <c r="H4" s="92">
        <v>0</v>
      </c>
      <c r="I4" s="92">
        <v>0</v>
      </c>
      <c r="J4" s="92">
        <v>5</v>
      </c>
      <c r="K4" s="92">
        <v>0</v>
      </c>
      <c r="L4" s="92">
        <v>0</v>
      </c>
      <c r="M4" s="92">
        <v>0</v>
      </c>
      <c r="N4" s="92">
        <v>0</v>
      </c>
      <c r="O4" s="92">
        <v>0</v>
      </c>
      <c r="P4" s="93">
        <f>SUM(D4:O4)</f>
        <v>11</v>
      </c>
      <c r="S4" s="89"/>
    </row>
    <row r="5" spans="2:20" x14ac:dyDescent="0.3">
      <c r="B5" s="91" t="s">
        <v>13</v>
      </c>
      <c r="C5" s="91" t="s">
        <v>128</v>
      </c>
      <c r="D5" s="92">
        <v>0</v>
      </c>
      <c r="E5" s="92">
        <v>5</v>
      </c>
      <c r="F5" s="92">
        <v>0</v>
      </c>
      <c r="G5" s="92">
        <v>1</v>
      </c>
      <c r="H5" s="92">
        <v>7</v>
      </c>
      <c r="I5" s="92">
        <v>0</v>
      </c>
      <c r="J5" s="92">
        <v>14</v>
      </c>
      <c r="K5" s="92">
        <v>0</v>
      </c>
      <c r="L5" s="92">
        <v>0</v>
      </c>
      <c r="M5" s="92">
        <v>0</v>
      </c>
      <c r="N5" s="92">
        <v>5</v>
      </c>
      <c r="O5" s="92">
        <v>0</v>
      </c>
      <c r="P5" s="93">
        <f>SUM(D5:O5)</f>
        <v>32</v>
      </c>
    </row>
    <row r="6" spans="2:20" x14ac:dyDescent="0.3">
      <c r="B6" s="91" t="s">
        <v>153</v>
      </c>
      <c r="C6" s="91" t="s">
        <v>127</v>
      </c>
      <c r="D6" s="92">
        <v>1</v>
      </c>
      <c r="E6" s="92">
        <v>0</v>
      </c>
      <c r="F6" s="92">
        <v>0</v>
      </c>
      <c r="G6" s="92">
        <v>0</v>
      </c>
      <c r="H6" s="92">
        <v>2</v>
      </c>
      <c r="I6" s="92">
        <v>0</v>
      </c>
      <c r="J6" s="92">
        <v>1</v>
      </c>
      <c r="K6" s="92">
        <v>0</v>
      </c>
      <c r="L6" s="92">
        <v>0</v>
      </c>
      <c r="M6" s="92">
        <v>1</v>
      </c>
      <c r="N6" s="92">
        <v>0</v>
      </c>
      <c r="O6" s="92">
        <v>0</v>
      </c>
      <c r="P6" s="93">
        <f>SUM(D6:O6)</f>
        <v>5</v>
      </c>
    </row>
    <row r="7" spans="2:20" x14ac:dyDescent="0.3">
      <c r="B7" s="99"/>
      <c r="C7" s="99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6"/>
    </row>
    <row r="8" spans="2:20" x14ac:dyDescent="0.3">
      <c r="B8" s="99"/>
      <c r="C8" s="99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</row>
    <row r="9" spans="2:20" ht="16.5" thickBot="1" x14ac:dyDescent="0.35">
      <c r="B9" s="99"/>
      <c r="C9" s="99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</row>
    <row r="10" spans="2:20" ht="30.75" thickBot="1" x14ac:dyDescent="0.35">
      <c r="B10" s="133" t="s">
        <v>131</v>
      </c>
      <c r="C10" s="133" t="s">
        <v>132</v>
      </c>
      <c r="D10" s="207" t="s">
        <v>171</v>
      </c>
      <c r="E10" s="207" t="s">
        <v>137</v>
      </c>
      <c r="F10" s="207" t="s">
        <v>138</v>
      </c>
      <c r="G10" s="207" t="s">
        <v>139</v>
      </c>
      <c r="H10" s="207" t="s">
        <v>140</v>
      </c>
      <c r="I10" s="207" t="s">
        <v>141</v>
      </c>
      <c r="J10" s="207" t="s">
        <v>142</v>
      </c>
      <c r="K10" s="207" t="s">
        <v>143</v>
      </c>
      <c r="L10" s="207" t="s">
        <v>144</v>
      </c>
      <c r="M10" s="207" t="s">
        <v>145</v>
      </c>
      <c r="N10" s="207" t="s">
        <v>146</v>
      </c>
      <c r="O10" s="208" t="s">
        <v>147</v>
      </c>
      <c r="P10" s="209" t="s">
        <v>20</v>
      </c>
      <c r="Q10" s="206" t="s">
        <v>204</v>
      </c>
    </row>
    <row r="11" spans="2:20" x14ac:dyDescent="0.3">
      <c r="B11" s="91" t="s">
        <v>148</v>
      </c>
      <c r="C11" s="91" t="s">
        <v>149</v>
      </c>
      <c r="D11" s="210">
        <v>4</v>
      </c>
      <c r="E11" s="210">
        <v>8</v>
      </c>
      <c r="F11" s="210">
        <v>4</v>
      </c>
      <c r="G11" s="210">
        <v>5</v>
      </c>
      <c r="H11" s="210">
        <v>2</v>
      </c>
      <c r="I11" s="210">
        <v>5</v>
      </c>
      <c r="J11" s="210">
        <v>4</v>
      </c>
      <c r="K11" s="210">
        <v>2</v>
      </c>
      <c r="L11" s="210">
        <v>3</v>
      </c>
      <c r="M11" s="210">
        <v>3</v>
      </c>
      <c r="N11" s="210">
        <v>6</v>
      </c>
      <c r="O11" s="210">
        <v>2</v>
      </c>
      <c r="P11" s="211">
        <f>SUM(D11:O11)</f>
        <v>48</v>
      </c>
      <c r="Q11" s="212">
        <f>AVERAGE(D11:O11)</f>
        <v>4</v>
      </c>
    </row>
    <row r="12" spans="2:20" x14ac:dyDescent="0.3">
      <c r="B12" s="91" t="s">
        <v>150</v>
      </c>
      <c r="C12" s="91" t="s">
        <v>151</v>
      </c>
      <c r="D12" s="211"/>
      <c r="E12" s="211"/>
      <c r="F12" s="211"/>
      <c r="G12" s="211"/>
      <c r="H12" s="211"/>
      <c r="I12" s="211"/>
      <c r="J12" s="211">
        <v>1</v>
      </c>
      <c r="K12" s="211"/>
      <c r="L12" s="211"/>
      <c r="M12" s="211"/>
      <c r="N12" s="211"/>
      <c r="O12" s="211"/>
      <c r="P12" s="211">
        <f>SUM(D12:O12)</f>
        <v>1</v>
      </c>
      <c r="Q12" s="212"/>
    </row>
    <row r="13" spans="2:20" x14ac:dyDescent="0.3">
      <c r="B13" s="91" t="s">
        <v>152</v>
      </c>
      <c r="C13" s="91" t="s">
        <v>126</v>
      </c>
      <c r="D13" s="210">
        <v>2</v>
      </c>
      <c r="E13" s="210">
        <v>2</v>
      </c>
      <c r="F13" s="210">
        <v>1</v>
      </c>
      <c r="G13" s="210">
        <v>3</v>
      </c>
      <c r="H13" s="210">
        <v>0</v>
      </c>
      <c r="I13" s="210">
        <v>2</v>
      </c>
      <c r="J13" s="210">
        <v>1</v>
      </c>
      <c r="K13" s="210">
        <v>2</v>
      </c>
      <c r="L13" s="210">
        <v>0</v>
      </c>
      <c r="M13" s="210">
        <v>2</v>
      </c>
      <c r="N13" s="210">
        <v>1</v>
      </c>
      <c r="O13" s="210">
        <v>1</v>
      </c>
      <c r="P13" s="211">
        <f>SUM(D13:O13)</f>
        <v>17</v>
      </c>
      <c r="Q13" s="212">
        <f>AVERAGE(D13:O13)</f>
        <v>1.4166666666666667</v>
      </c>
    </row>
    <row r="14" spans="2:20" x14ac:dyDescent="0.3">
      <c r="B14" s="91" t="s">
        <v>13</v>
      </c>
      <c r="C14" s="91" t="s">
        <v>128</v>
      </c>
      <c r="D14" s="211"/>
      <c r="E14" s="211"/>
      <c r="F14" s="211">
        <v>3</v>
      </c>
      <c r="G14" s="211"/>
      <c r="H14" s="211"/>
      <c r="I14" s="211"/>
      <c r="J14" s="211"/>
      <c r="K14" s="211"/>
      <c r="L14" s="211"/>
      <c r="M14" s="211"/>
      <c r="N14" s="211"/>
      <c r="O14" s="211"/>
      <c r="P14" s="211">
        <f>SUM(D14:O14)</f>
        <v>3</v>
      </c>
      <c r="Q14" s="212"/>
    </row>
    <row r="15" spans="2:20" x14ac:dyDescent="0.3">
      <c r="B15" s="91" t="s">
        <v>153</v>
      </c>
      <c r="C15" s="91" t="s">
        <v>127</v>
      </c>
      <c r="D15" s="210"/>
      <c r="E15" s="210"/>
      <c r="F15" s="210"/>
      <c r="G15" s="210"/>
      <c r="H15" s="210"/>
      <c r="I15" s="210">
        <v>2</v>
      </c>
      <c r="J15" s="210"/>
      <c r="K15" s="210"/>
      <c r="L15" s="210"/>
      <c r="M15" s="210"/>
      <c r="N15" s="210">
        <v>1</v>
      </c>
      <c r="O15" s="210"/>
      <c r="P15" s="211">
        <f>SUM(D15:O15)</f>
        <v>3</v>
      </c>
      <c r="Q15" s="212"/>
    </row>
    <row r="16" spans="2:20" x14ac:dyDescent="0.3">
      <c r="B16"/>
      <c r="C16">
        <v>8</v>
      </c>
      <c r="D16" s="146"/>
      <c r="E16" s="146"/>
      <c r="F16" s="146"/>
      <c r="G16" s="146" t="s">
        <v>253</v>
      </c>
      <c r="H16" s="146" t="s">
        <v>254</v>
      </c>
      <c r="I16" s="146"/>
      <c r="J16" s="146" t="s">
        <v>255</v>
      </c>
      <c r="K16" s="146" t="s">
        <v>256</v>
      </c>
      <c r="L16" s="146"/>
      <c r="M16" s="146"/>
      <c r="N16" s="146"/>
      <c r="O16" s="146"/>
    </row>
    <row r="17" spans="2:20" x14ac:dyDescent="0.3">
      <c r="B17" s="99"/>
      <c r="C17" s="99">
        <v>11</v>
      </c>
      <c r="D17" s="146" t="s">
        <v>257</v>
      </c>
      <c r="E17" s="146" t="s">
        <v>258</v>
      </c>
      <c r="F17" s="146" t="s">
        <v>259</v>
      </c>
      <c r="G17" s="88" t="s">
        <v>259</v>
      </c>
      <c r="H17" s="88" t="s">
        <v>257</v>
      </c>
      <c r="I17" s="146"/>
      <c r="J17" s="146"/>
      <c r="K17" s="146" t="s">
        <v>260</v>
      </c>
      <c r="L17" s="146"/>
      <c r="M17" s="146"/>
      <c r="N17" s="146"/>
      <c r="O17" s="146"/>
    </row>
    <row r="19" spans="2:20" ht="16.5" thickBot="1" x14ac:dyDescent="0.35"/>
    <row r="20" spans="2:20" ht="16.5" thickBot="1" x14ac:dyDescent="0.35">
      <c r="C20" s="148" t="s">
        <v>132</v>
      </c>
      <c r="D20" s="149">
        <v>44927</v>
      </c>
      <c r="E20" s="149">
        <v>44958</v>
      </c>
      <c r="F20" s="149">
        <v>44986</v>
      </c>
      <c r="G20" s="149">
        <v>45017</v>
      </c>
      <c r="H20" s="149">
        <v>45047</v>
      </c>
      <c r="I20" s="149">
        <v>45078</v>
      </c>
      <c r="J20" s="149">
        <v>45108</v>
      </c>
      <c r="K20" s="149">
        <v>45139</v>
      </c>
      <c r="L20" s="149">
        <v>45170</v>
      </c>
      <c r="M20" s="149">
        <v>45200</v>
      </c>
      <c r="N20" s="149">
        <v>45231</v>
      </c>
      <c r="O20" s="149">
        <v>45261</v>
      </c>
      <c r="P20" s="149">
        <v>45292</v>
      </c>
      <c r="Q20" s="149">
        <v>45323</v>
      </c>
      <c r="R20" s="149">
        <v>45352</v>
      </c>
      <c r="S20" s="149">
        <v>45383</v>
      </c>
      <c r="T20" s="150" t="s">
        <v>27</v>
      </c>
    </row>
    <row r="21" spans="2:20" x14ac:dyDescent="0.3">
      <c r="C21" s="151" t="s">
        <v>207</v>
      </c>
      <c r="D21" s="115">
        <v>8675</v>
      </c>
      <c r="E21" s="115">
        <v>9268</v>
      </c>
      <c r="F21" s="115">
        <v>6535.5</v>
      </c>
      <c r="G21" s="115">
        <v>5918.5</v>
      </c>
      <c r="H21" s="115">
        <v>4774.5</v>
      </c>
      <c r="I21" s="115">
        <v>8747</v>
      </c>
      <c r="J21" s="115">
        <v>9424</v>
      </c>
      <c r="K21" s="115">
        <v>2772</v>
      </c>
      <c r="L21" s="115">
        <v>6712</v>
      </c>
      <c r="M21" s="115">
        <v>4901</v>
      </c>
      <c r="N21" s="115">
        <v>12584</v>
      </c>
      <c r="O21" s="115">
        <v>4971</v>
      </c>
      <c r="P21" s="228">
        <v>7699</v>
      </c>
      <c r="Q21" s="228">
        <v>7543</v>
      </c>
      <c r="R21" s="228">
        <f>12210+668</f>
        <v>12878</v>
      </c>
      <c r="S21" s="228">
        <v>6131</v>
      </c>
      <c r="T21" s="152">
        <f>SUM(D21:O21)</f>
        <v>85282.5</v>
      </c>
    </row>
    <row r="22" spans="2:20" ht="16.5" thickBot="1" x14ac:dyDescent="0.35">
      <c r="C22" s="153" t="s">
        <v>206</v>
      </c>
      <c r="D22" s="115">
        <v>7992</v>
      </c>
      <c r="E22" s="115">
        <v>8159</v>
      </c>
      <c r="F22" s="115">
        <v>7292</v>
      </c>
      <c r="G22" s="115">
        <v>8259</v>
      </c>
      <c r="H22" s="115">
        <v>4427</v>
      </c>
      <c r="I22" s="115">
        <v>7743</v>
      </c>
      <c r="J22" s="115">
        <v>3418</v>
      </c>
      <c r="K22" s="115">
        <v>4304</v>
      </c>
      <c r="L22" s="115">
        <v>4992</v>
      </c>
      <c r="M22" s="115">
        <v>5063</v>
      </c>
      <c r="N22" s="115">
        <v>8369</v>
      </c>
      <c r="O22" s="115">
        <v>5168</v>
      </c>
      <c r="P22" s="229">
        <v>9274</v>
      </c>
      <c r="Q22" s="229">
        <v>7952</v>
      </c>
      <c r="R22" s="229">
        <v>6271</v>
      </c>
      <c r="S22" s="229">
        <v>8116</v>
      </c>
      <c r="T22" s="154">
        <f>SUM(D22:O22)</f>
        <v>75186</v>
      </c>
    </row>
    <row r="23" spans="2:20" ht="16.5" thickBot="1" x14ac:dyDescent="0.35">
      <c r="C23" s="155" t="s">
        <v>20</v>
      </c>
      <c r="D23" s="156">
        <f>D21+D22</f>
        <v>16667</v>
      </c>
      <c r="E23" s="156">
        <f t="shared" ref="E23:S23" si="0">E21+E22</f>
        <v>17427</v>
      </c>
      <c r="F23" s="156">
        <f t="shared" si="0"/>
        <v>13827.5</v>
      </c>
      <c r="G23" s="156">
        <f t="shared" si="0"/>
        <v>14177.5</v>
      </c>
      <c r="H23" s="156">
        <f t="shared" si="0"/>
        <v>9201.5</v>
      </c>
      <c r="I23" s="156">
        <f t="shared" si="0"/>
        <v>16490</v>
      </c>
      <c r="J23" s="156">
        <f t="shared" si="0"/>
        <v>12842</v>
      </c>
      <c r="K23" s="156">
        <f t="shared" si="0"/>
        <v>7076</v>
      </c>
      <c r="L23" s="156">
        <f t="shared" si="0"/>
        <v>11704</v>
      </c>
      <c r="M23" s="156">
        <f t="shared" si="0"/>
        <v>9964</v>
      </c>
      <c r="N23" s="156">
        <f t="shared" si="0"/>
        <v>20953</v>
      </c>
      <c r="O23" s="156">
        <f t="shared" si="0"/>
        <v>10139</v>
      </c>
      <c r="P23" s="156">
        <f t="shared" si="0"/>
        <v>16973</v>
      </c>
      <c r="Q23" s="156">
        <f t="shared" si="0"/>
        <v>15495</v>
      </c>
      <c r="R23" s="156">
        <f t="shared" si="0"/>
        <v>19149</v>
      </c>
      <c r="S23" s="156">
        <f t="shared" si="0"/>
        <v>14247</v>
      </c>
      <c r="T23" s="154">
        <f>SUM(D23:O23)</f>
        <v>160468.5</v>
      </c>
    </row>
    <row r="24" spans="2:20" x14ac:dyDescent="0.3">
      <c r="P24" s="181">
        <v>138000</v>
      </c>
    </row>
    <row r="26" spans="2:20" ht="16.5" thickBot="1" x14ac:dyDescent="0.35">
      <c r="B26" s="97" t="s">
        <v>178</v>
      </c>
    </row>
    <row r="27" spans="2:20" ht="32.25" thickBot="1" x14ac:dyDescent="0.35">
      <c r="B27" s="157" t="s">
        <v>131</v>
      </c>
      <c r="C27" s="158" t="s">
        <v>132</v>
      </c>
      <c r="D27" s="158" t="s">
        <v>179</v>
      </c>
      <c r="E27" s="158" t="s">
        <v>180</v>
      </c>
      <c r="F27" s="158" t="s">
        <v>181</v>
      </c>
      <c r="G27" s="159" t="s">
        <v>182</v>
      </c>
      <c r="H27" s="158" t="s">
        <v>183</v>
      </c>
      <c r="I27" s="158" t="s">
        <v>184</v>
      </c>
      <c r="J27" s="160" t="s">
        <v>185</v>
      </c>
      <c r="M27" s="89" t="s">
        <v>186</v>
      </c>
      <c r="N27" s="486" t="s">
        <v>187</v>
      </c>
      <c r="O27" s="486"/>
      <c r="P27" s="486"/>
    </row>
    <row r="28" spans="2:20" x14ac:dyDescent="0.3">
      <c r="B28" s="193" t="s">
        <v>148</v>
      </c>
      <c r="C28" s="99" t="s">
        <v>149</v>
      </c>
      <c r="D28" s="100">
        <f>P11</f>
        <v>48</v>
      </c>
      <c r="E28" s="194">
        <v>2</v>
      </c>
      <c r="F28" s="194">
        <v>0</v>
      </c>
      <c r="G28" s="101">
        <f>D28-E28-F28</f>
        <v>46</v>
      </c>
      <c r="H28" s="102">
        <f>$F$51/G28</f>
        <v>3268.032608695652</v>
      </c>
      <c r="I28" s="102">
        <v>3000</v>
      </c>
      <c r="J28" s="195">
        <f>+H28/I28</f>
        <v>1.0893442028985507</v>
      </c>
      <c r="M28" s="104">
        <v>2</v>
      </c>
      <c r="N28" s="485" t="s">
        <v>149</v>
      </c>
      <c r="O28" s="485"/>
      <c r="P28" s="485"/>
    </row>
    <row r="29" spans="2:20" x14ac:dyDescent="0.3">
      <c r="B29" s="193" t="s">
        <v>150</v>
      </c>
      <c r="C29" s="99" t="s">
        <v>151</v>
      </c>
      <c r="D29" s="100">
        <v>7</v>
      </c>
      <c r="E29" s="194">
        <v>0</v>
      </c>
      <c r="F29" s="194">
        <v>3</v>
      </c>
      <c r="G29" s="101">
        <f>D29-E29-F29</f>
        <v>4</v>
      </c>
      <c r="H29" s="102">
        <f>$F$51/G29</f>
        <v>37582.375</v>
      </c>
      <c r="I29" s="102">
        <v>13000</v>
      </c>
      <c r="J29" s="196">
        <f>+H29/I29</f>
        <v>2.8909519230769232</v>
      </c>
      <c r="M29" s="104">
        <v>0</v>
      </c>
      <c r="N29" s="485" t="s">
        <v>151</v>
      </c>
      <c r="O29" s="485"/>
      <c r="P29" s="485"/>
    </row>
    <row r="30" spans="2:20" x14ac:dyDescent="0.3">
      <c r="B30" s="193" t="s">
        <v>152</v>
      </c>
      <c r="C30" s="99" t="s">
        <v>126</v>
      </c>
      <c r="D30" s="100">
        <f>P13</f>
        <v>17</v>
      </c>
      <c r="E30" s="194">
        <v>0</v>
      </c>
      <c r="F30" s="194">
        <v>0</v>
      </c>
      <c r="G30" s="101">
        <f>D30-E30-F30</f>
        <v>17</v>
      </c>
      <c r="H30" s="102">
        <f>$F$51/G30</f>
        <v>8842.9117647058829</v>
      </c>
      <c r="I30" s="102">
        <v>8500</v>
      </c>
      <c r="J30" s="195">
        <f>+H30/I30</f>
        <v>1.0403425605536334</v>
      </c>
      <c r="M30" s="104">
        <v>0</v>
      </c>
      <c r="N30" s="485" t="s">
        <v>126</v>
      </c>
      <c r="O30" s="485"/>
      <c r="P30" s="485"/>
    </row>
    <row r="31" spans="2:20" x14ac:dyDescent="0.3">
      <c r="B31" s="193" t="s">
        <v>13</v>
      </c>
      <c r="C31" s="99" t="s">
        <v>128</v>
      </c>
      <c r="D31" s="105">
        <v>32</v>
      </c>
      <c r="E31" s="194">
        <v>0</v>
      </c>
      <c r="F31" s="194">
        <v>10</v>
      </c>
      <c r="G31" s="101">
        <f>D31-E31-F31</f>
        <v>22</v>
      </c>
      <c r="H31" s="102">
        <f>+$F$51/(G31/3)</f>
        <v>20499.477272727272</v>
      </c>
      <c r="I31" s="102">
        <v>13000</v>
      </c>
      <c r="J31" s="195">
        <f>+H31/I31</f>
        <v>1.5768828671328672</v>
      </c>
      <c r="M31" s="104">
        <v>0</v>
      </c>
      <c r="N31" s="485" t="s">
        <v>128</v>
      </c>
      <c r="O31" s="485"/>
      <c r="P31" s="485"/>
    </row>
    <row r="32" spans="2:20" ht="16.5" thickBot="1" x14ac:dyDescent="0.35">
      <c r="B32" s="197" t="s">
        <v>153</v>
      </c>
      <c r="C32" s="106" t="s">
        <v>127</v>
      </c>
      <c r="D32" s="107">
        <v>5</v>
      </c>
      <c r="E32" s="108">
        <v>0</v>
      </c>
      <c r="F32" s="108">
        <v>1</v>
      </c>
      <c r="G32" s="109">
        <f>D32-E32-F32</f>
        <v>4</v>
      </c>
      <c r="H32" s="110">
        <f>(F51+30000)/G32</f>
        <v>45082.375</v>
      </c>
      <c r="I32" s="110">
        <v>43000</v>
      </c>
      <c r="J32" s="198">
        <f>+H32/I32</f>
        <v>1.0484273255813954</v>
      </c>
      <c r="M32" s="104">
        <v>0</v>
      </c>
      <c r="N32" s="485" t="s">
        <v>127</v>
      </c>
      <c r="O32" s="485"/>
      <c r="P32" s="485"/>
    </row>
    <row r="34" spans="2:15" x14ac:dyDescent="0.3">
      <c r="B34" s="88" t="s">
        <v>188</v>
      </c>
      <c r="M34" s="112"/>
      <c r="N34" s="95"/>
    </row>
    <row r="35" spans="2:15" x14ac:dyDescent="0.3">
      <c r="B35" s="88" t="s">
        <v>190</v>
      </c>
      <c r="M35" s="112">
        <v>44969</v>
      </c>
      <c r="N35" s="95" t="s">
        <v>246</v>
      </c>
      <c r="O35" s="112"/>
    </row>
    <row r="36" spans="2:15" x14ac:dyDescent="0.3">
      <c r="M36" s="112">
        <v>44981</v>
      </c>
      <c r="N36" s="95" t="s">
        <v>261</v>
      </c>
    </row>
    <row r="37" spans="2:15" x14ac:dyDescent="0.3">
      <c r="B37" s="113"/>
    </row>
    <row r="38" spans="2:15" x14ac:dyDescent="0.3">
      <c r="C38" s="114" t="s">
        <v>191</v>
      </c>
      <c r="D38" s="114" t="s">
        <v>220</v>
      </c>
      <c r="E38" s="114" t="s">
        <v>192</v>
      </c>
    </row>
    <row r="39" spans="2:15" x14ac:dyDescent="0.3">
      <c r="C39" s="114" t="s">
        <v>221</v>
      </c>
      <c r="D39" s="115">
        <f>D$21</f>
        <v>8675</v>
      </c>
      <c r="E39" s="115">
        <f>D22</f>
        <v>7992</v>
      </c>
      <c r="F39" s="88" t="s">
        <v>243</v>
      </c>
    </row>
    <row r="40" spans="2:15" x14ac:dyDescent="0.3">
      <c r="C40" s="114" t="s">
        <v>222</v>
      </c>
      <c r="D40" s="115">
        <f>E$21</f>
        <v>9268</v>
      </c>
      <c r="E40" s="115">
        <f>E22</f>
        <v>8159</v>
      </c>
      <c r="F40" s="88" t="s">
        <v>243</v>
      </c>
    </row>
    <row r="41" spans="2:15" x14ac:dyDescent="0.3">
      <c r="C41" s="114" t="s">
        <v>193</v>
      </c>
      <c r="D41" s="115">
        <f>F21</f>
        <v>6535.5</v>
      </c>
      <c r="E41" s="115">
        <f>F22</f>
        <v>7292</v>
      </c>
      <c r="F41" s="88" t="s">
        <v>243</v>
      </c>
    </row>
    <row r="42" spans="2:15" x14ac:dyDescent="0.3">
      <c r="C42" s="114" t="s">
        <v>194</v>
      </c>
      <c r="D42" s="115">
        <f>G21</f>
        <v>5918.5</v>
      </c>
      <c r="E42" s="115">
        <f>G22</f>
        <v>8259</v>
      </c>
      <c r="F42" s="88" t="s">
        <v>243</v>
      </c>
    </row>
    <row r="43" spans="2:15" x14ac:dyDescent="0.3">
      <c r="C43" s="114" t="s">
        <v>195</v>
      </c>
      <c r="D43" s="115">
        <f>H21</f>
        <v>4774.5</v>
      </c>
      <c r="E43" s="115">
        <f>H22</f>
        <v>4427</v>
      </c>
      <c r="F43" s="88" t="s">
        <v>245</v>
      </c>
    </row>
    <row r="44" spans="2:15" x14ac:dyDescent="0.3">
      <c r="C44" s="114" t="s">
        <v>196</v>
      </c>
      <c r="D44" s="115">
        <v>8747</v>
      </c>
      <c r="E44" s="115">
        <v>7743</v>
      </c>
      <c r="F44" s="88" t="s">
        <v>248</v>
      </c>
    </row>
    <row r="45" spans="2:15" x14ac:dyDescent="0.3">
      <c r="C45" s="114" t="s">
        <v>197</v>
      </c>
      <c r="D45" s="115">
        <v>9424</v>
      </c>
      <c r="E45" s="115">
        <v>3418</v>
      </c>
      <c r="F45" s="88" t="s">
        <v>252</v>
      </c>
    </row>
    <row r="46" spans="2:15" x14ac:dyDescent="0.3">
      <c r="C46" s="114" t="s">
        <v>198</v>
      </c>
      <c r="D46" s="115">
        <v>2772</v>
      </c>
      <c r="E46" s="115">
        <v>4304</v>
      </c>
      <c r="F46" s="88">
        <v>4</v>
      </c>
      <c r="G46" s="88" t="s">
        <v>249</v>
      </c>
    </row>
    <row r="47" spans="2:15" x14ac:dyDescent="0.3">
      <c r="C47" s="114" t="s">
        <v>199</v>
      </c>
      <c r="D47" s="115">
        <v>6712</v>
      </c>
      <c r="E47" s="115">
        <v>4992</v>
      </c>
    </row>
    <row r="48" spans="2:15" x14ac:dyDescent="0.3">
      <c r="C48" s="114" t="s">
        <v>200</v>
      </c>
      <c r="D48" s="115">
        <v>4901</v>
      </c>
      <c r="E48" s="115">
        <v>5063</v>
      </c>
    </row>
    <row r="49" spans="3:6" x14ac:dyDescent="0.3">
      <c r="C49" s="114" t="s">
        <v>201</v>
      </c>
      <c r="D49" s="115">
        <v>12584</v>
      </c>
      <c r="E49" s="115">
        <v>8369</v>
      </c>
    </row>
    <row r="50" spans="3:6" x14ac:dyDescent="0.3">
      <c r="C50" s="114" t="s">
        <v>202</v>
      </c>
      <c r="D50" s="115"/>
      <c r="E50" s="115"/>
    </row>
    <row r="51" spans="3:6" x14ac:dyDescent="0.3">
      <c r="C51" s="89" t="s">
        <v>244</v>
      </c>
      <c r="D51" s="96">
        <f>SUM(D39:D50)</f>
        <v>80311.5</v>
      </c>
      <c r="E51" s="96">
        <f>SUM(E39:E50)</f>
        <v>70018</v>
      </c>
      <c r="F51" s="116">
        <f>SUM(D51:E51)</f>
        <v>150329.5</v>
      </c>
    </row>
    <row r="52" spans="3:6" x14ac:dyDescent="0.3">
      <c r="D52" s="199">
        <f>AVERAGE(D39:D50)</f>
        <v>7301.045454545455</v>
      </c>
      <c r="E52" s="199">
        <f>AVERAGE(E39:E50)</f>
        <v>6365.272727272727</v>
      </c>
    </row>
  </sheetData>
  <mergeCells count="6">
    <mergeCell ref="N32:P32"/>
    <mergeCell ref="N27:P27"/>
    <mergeCell ref="N28:P28"/>
    <mergeCell ref="N29:P29"/>
    <mergeCell ref="N30:P30"/>
    <mergeCell ref="N31:P31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5">
    <tabColor rgb="FFFF0000"/>
  </sheetPr>
  <dimension ref="B1:T49"/>
  <sheetViews>
    <sheetView showGridLines="0" zoomScale="55" zoomScaleNormal="55" workbookViewId="0">
      <selection activeCell="U18" sqref="U18"/>
    </sheetView>
  </sheetViews>
  <sheetFormatPr baseColWidth="10" defaultColWidth="10.42578125" defaultRowHeight="15.75" x14ac:dyDescent="0.3"/>
  <cols>
    <col min="1" max="1" width="5" style="88" customWidth="1"/>
    <col min="2" max="2" width="25.140625" style="88" customWidth="1"/>
    <col min="3" max="3" width="41.85546875" style="88" customWidth="1"/>
    <col min="4" max="15" width="13" style="88" customWidth="1"/>
    <col min="16" max="16" width="8.28515625" style="88" bestFit="1" customWidth="1"/>
    <col min="17" max="18" width="8.28515625" style="88" customWidth="1"/>
    <col min="19" max="19" width="7.85546875" style="88" bestFit="1" customWidth="1"/>
    <col min="20" max="20" width="12" style="88" bestFit="1" customWidth="1"/>
    <col min="21" max="21" width="42.7109375" style="88" bestFit="1" customWidth="1"/>
    <col min="22" max="16384" width="10.42578125" style="88"/>
  </cols>
  <sheetData>
    <row r="1" spans="2:20" ht="31.5" customHeight="1" x14ac:dyDescent="0.3">
      <c r="B1" s="85" t="s">
        <v>131</v>
      </c>
      <c r="C1" s="85" t="s">
        <v>132</v>
      </c>
      <c r="D1" s="86">
        <v>44562</v>
      </c>
      <c r="E1" s="86">
        <v>44593</v>
      </c>
      <c r="F1" s="86">
        <v>44621</v>
      </c>
      <c r="G1" s="86">
        <v>44652</v>
      </c>
      <c r="H1" s="86">
        <v>44682</v>
      </c>
      <c r="I1" s="86">
        <v>44713</v>
      </c>
      <c r="J1" s="86">
        <v>44743</v>
      </c>
      <c r="K1" s="86">
        <v>44774</v>
      </c>
      <c r="L1" s="86">
        <v>44805</v>
      </c>
      <c r="M1" s="86">
        <v>44835</v>
      </c>
      <c r="N1" s="86">
        <v>44866</v>
      </c>
      <c r="O1" s="86">
        <v>44896</v>
      </c>
      <c r="P1" s="87" t="s">
        <v>27</v>
      </c>
      <c r="S1" s="89" t="s">
        <v>172</v>
      </c>
      <c r="T1" s="90">
        <v>44686</v>
      </c>
    </row>
    <row r="2" spans="2:20" x14ac:dyDescent="0.3">
      <c r="B2" s="91" t="s">
        <v>148</v>
      </c>
      <c r="C2" s="91" t="s">
        <v>149</v>
      </c>
      <c r="D2" s="92">
        <v>6</v>
      </c>
      <c r="E2" s="92">
        <v>4</v>
      </c>
      <c r="F2" s="92">
        <v>7</v>
      </c>
      <c r="G2" s="92">
        <v>7</v>
      </c>
      <c r="H2" s="92">
        <v>7</v>
      </c>
      <c r="I2" s="92">
        <v>8</v>
      </c>
      <c r="J2" s="92">
        <v>7</v>
      </c>
      <c r="K2" s="92">
        <v>6</v>
      </c>
      <c r="L2" s="92">
        <v>8</v>
      </c>
      <c r="M2" s="92">
        <v>2</v>
      </c>
      <c r="N2" s="92">
        <v>6</v>
      </c>
      <c r="O2" s="92">
        <v>18</v>
      </c>
      <c r="P2" s="93">
        <f>SUM(D2:O2)</f>
        <v>86</v>
      </c>
      <c r="S2" s="89">
        <v>3</v>
      </c>
    </row>
    <row r="3" spans="2:20" x14ac:dyDescent="0.3">
      <c r="B3" s="91" t="s">
        <v>150</v>
      </c>
      <c r="C3" s="91" t="s">
        <v>151</v>
      </c>
      <c r="D3" s="92">
        <v>2</v>
      </c>
      <c r="E3" s="92"/>
      <c r="F3" s="92"/>
      <c r="G3" s="92">
        <v>1</v>
      </c>
      <c r="H3" s="92"/>
      <c r="I3" s="92">
        <v>3</v>
      </c>
      <c r="J3" s="92"/>
      <c r="K3" s="92"/>
      <c r="L3" s="92">
        <v>3</v>
      </c>
      <c r="M3" s="92"/>
      <c r="N3" s="92">
        <v>1</v>
      </c>
      <c r="O3" s="92">
        <v>4</v>
      </c>
      <c r="P3" s="93">
        <f>SUM(D3:O3)</f>
        <v>14</v>
      </c>
      <c r="S3" s="89"/>
    </row>
    <row r="4" spans="2:20" x14ac:dyDescent="0.3">
      <c r="B4" s="91" t="s">
        <v>152</v>
      </c>
      <c r="C4" s="91" t="s">
        <v>126</v>
      </c>
      <c r="D4" s="92">
        <v>2</v>
      </c>
      <c r="E4" s="92">
        <v>2</v>
      </c>
      <c r="F4" s="92"/>
      <c r="G4" s="92">
        <v>2</v>
      </c>
      <c r="H4" s="92">
        <v>4</v>
      </c>
      <c r="I4" s="92">
        <v>1</v>
      </c>
      <c r="J4" s="92">
        <v>2</v>
      </c>
      <c r="K4" s="92">
        <v>2</v>
      </c>
      <c r="L4" s="92">
        <v>4</v>
      </c>
      <c r="M4" s="92">
        <v>2</v>
      </c>
      <c r="N4" s="92">
        <v>3</v>
      </c>
      <c r="O4" s="92">
        <v>6</v>
      </c>
      <c r="P4" s="93">
        <f>SUM(D4:O4)</f>
        <v>30</v>
      </c>
      <c r="S4" s="89"/>
    </row>
    <row r="5" spans="2:20" x14ac:dyDescent="0.3">
      <c r="B5" s="91" t="s">
        <v>13</v>
      </c>
      <c r="C5" s="91" t="s">
        <v>128</v>
      </c>
      <c r="D5" s="92">
        <v>2</v>
      </c>
      <c r="E5" s="92"/>
      <c r="F5" s="92"/>
      <c r="G5" s="92">
        <v>5</v>
      </c>
      <c r="H5" s="92">
        <v>4</v>
      </c>
      <c r="I5" s="92">
        <v>5</v>
      </c>
      <c r="J5" s="92">
        <v>2</v>
      </c>
      <c r="K5" s="92"/>
      <c r="L5" s="92">
        <v>6</v>
      </c>
      <c r="M5" s="92"/>
      <c r="N5" s="92">
        <v>7</v>
      </c>
      <c r="O5" s="92"/>
      <c r="P5" s="93">
        <f>SUM(D5:O5)</f>
        <v>31</v>
      </c>
    </row>
    <row r="6" spans="2:20" x14ac:dyDescent="0.3">
      <c r="B6" s="91" t="s">
        <v>153</v>
      </c>
      <c r="C6" s="91" t="s">
        <v>127</v>
      </c>
      <c r="D6" s="92" t="s">
        <v>154</v>
      </c>
      <c r="E6" s="92"/>
      <c r="F6" s="92">
        <v>1</v>
      </c>
      <c r="G6" s="92">
        <v>1</v>
      </c>
      <c r="H6" s="92"/>
      <c r="I6" s="92">
        <v>0</v>
      </c>
      <c r="J6" s="92"/>
      <c r="K6" s="92"/>
      <c r="L6" s="92"/>
      <c r="M6" s="92"/>
      <c r="N6" s="92"/>
      <c r="O6" s="92">
        <v>1</v>
      </c>
      <c r="P6" s="93">
        <f>SUM(D6:O6)</f>
        <v>3</v>
      </c>
    </row>
    <row r="8" spans="2:20" x14ac:dyDescent="0.3">
      <c r="B8" s="487" t="s">
        <v>173</v>
      </c>
      <c r="C8" s="94">
        <v>12600</v>
      </c>
      <c r="D8" s="491" t="s">
        <v>174</v>
      </c>
      <c r="E8" s="491"/>
      <c r="F8" s="178">
        <f>$C$22/12</f>
        <v>16486.916666666668</v>
      </c>
      <c r="G8" s="88">
        <v>6</v>
      </c>
      <c r="H8" s="180">
        <f>C8/G8</f>
        <v>2100</v>
      </c>
    </row>
    <row r="9" spans="2:20" x14ac:dyDescent="0.3">
      <c r="B9" s="488"/>
      <c r="C9" s="94">
        <v>11063.8</v>
      </c>
      <c r="D9" s="491" t="s">
        <v>175</v>
      </c>
      <c r="E9" s="491"/>
      <c r="F9" s="178">
        <f t="shared" ref="F9:F20" si="0">$C$22/12</f>
        <v>16486.916666666668</v>
      </c>
      <c r="G9" s="88">
        <v>4</v>
      </c>
      <c r="H9" s="180">
        <f t="shared" ref="H9:H15" si="1">C9/G9</f>
        <v>2765.95</v>
      </c>
    </row>
    <row r="10" spans="2:20" x14ac:dyDescent="0.3">
      <c r="B10" s="488"/>
      <c r="C10" s="94">
        <v>18919</v>
      </c>
      <c r="D10" s="491" t="s">
        <v>176</v>
      </c>
      <c r="E10" s="491"/>
      <c r="F10" s="178">
        <f t="shared" si="0"/>
        <v>16486.916666666668</v>
      </c>
      <c r="G10" s="88">
        <v>7</v>
      </c>
      <c r="H10" s="180">
        <f t="shared" si="1"/>
        <v>2702.7142857142858</v>
      </c>
    </row>
    <row r="11" spans="2:20" x14ac:dyDescent="0.3">
      <c r="B11" s="488"/>
      <c r="C11" s="94">
        <v>15859.1</v>
      </c>
      <c r="D11" s="491" t="s">
        <v>210</v>
      </c>
      <c r="E11" s="491"/>
      <c r="F11" s="178">
        <f t="shared" si="0"/>
        <v>16486.916666666668</v>
      </c>
      <c r="G11" s="88">
        <v>7</v>
      </c>
      <c r="H11" s="180">
        <f t="shared" si="1"/>
        <v>2265.5857142857144</v>
      </c>
    </row>
    <row r="12" spans="2:20" x14ac:dyDescent="0.3">
      <c r="B12" s="488"/>
      <c r="C12" s="94">
        <v>16572</v>
      </c>
      <c r="D12" s="491" t="s">
        <v>211</v>
      </c>
      <c r="E12" s="491"/>
      <c r="F12" s="178">
        <f t="shared" si="0"/>
        <v>16486.916666666668</v>
      </c>
      <c r="G12" s="88">
        <v>7</v>
      </c>
      <c r="H12" s="180">
        <f t="shared" si="1"/>
        <v>2367.4285714285716</v>
      </c>
    </row>
    <row r="13" spans="2:20" x14ac:dyDescent="0.3">
      <c r="B13" s="488"/>
      <c r="C13" s="94">
        <v>18478</v>
      </c>
      <c r="D13" s="491" t="s">
        <v>212</v>
      </c>
      <c r="E13" s="491"/>
      <c r="F13" s="178">
        <f t="shared" si="0"/>
        <v>16486.916666666668</v>
      </c>
      <c r="G13" s="88">
        <v>8</v>
      </c>
      <c r="H13" s="180">
        <f t="shared" si="1"/>
        <v>2309.75</v>
      </c>
    </row>
    <row r="14" spans="2:20" x14ac:dyDescent="0.3">
      <c r="B14" s="488"/>
      <c r="C14" s="94">
        <v>21009</v>
      </c>
      <c r="D14" s="491" t="s">
        <v>213</v>
      </c>
      <c r="E14" s="491"/>
      <c r="F14" s="178">
        <f t="shared" si="0"/>
        <v>16486.916666666668</v>
      </c>
      <c r="G14" s="88">
        <v>7</v>
      </c>
      <c r="H14" s="180">
        <f t="shared" si="1"/>
        <v>3001.2857142857142</v>
      </c>
    </row>
    <row r="15" spans="2:20" x14ac:dyDescent="0.3">
      <c r="B15" s="488"/>
      <c r="C15" s="94">
        <v>19913</v>
      </c>
      <c r="D15" s="491" t="s">
        <v>214</v>
      </c>
      <c r="E15" s="491"/>
      <c r="F15" s="178">
        <f t="shared" si="0"/>
        <v>16486.916666666668</v>
      </c>
      <c r="G15" s="88">
        <v>6</v>
      </c>
      <c r="H15" s="180">
        <f t="shared" si="1"/>
        <v>3318.8333333333335</v>
      </c>
    </row>
    <row r="16" spans="2:20" x14ac:dyDescent="0.3">
      <c r="B16" s="488"/>
      <c r="C16" s="94"/>
      <c r="D16" s="491" t="s">
        <v>217</v>
      </c>
      <c r="E16" s="491"/>
      <c r="F16" s="178">
        <f t="shared" si="0"/>
        <v>16486.916666666668</v>
      </c>
      <c r="G16" s="179">
        <f>L2</f>
        <v>8</v>
      </c>
      <c r="H16" s="180">
        <f>F16/G16</f>
        <v>2060.8645833333335</v>
      </c>
    </row>
    <row r="17" spans="2:14" x14ac:dyDescent="0.3">
      <c r="B17" s="488"/>
      <c r="C17" s="94"/>
      <c r="D17" s="491" t="s">
        <v>215</v>
      </c>
      <c r="E17" s="491"/>
      <c r="F17" s="178">
        <f t="shared" si="0"/>
        <v>16486.916666666668</v>
      </c>
      <c r="G17" s="88">
        <v>2</v>
      </c>
      <c r="H17" s="180">
        <f>F17/G17</f>
        <v>8243.4583333333339</v>
      </c>
    </row>
    <row r="18" spans="2:14" x14ac:dyDescent="0.3">
      <c r="B18" s="488"/>
      <c r="C18" s="94"/>
      <c r="D18" s="491" t="s">
        <v>218</v>
      </c>
      <c r="E18" s="491"/>
      <c r="F18" s="178">
        <f t="shared" si="0"/>
        <v>16486.916666666668</v>
      </c>
      <c r="G18" s="88">
        <v>6</v>
      </c>
      <c r="H18" s="180">
        <f>F18/G18</f>
        <v>2747.8194444444448</v>
      </c>
    </row>
    <row r="19" spans="2:14" x14ac:dyDescent="0.3">
      <c r="B19" s="488"/>
      <c r="C19" s="94"/>
      <c r="D19" s="491" t="s">
        <v>216</v>
      </c>
      <c r="E19" s="491"/>
      <c r="F19" s="178">
        <f t="shared" si="0"/>
        <v>16486.916666666668</v>
      </c>
      <c r="G19" s="88">
        <v>18</v>
      </c>
      <c r="H19" s="180">
        <f>F19/G19</f>
        <v>915.93981481481489</v>
      </c>
    </row>
    <row r="20" spans="2:14" x14ac:dyDescent="0.3">
      <c r="B20" s="489"/>
      <c r="C20" s="94">
        <v>16667</v>
      </c>
      <c r="D20" s="491" t="s">
        <v>223</v>
      </c>
      <c r="E20" s="491"/>
      <c r="F20" s="178">
        <f t="shared" si="0"/>
        <v>16486.916666666668</v>
      </c>
    </row>
    <row r="21" spans="2:14" x14ac:dyDescent="0.3">
      <c r="B21" s="89" t="s">
        <v>177</v>
      </c>
      <c r="C21" s="96">
        <v>214510</v>
      </c>
      <c r="D21" s="490"/>
      <c r="E21" s="490"/>
    </row>
    <row r="22" spans="2:14" x14ac:dyDescent="0.3">
      <c r="C22" s="116">
        <f>C21-C20</f>
        <v>197843</v>
      </c>
    </row>
    <row r="24" spans="2:14" ht="16.5" thickBot="1" x14ac:dyDescent="0.35">
      <c r="B24" s="97" t="s">
        <v>178</v>
      </c>
    </row>
    <row r="25" spans="2:14" ht="32.25" thickBot="1" x14ac:dyDescent="0.35">
      <c r="B25" s="157" t="s">
        <v>131</v>
      </c>
      <c r="C25" s="158" t="s">
        <v>132</v>
      </c>
      <c r="D25" s="158" t="s">
        <v>179</v>
      </c>
      <c r="E25" s="158" t="s">
        <v>180</v>
      </c>
      <c r="F25" s="158" t="s">
        <v>181</v>
      </c>
      <c r="G25" s="159" t="s">
        <v>182</v>
      </c>
      <c r="H25" s="158" t="s">
        <v>183</v>
      </c>
      <c r="I25" s="158" t="s">
        <v>184</v>
      </c>
      <c r="J25" s="160" t="s">
        <v>185</v>
      </c>
      <c r="M25" s="89" t="s">
        <v>186</v>
      </c>
      <c r="N25" s="98" t="s">
        <v>187</v>
      </c>
    </row>
    <row r="26" spans="2:14" x14ac:dyDescent="0.3">
      <c r="B26" s="99" t="s">
        <v>148</v>
      </c>
      <c r="C26" s="99" t="s">
        <v>149</v>
      </c>
      <c r="D26" s="100">
        <f>+P2</f>
        <v>86</v>
      </c>
      <c r="E26" s="144">
        <v>5</v>
      </c>
      <c r="F26" s="144">
        <v>9</v>
      </c>
      <c r="G26" s="101">
        <f>D26-E26-F26</f>
        <v>72</v>
      </c>
      <c r="H26" s="102">
        <f>+$C$22/G26</f>
        <v>2747.8194444444443</v>
      </c>
      <c r="I26" s="102">
        <v>3000</v>
      </c>
      <c r="J26" s="103">
        <f>+H26/I26</f>
        <v>0.91593981481481479</v>
      </c>
      <c r="M26" s="104">
        <v>1</v>
      </c>
      <c r="N26" s="91" t="s">
        <v>149</v>
      </c>
    </row>
    <row r="27" spans="2:14" x14ac:dyDescent="0.3">
      <c r="B27" s="99" t="s">
        <v>150</v>
      </c>
      <c r="C27" s="99" t="s">
        <v>151</v>
      </c>
      <c r="D27" s="100">
        <f>+P3</f>
        <v>14</v>
      </c>
      <c r="E27" s="144">
        <v>0</v>
      </c>
      <c r="F27" s="144">
        <v>0</v>
      </c>
      <c r="G27" s="101">
        <f>D27-E27-F27</f>
        <v>14</v>
      </c>
      <c r="H27" s="102">
        <f>+$C$22/G27</f>
        <v>14131.642857142857</v>
      </c>
      <c r="I27" s="102">
        <v>13000</v>
      </c>
      <c r="J27" s="103">
        <f>+H27/I27</f>
        <v>1.0870494505494506</v>
      </c>
      <c r="M27" s="104">
        <v>0</v>
      </c>
      <c r="N27" s="91" t="s">
        <v>151</v>
      </c>
    </row>
    <row r="28" spans="2:14" x14ac:dyDescent="0.3">
      <c r="B28" s="99" t="s">
        <v>152</v>
      </c>
      <c r="C28" s="99" t="s">
        <v>126</v>
      </c>
      <c r="D28" s="100">
        <f>+P4</f>
        <v>30</v>
      </c>
      <c r="E28" s="144">
        <v>2</v>
      </c>
      <c r="F28" s="144">
        <v>6</v>
      </c>
      <c r="G28" s="101">
        <f>D28-E28-F28</f>
        <v>22</v>
      </c>
      <c r="H28" s="102">
        <f>+$C$22/G28</f>
        <v>8992.863636363636</v>
      </c>
      <c r="I28" s="102">
        <v>8500</v>
      </c>
      <c r="J28" s="103">
        <f>+H28/I28</f>
        <v>1.0579839572192513</v>
      </c>
      <c r="M28" s="104">
        <v>0</v>
      </c>
      <c r="N28" s="91" t="s">
        <v>126</v>
      </c>
    </row>
    <row r="29" spans="2:14" x14ac:dyDescent="0.3">
      <c r="B29" s="99" t="s">
        <v>13</v>
      </c>
      <c r="C29" s="99" t="s">
        <v>128</v>
      </c>
      <c r="D29" s="105">
        <f>+P5</f>
        <v>31</v>
      </c>
      <c r="E29" s="144">
        <v>0</v>
      </c>
      <c r="F29" s="144">
        <v>0</v>
      </c>
      <c r="G29" s="101">
        <f>D29-E29-F29</f>
        <v>31</v>
      </c>
      <c r="H29" s="102">
        <f>+$C$22/(G29/3)</f>
        <v>19146.096774193546</v>
      </c>
      <c r="I29" s="102">
        <v>13000</v>
      </c>
      <c r="J29" s="103">
        <f>+H29/I29</f>
        <v>1.4727766749379649</v>
      </c>
      <c r="M29" s="104">
        <v>0</v>
      </c>
      <c r="N29" s="91" t="s">
        <v>128</v>
      </c>
    </row>
    <row r="30" spans="2:14" ht="16.5" thickBot="1" x14ac:dyDescent="0.35">
      <c r="B30" s="106" t="s">
        <v>153</v>
      </c>
      <c r="C30" s="106" t="s">
        <v>127</v>
      </c>
      <c r="D30" s="107">
        <f>+P6</f>
        <v>3</v>
      </c>
      <c r="E30" s="145">
        <v>0</v>
      </c>
      <c r="F30" s="145">
        <v>0</v>
      </c>
      <c r="G30" s="109">
        <f>D30-E30-F30</f>
        <v>3</v>
      </c>
      <c r="H30" s="110">
        <f>C22/2</f>
        <v>98921.5</v>
      </c>
      <c r="I30" s="110">
        <v>43000</v>
      </c>
      <c r="J30" s="111">
        <f>+H30/I30</f>
        <v>2.3005</v>
      </c>
      <c r="M30" s="104">
        <v>0</v>
      </c>
      <c r="N30" s="91" t="s">
        <v>127</v>
      </c>
    </row>
    <row r="32" spans="2:14" x14ac:dyDescent="0.3">
      <c r="B32" s="88" t="s">
        <v>188</v>
      </c>
      <c r="M32" s="112">
        <v>44646</v>
      </c>
      <c r="N32" s="95" t="s">
        <v>189</v>
      </c>
    </row>
    <row r="33" spans="2:15" x14ac:dyDescent="0.3">
      <c r="B33" s="88" t="s">
        <v>190</v>
      </c>
      <c r="M33" s="112">
        <v>44823</v>
      </c>
      <c r="N33" s="95" t="s">
        <v>219</v>
      </c>
      <c r="O33" s="112"/>
    </row>
    <row r="35" spans="2:15" x14ac:dyDescent="0.3">
      <c r="B35" s="113"/>
    </row>
    <row r="36" spans="2:15" x14ac:dyDescent="0.3">
      <c r="C36" s="114" t="s">
        <v>191</v>
      </c>
      <c r="D36" s="114" t="s">
        <v>220</v>
      </c>
      <c r="E36" s="114" t="s">
        <v>192</v>
      </c>
    </row>
    <row r="37" spans="2:15" x14ac:dyDescent="0.3">
      <c r="C37" s="114" t="s">
        <v>221</v>
      </c>
      <c r="D37" s="114"/>
      <c r="E37" s="114"/>
    </row>
    <row r="38" spans="2:15" x14ac:dyDescent="0.3">
      <c r="C38" s="114" t="s">
        <v>222</v>
      </c>
      <c r="D38" s="114"/>
      <c r="E38" s="114"/>
    </row>
    <row r="39" spans="2:15" x14ac:dyDescent="0.3">
      <c r="C39" s="114" t="s">
        <v>193</v>
      </c>
      <c r="D39" s="115"/>
      <c r="E39" s="115"/>
    </row>
    <row r="40" spans="2:15" x14ac:dyDescent="0.3">
      <c r="C40" s="114" t="s">
        <v>194</v>
      </c>
      <c r="D40" s="115">
        <v>5514</v>
      </c>
      <c r="E40" s="115">
        <v>10345</v>
      </c>
    </row>
    <row r="41" spans="2:15" x14ac:dyDescent="0.3">
      <c r="C41" s="114" t="s">
        <v>195</v>
      </c>
      <c r="D41" s="115">
        <v>6434</v>
      </c>
      <c r="E41" s="115">
        <v>10138</v>
      </c>
    </row>
    <row r="42" spans="2:15" x14ac:dyDescent="0.3">
      <c r="C42" s="114" t="s">
        <v>196</v>
      </c>
      <c r="D42" s="115">
        <v>10237</v>
      </c>
      <c r="E42" s="115">
        <v>8241</v>
      </c>
    </row>
    <row r="43" spans="2:15" x14ac:dyDescent="0.3">
      <c r="C43" s="114" t="s">
        <v>197</v>
      </c>
      <c r="D43" s="115">
        <v>9304</v>
      </c>
      <c r="E43" s="115">
        <v>11705</v>
      </c>
    </row>
    <row r="44" spans="2:15" x14ac:dyDescent="0.3">
      <c r="C44" s="114" t="s">
        <v>198</v>
      </c>
      <c r="D44" s="115">
        <v>8068</v>
      </c>
      <c r="E44" s="115">
        <v>11845</v>
      </c>
    </row>
    <row r="45" spans="2:15" x14ac:dyDescent="0.3">
      <c r="C45" s="114" t="s">
        <v>199</v>
      </c>
      <c r="D45" s="115"/>
      <c r="E45" s="115"/>
    </row>
    <row r="46" spans="2:15" x14ac:dyDescent="0.3">
      <c r="C46" s="114" t="s">
        <v>200</v>
      </c>
      <c r="D46" s="115"/>
      <c r="E46" s="115"/>
    </row>
    <row r="47" spans="2:15" x14ac:dyDescent="0.3">
      <c r="C47" s="114" t="s">
        <v>201</v>
      </c>
      <c r="D47" s="115"/>
      <c r="E47" s="115"/>
    </row>
    <row r="48" spans="2:15" x14ac:dyDescent="0.3">
      <c r="C48" s="114" t="s">
        <v>202</v>
      </c>
      <c r="D48" s="115">
        <v>8675</v>
      </c>
      <c r="E48" s="115">
        <v>7992</v>
      </c>
    </row>
    <row r="49" spans="3:6" x14ac:dyDescent="0.3">
      <c r="C49" s="89" t="s">
        <v>203</v>
      </c>
      <c r="D49" s="96">
        <f>SUM(D39:D48)</f>
        <v>48232</v>
      </c>
      <c r="E49" s="96">
        <f>SUM(E39:E48)</f>
        <v>60266</v>
      </c>
      <c r="F49" s="116">
        <f>SUM(D49:E49)</f>
        <v>108498</v>
      </c>
    </row>
  </sheetData>
  <mergeCells count="15">
    <mergeCell ref="B8:B20"/>
    <mergeCell ref="D21:E21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</mergeCells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9">
    <tabColor rgb="FFFF0000"/>
  </sheetPr>
  <dimension ref="B1:T122"/>
  <sheetViews>
    <sheetView showGridLines="0" topLeftCell="A33" zoomScale="85" zoomScaleNormal="85" workbookViewId="0">
      <selection activeCell="H82" sqref="H82"/>
    </sheetView>
  </sheetViews>
  <sheetFormatPr baseColWidth="10" defaultColWidth="10.42578125" defaultRowHeight="15.75" x14ac:dyDescent="0.3"/>
  <cols>
    <col min="1" max="1" width="5" style="88" customWidth="1"/>
    <col min="2" max="2" width="19.28515625" style="88" customWidth="1"/>
    <col min="3" max="3" width="48.85546875" style="88" bestFit="1" customWidth="1"/>
    <col min="4" max="16" width="9" style="88" customWidth="1"/>
    <col min="17" max="17" width="18.7109375" style="88" customWidth="1"/>
    <col min="18" max="18" width="8.28515625" style="88" customWidth="1"/>
    <col min="19" max="19" width="7.85546875" style="88" bestFit="1" customWidth="1"/>
    <col min="20" max="20" width="12" style="88" bestFit="1" customWidth="1"/>
    <col min="21" max="21" width="42.7109375" style="88" bestFit="1" customWidth="1"/>
    <col min="22" max="16384" width="10.42578125" style="88"/>
  </cols>
  <sheetData>
    <row r="1" spans="2:20" ht="31.5" customHeight="1" x14ac:dyDescent="0.3">
      <c r="B1" s="402" t="s">
        <v>1</v>
      </c>
      <c r="C1" s="402" t="s">
        <v>2</v>
      </c>
      <c r="D1" s="147">
        <v>45292</v>
      </c>
      <c r="E1" s="147">
        <v>45323</v>
      </c>
      <c r="F1" s="147">
        <v>45352</v>
      </c>
      <c r="G1" s="147">
        <v>45383</v>
      </c>
      <c r="H1" s="147">
        <v>45413</v>
      </c>
      <c r="I1" s="147">
        <v>45444</v>
      </c>
      <c r="J1" s="147">
        <v>45474</v>
      </c>
      <c r="K1" s="147">
        <v>45505</v>
      </c>
      <c r="L1" s="147">
        <v>45536</v>
      </c>
      <c r="M1" s="147">
        <v>45566</v>
      </c>
      <c r="N1" s="147">
        <v>45597</v>
      </c>
      <c r="O1" s="147">
        <v>45627</v>
      </c>
      <c r="P1" s="87" t="s">
        <v>27</v>
      </c>
      <c r="S1" s="89"/>
      <c r="T1" s="90"/>
    </row>
    <row r="2" spans="2:20" x14ac:dyDescent="0.3">
      <c r="B2" s="485" t="s">
        <v>466</v>
      </c>
      <c r="C2" s="485"/>
      <c r="D2" s="485"/>
      <c r="E2" s="485"/>
      <c r="F2" s="485"/>
      <c r="G2" s="485"/>
      <c r="H2" s="485"/>
      <c r="I2" s="485"/>
      <c r="J2" s="485"/>
      <c r="K2" s="485"/>
      <c r="L2" s="485"/>
      <c r="M2" s="485"/>
      <c r="N2" s="485"/>
      <c r="O2" s="485"/>
      <c r="P2" s="485"/>
    </row>
    <row r="3" spans="2:20" x14ac:dyDescent="0.3">
      <c r="B3" s="398">
        <v>1135749</v>
      </c>
      <c r="C3" s="398" t="s">
        <v>7</v>
      </c>
      <c r="D3" s="92"/>
      <c r="E3" s="92"/>
      <c r="F3" s="92"/>
      <c r="G3" s="92"/>
      <c r="H3" s="92"/>
      <c r="I3" s="92"/>
      <c r="J3" s="92"/>
      <c r="K3" s="92">
        <v>5</v>
      </c>
      <c r="L3" s="92"/>
      <c r="M3" s="92"/>
      <c r="N3" s="92"/>
      <c r="O3" s="92"/>
      <c r="P3" s="93">
        <f>SUM(D3:O3)</f>
        <v>5</v>
      </c>
      <c r="S3" s="89"/>
    </row>
    <row r="4" spans="2:20" x14ac:dyDescent="0.3">
      <c r="B4" s="398">
        <v>1135750</v>
      </c>
      <c r="C4" s="398" t="s">
        <v>9</v>
      </c>
      <c r="D4" s="92"/>
      <c r="E4" s="92"/>
      <c r="F4" s="92"/>
      <c r="G4" s="92"/>
      <c r="H4" s="92"/>
      <c r="I4" s="92"/>
      <c r="J4" s="92"/>
      <c r="K4" s="92">
        <v>16</v>
      </c>
      <c r="L4" s="92"/>
      <c r="M4" s="92"/>
      <c r="N4" s="92"/>
      <c r="O4" s="92"/>
      <c r="P4" s="93">
        <f>SUM(D4:O4)</f>
        <v>16</v>
      </c>
      <c r="S4" s="89"/>
    </row>
    <row r="5" spans="2:20" x14ac:dyDescent="0.3">
      <c r="B5" s="398">
        <v>1135753</v>
      </c>
      <c r="C5" s="398" t="s">
        <v>10</v>
      </c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>
        <f>SUM(D5:O5)</f>
        <v>0</v>
      </c>
      <c r="S5" s="89"/>
    </row>
    <row r="6" spans="2:20" x14ac:dyDescent="0.3">
      <c r="B6" s="398">
        <v>1135752</v>
      </c>
      <c r="C6" s="398" t="s">
        <v>11</v>
      </c>
      <c r="D6" s="92"/>
      <c r="E6" s="92"/>
      <c r="F6" s="92"/>
      <c r="G6" s="92"/>
      <c r="H6" s="92"/>
      <c r="I6" s="92"/>
      <c r="J6" s="92"/>
      <c r="K6" s="92">
        <v>1</v>
      </c>
      <c r="L6" s="92"/>
      <c r="M6" s="92"/>
      <c r="N6" s="92"/>
      <c r="O6" s="92"/>
      <c r="P6" s="93">
        <f>SUM(D6:O6)</f>
        <v>1</v>
      </c>
    </row>
    <row r="7" spans="2:20" x14ac:dyDescent="0.3">
      <c r="B7" s="398">
        <v>1135751</v>
      </c>
      <c r="C7" s="398" t="s">
        <v>12</v>
      </c>
      <c r="D7" s="92"/>
      <c r="E7" s="92"/>
      <c r="F7" s="92"/>
      <c r="G7" s="92"/>
      <c r="H7" s="92"/>
      <c r="I7" s="92"/>
      <c r="J7" s="92"/>
      <c r="K7" s="92">
        <v>9</v>
      </c>
      <c r="L7" s="92"/>
      <c r="M7" s="92"/>
      <c r="N7" s="92"/>
      <c r="O7" s="92"/>
      <c r="P7" s="93">
        <f>SUM(D7:O7)</f>
        <v>9</v>
      </c>
    </row>
    <row r="8" spans="2:20" x14ac:dyDescent="0.3">
      <c r="B8" s="485" t="s">
        <v>129</v>
      </c>
      <c r="C8" s="485"/>
      <c r="D8" s="485"/>
      <c r="E8" s="485"/>
      <c r="F8" s="485"/>
      <c r="G8" s="485"/>
      <c r="H8" s="485"/>
      <c r="I8" s="485"/>
      <c r="J8" s="485"/>
      <c r="K8" s="485"/>
      <c r="L8" s="485"/>
      <c r="M8" s="485"/>
      <c r="N8" s="485"/>
      <c r="O8" s="485"/>
      <c r="P8" s="485"/>
    </row>
    <row r="9" spans="2:20" x14ac:dyDescent="0.3">
      <c r="B9" s="398">
        <v>1140327</v>
      </c>
      <c r="C9" s="398" t="s">
        <v>394</v>
      </c>
      <c r="D9" s="92"/>
      <c r="E9" s="92"/>
      <c r="F9" s="92"/>
      <c r="G9" s="92"/>
      <c r="H9" s="92"/>
      <c r="I9" s="92"/>
      <c r="J9" s="92"/>
      <c r="K9" s="92"/>
      <c r="L9" s="92">
        <v>4</v>
      </c>
      <c r="M9" s="92"/>
      <c r="N9" s="92"/>
      <c r="O9" s="92"/>
      <c r="P9" s="93">
        <f>SUM(D9:O9)</f>
        <v>4</v>
      </c>
    </row>
    <row r="10" spans="2:20" x14ac:dyDescent="0.3">
      <c r="B10" s="398">
        <v>1151231</v>
      </c>
      <c r="C10" s="398" t="s">
        <v>395</v>
      </c>
      <c r="D10" s="92"/>
      <c r="E10" s="92"/>
      <c r="F10" s="92"/>
      <c r="G10" s="92"/>
      <c r="H10" s="92"/>
      <c r="I10" s="92"/>
      <c r="J10" s="92"/>
      <c r="K10" s="92"/>
      <c r="L10" s="92">
        <v>3</v>
      </c>
      <c r="M10" s="92"/>
      <c r="N10" s="92"/>
      <c r="O10" s="92"/>
      <c r="P10" s="93">
        <f>SUM(D10:O10)</f>
        <v>3</v>
      </c>
    </row>
    <row r="11" spans="2:20" x14ac:dyDescent="0.3">
      <c r="B11" s="485" t="s">
        <v>467</v>
      </c>
      <c r="C11" s="485"/>
      <c r="D11" s="485"/>
      <c r="E11" s="485"/>
      <c r="F11" s="485"/>
      <c r="G11" s="485"/>
      <c r="H11" s="485"/>
      <c r="I11" s="485"/>
      <c r="J11" s="485"/>
      <c r="K11" s="485"/>
      <c r="L11" s="485"/>
      <c r="M11" s="485"/>
      <c r="N11" s="485"/>
      <c r="O11" s="485"/>
      <c r="P11" s="485"/>
    </row>
    <row r="12" spans="2:20" x14ac:dyDescent="0.3">
      <c r="B12" s="398">
        <v>1146032</v>
      </c>
      <c r="C12" s="398" t="s">
        <v>396</v>
      </c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3">
        <f>SUM(D12:O12)</f>
        <v>0</v>
      </c>
    </row>
    <row r="13" spans="2:20" x14ac:dyDescent="0.3">
      <c r="B13" s="398">
        <v>1146021</v>
      </c>
      <c r="C13" s="398" t="s">
        <v>397</v>
      </c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3">
        <f>SUM(D13:O13)</f>
        <v>0</v>
      </c>
    </row>
    <row r="14" spans="2:20" x14ac:dyDescent="0.3">
      <c r="B14" s="398">
        <v>1146018</v>
      </c>
      <c r="C14" s="398" t="s">
        <v>398</v>
      </c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3">
        <f>SUM(D14:O14)</f>
        <v>0</v>
      </c>
    </row>
    <row r="15" spans="2:20" x14ac:dyDescent="0.3">
      <c r="B15" s="398">
        <v>1146024</v>
      </c>
      <c r="C15" s="398" t="s">
        <v>399</v>
      </c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3">
        <f>SUM(D15:O15)</f>
        <v>0</v>
      </c>
    </row>
    <row r="16" spans="2:20" x14ac:dyDescent="0.3">
      <c r="B16" s="398">
        <v>1146028</v>
      </c>
      <c r="C16" s="398" t="s">
        <v>400</v>
      </c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3">
        <f>SUM(D16:O16)</f>
        <v>0</v>
      </c>
    </row>
    <row r="17" spans="2:16" x14ac:dyDescent="0.3">
      <c r="B17" s="485" t="s">
        <v>468</v>
      </c>
      <c r="C17" s="485"/>
      <c r="D17" s="485"/>
      <c r="E17" s="485"/>
      <c r="F17" s="485"/>
      <c r="G17" s="485"/>
      <c r="H17" s="485"/>
      <c r="I17" s="485"/>
      <c r="J17" s="485"/>
      <c r="K17" s="485"/>
      <c r="L17" s="485"/>
      <c r="M17" s="485"/>
      <c r="N17" s="485"/>
      <c r="O17" s="485"/>
      <c r="P17" s="485"/>
    </row>
    <row r="18" spans="2:16" x14ac:dyDescent="0.3">
      <c r="B18" s="398">
        <v>1146031</v>
      </c>
      <c r="C18" s="398" t="s">
        <v>401</v>
      </c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3">
        <f>SUM(D18:O18)</f>
        <v>0</v>
      </c>
    </row>
    <row r="19" spans="2:16" x14ac:dyDescent="0.3">
      <c r="B19" s="398">
        <v>1146020</v>
      </c>
      <c r="C19" s="398" t="s">
        <v>402</v>
      </c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3">
        <f>SUM(D19:O19)</f>
        <v>0</v>
      </c>
    </row>
    <row r="20" spans="2:16" x14ac:dyDescent="0.3">
      <c r="B20" s="398">
        <v>1146016</v>
      </c>
      <c r="C20" s="398" t="s">
        <v>398</v>
      </c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3">
        <f>SUM(D20:O20)</f>
        <v>0</v>
      </c>
    </row>
    <row r="21" spans="2:16" x14ac:dyDescent="0.3">
      <c r="B21" s="398">
        <v>1146022</v>
      </c>
      <c r="C21" s="398" t="s">
        <v>403</v>
      </c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3">
        <f>SUM(D21:O21)</f>
        <v>0</v>
      </c>
    </row>
    <row r="22" spans="2:16" x14ac:dyDescent="0.3">
      <c r="B22" s="398">
        <v>1146027</v>
      </c>
      <c r="C22" s="398" t="s">
        <v>404</v>
      </c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3">
        <f>SUM(D22:O22)</f>
        <v>0</v>
      </c>
    </row>
    <row r="23" spans="2:16" x14ac:dyDescent="0.3">
      <c r="B23" s="485" t="s">
        <v>469</v>
      </c>
      <c r="C23" s="485"/>
      <c r="D23" s="485"/>
      <c r="E23" s="485"/>
      <c r="F23" s="485"/>
      <c r="G23" s="485"/>
      <c r="H23" s="485"/>
      <c r="I23" s="485"/>
      <c r="J23" s="485"/>
      <c r="K23" s="485"/>
      <c r="L23" s="485"/>
      <c r="M23" s="485"/>
      <c r="N23" s="485"/>
      <c r="O23" s="485"/>
      <c r="P23" s="485"/>
    </row>
    <row r="24" spans="2:16" x14ac:dyDescent="0.3">
      <c r="B24" s="398">
        <v>1151653</v>
      </c>
      <c r="C24" s="398" t="s">
        <v>405</v>
      </c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3">
        <f>SUM(D24:O24)</f>
        <v>0</v>
      </c>
    </row>
    <row r="25" spans="2:16" x14ac:dyDescent="0.3">
      <c r="B25" s="398">
        <v>1151650</v>
      </c>
      <c r="C25" s="398" t="s">
        <v>406</v>
      </c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3">
        <f>SUM(D25:O25)</f>
        <v>0</v>
      </c>
    </row>
    <row r="26" spans="2:16" x14ac:dyDescent="0.3">
      <c r="B26" s="398">
        <v>1151649</v>
      </c>
      <c r="C26" s="398" t="s">
        <v>407</v>
      </c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3">
        <f>SUM(D26:O26)</f>
        <v>0</v>
      </c>
    </row>
    <row r="27" spans="2:16" x14ac:dyDescent="0.3">
      <c r="B27" s="398">
        <v>1151651</v>
      </c>
      <c r="C27" s="398" t="s">
        <v>408</v>
      </c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>
        <f>SUM(D27:O27)</f>
        <v>0</v>
      </c>
    </row>
    <row r="28" spans="2:16" x14ac:dyDescent="0.3">
      <c r="B28" s="398">
        <v>1146029</v>
      </c>
      <c r="C28" s="398" t="s">
        <v>409</v>
      </c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3">
        <f>SUM(D28:O28)</f>
        <v>0</v>
      </c>
    </row>
    <row r="29" spans="2:16" x14ac:dyDescent="0.3">
      <c r="B29" s="485" t="s">
        <v>470</v>
      </c>
      <c r="C29" s="485"/>
      <c r="D29" s="485"/>
      <c r="E29" s="485"/>
      <c r="F29" s="485"/>
      <c r="G29" s="485"/>
      <c r="H29" s="485"/>
      <c r="I29" s="485"/>
      <c r="J29" s="485"/>
      <c r="K29" s="485"/>
      <c r="L29" s="485"/>
      <c r="M29" s="485"/>
      <c r="N29" s="485"/>
      <c r="O29" s="485"/>
      <c r="P29" s="485"/>
    </row>
    <row r="30" spans="2:16" x14ac:dyDescent="0.3">
      <c r="B30" s="398">
        <v>1699118</v>
      </c>
      <c r="C30" s="398" t="s">
        <v>411</v>
      </c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3">
        <f>SUM(D30:O30)</f>
        <v>0</v>
      </c>
    </row>
    <row r="31" spans="2:16" x14ac:dyDescent="0.3">
      <c r="B31" s="398">
        <v>1699119</v>
      </c>
      <c r="C31" s="398" t="s">
        <v>412</v>
      </c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3">
        <f>SUM(D31:O31)</f>
        <v>0</v>
      </c>
    </row>
    <row r="32" spans="2:16" x14ac:dyDescent="0.3">
      <c r="B32" s="398">
        <v>1699130</v>
      </c>
      <c r="C32" s="398" t="s">
        <v>413</v>
      </c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>
        <f>SUM(D32:O32)</f>
        <v>0</v>
      </c>
    </row>
    <row r="33" spans="2:17" x14ac:dyDescent="0.3">
      <c r="B33" s="398">
        <v>1699131</v>
      </c>
      <c r="C33" s="398" t="s">
        <v>414</v>
      </c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3">
        <f>SUM(D33:O33)</f>
        <v>0</v>
      </c>
    </row>
    <row r="34" spans="2:17" x14ac:dyDescent="0.3">
      <c r="B34" s="398">
        <v>1699132</v>
      </c>
      <c r="C34" s="398" t="s">
        <v>415</v>
      </c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3">
        <f>SUM(D34:O34)</f>
        <v>0</v>
      </c>
    </row>
    <row r="35" spans="2:17" x14ac:dyDescent="0.3">
      <c r="B35" s="399"/>
      <c r="C35" s="399"/>
      <c r="D35" s="400"/>
      <c r="E35" s="400"/>
      <c r="F35" s="400"/>
      <c r="G35" s="400"/>
      <c r="H35" s="400"/>
      <c r="I35" s="400"/>
      <c r="J35" s="400"/>
      <c r="K35" s="400"/>
      <c r="L35" s="400"/>
      <c r="M35" s="400"/>
      <c r="N35" s="400"/>
      <c r="O35" s="400"/>
      <c r="P35" s="401"/>
    </row>
    <row r="36" spans="2:17" x14ac:dyDescent="0.3">
      <c r="B36" s="399"/>
      <c r="C36" s="399"/>
      <c r="D36" s="400"/>
      <c r="E36" s="400"/>
      <c r="F36" s="400"/>
      <c r="G36" s="400"/>
      <c r="H36" s="400"/>
      <c r="I36" s="400"/>
      <c r="J36" s="400"/>
      <c r="K36" s="400"/>
      <c r="L36" s="400"/>
      <c r="M36" s="400"/>
      <c r="N36" s="400"/>
      <c r="O36" s="400"/>
      <c r="P36" s="401"/>
    </row>
    <row r="37" spans="2:17" x14ac:dyDescent="0.3">
      <c r="B37" s="399"/>
      <c r="C37" s="399"/>
      <c r="D37" s="400"/>
      <c r="E37" s="400"/>
      <c r="F37" s="400"/>
      <c r="G37" s="400"/>
      <c r="H37" s="400"/>
      <c r="I37" s="400"/>
      <c r="J37" s="400"/>
      <c r="K37" s="400"/>
      <c r="L37" s="400"/>
      <c r="M37" s="400"/>
      <c r="N37" s="400"/>
      <c r="O37" s="400"/>
      <c r="P37" s="401"/>
    </row>
    <row r="38" spans="2:17" x14ac:dyDescent="0.3">
      <c r="B38" s="399"/>
      <c r="C38" s="399"/>
      <c r="D38" s="400"/>
      <c r="E38" s="400"/>
      <c r="F38" s="400"/>
      <c r="G38" s="400"/>
      <c r="H38" s="400"/>
      <c r="I38" s="400"/>
      <c r="J38" s="400"/>
      <c r="K38" s="400"/>
      <c r="L38" s="400"/>
      <c r="M38" s="400"/>
      <c r="N38" s="400"/>
      <c r="O38" s="400"/>
      <c r="P38" s="401"/>
    </row>
    <row r="39" spans="2:17" x14ac:dyDescent="0.3">
      <c r="B39" s="399"/>
      <c r="C39" s="399"/>
      <c r="D39" s="400"/>
      <c r="E39" s="400"/>
      <c r="F39" s="400"/>
      <c r="G39" s="400"/>
      <c r="H39" s="400"/>
      <c r="I39" s="400"/>
      <c r="J39" s="400"/>
      <c r="K39" s="400"/>
      <c r="L39" s="400"/>
      <c r="M39" s="400"/>
      <c r="N39" s="400"/>
      <c r="O39" s="400"/>
      <c r="P39" s="401"/>
    </row>
    <row r="40" spans="2:17" x14ac:dyDescent="0.3">
      <c r="B40" s="399"/>
      <c r="C40" s="399"/>
      <c r="D40" s="400"/>
      <c r="E40" s="400"/>
      <c r="F40" s="400"/>
      <c r="G40" s="400"/>
      <c r="H40" s="400"/>
      <c r="I40" s="400"/>
      <c r="J40" s="400"/>
      <c r="K40" s="400"/>
      <c r="L40" s="400"/>
      <c r="M40" s="400"/>
      <c r="N40" s="400"/>
      <c r="O40" s="400"/>
      <c r="P40" s="401"/>
    </row>
    <row r="41" spans="2:17" x14ac:dyDescent="0.3">
      <c r="B41" s="99"/>
      <c r="C41" s="99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</row>
    <row r="42" spans="2:17" x14ac:dyDescent="0.3">
      <c r="B42" s="99"/>
      <c r="C42" s="99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</row>
    <row r="43" spans="2:17" ht="16.5" thickBot="1" x14ac:dyDescent="0.35">
      <c r="B43" s="99"/>
      <c r="C43" s="99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</row>
    <row r="44" spans="2:17" ht="30.75" thickBot="1" x14ac:dyDescent="0.35">
      <c r="B44" s="133" t="s">
        <v>131</v>
      </c>
      <c r="C44" s="133" t="s">
        <v>132</v>
      </c>
      <c r="D44" s="207" t="s">
        <v>171</v>
      </c>
      <c r="E44" s="207" t="s">
        <v>137</v>
      </c>
      <c r="F44" s="207" t="s">
        <v>138</v>
      </c>
      <c r="G44" s="207" t="s">
        <v>139</v>
      </c>
      <c r="H44" s="207" t="s">
        <v>140</v>
      </c>
      <c r="I44" s="207" t="s">
        <v>141</v>
      </c>
      <c r="J44" s="207" t="s">
        <v>142</v>
      </c>
      <c r="K44" s="207" t="s">
        <v>143</v>
      </c>
      <c r="L44" s="207" t="s">
        <v>144</v>
      </c>
      <c r="M44" s="207" t="s">
        <v>145</v>
      </c>
      <c r="N44" s="207" t="s">
        <v>146</v>
      </c>
      <c r="O44" s="208" t="s">
        <v>147</v>
      </c>
      <c r="P44" s="209" t="s">
        <v>20</v>
      </c>
      <c r="Q44" s="206" t="s">
        <v>204</v>
      </c>
    </row>
    <row r="45" spans="2:17" x14ac:dyDescent="0.3">
      <c r="B45" s="485" t="s">
        <v>466</v>
      </c>
      <c r="C45" s="485"/>
      <c r="D45" s="485"/>
      <c r="E45" s="485"/>
      <c r="F45" s="485"/>
      <c r="G45" s="485"/>
      <c r="H45" s="485"/>
      <c r="I45" s="485"/>
      <c r="J45" s="485"/>
      <c r="K45" s="485"/>
      <c r="L45" s="485"/>
      <c r="M45" s="485"/>
      <c r="N45" s="485"/>
      <c r="O45" s="485"/>
      <c r="P45" s="485"/>
      <c r="Q45" s="212"/>
    </row>
    <row r="46" spans="2:17" x14ac:dyDescent="0.3">
      <c r="B46" s="398">
        <v>1135749</v>
      </c>
      <c r="C46" s="398" t="s">
        <v>7</v>
      </c>
      <c r="D46" s="92"/>
      <c r="E46" s="92"/>
      <c r="F46" s="92"/>
      <c r="G46" s="92"/>
      <c r="H46" s="92"/>
      <c r="I46" s="92"/>
      <c r="J46" s="92"/>
      <c r="K46" s="92">
        <v>1</v>
      </c>
      <c r="L46" s="92">
        <v>2</v>
      </c>
      <c r="M46" s="92">
        <v>1</v>
      </c>
      <c r="N46" s="92"/>
      <c r="O46" s="92"/>
      <c r="P46" s="93">
        <f>SUM(D46:O46)</f>
        <v>4</v>
      </c>
      <c r="Q46" s="212">
        <f>AVERAGE(K46:M46)</f>
        <v>1.3333333333333333</v>
      </c>
    </row>
    <row r="47" spans="2:17" x14ac:dyDescent="0.3">
      <c r="B47" s="398">
        <v>1135750</v>
      </c>
      <c r="C47" s="398" t="s">
        <v>9</v>
      </c>
      <c r="D47" s="92"/>
      <c r="E47" s="92"/>
      <c r="F47" s="92"/>
      <c r="G47" s="92"/>
      <c r="H47" s="92"/>
      <c r="I47" s="92"/>
      <c r="J47" s="92"/>
      <c r="K47" s="92">
        <v>5</v>
      </c>
      <c r="L47" s="92">
        <v>3</v>
      </c>
      <c r="M47" s="92">
        <v>1</v>
      </c>
      <c r="N47" s="92"/>
      <c r="O47" s="92"/>
      <c r="P47" s="93">
        <f>SUM(D47:O47)</f>
        <v>9</v>
      </c>
      <c r="Q47" s="212">
        <f>AVERAGE(K47:M47)</f>
        <v>3</v>
      </c>
    </row>
    <row r="48" spans="2:17" x14ac:dyDescent="0.3">
      <c r="B48" s="398">
        <v>1135753</v>
      </c>
      <c r="C48" s="398" t="s">
        <v>10</v>
      </c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3">
        <f>SUM(D48:O48)</f>
        <v>0</v>
      </c>
      <c r="Q48" s="212"/>
    </row>
    <row r="49" spans="2:17" x14ac:dyDescent="0.3">
      <c r="B49" s="398">
        <v>1135752</v>
      </c>
      <c r="C49" s="398" t="s">
        <v>11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3">
        <f>SUM(D49:O49)</f>
        <v>0</v>
      </c>
      <c r="Q49" s="212"/>
    </row>
    <row r="50" spans="2:17" x14ac:dyDescent="0.3">
      <c r="B50" s="398">
        <v>1135751</v>
      </c>
      <c r="C50" s="398" t="s">
        <v>12</v>
      </c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3">
        <f>SUM(D50:O50)</f>
        <v>0</v>
      </c>
      <c r="Q50" s="403"/>
    </row>
    <row r="51" spans="2:17" x14ac:dyDescent="0.3">
      <c r="B51" s="485" t="s">
        <v>129</v>
      </c>
      <c r="C51" s="485"/>
      <c r="D51" s="485"/>
      <c r="E51" s="485"/>
      <c r="F51" s="485"/>
      <c r="G51" s="485"/>
      <c r="H51" s="485"/>
      <c r="I51" s="485"/>
      <c r="J51" s="485"/>
      <c r="K51" s="485"/>
      <c r="L51" s="485"/>
      <c r="M51" s="485"/>
      <c r="N51" s="485"/>
      <c r="O51" s="485"/>
      <c r="P51" s="485"/>
      <c r="Q51" s="403"/>
    </row>
    <row r="52" spans="2:17" x14ac:dyDescent="0.3">
      <c r="B52" s="398">
        <v>1140327</v>
      </c>
      <c r="C52" s="398" t="s">
        <v>394</v>
      </c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3">
        <f>SUM(D52:O52)</f>
        <v>0</v>
      </c>
      <c r="Q52" s="403"/>
    </row>
    <row r="53" spans="2:17" x14ac:dyDescent="0.3">
      <c r="B53" s="398">
        <v>1151231</v>
      </c>
      <c r="C53" s="398" t="s">
        <v>395</v>
      </c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3">
        <f>SUM(D53:O53)</f>
        <v>0</v>
      </c>
      <c r="Q53" s="403"/>
    </row>
    <row r="54" spans="2:17" x14ac:dyDescent="0.3">
      <c r="B54" s="485" t="s">
        <v>467</v>
      </c>
      <c r="C54" s="485"/>
      <c r="D54" s="485"/>
      <c r="E54" s="485"/>
      <c r="F54" s="485"/>
      <c r="G54" s="485"/>
      <c r="H54" s="485"/>
      <c r="I54" s="485"/>
      <c r="J54" s="485"/>
      <c r="K54" s="485"/>
      <c r="L54" s="485"/>
      <c r="M54" s="485"/>
      <c r="N54" s="485"/>
      <c r="O54" s="485"/>
      <c r="P54" s="485"/>
      <c r="Q54" s="403"/>
    </row>
    <row r="55" spans="2:17" x14ac:dyDescent="0.3">
      <c r="B55" s="398">
        <v>1146032</v>
      </c>
      <c r="C55" s="398" t="s">
        <v>396</v>
      </c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3">
        <f>SUM(D55:O55)</f>
        <v>0</v>
      </c>
      <c r="Q55" s="403"/>
    </row>
    <row r="56" spans="2:17" x14ac:dyDescent="0.3">
      <c r="B56" s="398">
        <v>1146021</v>
      </c>
      <c r="C56" s="398" t="s">
        <v>397</v>
      </c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3">
        <f>SUM(D56:O56)</f>
        <v>0</v>
      </c>
      <c r="Q56" s="403"/>
    </row>
    <row r="57" spans="2:17" x14ac:dyDescent="0.3">
      <c r="B57" s="398">
        <v>1146018</v>
      </c>
      <c r="C57" s="398" t="s">
        <v>398</v>
      </c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3">
        <f>SUM(D57:O57)</f>
        <v>0</v>
      </c>
      <c r="Q57" s="403"/>
    </row>
    <row r="58" spans="2:17" x14ac:dyDescent="0.3">
      <c r="B58" s="398">
        <v>1146024</v>
      </c>
      <c r="C58" s="398" t="s">
        <v>399</v>
      </c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3">
        <f>SUM(D58:O58)</f>
        <v>0</v>
      </c>
      <c r="Q58" s="403"/>
    </row>
    <row r="59" spans="2:17" x14ac:dyDescent="0.3">
      <c r="B59" s="398">
        <v>1146028</v>
      </c>
      <c r="C59" s="398" t="s">
        <v>400</v>
      </c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3">
        <f>SUM(D59:O59)</f>
        <v>0</v>
      </c>
      <c r="Q59" s="403"/>
    </row>
    <row r="60" spans="2:17" x14ac:dyDescent="0.3">
      <c r="B60" s="485" t="s">
        <v>468</v>
      </c>
      <c r="C60" s="485"/>
      <c r="D60" s="485"/>
      <c r="E60" s="485"/>
      <c r="F60" s="485"/>
      <c r="G60" s="485"/>
      <c r="H60" s="485"/>
      <c r="I60" s="485"/>
      <c r="J60" s="485"/>
      <c r="K60" s="485"/>
      <c r="L60" s="485"/>
      <c r="M60" s="485"/>
      <c r="N60" s="485"/>
      <c r="O60" s="485"/>
      <c r="P60" s="485"/>
      <c r="Q60" s="403"/>
    </row>
    <row r="61" spans="2:17" x14ac:dyDescent="0.3">
      <c r="B61" s="398">
        <v>1146031</v>
      </c>
      <c r="C61" s="398" t="s">
        <v>401</v>
      </c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3">
        <f>SUM(D61:O61)</f>
        <v>0</v>
      </c>
      <c r="Q61" s="403"/>
    </row>
    <row r="62" spans="2:17" x14ac:dyDescent="0.3">
      <c r="B62" s="398">
        <v>1146020</v>
      </c>
      <c r="C62" s="398" t="s">
        <v>402</v>
      </c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3">
        <f>SUM(D62:O62)</f>
        <v>0</v>
      </c>
      <c r="Q62" s="403"/>
    </row>
    <row r="63" spans="2:17" x14ac:dyDescent="0.3">
      <c r="B63" s="398">
        <v>1146016</v>
      </c>
      <c r="C63" s="398" t="s">
        <v>398</v>
      </c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3">
        <f>SUM(D63:O63)</f>
        <v>0</v>
      </c>
      <c r="Q63" s="403"/>
    </row>
    <row r="64" spans="2:17" x14ac:dyDescent="0.3">
      <c r="B64" s="398">
        <v>1146022</v>
      </c>
      <c r="C64" s="398" t="s">
        <v>403</v>
      </c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3">
        <f>SUM(D64:O64)</f>
        <v>0</v>
      </c>
      <c r="Q64" s="403"/>
    </row>
    <row r="65" spans="2:17" x14ac:dyDescent="0.3">
      <c r="B65" s="398">
        <v>1146027</v>
      </c>
      <c r="C65" s="398" t="s">
        <v>404</v>
      </c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3">
        <f>SUM(D65:O65)</f>
        <v>0</v>
      </c>
      <c r="Q65" s="403"/>
    </row>
    <row r="66" spans="2:17" x14ac:dyDescent="0.3">
      <c r="B66" s="485" t="s">
        <v>469</v>
      </c>
      <c r="C66" s="485"/>
      <c r="D66" s="485"/>
      <c r="E66" s="485"/>
      <c r="F66" s="485"/>
      <c r="G66" s="485"/>
      <c r="H66" s="485"/>
      <c r="I66" s="485"/>
      <c r="J66" s="485"/>
      <c r="K66" s="485"/>
      <c r="L66" s="485"/>
      <c r="M66" s="485"/>
      <c r="N66" s="485"/>
      <c r="O66" s="485"/>
      <c r="P66" s="485"/>
      <c r="Q66" s="403"/>
    </row>
    <row r="67" spans="2:17" x14ac:dyDescent="0.3">
      <c r="B67" s="398">
        <v>1151653</v>
      </c>
      <c r="C67" s="398" t="s">
        <v>405</v>
      </c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>
        <f>SUM(D67:O67)</f>
        <v>0</v>
      </c>
      <c r="Q67" s="403"/>
    </row>
    <row r="68" spans="2:17" x14ac:dyDescent="0.3">
      <c r="B68" s="398">
        <v>1151650</v>
      </c>
      <c r="C68" s="398" t="s">
        <v>406</v>
      </c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3">
        <f>SUM(D68:O68)</f>
        <v>0</v>
      </c>
      <c r="Q68" s="403"/>
    </row>
    <row r="69" spans="2:17" x14ac:dyDescent="0.3">
      <c r="B69" s="398">
        <v>1151649</v>
      </c>
      <c r="C69" s="398" t="s">
        <v>407</v>
      </c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3">
        <f>SUM(D69:O69)</f>
        <v>0</v>
      </c>
      <c r="Q69" s="403"/>
    </row>
    <row r="70" spans="2:17" x14ac:dyDescent="0.3">
      <c r="B70" s="398">
        <v>1151651</v>
      </c>
      <c r="C70" s="398" t="s">
        <v>408</v>
      </c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3">
        <f>SUM(D70:O70)</f>
        <v>0</v>
      </c>
      <c r="Q70" s="403"/>
    </row>
    <row r="71" spans="2:17" x14ac:dyDescent="0.3">
      <c r="B71" s="398">
        <v>1146029</v>
      </c>
      <c r="C71" s="398" t="s">
        <v>409</v>
      </c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3">
        <f>SUM(D71:O71)</f>
        <v>0</v>
      </c>
      <c r="Q71" s="403"/>
    </row>
    <row r="72" spans="2:17" x14ac:dyDescent="0.3">
      <c r="B72" s="485" t="s">
        <v>470</v>
      </c>
      <c r="C72" s="485"/>
      <c r="D72" s="485"/>
      <c r="E72" s="485"/>
      <c r="F72" s="485"/>
      <c r="G72" s="485"/>
      <c r="H72" s="485"/>
      <c r="I72" s="485"/>
      <c r="J72" s="485"/>
      <c r="K72" s="485"/>
      <c r="L72" s="485"/>
      <c r="M72" s="485"/>
      <c r="N72" s="485"/>
      <c r="O72" s="485"/>
      <c r="P72" s="485"/>
      <c r="Q72" s="403"/>
    </row>
    <row r="73" spans="2:17" x14ac:dyDescent="0.3">
      <c r="B73" s="398">
        <v>1699118</v>
      </c>
      <c r="C73" s="398" t="s">
        <v>411</v>
      </c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3">
        <f>SUM(D73:O73)</f>
        <v>0</v>
      </c>
      <c r="Q73" s="403"/>
    </row>
    <row r="74" spans="2:17" x14ac:dyDescent="0.3">
      <c r="B74" s="398">
        <v>1699119</v>
      </c>
      <c r="C74" s="398" t="s">
        <v>412</v>
      </c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3">
        <f>SUM(D74:O74)</f>
        <v>0</v>
      </c>
      <c r="Q74" s="403"/>
    </row>
    <row r="75" spans="2:17" x14ac:dyDescent="0.3">
      <c r="B75" s="398">
        <v>1699130</v>
      </c>
      <c r="C75" s="398" t="s">
        <v>413</v>
      </c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3">
        <f>SUM(D75:O75)</f>
        <v>0</v>
      </c>
    </row>
    <row r="76" spans="2:17" x14ac:dyDescent="0.3">
      <c r="B76" s="398">
        <v>1699131</v>
      </c>
      <c r="C76" s="398" t="s">
        <v>414</v>
      </c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3">
        <f>SUM(D76:O76)</f>
        <v>0</v>
      </c>
    </row>
    <row r="77" spans="2:17" x14ac:dyDescent="0.3">
      <c r="B77" s="398">
        <v>1699132</v>
      </c>
      <c r="C77" s="398" t="s">
        <v>415</v>
      </c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3">
        <f>SUM(D77:O77)</f>
        <v>0</v>
      </c>
    </row>
    <row r="78" spans="2:17" ht="16.5" thickBot="1" x14ac:dyDescent="0.35"/>
    <row r="79" spans="2:17" ht="16.5" thickBot="1" x14ac:dyDescent="0.35">
      <c r="C79" s="148" t="s">
        <v>132</v>
      </c>
      <c r="D79" s="149">
        <v>45292</v>
      </c>
      <c r="E79" s="149">
        <v>45323</v>
      </c>
      <c r="F79" s="149">
        <v>45352</v>
      </c>
      <c r="G79" s="149">
        <v>45383</v>
      </c>
      <c r="H79" s="149">
        <v>45413</v>
      </c>
      <c r="I79" s="149">
        <v>45444</v>
      </c>
      <c r="J79" s="149">
        <v>45474</v>
      </c>
      <c r="K79" s="149">
        <v>45505</v>
      </c>
      <c r="L79" s="149">
        <v>45536</v>
      </c>
      <c r="M79" s="149">
        <v>45566</v>
      </c>
      <c r="N79" s="149">
        <v>45597</v>
      </c>
      <c r="O79" s="149">
        <v>45627</v>
      </c>
      <c r="P79" s="150" t="s">
        <v>27</v>
      </c>
    </row>
    <row r="80" spans="2:17" x14ac:dyDescent="0.3">
      <c r="C80" s="151" t="s">
        <v>207</v>
      </c>
      <c r="D80" s="115"/>
      <c r="E80" s="115"/>
      <c r="F80" s="115"/>
      <c r="G80" s="115"/>
      <c r="H80" s="115"/>
      <c r="I80" s="115"/>
      <c r="J80" s="115"/>
      <c r="K80" s="115">
        <v>9256</v>
      </c>
      <c r="L80" s="115">
        <v>4121</v>
      </c>
      <c r="M80" s="115">
        <v>1158</v>
      </c>
      <c r="N80" s="115"/>
      <c r="O80" s="115"/>
      <c r="P80" s="152">
        <f>SUM(D80:O80)</f>
        <v>14535</v>
      </c>
    </row>
    <row r="81" spans="2:16" ht="16.5" thickBot="1" x14ac:dyDescent="0.35">
      <c r="C81" s="153" t="s">
        <v>206</v>
      </c>
      <c r="D81" s="115"/>
      <c r="E81" s="115"/>
      <c r="F81" s="115"/>
      <c r="G81" s="115"/>
      <c r="H81" s="115"/>
      <c r="I81" s="115"/>
      <c r="J81" s="115"/>
      <c r="K81" s="115">
        <v>6945</v>
      </c>
      <c r="L81" s="115">
        <v>3202</v>
      </c>
      <c r="M81" s="115">
        <v>5029</v>
      </c>
      <c r="N81" s="115"/>
      <c r="O81" s="115"/>
      <c r="P81" s="154">
        <f>SUM(D81:O81)</f>
        <v>15176</v>
      </c>
    </row>
    <row r="82" spans="2:16" ht="16.5" thickBot="1" x14ac:dyDescent="0.35">
      <c r="C82" s="412" t="s">
        <v>20</v>
      </c>
      <c r="D82" s="413"/>
      <c r="E82" s="413"/>
      <c r="F82" s="413"/>
      <c r="G82" s="413"/>
      <c r="H82" s="413"/>
      <c r="I82" s="413"/>
      <c r="J82" s="413"/>
      <c r="K82" s="413">
        <f>K80+K81</f>
        <v>16201</v>
      </c>
      <c r="L82" s="413">
        <f>L80+L81</f>
        <v>7323</v>
      </c>
      <c r="M82" s="413">
        <f>M80+M81</f>
        <v>6187</v>
      </c>
      <c r="N82" s="413">
        <f>N80+N81</f>
        <v>0</v>
      </c>
      <c r="O82" s="413">
        <f>O80+O81</f>
        <v>0</v>
      </c>
      <c r="P82" s="411">
        <f>SUM(D82:O82)</f>
        <v>29711</v>
      </c>
    </row>
    <row r="83" spans="2:16" ht="16.5" thickBot="1" x14ac:dyDescent="0.35">
      <c r="C83" s="404"/>
      <c r="D83" s="405"/>
      <c r="E83" s="405"/>
      <c r="F83" s="405"/>
      <c r="G83" s="405"/>
      <c r="H83" s="405"/>
      <c r="I83" s="405"/>
      <c r="J83" s="405"/>
      <c r="K83" s="405"/>
      <c r="L83" s="405"/>
      <c r="M83" s="405"/>
      <c r="N83" s="405"/>
      <c r="O83" s="405"/>
      <c r="P83" s="406"/>
    </row>
    <row r="84" spans="2:16" ht="16.5" thickBot="1" x14ac:dyDescent="0.35">
      <c r="C84" s="148" t="s">
        <v>132</v>
      </c>
      <c r="D84" s="149">
        <v>45292</v>
      </c>
      <c r="E84" s="149">
        <v>45323</v>
      </c>
      <c r="F84" s="149">
        <v>45352</v>
      </c>
      <c r="G84" s="149">
        <v>45383</v>
      </c>
      <c r="H84" s="149">
        <v>45413</v>
      </c>
      <c r="I84" s="149">
        <v>45444</v>
      </c>
      <c r="J84" s="149">
        <v>45474</v>
      </c>
      <c r="K84" s="149">
        <v>45505</v>
      </c>
      <c r="L84" s="149">
        <v>45536</v>
      </c>
      <c r="M84" s="149">
        <v>45566</v>
      </c>
      <c r="N84" s="149">
        <v>45597</v>
      </c>
      <c r="O84" s="149">
        <v>45627</v>
      </c>
      <c r="P84" s="150" t="s">
        <v>27</v>
      </c>
    </row>
    <row r="85" spans="2:16" x14ac:dyDescent="0.3">
      <c r="C85" s="408" t="s">
        <v>471</v>
      </c>
      <c r="D85" s="407"/>
      <c r="E85" s="115"/>
      <c r="F85" s="115"/>
      <c r="G85" s="115"/>
      <c r="H85" s="115"/>
      <c r="I85" s="115"/>
      <c r="J85" s="115"/>
      <c r="K85" s="115"/>
      <c r="L85" s="115">
        <v>5359</v>
      </c>
      <c r="M85" s="115">
        <v>3300</v>
      </c>
      <c r="N85" s="115"/>
      <c r="O85" s="115"/>
      <c r="P85" s="152">
        <f t="shared" ref="P85:P90" si="0">SUM(D85:O85)</f>
        <v>8659</v>
      </c>
    </row>
    <row r="86" spans="2:16" ht="16.5" thickBot="1" x14ac:dyDescent="0.35">
      <c r="C86" s="409" t="s">
        <v>472</v>
      </c>
      <c r="D86" s="407"/>
      <c r="E86" s="115"/>
      <c r="F86" s="115"/>
      <c r="G86" s="115"/>
      <c r="H86" s="115"/>
      <c r="I86" s="115"/>
      <c r="J86" s="115"/>
      <c r="K86" s="115">
        <v>9280</v>
      </c>
      <c r="L86" s="115">
        <v>11904</v>
      </c>
      <c r="M86" s="115">
        <v>5872.6134994000004</v>
      </c>
      <c r="N86" s="115"/>
      <c r="O86" s="115"/>
      <c r="P86" s="154">
        <f t="shared" si="0"/>
        <v>27056.613499400002</v>
      </c>
    </row>
    <row r="87" spans="2:16" x14ac:dyDescent="0.3">
      <c r="C87" s="409" t="s">
        <v>473</v>
      </c>
      <c r="D87" s="407"/>
      <c r="E87" s="115"/>
      <c r="F87" s="115"/>
      <c r="G87" s="115"/>
      <c r="H87" s="115"/>
      <c r="I87" s="115"/>
      <c r="J87" s="115"/>
      <c r="K87" s="115">
        <v>7839</v>
      </c>
      <c r="L87" s="115">
        <v>8337</v>
      </c>
      <c r="M87" s="115">
        <v>4569.3105000000032</v>
      </c>
      <c r="N87" s="115"/>
      <c r="O87" s="115"/>
      <c r="P87" s="152">
        <f t="shared" si="0"/>
        <v>20745.310500000003</v>
      </c>
    </row>
    <row r="88" spans="2:16" ht="16.5" thickBot="1" x14ac:dyDescent="0.35">
      <c r="C88" s="409" t="s">
        <v>474</v>
      </c>
      <c r="D88" s="407"/>
      <c r="E88" s="115"/>
      <c r="F88" s="115"/>
      <c r="G88" s="115"/>
      <c r="H88" s="115"/>
      <c r="I88" s="115"/>
      <c r="J88" s="115"/>
      <c r="K88" s="115"/>
      <c r="L88" s="115">
        <v>4485</v>
      </c>
      <c r="M88" s="115">
        <v>2335</v>
      </c>
      <c r="N88" s="115"/>
      <c r="O88" s="115"/>
      <c r="P88" s="154">
        <f t="shared" si="0"/>
        <v>6820</v>
      </c>
    </row>
    <row r="89" spans="2:16" ht="16.5" thickBot="1" x14ac:dyDescent="0.35">
      <c r="C89" s="410" t="s">
        <v>475</v>
      </c>
      <c r="D89" s="407"/>
      <c r="E89" s="115"/>
      <c r="F89" s="115"/>
      <c r="G89" s="115"/>
      <c r="H89" s="115"/>
      <c r="I89" s="115"/>
      <c r="J89" s="115"/>
      <c r="K89" s="115"/>
      <c r="L89" s="115">
        <v>1288</v>
      </c>
      <c r="M89" s="115">
        <v>3968</v>
      </c>
      <c r="N89" s="115"/>
      <c r="O89" s="115"/>
      <c r="P89" s="152">
        <f t="shared" si="0"/>
        <v>5256</v>
      </c>
    </row>
    <row r="90" spans="2:16" ht="16.5" thickBot="1" x14ac:dyDescent="0.35">
      <c r="C90" s="414" t="s">
        <v>20</v>
      </c>
      <c r="D90" s="413"/>
      <c r="E90" s="413"/>
      <c r="F90" s="413"/>
      <c r="G90" s="413"/>
      <c r="H90" s="413"/>
      <c r="I90" s="413"/>
      <c r="J90" s="413"/>
      <c r="K90" s="413">
        <f>SUM(K85:K89)</f>
        <v>17119</v>
      </c>
      <c r="L90" s="413">
        <f>SUM(L85:L89)</f>
        <v>31373</v>
      </c>
      <c r="M90" s="413">
        <f>SUM(M85:M89)</f>
        <v>20044.923999400002</v>
      </c>
      <c r="N90" s="413">
        <f>N88+N89</f>
        <v>0</v>
      </c>
      <c r="O90" s="413">
        <f>O88+O89</f>
        <v>0</v>
      </c>
      <c r="P90" s="411">
        <f t="shared" si="0"/>
        <v>68536.923999399994</v>
      </c>
    </row>
    <row r="91" spans="2:16" x14ac:dyDescent="0.3">
      <c r="C91" s="404"/>
      <c r="D91" s="405"/>
      <c r="E91" s="405"/>
      <c r="F91" s="405"/>
      <c r="G91" s="405"/>
      <c r="H91" s="405"/>
      <c r="I91" s="405"/>
      <c r="J91" s="405"/>
      <c r="K91" s="405"/>
      <c r="L91" s="405"/>
      <c r="M91" s="405"/>
      <c r="N91" s="405"/>
      <c r="O91" s="405"/>
      <c r="P91" s="406"/>
    </row>
    <row r="92" spans="2:16" x14ac:dyDescent="0.3">
      <c r="C92" s="404"/>
      <c r="D92" s="405"/>
      <c r="E92" s="405"/>
      <c r="F92" s="405"/>
      <c r="G92" s="405"/>
      <c r="H92" s="405"/>
      <c r="I92" s="405"/>
      <c r="J92" s="405"/>
      <c r="K92" s="405"/>
      <c r="L92" s="405"/>
      <c r="M92" s="405"/>
      <c r="N92" s="405"/>
      <c r="O92" s="405"/>
      <c r="P92" s="406"/>
    </row>
    <row r="93" spans="2:16" x14ac:dyDescent="0.3">
      <c r="C93" s="404"/>
      <c r="D93" s="405"/>
      <c r="E93" s="405"/>
      <c r="F93" s="405"/>
      <c r="G93" s="405"/>
      <c r="H93" s="405"/>
      <c r="I93" s="405"/>
      <c r="J93" s="405"/>
      <c r="K93" s="405"/>
      <c r="L93" s="405"/>
      <c r="M93" s="405"/>
      <c r="N93" s="405"/>
      <c r="O93" s="405"/>
      <c r="P93" s="406"/>
    </row>
    <row r="94" spans="2:16" x14ac:dyDescent="0.3">
      <c r="P94" s="181">
        <v>138000</v>
      </c>
    </row>
    <row r="96" spans="2:16" ht="16.5" thickBot="1" x14ac:dyDescent="0.35">
      <c r="B96" s="97" t="s">
        <v>178</v>
      </c>
    </row>
    <row r="97" spans="2:16" ht="48" thickBot="1" x14ac:dyDescent="0.35">
      <c r="B97" s="157" t="s">
        <v>131</v>
      </c>
      <c r="C97" s="158" t="s">
        <v>132</v>
      </c>
      <c r="D97" s="158" t="s">
        <v>179</v>
      </c>
      <c r="E97" s="158" t="s">
        <v>180</v>
      </c>
      <c r="F97" s="158" t="s">
        <v>181</v>
      </c>
      <c r="G97" s="159" t="s">
        <v>182</v>
      </c>
      <c r="H97" s="158" t="s">
        <v>183</v>
      </c>
      <c r="I97" s="158" t="s">
        <v>184</v>
      </c>
      <c r="J97" s="160" t="s">
        <v>185</v>
      </c>
      <c r="M97" s="89" t="s">
        <v>186</v>
      </c>
      <c r="N97" s="486" t="s">
        <v>187</v>
      </c>
      <c r="O97" s="486"/>
      <c r="P97" s="486"/>
    </row>
    <row r="98" spans="2:16" x14ac:dyDescent="0.3">
      <c r="B98" s="193" t="s">
        <v>148</v>
      </c>
      <c r="C98" s="99" t="s">
        <v>149</v>
      </c>
      <c r="D98" s="100">
        <f>P45</f>
        <v>0</v>
      </c>
      <c r="E98" s="194">
        <v>2</v>
      </c>
      <c r="F98" s="194">
        <v>0</v>
      </c>
      <c r="G98" s="101">
        <f>D98-E98-F98</f>
        <v>-2</v>
      </c>
      <c r="H98" s="102">
        <f>$F$121/G98</f>
        <v>-39514.5</v>
      </c>
      <c r="I98" s="102">
        <v>3000</v>
      </c>
      <c r="J98" s="195">
        <f>+H98/I98</f>
        <v>-13.1715</v>
      </c>
      <c r="M98" s="226">
        <v>2</v>
      </c>
      <c r="N98" s="485" t="s">
        <v>149</v>
      </c>
      <c r="O98" s="485"/>
      <c r="P98" s="485"/>
    </row>
    <row r="99" spans="2:16" x14ac:dyDescent="0.3">
      <c r="B99" s="193" t="s">
        <v>150</v>
      </c>
      <c r="C99" s="99" t="s">
        <v>151</v>
      </c>
      <c r="D99" s="100">
        <v>7</v>
      </c>
      <c r="E99" s="194">
        <v>0</v>
      </c>
      <c r="F99" s="194">
        <v>3</v>
      </c>
      <c r="G99" s="101">
        <f>D99-E99-F99</f>
        <v>4</v>
      </c>
      <c r="H99" s="102">
        <f>$F$121/G99</f>
        <v>19757.25</v>
      </c>
      <c r="I99" s="102">
        <v>13000</v>
      </c>
      <c r="J99" s="196">
        <f>+H99/I99</f>
        <v>1.5197884615384616</v>
      </c>
      <c r="M99" s="226">
        <v>0</v>
      </c>
      <c r="N99" s="485" t="s">
        <v>151</v>
      </c>
      <c r="O99" s="485"/>
      <c r="P99" s="485"/>
    </row>
    <row r="100" spans="2:16" x14ac:dyDescent="0.3">
      <c r="B100" s="193" t="s">
        <v>152</v>
      </c>
      <c r="C100" s="99" t="s">
        <v>126</v>
      </c>
      <c r="D100" s="100">
        <f>P47</f>
        <v>9</v>
      </c>
      <c r="E100" s="194">
        <v>0</v>
      </c>
      <c r="F100" s="194">
        <v>0</v>
      </c>
      <c r="G100" s="101">
        <f>D100-E100-F100</f>
        <v>9</v>
      </c>
      <c r="H100" s="102">
        <f>$F$121/G100</f>
        <v>8781</v>
      </c>
      <c r="I100" s="102">
        <v>8500</v>
      </c>
      <c r="J100" s="195">
        <f>+H100/I100</f>
        <v>1.0330588235294118</v>
      </c>
      <c r="M100" s="226">
        <v>0</v>
      </c>
      <c r="N100" s="485" t="s">
        <v>126</v>
      </c>
      <c r="O100" s="485"/>
      <c r="P100" s="485"/>
    </row>
    <row r="101" spans="2:16" x14ac:dyDescent="0.3">
      <c r="B101" s="193" t="s">
        <v>13</v>
      </c>
      <c r="C101" s="99" t="s">
        <v>128</v>
      </c>
      <c r="D101" s="105">
        <v>32</v>
      </c>
      <c r="E101" s="194">
        <v>0</v>
      </c>
      <c r="F101" s="194">
        <v>10</v>
      </c>
      <c r="G101" s="101">
        <f>D101-E101-F101</f>
        <v>22</v>
      </c>
      <c r="H101" s="102">
        <f>+$F$121/(G101/3)</f>
        <v>10776.681818181818</v>
      </c>
      <c r="I101" s="102">
        <v>13000</v>
      </c>
      <c r="J101" s="195">
        <f>+H101/I101</f>
        <v>0.82897552447552447</v>
      </c>
      <c r="M101" s="226">
        <v>0</v>
      </c>
      <c r="N101" s="485" t="s">
        <v>128</v>
      </c>
      <c r="O101" s="485"/>
      <c r="P101" s="485"/>
    </row>
    <row r="102" spans="2:16" ht="16.5" thickBot="1" x14ac:dyDescent="0.35">
      <c r="B102" s="197" t="s">
        <v>153</v>
      </c>
      <c r="C102" s="106" t="s">
        <v>127</v>
      </c>
      <c r="D102" s="107">
        <v>5</v>
      </c>
      <c r="E102" s="108">
        <v>0</v>
      </c>
      <c r="F102" s="108">
        <v>1</v>
      </c>
      <c r="G102" s="109">
        <f>D102-E102-F102</f>
        <v>4</v>
      </c>
      <c r="H102" s="110">
        <f>(F121+30000)/G102</f>
        <v>27257.25</v>
      </c>
      <c r="I102" s="110">
        <v>43000</v>
      </c>
      <c r="J102" s="198">
        <f>+H102/I102</f>
        <v>0.63388953488372091</v>
      </c>
      <c r="M102" s="226">
        <v>0</v>
      </c>
      <c r="N102" s="485" t="s">
        <v>127</v>
      </c>
      <c r="O102" s="485"/>
      <c r="P102" s="485"/>
    </row>
    <row r="104" spans="2:16" x14ac:dyDescent="0.3">
      <c r="B104" s="88" t="s">
        <v>188</v>
      </c>
      <c r="M104" s="112"/>
      <c r="N104" s="95"/>
    </row>
    <row r="105" spans="2:16" x14ac:dyDescent="0.3">
      <c r="B105" s="88" t="s">
        <v>190</v>
      </c>
      <c r="M105" s="112">
        <v>44969</v>
      </c>
      <c r="N105" s="95" t="s">
        <v>246</v>
      </c>
      <c r="O105" s="112"/>
    </row>
    <row r="106" spans="2:16" x14ac:dyDescent="0.3">
      <c r="M106" s="112">
        <v>44981</v>
      </c>
      <c r="N106" s="95" t="s">
        <v>261</v>
      </c>
    </row>
    <row r="107" spans="2:16" x14ac:dyDescent="0.3">
      <c r="B107" s="113"/>
    </row>
    <row r="108" spans="2:16" x14ac:dyDescent="0.3">
      <c r="C108" s="227" t="s">
        <v>191</v>
      </c>
      <c r="D108" s="227" t="s">
        <v>220</v>
      </c>
      <c r="E108" s="227" t="s">
        <v>192</v>
      </c>
    </row>
    <row r="109" spans="2:16" x14ac:dyDescent="0.3">
      <c r="C109" s="227" t="s">
        <v>221</v>
      </c>
      <c r="D109" s="115">
        <f>D$80</f>
        <v>0</v>
      </c>
      <c r="E109" s="115">
        <f>D81</f>
        <v>0</v>
      </c>
      <c r="F109" s="88" t="s">
        <v>243</v>
      </c>
    </row>
    <row r="110" spans="2:16" x14ac:dyDescent="0.3">
      <c r="C110" s="227" t="s">
        <v>222</v>
      </c>
      <c r="D110" s="115">
        <f>E$80</f>
        <v>0</v>
      </c>
      <c r="E110" s="115">
        <f>E81</f>
        <v>0</v>
      </c>
      <c r="F110" s="88" t="s">
        <v>243</v>
      </c>
    </row>
    <row r="111" spans="2:16" x14ac:dyDescent="0.3">
      <c r="C111" s="227" t="s">
        <v>193</v>
      </c>
      <c r="D111" s="115">
        <f>F80</f>
        <v>0</v>
      </c>
      <c r="E111" s="115">
        <f>F81</f>
        <v>0</v>
      </c>
      <c r="F111" s="88" t="s">
        <v>243</v>
      </c>
    </row>
    <row r="112" spans="2:16" x14ac:dyDescent="0.3">
      <c r="C112" s="227" t="s">
        <v>194</v>
      </c>
      <c r="D112" s="115">
        <f>G80</f>
        <v>0</v>
      </c>
      <c r="E112" s="115">
        <f>G81</f>
        <v>0</v>
      </c>
      <c r="F112" s="88" t="s">
        <v>243</v>
      </c>
    </row>
    <row r="113" spans="3:7" x14ac:dyDescent="0.3">
      <c r="C113" s="227" t="s">
        <v>195</v>
      </c>
      <c r="D113" s="115">
        <f>H80</f>
        <v>0</v>
      </c>
      <c r="E113" s="115">
        <f>H81</f>
        <v>0</v>
      </c>
      <c r="F113" s="88" t="s">
        <v>245</v>
      </c>
    </row>
    <row r="114" spans="3:7" x14ac:dyDescent="0.3">
      <c r="C114" s="227" t="s">
        <v>196</v>
      </c>
      <c r="D114" s="115">
        <v>8747</v>
      </c>
      <c r="E114" s="115">
        <v>7743</v>
      </c>
      <c r="F114" s="88" t="s">
        <v>248</v>
      </c>
    </row>
    <row r="115" spans="3:7" x14ac:dyDescent="0.3">
      <c r="C115" s="227" t="s">
        <v>197</v>
      </c>
      <c r="D115" s="115">
        <v>9424</v>
      </c>
      <c r="E115" s="115">
        <v>3418</v>
      </c>
      <c r="F115" s="88" t="s">
        <v>252</v>
      </c>
    </row>
    <row r="116" spans="3:7" x14ac:dyDescent="0.3">
      <c r="C116" s="227" t="s">
        <v>198</v>
      </c>
      <c r="D116" s="115">
        <v>2772</v>
      </c>
      <c r="E116" s="115">
        <v>4304</v>
      </c>
      <c r="F116" s="88">
        <v>4</v>
      </c>
      <c r="G116" s="88" t="s">
        <v>249</v>
      </c>
    </row>
    <row r="117" spans="3:7" x14ac:dyDescent="0.3">
      <c r="C117" s="227" t="s">
        <v>199</v>
      </c>
      <c r="D117" s="115">
        <v>6712</v>
      </c>
      <c r="E117" s="115">
        <v>4992</v>
      </c>
    </row>
    <row r="118" spans="3:7" x14ac:dyDescent="0.3">
      <c r="C118" s="227" t="s">
        <v>200</v>
      </c>
      <c r="D118" s="115">
        <v>4901</v>
      </c>
      <c r="E118" s="115">
        <v>5063</v>
      </c>
    </row>
    <row r="119" spans="3:7" x14ac:dyDescent="0.3">
      <c r="C119" s="227" t="s">
        <v>201</v>
      </c>
      <c r="D119" s="115">
        <v>12584</v>
      </c>
      <c r="E119" s="115">
        <v>8369</v>
      </c>
    </row>
    <row r="120" spans="3:7" x14ac:dyDescent="0.3">
      <c r="C120" s="227" t="s">
        <v>202</v>
      </c>
      <c r="D120" s="115"/>
      <c r="E120" s="115"/>
    </row>
    <row r="121" spans="3:7" x14ac:dyDescent="0.3">
      <c r="C121" s="89" t="s">
        <v>244</v>
      </c>
      <c r="D121" s="96">
        <f>SUM(D109:D120)</f>
        <v>45140</v>
      </c>
      <c r="E121" s="96">
        <f>SUM(E109:E120)</f>
        <v>33889</v>
      </c>
      <c r="F121" s="116">
        <f>SUM(D121:E121)</f>
        <v>79029</v>
      </c>
    </row>
    <row r="122" spans="3:7" x14ac:dyDescent="0.3">
      <c r="D122" s="199">
        <f>AVERAGE(D109:D120)</f>
        <v>4103.636363636364</v>
      </c>
      <c r="E122" s="199">
        <f>AVERAGE(E109:E120)</f>
        <v>3080.818181818182</v>
      </c>
    </row>
  </sheetData>
  <mergeCells count="18">
    <mergeCell ref="N102:P102"/>
    <mergeCell ref="N97:P97"/>
    <mergeCell ref="N98:P98"/>
    <mergeCell ref="N99:P99"/>
    <mergeCell ref="N100:P100"/>
    <mergeCell ref="N101:P101"/>
    <mergeCell ref="B66:P66"/>
    <mergeCell ref="B72:P72"/>
    <mergeCell ref="B2:P2"/>
    <mergeCell ref="B45:P45"/>
    <mergeCell ref="B51:P51"/>
    <mergeCell ref="B54:P54"/>
    <mergeCell ref="B60:P60"/>
    <mergeCell ref="B29:P29"/>
    <mergeCell ref="B23:P23"/>
    <mergeCell ref="B17:P17"/>
    <mergeCell ref="B11:P11"/>
    <mergeCell ref="B8:P8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0"/>
  <dimension ref="B1:Q22"/>
  <sheetViews>
    <sheetView showGridLines="0" zoomScale="70" zoomScaleNormal="70" workbookViewId="0">
      <selection activeCell="A20" sqref="A20"/>
    </sheetView>
  </sheetViews>
  <sheetFormatPr baseColWidth="10" defaultColWidth="10.7109375" defaultRowHeight="15" x14ac:dyDescent="0.25"/>
  <cols>
    <col min="2" max="2" width="37.28515625" customWidth="1"/>
    <col min="3" max="3" width="22.42578125" customWidth="1"/>
  </cols>
  <sheetData>
    <row r="1" spans="2:15" ht="15.75" x14ac:dyDescent="0.3">
      <c r="B1" s="181" t="s">
        <v>232</v>
      </c>
      <c r="C1" s="182">
        <f ca="1">TODAY()</f>
        <v>46026</v>
      </c>
    </row>
    <row r="3" spans="2:15" ht="27" customHeight="1" x14ac:dyDescent="0.25">
      <c r="B3" s="183" t="s">
        <v>233</v>
      </c>
      <c r="C3" s="184" t="s">
        <v>234</v>
      </c>
      <c r="D3" s="184" t="s">
        <v>186</v>
      </c>
    </row>
    <row r="4" spans="2:15" ht="19.5" x14ac:dyDescent="0.35">
      <c r="B4" s="185" t="s">
        <v>235</v>
      </c>
      <c r="C4" s="186">
        <v>45505</v>
      </c>
      <c r="D4" s="187" t="s">
        <v>236</v>
      </c>
      <c r="O4" s="9">
        <f>+C4+(365*3)</f>
        <v>46600</v>
      </c>
    </row>
    <row r="5" spans="2:15" ht="19.5" x14ac:dyDescent="0.35">
      <c r="B5" s="185" t="s">
        <v>237</v>
      </c>
      <c r="C5" s="186">
        <v>46599</v>
      </c>
      <c r="D5" s="187" t="s">
        <v>236</v>
      </c>
    </row>
    <row r="6" spans="2:15" ht="19.5" x14ac:dyDescent="0.35">
      <c r="B6" s="185" t="s">
        <v>238</v>
      </c>
      <c r="C6" s="188">
        <f ca="1">DAYS360(C4,C1)/30</f>
        <v>17.100000000000001</v>
      </c>
      <c r="D6" s="187" t="s">
        <v>236</v>
      </c>
    </row>
    <row r="7" spans="2:15" ht="19.5" x14ac:dyDescent="0.35">
      <c r="B7" s="185" t="s">
        <v>239</v>
      </c>
      <c r="C7" s="188">
        <f ca="1">+C8-C6</f>
        <v>18.899999999999999</v>
      </c>
      <c r="D7" s="187" t="s">
        <v>236</v>
      </c>
    </row>
    <row r="8" spans="2:15" ht="19.5" x14ac:dyDescent="0.35">
      <c r="B8" s="185" t="s">
        <v>240</v>
      </c>
      <c r="C8" s="188">
        <f>DAYS360(C4,C5)/30</f>
        <v>36</v>
      </c>
      <c r="D8" s="187" t="s">
        <v>236</v>
      </c>
    </row>
    <row r="9" spans="2:15" ht="18.75" x14ac:dyDescent="0.3">
      <c r="B9" s="189" t="s">
        <v>241</v>
      </c>
      <c r="C9" s="190"/>
      <c r="D9" s="189"/>
    </row>
    <row r="11" spans="2:15" x14ac:dyDescent="0.25">
      <c r="C11" s="9"/>
    </row>
    <row r="14" spans="2:15" x14ac:dyDescent="0.25">
      <c r="C14" s="191"/>
    </row>
    <row r="19" spans="5:17" x14ac:dyDescent="0.25">
      <c r="E19">
        <v>2021</v>
      </c>
      <c r="F19" s="192">
        <v>1</v>
      </c>
      <c r="G19" s="192">
        <v>2</v>
      </c>
      <c r="H19" s="192">
        <v>3</v>
      </c>
      <c r="I19" s="192">
        <v>4</v>
      </c>
      <c r="J19" s="192">
        <v>5</v>
      </c>
      <c r="K19" s="192">
        <v>6</v>
      </c>
      <c r="L19" s="192">
        <v>7</v>
      </c>
      <c r="M19" s="192">
        <v>8</v>
      </c>
      <c r="N19" s="192">
        <v>9</v>
      </c>
      <c r="O19" s="192">
        <v>10</v>
      </c>
      <c r="P19" s="192">
        <v>11</v>
      </c>
      <c r="Q19" s="192">
        <v>12</v>
      </c>
    </row>
    <row r="20" spans="5:17" x14ac:dyDescent="0.25">
      <c r="E20">
        <v>2022</v>
      </c>
      <c r="F20" s="192">
        <v>1</v>
      </c>
      <c r="G20" s="192">
        <v>2</v>
      </c>
      <c r="H20" s="192">
        <v>3</v>
      </c>
      <c r="I20" s="192">
        <v>4</v>
      </c>
      <c r="J20" s="192">
        <v>5</v>
      </c>
      <c r="K20" s="192">
        <v>6</v>
      </c>
      <c r="L20" s="192">
        <v>7</v>
      </c>
      <c r="M20" s="192">
        <v>8</v>
      </c>
      <c r="N20" s="192">
        <v>9</v>
      </c>
      <c r="O20" s="72">
        <v>10</v>
      </c>
      <c r="P20" s="72">
        <v>11</v>
      </c>
      <c r="Q20" s="72">
        <v>12</v>
      </c>
    </row>
    <row r="21" spans="5:17" x14ac:dyDescent="0.25">
      <c r="E21">
        <v>2023</v>
      </c>
      <c r="F21" s="72">
        <v>1</v>
      </c>
      <c r="G21" s="72">
        <v>2</v>
      </c>
      <c r="H21" s="72">
        <v>3</v>
      </c>
      <c r="I21" s="72">
        <v>4</v>
      </c>
      <c r="J21" s="72">
        <v>5</v>
      </c>
      <c r="K21" s="72">
        <v>6</v>
      </c>
      <c r="L21" s="72">
        <v>7</v>
      </c>
      <c r="M21" s="72">
        <v>8</v>
      </c>
      <c r="N21" s="72">
        <v>9</v>
      </c>
      <c r="O21" s="72">
        <v>10</v>
      </c>
      <c r="P21" s="72">
        <v>11</v>
      </c>
      <c r="Q21" s="72">
        <v>12</v>
      </c>
    </row>
    <row r="22" spans="5:17" x14ac:dyDescent="0.25">
      <c r="E22">
        <v>2024</v>
      </c>
      <c r="F22" s="72">
        <v>1</v>
      </c>
      <c r="G22" s="72">
        <v>2</v>
      </c>
      <c r="H22" s="72">
        <v>3</v>
      </c>
      <c r="I22" s="72"/>
      <c r="J22" s="72"/>
      <c r="K22" s="72"/>
      <c r="L22" s="72"/>
      <c r="M22" s="72"/>
      <c r="N22" s="72"/>
      <c r="O22" s="72"/>
      <c r="P22" s="72"/>
      <c r="Q22" s="72"/>
    </row>
  </sheetData>
  <pageMargins left="0.7" right="0.7" top="0.75" bottom="0.75" header="0.3" footer="0.3"/>
  <pageSetup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D4852B1831BC4BAE254B1B85154DDA" ma:contentTypeVersion="16" ma:contentTypeDescription="Create a new document." ma:contentTypeScope="" ma:versionID="8917122288d4e656c1494d4f994a0dc7">
  <xsd:schema xmlns:xsd="http://www.w3.org/2001/XMLSchema" xmlns:xs="http://www.w3.org/2001/XMLSchema" xmlns:p="http://schemas.microsoft.com/office/2006/metadata/properties" xmlns:ns3="11c16c40-909a-4029-8013-ab9df122e3c9" xmlns:ns4="2ee47c7e-685f-4c71-8ba5-ecd4e7aa203b" targetNamespace="http://schemas.microsoft.com/office/2006/metadata/properties" ma:root="true" ma:fieldsID="72e9ba36d9574718fbd7a54a888d669c" ns3:_="" ns4:_="">
    <xsd:import namespace="11c16c40-909a-4029-8013-ab9df122e3c9"/>
    <xsd:import namespace="2ee47c7e-685f-4c71-8ba5-ecd4e7aa203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c16c40-909a-4029-8013-ab9df122e3c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e47c7e-685f-4c71-8ba5-ecd4e7aa203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1c16c40-909a-4029-8013-ab9df122e3c9" xsi:nil="true"/>
  </documentManagement>
</p:properties>
</file>

<file path=customXml/itemProps1.xml><?xml version="1.0" encoding="utf-8"?>
<ds:datastoreItem xmlns:ds="http://schemas.openxmlformats.org/officeDocument/2006/customXml" ds:itemID="{EA1767B9-2C06-4241-A3BB-618EAF152E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6970F1B-9FCE-4BE7-97CF-DC66B03B11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c16c40-909a-4029-8013-ab9df122e3c9"/>
    <ds:schemaRef ds:uri="2ee47c7e-685f-4c71-8ba5-ecd4e7aa20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7977B7C-2DAB-4721-A0EA-4A2566DF5A63}">
  <ds:schemaRefs>
    <ds:schemaRef ds:uri="http://schemas.microsoft.com/office/2006/documentManagement/types"/>
    <ds:schemaRef ds:uri="http://purl.org/dc/elements/1.1/"/>
    <ds:schemaRef ds:uri="http://purl.org/dc/terms/"/>
    <ds:schemaRef ds:uri="2ee47c7e-685f-4c71-8ba5-ecd4e7aa203b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11c16c40-909a-4029-8013-ab9df122e3c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Tabla Stock Inventario LB</vt:lpstr>
      <vt:lpstr>Data</vt:lpstr>
      <vt:lpstr>BLANCO</vt:lpstr>
      <vt:lpstr>INVENTARIO LOMAS BAYAS.</vt:lpstr>
      <vt:lpstr>Hoja1</vt:lpstr>
      <vt:lpstr>Resumen stock2023</vt:lpstr>
      <vt:lpstr>Resumen stock2022</vt:lpstr>
      <vt:lpstr>Consumo EDP</vt:lpstr>
      <vt:lpstr>CONSUMO 2023</vt:lpstr>
      <vt:lpstr>CONSUMO 2022</vt:lpstr>
      <vt:lpstr>CONSUMO 2024</vt:lpstr>
      <vt:lpstr>CTTO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Marin</dc:creator>
  <cp:lastModifiedBy>Victor Godoy</cp:lastModifiedBy>
  <cp:lastPrinted>2025-07-27T21:40:04Z</cp:lastPrinted>
  <dcterms:created xsi:type="dcterms:W3CDTF">2022-05-10T15:39:57Z</dcterms:created>
  <dcterms:modified xsi:type="dcterms:W3CDTF">2026-01-04T15:20:05Z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0x010100C1D4852B1831BC4BAE254B1B85154DDA</vt:lpwstr>
  </property>
</Properties>
</file>